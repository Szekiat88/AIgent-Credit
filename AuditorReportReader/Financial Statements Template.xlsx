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wuser/Documents/GitHub/AIgent Credit/AuditorReportReader/"/>
    </mc:Choice>
  </mc:AlternateContent>
  <xr:revisionPtr revIDLastSave="0" documentId="13_ncr:1_{C98E6FDC-021B-F048-8006-0D6A97FE84DD}" xr6:coauthVersionLast="47" xr6:coauthVersionMax="47" xr10:uidLastSave="{00000000-0000-0000-0000-000000000000}"/>
  <bookViews>
    <workbookView xWindow="0" yWindow="780" windowWidth="21820" windowHeight="13900" xr2:uid="{DF75E9EF-0C7D-42BC-A738-D224A9EEFAC1}"/>
  </bookViews>
  <sheets>
    <sheet name="Summary of Information" sheetId="1" r:id="rId1"/>
  </sheets>
  <externalReferences>
    <externalReference r:id="rId2"/>
  </externalReferences>
  <definedNames>
    <definedName name="_TL2">[1]validate!$C$70:$C$85</definedName>
    <definedName name="_TR2">[1]validate!$C$113:$C$128</definedName>
    <definedName name="BAc">[1]validate!$C$225:$C$240</definedName>
    <definedName name="CCC">[1]validate!$C$164:$C$194</definedName>
    <definedName name="HP">[1]validate!$C$131:$C$161</definedName>
    <definedName name="ODRS2">[1]validate!$C$95:$C$110</definedName>
    <definedName name="OverD">[1]validate!$C$36:$C$51</definedName>
    <definedName name="Sources">[1]validate!$C$87:$C$93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5" i="1" l="1"/>
  <c r="E95" i="1"/>
  <c r="D95" i="1"/>
  <c r="C95" i="1"/>
  <c r="F92" i="1"/>
  <c r="G92" i="1" s="1"/>
  <c r="E92" i="1"/>
  <c r="D92" i="1"/>
  <c r="C92" i="1"/>
  <c r="F90" i="1"/>
  <c r="E90" i="1"/>
  <c r="D90" i="1"/>
  <c r="C90" i="1"/>
  <c r="G89" i="1"/>
  <c r="F89" i="1"/>
  <c r="E89" i="1"/>
  <c r="D89" i="1"/>
  <c r="C89" i="1"/>
  <c r="A81" i="1"/>
  <c r="E80" i="1"/>
  <c r="D80" i="1"/>
  <c r="C80" i="1"/>
  <c r="A80" i="1"/>
  <c r="G79" i="1"/>
  <c r="F79" i="1"/>
  <c r="E79" i="1"/>
  <c r="D79" i="1"/>
  <c r="C79" i="1"/>
  <c r="G78" i="1"/>
  <c r="F78" i="1"/>
  <c r="E78" i="1"/>
  <c r="E82" i="1" s="1"/>
  <c r="D78" i="1"/>
  <c r="D82" i="1" s="1"/>
  <c r="C78" i="1"/>
  <c r="D75" i="1"/>
  <c r="C75" i="1"/>
  <c r="E72" i="1"/>
  <c r="D72" i="1"/>
  <c r="C72" i="1"/>
  <c r="A72" i="1"/>
  <c r="A73" i="1" s="1"/>
  <c r="A74" i="1" s="1"/>
  <c r="A75" i="1" s="1"/>
  <c r="A76" i="1" s="1"/>
  <c r="A77" i="1" s="1"/>
  <c r="G71" i="1"/>
  <c r="F71" i="1"/>
  <c r="E71" i="1"/>
  <c r="D71" i="1"/>
  <c r="C71" i="1"/>
  <c r="E69" i="1"/>
  <c r="F56" i="1"/>
  <c r="E56" i="1"/>
  <c r="D56" i="1"/>
  <c r="C56" i="1"/>
  <c r="J11" i="1" s="1"/>
  <c r="J41" i="1"/>
  <c r="F76" i="1"/>
  <c r="E76" i="1"/>
  <c r="O40" i="1"/>
  <c r="C76" i="1"/>
  <c r="O39" i="1"/>
  <c r="Q39" i="1" s="1"/>
  <c r="Q38" i="1"/>
  <c r="O38" i="1"/>
  <c r="Q37" i="1"/>
  <c r="O37" i="1"/>
  <c r="F75" i="1"/>
  <c r="E75" i="1"/>
  <c r="N14" i="1"/>
  <c r="N15" i="1"/>
  <c r="N23" i="1"/>
  <c r="M23" i="1"/>
  <c r="L23" i="1"/>
  <c r="K23" i="1"/>
  <c r="J23" i="1"/>
  <c r="F21" i="1"/>
  <c r="F69" i="1" s="1"/>
  <c r="E21" i="1"/>
  <c r="D21" i="1"/>
  <c r="D69" i="1" s="1"/>
  <c r="C21" i="1"/>
  <c r="C69" i="1" s="1"/>
  <c r="G95" i="1"/>
  <c r="M16" i="1"/>
  <c r="L16" i="1"/>
  <c r="K16" i="1"/>
  <c r="J16" i="1"/>
  <c r="M15" i="1"/>
  <c r="L15" i="1"/>
  <c r="K15" i="1"/>
  <c r="J15" i="1"/>
  <c r="M14" i="1"/>
  <c r="L14" i="1"/>
  <c r="K14" i="1"/>
  <c r="L11" i="1"/>
  <c r="M7" i="1"/>
  <c r="L7" i="1"/>
  <c r="N16" i="1"/>
  <c r="M6" i="1"/>
  <c r="L6" i="1"/>
  <c r="K6" i="1"/>
  <c r="F5" i="1"/>
  <c r="M5" i="1" s="1"/>
  <c r="E5" i="1"/>
  <c r="L5" i="1" s="1"/>
  <c r="D5" i="1"/>
  <c r="D22" i="1" s="1"/>
  <c r="D70" i="1" s="1"/>
  <c r="C5" i="1"/>
  <c r="C91" i="1" s="1"/>
  <c r="M4" i="1"/>
  <c r="L4" i="1"/>
  <c r="K4" i="1"/>
  <c r="J4" i="1"/>
  <c r="G4" i="1"/>
  <c r="G90" i="1" s="1"/>
  <c r="N3" i="1"/>
  <c r="M3" i="1"/>
  <c r="L3" i="1"/>
  <c r="K3" i="1"/>
  <c r="J3" i="1"/>
  <c r="C82" i="1" l="1"/>
  <c r="K17" i="1"/>
  <c r="M17" i="1"/>
  <c r="L17" i="1"/>
  <c r="N17" i="1"/>
  <c r="G72" i="1"/>
  <c r="G74" i="1"/>
  <c r="N18" i="1"/>
  <c r="D76" i="1"/>
  <c r="L12" i="1"/>
  <c r="L13" i="1"/>
  <c r="J12" i="1"/>
  <c r="J13" i="1"/>
  <c r="L9" i="1"/>
  <c r="E73" i="1"/>
  <c r="L10" i="1"/>
  <c r="K10" i="1"/>
  <c r="D73" i="1"/>
  <c r="K9" i="1"/>
  <c r="Q40" i="1"/>
  <c r="G80" i="1"/>
  <c r="G82" i="1" s="1"/>
  <c r="G75" i="1"/>
  <c r="F73" i="1"/>
  <c r="M10" i="1"/>
  <c r="M9" i="1"/>
  <c r="G73" i="1"/>
  <c r="J42" i="1"/>
  <c r="K7" i="1"/>
  <c r="G21" i="1"/>
  <c r="G69" i="1" s="1"/>
  <c r="E22" i="1"/>
  <c r="E70" i="1" s="1"/>
  <c r="D91" i="1"/>
  <c r="F91" i="1"/>
  <c r="F22" i="1"/>
  <c r="F70" i="1" s="1"/>
  <c r="E91" i="1"/>
  <c r="G5" i="1"/>
  <c r="K11" i="1"/>
  <c r="G76" i="1"/>
  <c r="F80" i="1"/>
  <c r="F82" i="1" s="1"/>
  <c r="K5" i="1"/>
  <c r="N6" i="1"/>
  <c r="F72" i="1"/>
  <c r="J5" i="1"/>
  <c r="N4" i="1"/>
  <c r="C22" i="1"/>
  <c r="C70" i="1" s="1"/>
  <c r="J7" i="1"/>
  <c r="N7" i="1" l="1"/>
  <c r="E61" i="1"/>
  <c r="L18" i="1"/>
  <c r="E74" i="1"/>
  <c r="D77" i="1"/>
  <c r="D83" i="1"/>
  <c r="J9" i="1"/>
  <c r="C73" i="1"/>
  <c r="J10" i="1"/>
  <c r="K12" i="1"/>
  <c r="K13" i="1"/>
  <c r="N9" i="1"/>
  <c r="D74" i="1"/>
  <c r="D61" i="1"/>
  <c r="K18" i="1"/>
  <c r="M11" i="1"/>
  <c r="J38" i="1"/>
  <c r="C94" i="1"/>
  <c r="J21" i="1"/>
  <c r="J24" i="1"/>
  <c r="J8" i="1"/>
  <c r="J22" i="1"/>
  <c r="J19" i="1"/>
  <c r="C93" i="1"/>
  <c r="G91" i="1"/>
  <c r="G22" i="1"/>
  <c r="G70" i="1" s="1"/>
  <c r="N5" i="1"/>
  <c r="N10" i="1"/>
  <c r="L24" i="1"/>
  <c r="L22" i="1"/>
  <c r="L19" i="1"/>
  <c r="E93" i="1"/>
  <c r="L21" i="1"/>
  <c r="L8" i="1"/>
  <c r="L20" i="1"/>
  <c r="E94" i="1"/>
  <c r="F77" i="1"/>
  <c r="F83" i="1"/>
  <c r="C77" i="1"/>
  <c r="C83" i="1"/>
  <c r="M18" i="1"/>
  <c r="F74" i="1"/>
  <c r="F61" i="1"/>
  <c r="E83" i="1"/>
  <c r="E77" i="1"/>
  <c r="N11" i="1"/>
  <c r="D94" i="1" l="1"/>
  <c r="K24" i="1"/>
  <c r="K22" i="1"/>
  <c r="K8" i="1"/>
  <c r="D93" i="1"/>
  <c r="K21" i="1"/>
  <c r="K20" i="1"/>
  <c r="K19" i="1"/>
  <c r="F54" i="1"/>
  <c r="G77" i="1"/>
  <c r="G83" i="1"/>
  <c r="G85" i="1" s="1"/>
  <c r="E85" i="1"/>
  <c r="M12" i="1"/>
  <c r="M13" i="1"/>
  <c r="F85" i="1"/>
  <c r="D54" i="1"/>
  <c r="E54" i="1"/>
  <c r="D85" i="1"/>
  <c r="C74" i="1"/>
  <c r="C85" i="1" s="1"/>
  <c r="C61" i="1"/>
  <c r="C54" i="1"/>
  <c r="J20" i="1"/>
  <c r="N13" i="1"/>
  <c r="N12" i="1"/>
  <c r="I51" i="1" l="1"/>
  <c r="M22" i="1"/>
  <c r="M21" i="1"/>
  <c r="M8" i="1"/>
  <c r="F93" i="1"/>
  <c r="M20" i="1"/>
  <c r="F94" i="1"/>
  <c r="F68" i="1"/>
  <c r="M24" i="1"/>
  <c r="M19" i="1"/>
  <c r="N22" i="1"/>
  <c r="N21" i="1"/>
  <c r="N8" i="1"/>
  <c r="N20" i="1"/>
  <c r="N24" i="1"/>
  <c r="G94" i="1"/>
  <c r="G93" i="1"/>
  <c r="N19" i="1"/>
</calcChain>
</file>

<file path=xl/sharedStrings.xml><?xml version="1.0" encoding="utf-8"?>
<sst xmlns="http://schemas.openxmlformats.org/spreadsheetml/2006/main" count="131" uniqueCount="99">
  <si>
    <t xml:space="preserve">Full year </t>
  </si>
  <si>
    <t>5 months</t>
  </si>
  <si>
    <t>No of days</t>
  </si>
  <si>
    <t>Audited / Mgmt Account</t>
  </si>
  <si>
    <t>Audited</t>
  </si>
  <si>
    <t>Mgmt Acc</t>
  </si>
  <si>
    <t>Annualised</t>
  </si>
  <si>
    <t>Yes</t>
  </si>
  <si>
    <t>Profit &amp; Loss</t>
  </si>
  <si>
    <t>30/04/2023</t>
  </si>
  <si>
    <t>30/04/2024</t>
  </si>
  <si>
    <t>30/04/2025</t>
  </si>
  <si>
    <t>30/09/2025</t>
  </si>
  <si>
    <t>Financial Ratio</t>
  </si>
  <si>
    <t>No</t>
  </si>
  <si>
    <t>Profit &amp; Loss (REF)</t>
  </si>
  <si>
    <t>Financial Ratio (REF)</t>
  </si>
  <si>
    <t>N/A</t>
  </si>
  <si>
    <t>Revenue</t>
  </si>
  <si>
    <t>Revenue Growth</t>
  </si>
  <si>
    <t>Cost of sales</t>
  </si>
  <si>
    <t>Gross margin</t>
  </si>
  <si>
    <t>Gross Profit</t>
  </si>
  <si>
    <t>Net Margin</t>
  </si>
  <si>
    <t>Depreciation</t>
  </si>
  <si>
    <t>Current Ratio</t>
  </si>
  <si>
    <t>Staff Cost</t>
  </si>
  <si>
    <t>Quick Ratio</t>
  </si>
  <si>
    <t>Other Operating Expenses</t>
  </si>
  <si>
    <t>Gearing Ratio</t>
  </si>
  <si>
    <t>Operating Profit</t>
  </si>
  <si>
    <t>Pre-Tax Interest Coverage</t>
  </si>
  <si>
    <t>Add : Other Income</t>
  </si>
  <si>
    <t>Return (before Tax) on Net Worth</t>
  </si>
  <si>
    <t>EBIT</t>
  </si>
  <si>
    <t>Inventory Turnover (Days)</t>
  </si>
  <si>
    <t>Interest</t>
  </si>
  <si>
    <t>Receivables Turnover (Days)</t>
  </si>
  <si>
    <t>Taxes</t>
  </si>
  <si>
    <t>Payable Turnover (Days)</t>
  </si>
  <si>
    <t>Net Profit (Loss) for the Year</t>
  </si>
  <si>
    <t>Working Capital Turnover (Days)</t>
  </si>
  <si>
    <t>Dividend Payout</t>
  </si>
  <si>
    <t>Asset Turnover Ratio</t>
  </si>
  <si>
    <t xml:space="preserve">PBT </t>
  </si>
  <si>
    <t>Return on Equity (ROE)</t>
  </si>
  <si>
    <t>Return on Assets (ROA)</t>
  </si>
  <si>
    <t>Balance Sheet</t>
  </si>
  <si>
    <t>Dividend Pay-out Ratio</t>
  </si>
  <si>
    <t>Balance Sheet (REF)</t>
  </si>
  <si>
    <t>Earnings per Share</t>
  </si>
  <si>
    <t>Unqualified Reports</t>
  </si>
  <si>
    <t>Dividend per Share</t>
  </si>
  <si>
    <t>Non Current Asset</t>
  </si>
  <si>
    <t>PBT Margin</t>
  </si>
  <si>
    <t>Current Asset</t>
  </si>
  <si>
    <t>Trade Receivables</t>
  </si>
  <si>
    <t>Other Receivables and Prepayments</t>
  </si>
  <si>
    <t>Other Receivables</t>
  </si>
  <si>
    <t>Amount Due from Directors</t>
  </si>
  <si>
    <t>Amount Due from Related Companies</t>
  </si>
  <si>
    <t>Others</t>
  </si>
  <si>
    <t>Stock</t>
  </si>
  <si>
    <t>Cash &amp; Cash At Bank</t>
  </si>
  <si>
    <t>Total Asset</t>
  </si>
  <si>
    <t>Non Current Liabilities</t>
  </si>
  <si>
    <t>Bank/FI/Non-FI borrowings</t>
  </si>
  <si>
    <t>principal</t>
  </si>
  <si>
    <t>interest</t>
  </si>
  <si>
    <t>installment</t>
  </si>
  <si>
    <t>balance</t>
  </si>
  <si>
    <t>Hire Purchase Payable</t>
  </si>
  <si>
    <t>Other Payables</t>
  </si>
  <si>
    <t>Current Liabilities</t>
  </si>
  <si>
    <t xml:space="preserve">Trade Payables </t>
  </si>
  <si>
    <t>Other Payables &amp; Accruals</t>
  </si>
  <si>
    <t>Amount Due to Director</t>
  </si>
  <si>
    <t>Amount Due to Related Companies</t>
  </si>
  <si>
    <t>Total Liabilities</t>
  </si>
  <si>
    <t>Equity</t>
  </si>
  <si>
    <t>Share Capital</t>
  </si>
  <si>
    <t>Retained Earnings</t>
  </si>
  <si>
    <t>Revaluation Reserve</t>
  </si>
  <si>
    <t>Total Liabilities and Equity</t>
  </si>
  <si>
    <t xml:space="preserve">Intangible Asset </t>
  </si>
  <si>
    <t>Goodwill</t>
  </si>
  <si>
    <t xml:space="preserve">Patent </t>
  </si>
  <si>
    <t>Trademarks</t>
  </si>
  <si>
    <t>Copyrights</t>
  </si>
  <si>
    <t>Net Tangible Asset</t>
  </si>
  <si>
    <t>NTA = Total Assets - Total Liabilities - Intangible Assets ;
Where: Intangible Assets include non-physical assets like goodwill, patents, trademarks, and copyrights.</t>
  </si>
  <si>
    <t>Number of Shares</t>
  </si>
  <si>
    <t>Reserve</t>
  </si>
  <si>
    <t>Retained Earning</t>
  </si>
  <si>
    <t>Minority Interest</t>
  </si>
  <si>
    <t>Net Profit (Loss) Before Tax</t>
  </si>
  <si>
    <t>Net Profit (Loss) After Tax</t>
  </si>
  <si>
    <t>Net Dividend</t>
  </si>
  <si>
    <t>Miniority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</si>
</sst>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dd/mm/yyyy;@"/>
    <numFmt numFmtId="167" formatCode="_-* #,##0.0_-;\-* #,##0.0_-;_-* &quot;-&quot;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4" fontId="4" fillId="4" borderId="2" xfId="0" applyNumberFormat="1" applyFont="1" applyFill="1" applyBorder="1" applyAlignment="1">
      <alignment horizontal="center" vertical="center" wrapText="1"/>
    </xf>
    <xf numFmtId="165" fontId="4" fillId="4" borderId="2" xfId="1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6" fontId="4" fillId="4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38" fontId="2" fillId="2" borderId="1" xfId="1" applyNumberFormat="1" applyFont="1" applyFill="1" applyBorder="1" applyAlignment="1">
      <alignment horizontal="right" vertical="center" wrapText="1"/>
    </xf>
    <xf numFmtId="9" fontId="2" fillId="0" borderId="1" xfId="2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38" fontId="4" fillId="5" borderId="1" xfId="1" applyNumberFormat="1" applyFont="1" applyFill="1" applyBorder="1" applyAlignment="1">
      <alignment horizontal="right" vertical="center" wrapText="1"/>
    </xf>
    <xf numFmtId="10" fontId="2" fillId="0" borderId="1" xfId="2" applyNumberFormat="1" applyFont="1" applyBorder="1" applyAlignment="1">
      <alignment vertical="center" wrapText="1"/>
    </xf>
    <xf numFmtId="164" fontId="2" fillId="0" borderId="1" xfId="1" applyFont="1" applyBorder="1" applyAlignment="1">
      <alignment vertical="center" wrapText="1"/>
    </xf>
    <xf numFmtId="38" fontId="3" fillId="0" borderId="1" xfId="1" applyNumberFormat="1" applyFont="1" applyBorder="1" applyAlignment="1">
      <alignment horizontal="right" vertical="center" wrapText="1"/>
    </xf>
    <xf numFmtId="164" fontId="2" fillId="0" borderId="0" xfId="1" applyFont="1" applyAlignment="1">
      <alignment vertical="center" wrapText="1"/>
    </xf>
    <xf numFmtId="38" fontId="5" fillId="5" borderId="1" xfId="1" applyNumberFormat="1" applyFont="1" applyFill="1" applyBorder="1" applyAlignment="1">
      <alignment horizontal="right" vertical="center" wrapText="1"/>
    </xf>
    <xf numFmtId="165" fontId="2" fillId="0" borderId="1" xfId="1" applyNumberFormat="1" applyFont="1" applyBorder="1" applyAlignment="1">
      <alignment vertical="center" wrapText="1"/>
    </xf>
    <xf numFmtId="38" fontId="2" fillId="0" borderId="0" xfId="0" applyNumberFormat="1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2" fontId="2" fillId="0" borderId="3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" fontId="2" fillId="0" borderId="1" xfId="2" applyNumberFormat="1" applyFont="1" applyBorder="1" applyAlignment="1">
      <alignment vertical="center" wrapText="1"/>
    </xf>
    <xf numFmtId="2" fontId="2" fillId="0" borderId="1" xfId="2" applyNumberFormat="1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38" fontId="4" fillId="6" borderId="1" xfId="1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Border="1" applyAlignment="1">
      <alignment vertical="center" wrapText="1"/>
    </xf>
    <xf numFmtId="2" fontId="2" fillId="0" borderId="1" xfId="1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165" fontId="6" fillId="0" borderId="0" xfId="0" applyNumberFormat="1" applyFont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66" fontId="4" fillId="4" borderId="6" xfId="0" applyNumberFormat="1" applyFont="1" applyFill="1" applyBorder="1" applyAlignment="1">
      <alignment horizontal="center" vertical="center" wrapText="1"/>
    </xf>
    <xf numFmtId="166" fontId="4" fillId="4" borderId="7" xfId="1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166" fontId="4" fillId="4" borderId="9" xfId="1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2" fontId="2" fillId="0" borderId="2" xfId="0" applyNumberFormat="1" applyFont="1" applyBorder="1" applyAlignment="1">
      <alignment horizontal="right" vertical="center" wrapText="1"/>
    </xf>
    <xf numFmtId="0" fontId="2" fillId="0" borderId="10" xfId="0" applyFont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166" fontId="4" fillId="2" borderId="12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2" fontId="2" fillId="0" borderId="13" xfId="0" applyNumberFormat="1" applyFont="1" applyBorder="1" applyAlignment="1">
      <alignment horizontal="right" vertical="center"/>
    </xf>
    <xf numFmtId="0" fontId="4" fillId="5" borderId="14" xfId="0" applyFont="1" applyFill="1" applyBorder="1" applyAlignment="1">
      <alignment vertical="center" wrapText="1"/>
    </xf>
    <xf numFmtId="165" fontId="7" fillId="5" borderId="6" xfId="1" applyNumberFormat="1" applyFont="1" applyFill="1" applyBorder="1" applyAlignment="1">
      <alignment horizontal="center" vertical="center" wrapText="1"/>
    </xf>
    <xf numFmtId="165" fontId="4" fillId="5" borderId="15" xfId="1" applyNumberFormat="1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165" fontId="4" fillId="5" borderId="1" xfId="1" applyNumberFormat="1" applyFont="1" applyFill="1" applyBorder="1" applyAlignment="1">
      <alignment horizontal="center" vertical="center" wrapText="1"/>
    </xf>
    <xf numFmtId="165" fontId="4" fillId="5" borderId="17" xfId="1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 indent="1"/>
    </xf>
    <xf numFmtId="165" fontId="3" fillId="0" borderId="1" xfId="1" applyNumberFormat="1" applyFont="1" applyBorder="1" applyAlignment="1">
      <alignment horizontal="center" vertical="center" wrapText="1"/>
    </xf>
    <xf numFmtId="165" fontId="3" fillId="0" borderId="2" xfId="1" applyNumberFormat="1" applyFont="1" applyBorder="1" applyAlignment="1">
      <alignment horizontal="center" vertical="center" wrapText="1"/>
    </xf>
    <xf numFmtId="165" fontId="4" fillId="2" borderId="17" xfId="1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left" vertical="center" wrapText="1" indent="1"/>
    </xf>
    <xf numFmtId="165" fontId="8" fillId="5" borderId="1" xfId="1" applyNumberFormat="1" applyFont="1" applyFill="1" applyBorder="1" applyAlignment="1">
      <alignment horizontal="center" vertical="center" wrapText="1"/>
    </xf>
    <xf numFmtId="165" fontId="5" fillId="5" borderId="17" xfId="1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indent="2"/>
    </xf>
    <xf numFmtId="165" fontId="2" fillId="2" borderId="9" xfId="1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indent="1"/>
    </xf>
    <xf numFmtId="165" fontId="4" fillId="2" borderId="9" xfId="1" applyNumberFormat="1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vertical="center" wrapText="1"/>
    </xf>
    <xf numFmtId="165" fontId="4" fillId="6" borderId="19" xfId="1" applyNumberFormat="1" applyFont="1" applyFill="1" applyBorder="1" applyAlignment="1">
      <alignment horizontal="center" vertical="center" wrapText="1"/>
    </xf>
    <xf numFmtId="165" fontId="4" fillId="6" borderId="20" xfId="1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165" fontId="4" fillId="5" borderId="6" xfId="1" applyNumberFormat="1" applyFont="1" applyFill="1" applyBorder="1" applyAlignment="1">
      <alignment horizontal="center" vertical="center" wrapText="1"/>
    </xf>
    <xf numFmtId="165" fontId="4" fillId="5" borderId="7" xfId="1" applyNumberFormat="1" applyFont="1" applyFill="1" applyBorder="1" applyAlignment="1">
      <alignment horizontal="center" vertical="center" wrapText="1"/>
    </xf>
    <xf numFmtId="165" fontId="4" fillId="2" borderId="15" xfId="1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vertical="center" wrapText="1"/>
    </xf>
    <xf numFmtId="167" fontId="2" fillId="0" borderId="0" xfId="0" applyNumberFormat="1" applyFont="1" applyAlignment="1">
      <alignment vertical="center" wrapText="1"/>
    </xf>
    <xf numFmtId="165" fontId="2" fillId="2" borderId="17" xfId="1" applyNumberFormat="1" applyFont="1" applyFill="1" applyBorder="1" applyAlignment="1">
      <alignment horizontal="center" vertical="center" wrapText="1"/>
    </xf>
    <xf numFmtId="165" fontId="8" fillId="5" borderId="17" xfId="1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 indent="2"/>
    </xf>
    <xf numFmtId="0" fontId="4" fillId="7" borderId="8" xfId="0" applyFont="1" applyFill="1" applyBorder="1" applyAlignment="1">
      <alignment vertical="center" wrapText="1"/>
    </xf>
    <xf numFmtId="165" fontId="7" fillId="7" borderId="2" xfId="1" applyNumberFormat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165" fontId="7" fillId="0" borderId="2" xfId="1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165" fontId="7" fillId="0" borderId="23" xfId="1" applyNumberFormat="1" applyFont="1" applyBorder="1" applyAlignment="1">
      <alignment horizontal="center" vertical="center" wrapText="1"/>
    </xf>
    <xf numFmtId="165" fontId="7" fillId="0" borderId="24" xfId="1" applyNumberFormat="1" applyFont="1" applyBorder="1" applyAlignment="1">
      <alignment horizontal="center" vertical="center" wrapText="1"/>
    </xf>
    <xf numFmtId="165" fontId="2" fillId="2" borderId="25" xfId="1" applyNumberFormat="1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165" fontId="4" fillId="0" borderId="0" xfId="1" applyNumberFormat="1" applyFont="1" applyFill="1" applyBorder="1" applyAlignment="1">
      <alignment horizontal="center" vertical="center" wrapText="1"/>
    </xf>
    <xf numFmtId="165" fontId="4" fillId="6" borderId="19" xfId="0" applyNumberFormat="1" applyFont="1" applyFill="1" applyBorder="1" applyAlignment="1">
      <alignment vertical="center" wrapText="1"/>
    </xf>
    <xf numFmtId="165" fontId="4" fillId="6" borderId="20" xfId="0" applyNumberFormat="1" applyFont="1" applyFill="1" applyBorder="1" applyAlignment="1">
      <alignment vertical="center" wrapText="1"/>
    </xf>
    <xf numFmtId="165" fontId="2" fillId="0" borderId="0" xfId="1" applyNumberFormat="1" applyFont="1" applyAlignment="1">
      <alignment vertical="center" wrapText="1"/>
    </xf>
    <xf numFmtId="0" fontId="4" fillId="0" borderId="27" xfId="0" applyFont="1" applyBorder="1" applyAlignment="1">
      <alignment vertical="center" wrapText="1"/>
    </xf>
    <xf numFmtId="165" fontId="2" fillId="0" borderId="28" xfId="0" applyNumberFormat="1" applyFont="1" applyBorder="1" applyAlignment="1">
      <alignment vertical="center" wrapText="1"/>
    </xf>
    <xf numFmtId="165" fontId="2" fillId="0" borderId="15" xfId="0" applyNumberFormat="1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165" fontId="2" fillId="0" borderId="17" xfId="0" applyNumberFormat="1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165" fontId="2" fillId="0" borderId="2" xfId="0" applyNumberFormat="1" applyFont="1" applyBorder="1" applyAlignment="1">
      <alignment vertical="center" wrapText="1"/>
    </xf>
    <xf numFmtId="165" fontId="2" fillId="0" borderId="9" xfId="0" applyNumberFormat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65" fontId="2" fillId="6" borderId="19" xfId="1" applyNumberFormat="1" applyFont="1" applyFill="1" applyBorder="1" applyAlignment="1">
      <alignment vertical="center" wrapText="1"/>
    </xf>
    <xf numFmtId="165" fontId="2" fillId="6" borderId="20" xfId="1" applyNumberFormat="1" applyFont="1" applyFill="1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</xdr:row>
      <xdr:rowOff>0</xdr:rowOff>
    </xdr:from>
    <xdr:to>
      <xdr:col>25</xdr:col>
      <xdr:colOff>310683</xdr:colOff>
      <xdr:row>21</xdr:row>
      <xdr:rowOff>72086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A09D1-F929-4DFF-A407-2DAAC0C4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71700" y="330200"/>
          <a:ext cx="6832133" cy="54886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gnisave.sharepoint.com/Users/Joe/Desktop/Moneysave%20Capital/Project%20F/Copy%20of%20RSME%20Calculat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lication Details"/>
      <sheetName val="Security Value - Examples"/>
      <sheetName val="Security Value - Main"/>
      <sheetName val="Security Value - Output"/>
      <sheetName val="WCR"/>
      <sheetName val="DSR_(SB_Partnership_Others)"/>
      <sheetName val="DSR_(Sole Prop)"/>
      <sheetName val="ADSR_Proxy on Individual"/>
      <sheetName val="ADSR_Proxy on Company"/>
      <sheetName val="OUTPUT - ADSR"/>
      <sheetName val="validate"/>
      <sheetName val="Financial Info Details"/>
      <sheetName val="Calculation Sheet"/>
      <sheetName val="Lookup"/>
      <sheetName val="SecurityType"/>
      <sheetName val="AMD_AMW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>
        <row r="36">
          <cell r="C36" t="str">
            <v>Select Facility</v>
          </cell>
        </row>
        <row r="37">
          <cell r="C37" t="str">
            <v>Overdraft 1</v>
          </cell>
        </row>
        <row r="38">
          <cell r="C38" t="str">
            <v>Overdraft 2</v>
          </cell>
        </row>
        <row r="39">
          <cell r="C39" t="str">
            <v>Overdraft 3</v>
          </cell>
        </row>
        <row r="40">
          <cell r="C40" t="str">
            <v>Overdraft 4</v>
          </cell>
        </row>
        <row r="41">
          <cell r="C41" t="str">
            <v>Overdraft 5</v>
          </cell>
        </row>
        <row r="42">
          <cell r="C42" t="str">
            <v>Overdraft 6</v>
          </cell>
        </row>
        <row r="43">
          <cell r="C43" t="str">
            <v>Overdraft 7</v>
          </cell>
        </row>
        <row r="44">
          <cell r="C44" t="str">
            <v>Overdraft 8</v>
          </cell>
        </row>
        <row r="45">
          <cell r="C45" t="str">
            <v>Overdraft 9</v>
          </cell>
        </row>
        <row r="46">
          <cell r="C46" t="str">
            <v>Overdraft 10</v>
          </cell>
        </row>
        <row r="47">
          <cell r="C47" t="str">
            <v>Overdraft 11</v>
          </cell>
        </row>
        <row r="48">
          <cell r="C48" t="str">
            <v>Overdraft 12</v>
          </cell>
        </row>
        <row r="49">
          <cell r="C49" t="str">
            <v>Overdraft 13</v>
          </cell>
        </row>
        <row r="50">
          <cell r="C50" t="str">
            <v>Overdraft 14</v>
          </cell>
        </row>
        <row r="51">
          <cell r="C51" t="str">
            <v>Overdraft 15</v>
          </cell>
        </row>
        <row r="70">
          <cell r="C70" t="str">
            <v>Select Facility</v>
          </cell>
        </row>
        <row r="71">
          <cell r="C71" t="str">
            <v>Term Loan 1</v>
          </cell>
        </row>
        <row r="72">
          <cell r="C72" t="str">
            <v>Term Loan 2</v>
          </cell>
        </row>
        <row r="73">
          <cell r="C73" t="str">
            <v>Term Loan 3</v>
          </cell>
        </row>
        <row r="74">
          <cell r="C74" t="str">
            <v>Term Loan 4</v>
          </cell>
        </row>
        <row r="75">
          <cell r="C75" t="str">
            <v>Term Loan 5</v>
          </cell>
        </row>
        <row r="76">
          <cell r="C76" t="str">
            <v>Term Loan 6</v>
          </cell>
        </row>
        <row r="77">
          <cell r="C77" t="str">
            <v>Term Loan 7</v>
          </cell>
        </row>
        <row r="78">
          <cell r="C78" t="str">
            <v>Term Loan 8</v>
          </cell>
        </row>
        <row r="79">
          <cell r="C79" t="str">
            <v>Term Loan 9</v>
          </cell>
        </row>
        <row r="80">
          <cell r="C80" t="str">
            <v>Term Loan 10</v>
          </cell>
        </row>
        <row r="81">
          <cell r="C81" t="str">
            <v>Term Loan 11</v>
          </cell>
        </row>
        <row r="82">
          <cell r="C82" t="str">
            <v>Term Loan 12</v>
          </cell>
        </row>
        <row r="83">
          <cell r="C83" t="str">
            <v>Term Loan 13</v>
          </cell>
        </row>
        <row r="84">
          <cell r="C84" t="str">
            <v>Term Loan 14</v>
          </cell>
        </row>
        <row r="85">
          <cell r="C85" t="str">
            <v>Term Loan 15</v>
          </cell>
        </row>
        <row r="87">
          <cell r="C87" t="str">
            <v>Select Source</v>
          </cell>
        </row>
        <row r="88">
          <cell r="C88" t="str">
            <v>CCRIS</v>
          </cell>
        </row>
        <row r="89">
          <cell r="C89" t="str">
            <v>Letter Offer</v>
          </cell>
        </row>
        <row r="90">
          <cell r="C90" t="str">
            <v>Latest FYE Audited Accounts</v>
          </cell>
        </row>
        <row r="91">
          <cell r="C91" t="str">
            <v>Latest FYE Management Accounts</v>
          </cell>
        </row>
        <row r="92">
          <cell r="C92" t="str">
            <v>Declaration Form</v>
          </cell>
        </row>
        <row r="93">
          <cell r="C93" t="str">
            <v>Others</v>
          </cell>
        </row>
        <row r="95">
          <cell r="C95" t="str">
            <v>Select Facility</v>
          </cell>
        </row>
        <row r="96">
          <cell r="C96" t="str">
            <v>Overdraft with Reduction/ Sinking Fund 1</v>
          </cell>
        </row>
        <row r="97">
          <cell r="C97" t="str">
            <v>Overdraft with Reduction/ Sinking Fund 2</v>
          </cell>
        </row>
        <row r="98">
          <cell r="C98" t="str">
            <v>Overdraft with Reduction/ Sinking Fund 3</v>
          </cell>
        </row>
        <row r="99">
          <cell r="C99" t="str">
            <v>Overdraft with Reduction/ Sinking Fund 4</v>
          </cell>
        </row>
        <row r="100">
          <cell r="C100" t="str">
            <v>Overdraft with Reduction/ Sinking Fund 5</v>
          </cell>
        </row>
        <row r="101">
          <cell r="C101" t="str">
            <v>Overdraft with Reduction/ Sinking Fund 6</v>
          </cell>
        </row>
        <row r="102">
          <cell r="C102" t="str">
            <v>Overdraft with Reduction/ Sinking Fund 7</v>
          </cell>
        </row>
        <row r="103">
          <cell r="C103" t="str">
            <v>Overdraft with Reduction/ Sinking Fund 8</v>
          </cell>
        </row>
        <row r="104">
          <cell r="C104" t="str">
            <v>Overdraft with Reduction/ Sinking Fund 9</v>
          </cell>
        </row>
        <row r="105">
          <cell r="C105" t="str">
            <v>Overdraft with Reduction/ Sinking Fund 10</v>
          </cell>
        </row>
        <row r="106">
          <cell r="C106" t="str">
            <v>Overdraft with Reduction/ Sinking Fund 11</v>
          </cell>
        </row>
        <row r="107">
          <cell r="C107" t="str">
            <v>Overdraft with Reduction/ Sinking Fund 12</v>
          </cell>
        </row>
        <row r="108">
          <cell r="C108" t="str">
            <v>Overdraft with Reduction/ Sinking Fund 13</v>
          </cell>
        </row>
        <row r="109">
          <cell r="C109" t="str">
            <v>Overdraft with Reduction/ Sinking Fund 14</v>
          </cell>
        </row>
        <row r="110">
          <cell r="C110" t="str">
            <v>Overdraft with Reduction/ Sinking Fund 15</v>
          </cell>
        </row>
        <row r="113">
          <cell r="C113" t="str">
            <v>Select Facility</v>
          </cell>
        </row>
        <row r="114">
          <cell r="C114" t="str">
            <v>TR 1</v>
          </cell>
        </row>
        <row r="115">
          <cell r="C115" t="str">
            <v>TR 2</v>
          </cell>
        </row>
        <row r="116">
          <cell r="C116" t="str">
            <v>TR 3</v>
          </cell>
        </row>
        <row r="117">
          <cell r="C117" t="str">
            <v>TR 4</v>
          </cell>
        </row>
        <row r="118">
          <cell r="C118" t="str">
            <v>TR 5</v>
          </cell>
        </row>
        <row r="119">
          <cell r="C119" t="str">
            <v>TR 6</v>
          </cell>
        </row>
        <row r="120">
          <cell r="C120" t="str">
            <v>TR 7</v>
          </cell>
        </row>
        <row r="121">
          <cell r="C121" t="str">
            <v>TR 8</v>
          </cell>
        </row>
        <row r="122">
          <cell r="C122" t="str">
            <v>TR 9</v>
          </cell>
        </row>
        <row r="123">
          <cell r="C123" t="str">
            <v>TR 10</v>
          </cell>
        </row>
        <row r="124">
          <cell r="C124" t="str">
            <v>TR 11</v>
          </cell>
        </row>
        <row r="125">
          <cell r="C125" t="str">
            <v>TR 12</v>
          </cell>
        </row>
        <row r="126">
          <cell r="C126" t="str">
            <v>TR 13</v>
          </cell>
        </row>
        <row r="127">
          <cell r="C127" t="str">
            <v>TR 14</v>
          </cell>
        </row>
        <row r="128">
          <cell r="C128" t="str">
            <v>TR 15</v>
          </cell>
        </row>
        <row r="131">
          <cell r="C131" t="str">
            <v>Select Facility</v>
          </cell>
        </row>
        <row r="132">
          <cell r="C132" t="str">
            <v>Hire Purchase/Leasing 1 (with other FI)</v>
          </cell>
        </row>
        <row r="133">
          <cell r="C133" t="str">
            <v>Hire Purchase/Leasing 2 (with other FI)</v>
          </cell>
        </row>
        <row r="134">
          <cell r="C134" t="str">
            <v>Hire Purchase/Leasing 3 (with other FI)</v>
          </cell>
        </row>
        <row r="135">
          <cell r="C135" t="str">
            <v>Hire Purchase/Leasing 4 (with other FI)</v>
          </cell>
        </row>
        <row r="136">
          <cell r="C136" t="str">
            <v>Hire Purchase/Leasing 5 (with other FI)</v>
          </cell>
        </row>
        <row r="137">
          <cell r="C137" t="str">
            <v>Hire Purchase/Leasing 6 (with other FI)</v>
          </cell>
        </row>
        <row r="138">
          <cell r="C138" t="str">
            <v>Hire Purchase/Leasing 7 (with other FI)</v>
          </cell>
        </row>
        <row r="139">
          <cell r="C139" t="str">
            <v>Hire Purchase/Leasing 8 (with other FI)</v>
          </cell>
        </row>
        <row r="140">
          <cell r="C140" t="str">
            <v>Hire Purchase/Leasing 9 (with other FI)</v>
          </cell>
        </row>
        <row r="141">
          <cell r="C141" t="str">
            <v>Hire Purchase/Leasing 10 (with other FI)</v>
          </cell>
        </row>
        <row r="142">
          <cell r="C142" t="str">
            <v>Hire Purchase/Leasing 11 (with other FI)</v>
          </cell>
        </row>
        <row r="143">
          <cell r="C143" t="str">
            <v>Hire Purchase/Leasing 12 (with other FI)</v>
          </cell>
        </row>
        <row r="144">
          <cell r="C144" t="str">
            <v>Hire Purchase/Leasing 13 (with other FI)</v>
          </cell>
        </row>
        <row r="145">
          <cell r="C145" t="str">
            <v>Hire Purchase/Leasing 14 (with other FI)</v>
          </cell>
        </row>
        <row r="146">
          <cell r="C146" t="str">
            <v>Hire Purchase/Leasing 15 (with other FI)</v>
          </cell>
        </row>
        <row r="147">
          <cell r="C147" t="str">
            <v>Hire Purchase/Leasing 1 (with bank)</v>
          </cell>
        </row>
        <row r="148">
          <cell r="C148" t="str">
            <v>Hire Purchase/Leasing 2 (with bank)</v>
          </cell>
        </row>
        <row r="149">
          <cell r="C149" t="str">
            <v>Hire Purchase/Leasing 3 (with bank)</v>
          </cell>
        </row>
        <row r="150">
          <cell r="C150" t="str">
            <v>Hire Purchase/Leasing 4 (with bank)</v>
          </cell>
        </row>
        <row r="151">
          <cell r="C151" t="str">
            <v>Hire Purchase/Leasing 5 (with bank)</v>
          </cell>
        </row>
        <row r="152">
          <cell r="C152" t="str">
            <v>Hire Purchase/Leasing 6 (with bank)</v>
          </cell>
        </row>
        <row r="153">
          <cell r="C153" t="str">
            <v>Hire Purchase/Leasing 7 (with bank)</v>
          </cell>
        </row>
        <row r="154">
          <cell r="C154" t="str">
            <v>Hire Purchase/Leasing 8 (with bank)</v>
          </cell>
        </row>
        <row r="155">
          <cell r="C155" t="str">
            <v>Hire Purchase/Leasing 9 (with bank)</v>
          </cell>
        </row>
        <row r="156">
          <cell r="C156" t="str">
            <v>Hire Purchase/Leasing 10 (with bank)</v>
          </cell>
        </row>
        <row r="157">
          <cell r="C157" t="str">
            <v>Hire Purchase/Leasing 11 (with bank)</v>
          </cell>
        </row>
        <row r="158">
          <cell r="C158" t="str">
            <v>Hire Purchase/Leasing 12 (with bank)</v>
          </cell>
        </row>
        <row r="159">
          <cell r="C159" t="str">
            <v>Hire Purchase/Leasing 13 (with bank)</v>
          </cell>
        </row>
        <row r="160">
          <cell r="C160" t="str">
            <v>Hire Purchase/Leasing 14 (with bank)</v>
          </cell>
        </row>
        <row r="161">
          <cell r="C161" t="str">
            <v>Hire Purchase/Leasing 15 (with bank)</v>
          </cell>
        </row>
        <row r="164">
          <cell r="C164" t="str">
            <v>Select Facility</v>
          </cell>
        </row>
        <row r="165">
          <cell r="C165" t="str">
            <v>Credit Card 1 (with other FI)</v>
          </cell>
        </row>
        <row r="166">
          <cell r="C166" t="str">
            <v>Credit Card 2 (with other FI)</v>
          </cell>
        </row>
        <row r="167">
          <cell r="C167" t="str">
            <v>Credit Card 3 (with other FI)</v>
          </cell>
        </row>
        <row r="168">
          <cell r="C168" t="str">
            <v>Credit Card 4 (with other FI)</v>
          </cell>
        </row>
        <row r="169">
          <cell r="C169" t="str">
            <v>Credit Card 5 (with other FI)</v>
          </cell>
        </row>
        <row r="170">
          <cell r="C170" t="str">
            <v>Credit Card 6 (with other FI)</v>
          </cell>
        </row>
        <row r="171">
          <cell r="C171" t="str">
            <v>Credit Card 7 (with other FI)</v>
          </cell>
        </row>
        <row r="172">
          <cell r="C172" t="str">
            <v>Credit Card 8 (with other FI)</v>
          </cell>
        </row>
        <row r="173">
          <cell r="C173" t="str">
            <v>Credit Card 9 (with other FI)</v>
          </cell>
        </row>
        <row r="174">
          <cell r="C174" t="str">
            <v>Credit Card 10 (with other FI)</v>
          </cell>
        </row>
        <row r="175">
          <cell r="C175" t="str">
            <v>Credit Card 11 (with other FI)</v>
          </cell>
        </row>
        <row r="176">
          <cell r="C176" t="str">
            <v>Credit Card 12 (with other FI)</v>
          </cell>
        </row>
        <row r="177">
          <cell r="C177" t="str">
            <v>Credit Card 13 (with other FI)</v>
          </cell>
        </row>
        <row r="178">
          <cell r="C178" t="str">
            <v>Credit Card 14 (with other FI)</v>
          </cell>
        </row>
        <row r="179">
          <cell r="C179" t="str">
            <v>Credit Card 15 (with other FI)</v>
          </cell>
        </row>
        <row r="180">
          <cell r="C180" t="str">
            <v>Credit Card 1 (with bank)</v>
          </cell>
        </row>
        <row r="181">
          <cell r="C181" t="str">
            <v>Credit Card 2 (with bank)</v>
          </cell>
        </row>
        <row r="182">
          <cell r="C182" t="str">
            <v>Credit Card 3 (with bank)</v>
          </cell>
        </row>
        <row r="183">
          <cell r="C183" t="str">
            <v>Credit Card 4 (with bank)</v>
          </cell>
        </row>
        <row r="184">
          <cell r="C184" t="str">
            <v>Credit Card 5 (with bank)</v>
          </cell>
        </row>
        <row r="185">
          <cell r="C185" t="str">
            <v>Credit Card 6 (with bank)</v>
          </cell>
        </row>
        <row r="186">
          <cell r="C186" t="str">
            <v>Credit Card 7 (with bank)</v>
          </cell>
        </row>
        <row r="187">
          <cell r="C187" t="str">
            <v>Credit Card 8 (with bank)</v>
          </cell>
        </row>
        <row r="188">
          <cell r="C188" t="str">
            <v>Credit Card 9 (with bank)</v>
          </cell>
        </row>
        <row r="189">
          <cell r="C189" t="str">
            <v>Credit Card 10 (with bank)</v>
          </cell>
        </row>
        <row r="190">
          <cell r="C190" t="str">
            <v>Credit Card 11 (with bank)</v>
          </cell>
        </row>
        <row r="191">
          <cell r="C191" t="str">
            <v>Credit Card 12 (with bank)</v>
          </cell>
        </row>
        <row r="192">
          <cell r="C192" t="str">
            <v>Credit Card 13 (with bank)</v>
          </cell>
        </row>
        <row r="193">
          <cell r="C193" t="str">
            <v>Credit Card 14 (with bank)</v>
          </cell>
        </row>
        <row r="194">
          <cell r="C194" t="str">
            <v>Credit Card 15 (with bank)</v>
          </cell>
        </row>
        <row r="225">
          <cell r="C225" t="str">
            <v>Select Facility</v>
          </cell>
        </row>
        <row r="226">
          <cell r="C226" t="str">
            <v>BA 1</v>
          </cell>
        </row>
        <row r="227">
          <cell r="C227" t="str">
            <v>BA 2</v>
          </cell>
        </row>
        <row r="228">
          <cell r="C228" t="str">
            <v>BA 3</v>
          </cell>
        </row>
        <row r="229">
          <cell r="C229" t="str">
            <v>BA 4</v>
          </cell>
        </row>
        <row r="230">
          <cell r="C230" t="str">
            <v>BA 5</v>
          </cell>
        </row>
        <row r="231">
          <cell r="C231" t="str">
            <v>BA 6</v>
          </cell>
        </row>
        <row r="232">
          <cell r="C232" t="str">
            <v>BA 7</v>
          </cell>
        </row>
        <row r="233">
          <cell r="C233" t="str">
            <v>BA 8</v>
          </cell>
        </row>
        <row r="234">
          <cell r="C234" t="str">
            <v>BA 9</v>
          </cell>
        </row>
        <row r="235">
          <cell r="C235" t="str">
            <v>BA 10</v>
          </cell>
        </row>
        <row r="236">
          <cell r="C236" t="str">
            <v>BA 11</v>
          </cell>
        </row>
        <row r="237">
          <cell r="C237" t="str">
            <v>BA 12</v>
          </cell>
        </row>
        <row r="238">
          <cell r="C238" t="str">
            <v>BA 13</v>
          </cell>
        </row>
        <row r="239">
          <cell r="C239" t="str">
            <v>BA 14</v>
          </cell>
        </row>
        <row r="240">
          <cell r="C240" t="str">
            <v>BA 15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368A-0F38-47F1-BA04-02352E0090EF}">
  <sheetPr>
    <tabColor rgb="FFFFFF00"/>
    <pageSetUpPr fitToPage="1"/>
  </sheetPr>
  <dimension ref="A2:X96"/>
  <sheetViews>
    <sheetView showGridLines="0" tabSelected="1" topLeftCell="A24" zoomScaleNormal="100" workbookViewId="0">
      <selection activeCell="C24" sqref="C24:G53"/>
    </sheetView>
  </sheetViews>
  <sheetFormatPr baseColWidth="10" defaultColWidth="9.1640625" defaultRowHeight="14" outlineLevelRow="1" x14ac:dyDescent="0.2"/>
  <cols>
    <col min="1" max="1" width="9.1640625" style="1"/>
    <col min="2" max="2" width="35.33203125" style="1" customWidth="1"/>
    <col min="3" max="6" width="13.33203125" style="1" customWidth="1"/>
    <col min="7" max="7" width="13.33203125" style="102" customWidth="1"/>
    <col min="8" max="14" width="13.33203125" style="1" customWidth="1"/>
    <col min="15" max="16" width="9.1640625" style="1"/>
    <col min="17" max="17" width="10.6640625" style="1" bestFit="1" customWidth="1"/>
    <col min="18" max="26" width="9.1640625" style="1"/>
    <col min="27" max="27" width="9.1640625" style="1" customWidth="1"/>
    <col min="28" max="16384" width="9.1640625" style="1"/>
  </cols>
  <sheetData>
    <row r="2" spans="2:24" ht="15" x14ac:dyDescent="0.2">
      <c r="C2" s="2"/>
      <c r="D2" s="2"/>
      <c r="E2" s="2" t="s">
        <v>0</v>
      </c>
      <c r="F2" s="2" t="s">
        <v>1</v>
      </c>
      <c r="G2" s="3">
        <v>150</v>
      </c>
      <c r="H2" s="2" t="s">
        <v>2</v>
      </c>
    </row>
    <row r="3" spans="2:24" ht="15" x14ac:dyDescent="0.2">
      <c r="B3" s="4" t="s">
        <v>3</v>
      </c>
      <c r="C3" s="5" t="s">
        <v>4</v>
      </c>
      <c r="D3" s="5" t="s">
        <v>4</v>
      </c>
      <c r="E3" s="5" t="s">
        <v>5</v>
      </c>
      <c r="F3" s="5" t="s">
        <v>5</v>
      </c>
      <c r="G3" s="6" t="s">
        <v>6</v>
      </c>
      <c r="H3" s="2"/>
      <c r="J3" s="5" t="str">
        <f>C3</f>
        <v>Audited</v>
      </c>
      <c r="K3" s="5" t="str">
        <f t="shared" ref="K3:N5" si="0">D3</f>
        <v>Audited</v>
      </c>
      <c r="L3" s="5" t="str">
        <f t="shared" si="0"/>
        <v>Mgmt Acc</v>
      </c>
      <c r="M3" s="5" t="str">
        <f t="shared" si="0"/>
        <v>Mgmt Acc</v>
      </c>
      <c r="N3" s="5" t="str">
        <f t="shared" si="0"/>
        <v>Annualised</v>
      </c>
      <c r="X3" s="1" t="s">
        <v>7</v>
      </c>
    </row>
    <row r="4" spans="2:24" ht="12.75" customHeight="1" x14ac:dyDescent="0.2">
      <c r="B4" s="7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tr">
        <f>F4</f>
        <v>30/09/2025</v>
      </c>
      <c r="I4" s="7" t="s">
        <v>13</v>
      </c>
      <c r="J4" s="8" t="str">
        <f>C4</f>
        <v>30/04/2023</v>
      </c>
      <c r="K4" s="8" t="str">
        <f t="shared" si="0"/>
        <v>30/04/2024</v>
      </c>
      <c r="L4" s="8" t="str">
        <f t="shared" si="0"/>
        <v>30/04/2025</v>
      </c>
      <c r="M4" s="8" t="str">
        <f t="shared" si="0"/>
        <v>30/09/2025</v>
      </c>
      <c r="N4" s="8" t="str">
        <f t="shared" si="0"/>
        <v>30/09/2025</v>
      </c>
      <c r="X4" s="1" t="s">
        <v>14</v>
      </c>
    </row>
    <row r="5" spans="2:24" ht="39" customHeight="1" outlineLevel="1" x14ac:dyDescent="0.2">
      <c r="B5" s="7" t="s">
        <v>15</v>
      </c>
      <c r="C5" s="8" t="str">
        <f>C3&amp;"-"&amp;(TEXT(C4,"DDMMYYYY"))</f>
        <v>Audited-30042023</v>
      </c>
      <c r="D5" s="8" t="str">
        <f t="shared" ref="D5:G5" si="1">D3&amp;"-"&amp;(TEXT(D4,"DDMMYYYY"))</f>
        <v>Audited-30042024</v>
      </c>
      <c r="E5" s="8" t="str">
        <f t="shared" si="1"/>
        <v>Mgmt Acc-30042025</v>
      </c>
      <c r="F5" s="8" t="str">
        <f t="shared" si="1"/>
        <v>Mgmt Acc-30092025</v>
      </c>
      <c r="G5" s="8" t="str">
        <f t="shared" si="1"/>
        <v>Annualised-30092025</v>
      </c>
      <c r="I5" s="7" t="s">
        <v>16</v>
      </c>
      <c r="J5" s="8" t="str">
        <f>C5</f>
        <v>Audited-30042023</v>
      </c>
      <c r="K5" s="8" t="str">
        <f t="shared" si="0"/>
        <v>Audited-30042024</v>
      </c>
      <c r="L5" s="8" t="str">
        <f t="shared" si="0"/>
        <v>Mgmt Acc-30042025</v>
      </c>
      <c r="M5" s="8" t="str">
        <f t="shared" si="0"/>
        <v>Mgmt Acc-30092025</v>
      </c>
      <c r="N5" s="8" t="str">
        <f t="shared" si="0"/>
        <v>Annualised-30092025</v>
      </c>
      <c r="X5" s="1" t="s">
        <v>17</v>
      </c>
    </row>
    <row r="6" spans="2:24" ht="25.5" customHeight="1" x14ac:dyDescent="0.2">
      <c r="B6" s="9" t="s">
        <v>18</v>
      </c>
      <c r="C6" s="10"/>
      <c r="D6" s="10"/>
      <c r="E6" s="10"/>
      <c r="F6" s="10"/>
      <c r="G6" s="11"/>
      <c r="I6" s="9" t="s">
        <v>19</v>
      </c>
      <c r="J6" s="12" t="s">
        <v>17</v>
      </c>
      <c r="K6" s="12" t="e">
        <f>(D6-C6)/C6</f>
        <v>#DIV/0!</v>
      </c>
      <c r="L6" s="12" t="e">
        <f t="shared" ref="L6" si="2">(E6-D6)/D6</f>
        <v>#DIV/0!</v>
      </c>
      <c r="M6" s="12" t="e">
        <f>(F6-E6)/E6</f>
        <v>#DIV/0!</v>
      </c>
      <c r="N6" s="12" t="e">
        <f>(G6-E6)/E6</f>
        <v>#DIV/0!</v>
      </c>
    </row>
    <row r="7" spans="2:24" ht="15" x14ac:dyDescent="0.2">
      <c r="B7" s="9" t="s">
        <v>20</v>
      </c>
      <c r="C7" s="10"/>
      <c r="D7" s="10"/>
      <c r="E7" s="10"/>
      <c r="F7" s="10"/>
      <c r="G7" s="11"/>
      <c r="I7" s="9" t="s">
        <v>21</v>
      </c>
      <c r="J7" s="12" t="e">
        <f>C8/C6</f>
        <v>#DIV/0!</v>
      </c>
      <c r="K7" s="12" t="e">
        <f>D8/D6</f>
        <v>#DIV/0!</v>
      </c>
      <c r="L7" s="12" t="e">
        <f t="shared" ref="L7:N7" si="3">E8/E6</f>
        <v>#DIV/0!</v>
      </c>
      <c r="M7" s="12" t="e">
        <f t="shared" si="3"/>
        <v>#DIV/0!</v>
      </c>
      <c r="N7" s="12" t="e">
        <f t="shared" si="3"/>
        <v>#DIV/0!</v>
      </c>
    </row>
    <row r="8" spans="2:24" ht="12.75" customHeight="1" x14ac:dyDescent="0.2">
      <c r="B8" s="13" t="s">
        <v>22</v>
      </c>
      <c r="C8" s="14"/>
      <c r="D8" s="14"/>
      <c r="E8" s="14"/>
      <c r="F8" s="14"/>
      <c r="G8" s="14"/>
      <c r="I8" s="9" t="s">
        <v>23</v>
      </c>
      <c r="J8" s="12" t="e">
        <f>C17/C6</f>
        <v>#DIV/0!</v>
      </c>
      <c r="K8" s="12" t="e">
        <f>D17/D6</f>
        <v>#DIV/0!</v>
      </c>
      <c r="L8" s="15" t="e">
        <f>E17/E6</f>
        <v>#DIV/0!</v>
      </c>
      <c r="M8" s="12" t="e">
        <f>F17/F6</f>
        <v>#DIV/0!</v>
      </c>
      <c r="N8" s="12" t="e">
        <f>G17/G6</f>
        <v>#DIV/0!</v>
      </c>
    </row>
    <row r="9" spans="2:24" ht="15" x14ac:dyDescent="0.2">
      <c r="B9" s="9" t="s">
        <v>24</v>
      </c>
      <c r="C9" s="10"/>
      <c r="D9" s="10"/>
      <c r="E9" s="10"/>
      <c r="F9" s="10"/>
      <c r="G9" s="11"/>
      <c r="I9" s="9" t="s">
        <v>25</v>
      </c>
      <c r="J9" s="16" t="e">
        <f>C25/C39</f>
        <v>#DIV/0!</v>
      </c>
      <c r="K9" s="16" t="e">
        <f>D25/D39</f>
        <v>#DIV/0!</v>
      </c>
      <c r="L9" s="16" t="e">
        <f>E25/E39</f>
        <v>#DIV/0!</v>
      </c>
      <c r="M9" s="16" t="e">
        <f>F25/F39</f>
        <v>#DIV/0!</v>
      </c>
      <c r="N9" s="16" t="e">
        <f>G25/G39</f>
        <v>#DIV/0!</v>
      </c>
    </row>
    <row r="10" spans="2:24" ht="12.75" customHeight="1" x14ac:dyDescent="0.2">
      <c r="B10" s="9" t="s">
        <v>26</v>
      </c>
      <c r="C10" s="10"/>
      <c r="D10" s="10"/>
      <c r="E10" s="10"/>
      <c r="F10" s="17"/>
      <c r="G10" s="11"/>
      <c r="H10" s="18"/>
      <c r="I10" s="9" t="s">
        <v>27</v>
      </c>
      <c r="J10" s="16" t="e">
        <f>(C25-C32)/C39</f>
        <v>#DIV/0!</v>
      </c>
      <c r="K10" s="16" t="e">
        <f>(D25-D32)/D39</f>
        <v>#DIV/0!</v>
      </c>
      <c r="L10" s="16" t="e">
        <f>(E25-E32)/E39</f>
        <v>#DIV/0!</v>
      </c>
      <c r="M10" s="16" t="e">
        <f>(F25-F32)/F39</f>
        <v>#DIV/0!</v>
      </c>
      <c r="N10" s="16" t="e">
        <f>(G25-G32)/G39</f>
        <v>#DIV/0!</v>
      </c>
    </row>
    <row r="11" spans="2:24" ht="15" x14ac:dyDescent="0.2">
      <c r="B11" s="9" t="s">
        <v>28</v>
      </c>
      <c r="C11" s="10"/>
      <c r="D11" s="10"/>
      <c r="E11" s="10"/>
      <c r="F11" s="17"/>
      <c r="G11" s="11"/>
      <c r="H11" s="18"/>
      <c r="I11" s="9" t="s">
        <v>29</v>
      </c>
      <c r="J11" s="16" t="e">
        <f>(C36+C37+C46+C47)/(C49-C56)</f>
        <v>#DIV/0!</v>
      </c>
      <c r="K11" s="16" t="e">
        <f>(D36+D37+D46+D47)/(D49-D56)</f>
        <v>#DIV/0!</v>
      </c>
      <c r="L11" s="16" t="e">
        <f>(E36+E37+E46+E47)/(E49-E56)</f>
        <v>#DIV/0!</v>
      </c>
      <c r="M11" s="16" t="e">
        <f>(F36+F37+F46+F47)/(F49-F56)</f>
        <v>#DIV/0!</v>
      </c>
      <c r="N11" s="16" t="e">
        <f>(G36+G37+G46+G47)/(G49-F56)</f>
        <v>#DIV/0!</v>
      </c>
    </row>
    <row r="12" spans="2:24" ht="12.75" customHeight="1" x14ac:dyDescent="0.2">
      <c r="B12" s="13" t="s">
        <v>30</v>
      </c>
      <c r="C12" s="19"/>
      <c r="D12" s="19"/>
      <c r="E12" s="19"/>
      <c r="F12" s="19"/>
      <c r="G12" s="19"/>
      <c r="I12" s="9" t="s">
        <v>31</v>
      </c>
      <c r="J12" s="20" t="e">
        <f>C14/C15</f>
        <v>#DIV/0!</v>
      </c>
      <c r="K12" s="20" t="e">
        <f>D14/D15</f>
        <v>#DIV/0!</v>
      </c>
      <c r="L12" s="20" t="e">
        <f>E14/E15</f>
        <v>#DIV/0!</v>
      </c>
      <c r="M12" s="20" t="e">
        <f>F14/F15</f>
        <v>#DIV/0!</v>
      </c>
      <c r="N12" s="20" t="e">
        <f>G14/G15</f>
        <v>#DIV/0!</v>
      </c>
    </row>
    <row r="13" spans="2:24" ht="30" x14ac:dyDescent="0.2">
      <c r="B13" s="9" t="s">
        <v>32</v>
      </c>
      <c r="C13" s="10"/>
      <c r="D13" s="10"/>
      <c r="E13" s="10"/>
      <c r="F13" s="10"/>
      <c r="G13" s="11"/>
      <c r="I13" s="9" t="s">
        <v>33</v>
      </c>
      <c r="J13" s="12" t="e">
        <f>(C14-C15)/C49</f>
        <v>#DIV/0!</v>
      </c>
      <c r="K13" s="12" t="e">
        <f>(D14-D15)/D49</f>
        <v>#DIV/0!</v>
      </c>
      <c r="L13" s="12" t="e">
        <f>(E14-E15)/E49</f>
        <v>#DIV/0!</v>
      </c>
      <c r="M13" s="12" t="e">
        <f>(F14-F15)/F49</f>
        <v>#DIV/0!</v>
      </c>
      <c r="N13" s="12" t="e">
        <f>(G14-G15)/G49</f>
        <v>#DIV/0!</v>
      </c>
    </row>
    <row r="14" spans="2:24" ht="38.25" customHeight="1" x14ac:dyDescent="0.2">
      <c r="B14" s="13" t="s">
        <v>34</v>
      </c>
      <c r="C14" s="19"/>
      <c r="D14" s="19"/>
      <c r="E14" s="19"/>
      <c r="F14" s="19"/>
      <c r="G14" s="19"/>
      <c r="H14" s="21"/>
      <c r="I14" s="22" t="s">
        <v>35</v>
      </c>
      <c r="J14" s="23" t="s">
        <v>17</v>
      </c>
      <c r="K14" s="24" t="e">
        <f>((C32+D32)/2)/D7*365</f>
        <v>#DIV/0!</v>
      </c>
      <c r="L14" s="24" t="e">
        <f>((D32+E32)/2)/E7*365</f>
        <v>#DIV/0!</v>
      </c>
      <c r="M14" s="24" t="e">
        <f>((E32+F32)/2)/F7*365</f>
        <v>#DIV/0!</v>
      </c>
      <c r="N14" s="25" t="e">
        <f>((F32+G32)/2)/G7*365</f>
        <v>#DIV/0!</v>
      </c>
    </row>
    <row r="15" spans="2:24" ht="30" x14ac:dyDescent="0.2">
      <c r="B15" s="9" t="s">
        <v>36</v>
      </c>
      <c r="C15" s="10"/>
      <c r="D15" s="10"/>
      <c r="E15" s="10"/>
      <c r="F15" s="10"/>
      <c r="G15" s="11"/>
      <c r="H15" s="26"/>
      <c r="I15" s="9" t="s">
        <v>37</v>
      </c>
      <c r="J15" s="27" t="e">
        <f>C26/C6*365</f>
        <v>#DIV/0!</v>
      </c>
      <c r="K15" s="28" t="e">
        <f>D26/D6*365</f>
        <v>#DIV/0!</v>
      </c>
      <c r="L15" s="28" t="e">
        <f>E26/E6*365</f>
        <v>#DIV/0!</v>
      </c>
      <c r="M15" s="28" t="e">
        <f>F26/F6*365</f>
        <v>#DIV/0!</v>
      </c>
      <c r="N15" s="27" t="e">
        <f>G26/G6*365</f>
        <v>#DIV/0!</v>
      </c>
    </row>
    <row r="16" spans="2:24" ht="30" x14ac:dyDescent="0.2">
      <c r="B16" s="9" t="s">
        <v>38</v>
      </c>
      <c r="C16" s="10"/>
      <c r="D16" s="10"/>
      <c r="E16" s="10"/>
      <c r="F16" s="10"/>
      <c r="G16" s="11"/>
      <c r="I16" s="9" t="s">
        <v>39</v>
      </c>
      <c r="J16" s="27" t="e">
        <f>C40/C7*365</f>
        <v>#DIV/0!</v>
      </c>
      <c r="K16" s="28" t="e">
        <f>D40/D7*365</f>
        <v>#DIV/0!</v>
      </c>
      <c r="L16" s="28" t="e">
        <f>E40/E7*365</f>
        <v>#DIV/0!</v>
      </c>
      <c r="M16" s="28" t="e">
        <f>F40/F7*365</f>
        <v>#DIV/0!</v>
      </c>
      <c r="N16" s="27" t="e">
        <f>G40/G7*365</f>
        <v>#DIV/0!</v>
      </c>
    </row>
    <row r="17" spans="1:14" ht="30" x14ac:dyDescent="0.2">
      <c r="B17" s="29" t="s">
        <v>40</v>
      </c>
      <c r="C17" s="30"/>
      <c r="D17" s="30"/>
      <c r="E17" s="30"/>
      <c r="F17" s="30"/>
      <c r="G17" s="30"/>
      <c r="I17" s="31" t="s">
        <v>41</v>
      </c>
      <c r="J17" s="9" t="s">
        <v>17</v>
      </c>
      <c r="K17" s="32" t="e">
        <f>K14+K15-K16</f>
        <v>#DIV/0!</v>
      </c>
      <c r="L17" s="32" t="e">
        <f>L14+L15-L16</f>
        <v>#DIV/0!</v>
      </c>
      <c r="M17" s="32" t="e">
        <f>M14+M15-M16</f>
        <v>#DIV/0!</v>
      </c>
      <c r="N17" s="33" t="e">
        <f>N14+N15-N16</f>
        <v>#DIV/0!</v>
      </c>
    </row>
    <row r="18" spans="1:14" ht="30" x14ac:dyDescent="0.2">
      <c r="B18" s="9" t="s">
        <v>42</v>
      </c>
      <c r="C18" s="10"/>
      <c r="D18" s="10"/>
      <c r="E18" s="10"/>
      <c r="F18" s="10"/>
      <c r="G18" s="34"/>
      <c r="I18" s="9" t="s">
        <v>43</v>
      </c>
      <c r="J18" s="35" t="s">
        <v>17</v>
      </c>
      <c r="K18" s="36" t="e">
        <f>D6/((D34+C34)/2)</f>
        <v>#DIV/0!</v>
      </c>
      <c r="L18" s="36" t="e">
        <f>E6/((E34+D34)/2)</f>
        <v>#DIV/0!</v>
      </c>
      <c r="M18" s="36" t="e">
        <f>F6/((F34+E34)/2)</f>
        <v>#DIV/0!</v>
      </c>
      <c r="N18" s="36" t="e">
        <f>G6/((G34+F34)/2)</f>
        <v>#DIV/0!</v>
      </c>
    </row>
    <row r="19" spans="1:14" ht="30" x14ac:dyDescent="0.2">
      <c r="B19" s="9" t="s">
        <v>44</v>
      </c>
      <c r="C19" s="37"/>
      <c r="D19" s="37"/>
      <c r="E19" s="37"/>
      <c r="F19" s="37"/>
      <c r="G19" s="38"/>
      <c r="I19" s="39" t="s">
        <v>45</v>
      </c>
      <c r="J19" s="32" t="e">
        <f>IF(C49&lt;0,"N/A",C17/C49)</f>
        <v>#DIV/0!</v>
      </c>
      <c r="K19" s="32" t="e">
        <f>IF(D49&lt;0,"N/A",D17/D49)</f>
        <v>#DIV/0!</v>
      </c>
      <c r="L19" s="32" t="e">
        <f>IF(E49&lt;0,"N/A",E17/E49)</f>
        <v>#DIV/0!</v>
      </c>
      <c r="M19" s="32" t="e">
        <f>IF(F49&lt;0,"N/A",F17/F49)</f>
        <v>#DIV/0!</v>
      </c>
      <c r="N19" s="32" t="e">
        <f>IF(G49&lt;0,"N/A",G17/G49)</f>
        <v>#DIV/0!</v>
      </c>
    </row>
    <row r="20" spans="1:14" ht="26.25" customHeight="1" thickBot="1" x14ac:dyDescent="0.25">
      <c r="C20" s="40"/>
      <c r="D20" s="40"/>
      <c r="E20" s="40"/>
      <c r="F20" s="40"/>
      <c r="G20" s="41"/>
      <c r="I20" s="31" t="s">
        <v>46</v>
      </c>
      <c r="J20" s="32" t="e">
        <f>C17/C34</f>
        <v>#DIV/0!</v>
      </c>
      <c r="K20" s="32" t="e">
        <f>D17/D34</f>
        <v>#DIV/0!</v>
      </c>
      <c r="L20" s="32" t="e">
        <f>E17/E34</f>
        <v>#DIV/0!</v>
      </c>
      <c r="M20" s="32" t="e">
        <f>F17/F34</f>
        <v>#DIV/0!</v>
      </c>
      <c r="N20" s="32" t="e">
        <f>G17/G34</f>
        <v>#DIV/0!</v>
      </c>
    </row>
    <row r="21" spans="1:14" ht="27.5" customHeight="1" x14ac:dyDescent="0.2">
      <c r="B21" s="42" t="s">
        <v>47</v>
      </c>
      <c r="C21" s="43" t="str">
        <f t="shared" ref="C21:G22" si="4">C4</f>
        <v>30/04/2023</v>
      </c>
      <c r="D21" s="43" t="str">
        <f t="shared" si="4"/>
        <v>30/04/2024</v>
      </c>
      <c r="E21" s="43" t="str">
        <f t="shared" si="4"/>
        <v>30/04/2025</v>
      </c>
      <c r="F21" s="43" t="str">
        <f t="shared" si="4"/>
        <v>30/09/2025</v>
      </c>
      <c r="G21" s="44" t="str">
        <f t="shared" si="4"/>
        <v>30/09/2025</v>
      </c>
      <c r="I21" s="31" t="s">
        <v>48</v>
      </c>
      <c r="J21" s="9" t="e">
        <f>C18/(C17)</f>
        <v>#DIV/0!</v>
      </c>
      <c r="K21" s="9" t="e">
        <f>D18/(D17)</f>
        <v>#DIV/0!</v>
      </c>
      <c r="L21" s="9" t="e">
        <f>E18/(E17)</f>
        <v>#DIV/0!</v>
      </c>
      <c r="M21" s="9" t="e">
        <f>F18/(F17)</f>
        <v>#DIV/0!</v>
      </c>
      <c r="N21" s="9" t="e">
        <f>G18/(G17)</f>
        <v>#DIV/0!</v>
      </c>
    </row>
    <row r="22" spans="1:14" ht="27.5" customHeight="1" outlineLevel="1" x14ac:dyDescent="0.2">
      <c r="B22" s="45" t="s">
        <v>49</v>
      </c>
      <c r="C22" s="8" t="str">
        <f t="shared" si="4"/>
        <v>Audited-30042023</v>
      </c>
      <c r="D22" s="8" t="str">
        <f t="shared" si="4"/>
        <v>Audited-30042024</v>
      </c>
      <c r="E22" s="8" t="str">
        <f t="shared" si="4"/>
        <v>Mgmt Acc-30042025</v>
      </c>
      <c r="F22" s="8" t="str">
        <f t="shared" si="4"/>
        <v>Mgmt Acc-30092025</v>
      </c>
      <c r="G22" s="46" t="str">
        <f t="shared" si="4"/>
        <v>Annualised-30092025</v>
      </c>
      <c r="I22" s="47" t="s">
        <v>50</v>
      </c>
      <c r="J22" s="48">
        <f>C17/C63</f>
        <v>0</v>
      </c>
      <c r="K22" s="48">
        <f>D17/D63</f>
        <v>0</v>
      </c>
      <c r="L22" s="48">
        <f>E17/E63</f>
        <v>0</v>
      </c>
      <c r="M22" s="48">
        <f>F17/F63</f>
        <v>0</v>
      </c>
      <c r="N22" s="48" t="e">
        <f>G17/G63</f>
        <v>#DIV/0!</v>
      </c>
    </row>
    <row r="23" spans="1:14" ht="31" outlineLevel="1" thickBot="1" x14ac:dyDescent="0.25">
      <c r="A23" s="49">
        <v>2</v>
      </c>
      <c r="B23" s="50" t="s">
        <v>51</v>
      </c>
      <c r="C23" s="51" t="s">
        <v>7</v>
      </c>
      <c r="D23" s="51" t="s">
        <v>7</v>
      </c>
      <c r="E23" s="51" t="s">
        <v>7</v>
      </c>
      <c r="F23" s="51" t="s">
        <v>17</v>
      </c>
      <c r="G23" s="52" t="s">
        <v>17</v>
      </c>
      <c r="I23" s="53" t="s">
        <v>52</v>
      </c>
      <c r="J23" s="54">
        <f>C18/C63</f>
        <v>0</v>
      </c>
      <c r="K23" s="54">
        <f>D18/D63</f>
        <v>0</v>
      </c>
      <c r="L23" s="54">
        <f>E18/E63</f>
        <v>0</v>
      </c>
      <c r="M23" s="54">
        <f>F18/F63</f>
        <v>0</v>
      </c>
      <c r="N23" s="54" t="e">
        <f>G18/G63</f>
        <v>#DIV/0!</v>
      </c>
    </row>
    <row r="24" spans="1:14" ht="25.5" customHeight="1" x14ac:dyDescent="0.2">
      <c r="A24" s="1">
        <v>3</v>
      </c>
      <c r="B24" s="55" t="s">
        <v>53</v>
      </c>
      <c r="C24" s="56"/>
      <c r="D24" s="56"/>
      <c r="E24" s="56"/>
      <c r="F24" s="56"/>
      <c r="G24" s="57"/>
      <c r="I24" s="9" t="s">
        <v>54</v>
      </c>
      <c r="J24" s="58" t="e">
        <f>C19/C6</f>
        <v>#DIV/0!</v>
      </c>
      <c r="K24" s="58" t="e">
        <f>D19/D6</f>
        <v>#DIV/0!</v>
      </c>
      <c r="L24" s="58" t="e">
        <f>E19/E6</f>
        <v>#DIV/0!</v>
      </c>
      <c r="M24" s="58" t="e">
        <f>F19/F6</f>
        <v>#DIV/0!</v>
      </c>
      <c r="N24" s="58" t="e">
        <f>G19/G6</f>
        <v>#DIV/0!</v>
      </c>
    </row>
    <row r="25" spans="1:14" ht="15" x14ac:dyDescent="0.2">
      <c r="A25" s="49">
        <v>4</v>
      </c>
      <c r="B25" s="59" t="s">
        <v>55</v>
      </c>
      <c r="C25" s="60"/>
      <c r="D25" s="60"/>
      <c r="E25" s="60"/>
      <c r="F25" s="60"/>
      <c r="G25" s="61"/>
    </row>
    <row r="26" spans="1:14" ht="12.75" customHeight="1" x14ac:dyDescent="0.2">
      <c r="A26" s="1">
        <v>5</v>
      </c>
      <c r="B26" s="62" t="s">
        <v>56</v>
      </c>
      <c r="C26" s="63"/>
      <c r="D26" s="63"/>
      <c r="E26" s="64"/>
      <c r="F26" s="63"/>
      <c r="G26" s="65"/>
    </row>
    <row r="27" spans="1:14" ht="15" x14ac:dyDescent="0.2">
      <c r="A27" s="49">
        <v>6</v>
      </c>
      <c r="B27" s="66" t="s">
        <v>57</v>
      </c>
      <c r="C27" s="67"/>
      <c r="D27" s="67"/>
      <c r="E27" s="67"/>
      <c r="F27" s="67"/>
      <c r="G27" s="68"/>
    </row>
    <row r="28" spans="1:14" ht="12.75" customHeight="1" x14ac:dyDescent="0.2">
      <c r="A28" s="1">
        <v>7</v>
      </c>
      <c r="B28" s="69" t="s">
        <v>58</v>
      </c>
      <c r="C28" s="64"/>
      <c r="D28" s="64"/>
      <c r="E28" s="63"/>
      <c r="F28" s="64"/>
      <c r="G28" s="70"/>
    </row>
    <row r="29" spans="1:14" ht="15" x14ac:dyDescent="0.2">
      <c r="A29" s="49">
        <v>8</v>
      </c>
      <c r="B29" s="69" t="s">
        <v>59</v>
      </c>
      <c r="C29" s="63"/>
      <c r="D29" s="63"/>
      <c r="E29" s="63"/>
      <c r="F29" s="64"/>
      <c r="G29" s="70"/>
    </row>
    <row r="30" spans="1:14" ht="12.75" customHeight="1" x14ac:dyDescent="0.2">
      <c r="A30" s="1">
        <v>9</v>
      </c>
      <c r="B30" s="69" t="s">
        <v>60</v>
      </c>
      <c r="C30" s="63"/>
      <c r="D30" s="63"/>
      <c r="E30" s="63"/>
      <c r="F30" s="64"/>
      <c r="G30" s="70"/>
    </row>
    <row r="31" spans="1:14" ht="15" x14ac:dyDescent="0.2">
      <c r="A31" s="49">
        <v>10</v>
      </c>
      <c r="B31" s="69" t="s">
        <v>61</v>
      </c>
      <c r="C31" s="63"/>
      <c r="D31" s="63"/>
      <c r="E31" s="63"/>
      <c r="F31" s="64"/>
      <c r="G31" s="70"/>
    </row>
    <row r="32" spans="1:14" ht="12.75" customHeight="1" x14ac:dyDescent="0.2">
      <c r="A32" s="1">
        <v>11</v>
      </c>
      <c r="B32" s="71" t="s">
        <v>62</v>
      </c>
      <c r="C32" s="63"/>
      <c r="D32" s="63"/>
      <c r="E32" s="63"/>
      <c r="F32" s="64"/>
      <c r="G32" s="72"/>
    </row>
    <row r="33" spans="1:17" ht="16" thickBot="1" x14ac:dyDescent="0.25">
      <c r="A33" s="49">
        <v>12</v>
      </c>
      <c r="B33" s="71" t="s">
        <v>63</v>
      </c>
      <c r="C33" s="64"/>
      <c r="D33" s="64"/>
      <c r="E33" s="64"/>
      <c r="F33" s="64"/>
      <c r="G33" s="70"/>
    </row>
    <row r="34" spans="1:17" ht="13.5" customHeight="1" thickBot="1" x14ac:dyDescent="0.25">
      <c r="A34" s="1">
        <v>13</v>
      </c>
      <c r="B34" s="73" t="s">
        <v>64</v>
      </c>
      <c r="C34" s="74"/>
      <c r="D34" s="74"/>
      <c r="E34" s="74"/>
      <c r="F34" s="74"/>
      <c r="G34" s="75"/>
      <c r="H34" s="76"/>
      <c r="I34" s="26"/>
      <c r="J34" s="26"/>
      <c r="K34" s="26"/>
      <c r="L34" s="26"/>
    </row>
    <row r="35" spans="1:17" ht="15" x14ac:dyDescent="0.2">
      <c r="A35" s="49">
        <v>14</v>
      </c>
      <c r="B35" s="77" t="s">
        <v>65</v>
      </c>
      <c r="C35" s="78"/>
      <c r="D35" s="78"/>
      <c r="E35" s="78"/>
      <c r="F35" s="78"/>
      <c r="G35" s="79"/>
    </row>
    <row r="36" spans="1:17" ht="12.75" customHeight="1" x14ac:dyDescent="0.2">
      <c r="A36" s="1">
        <v>15</v>
      </c>
      <c r="B36" s="62" t="s">
        <v>66</v>
      </c>
      <c r="C36" s="63"/>
      <c r="D36" s="63"/>
      <c r="E36" s="63"/>
      <c r="F36" s="63"/>
      <c r="G36" s="80"/>
      <c r="M36" s="1" t="s">
        <v>67</v>
      </c>
      <c r="N36" s="1" t="s">
        <v>68</v>
      </c>
      <c r="O36" s="1" t="s">
        <v>69</v>
      </c>
      <c r="P36" s="1" t="s">
        <v>70</v>
      </c>
      <c r="Q36" s="1" t="s">
        <v>70</v>
      </c>
    </row>
    <row r="37" spans="1:17" ht="15" x14ac:dyDescent="0.2">
      <c r="A37" s="49">
        <v>16</v>
      </c>
      <c r="B37" s="62" t="s">
        <v>71</v>
      </c>
      <c r="C37" s="63"/>
      <c r="D37" s="63"/>
      <c r="E37" s="63"/>
      <c r="F37" s="63"/>
      <c r="G37" s="80"/>
      <c r="M37" s="81">
        <v>83333.33</v>
      </c>
      <c r="N37" s="81">
        <v>5333.33</v>
      </c>
      <c r="O37" s="81">
        <f>SUM(M37:N37)</f>
        <v>88666.66</v>
      </c>
      <c r="P37" s="1">
        <v>4</v>
      </c>
      <c r="Q37" s="18">
        <f>O37*P37</f>
        <v>354666.64</v>
      </c>
    </row>
    <row r="38" spans="1:17" ht="12.75" customHeight="1" x14ac:dyDescent="0.2">
      <c r="A38" s="1">
        <v>17</v>
      </c>
      <c r="B38" s="62" t="s">
        <v>72</v>
      </c>
      <c r="C38" s="63"/>
      <c r="D38" s="63"/>
      <c r="E38" s="63"/>
      <c r="F38" s="63"/>
      <c r="G38" s="80"/>
      <c r="J38" s="1" t="e">
        <f>(F36+F37+F46+F47)/(F49+F43)</f>
        <v>#DIV/0!</v>
      </c>
      <c r="M38" s="81">
        <v>83333.33</v>
      </c>
      <c r="N38" s="81">
        <v>5333.33</v>
      </c>
      <c r="O38" s="81">
        <f t="shared" ref="O38:O40" si="5">SUM(M38:N38)</f>
        <v>88666.66</v>
      </c>
      <c r="P38" s="1">
        <v>4</v>
      </c>
      <c r="Q38" s="18">
        <f t="shared" ref="Q38:Q39" si="6">O38*P38</f>
        <v>354666.64</v>
      </c>
    </row>
    <row r="39" spans="1:17" ht="15" x14ac:dyDescent="0.2">
      <c r="A39" s="49">
        <v>18</v>
      </c>
      <c r="B39" s="59" t="s">
        <v>73</v>
      </c>
      <c r="C39" s="60"/>
      <c r="D39" s="60"/>
      <c r="E39" s="60"/>
      <c r="F39" s="60"/>
      <c r="G39" s="61"/>
      <c r="H39" s="82"/>
      <c r="M39" s="81">
        <v>40000</v>
      </c>
      <c r="N39" s="81">
        <v>2560</v>
      </c>
      <c r="O39" s="81">
        <f t="shared" si="5"/>
        <v>42560</v>
      </c>
      <c r="P39" s="1">
        <v>6</v>
      </c>
      <c r="Q39" s="18">
        <f t="shared" si="6"/>
        <v>255360</v>
      </c>
    </row>
    <row r="40" spans="1:17" ht="12.75" customHeight="1" x14ac:dyDescent="0.2">
      <c r="A40" s="1">
        <v>19</v>
      </c>
      <c r="B40" s="62" t="s">
        <v>74</v>
      </c>
      <c r="C40" s="63"/>
      <c r="D40" s="63"/>
      <c r="E40" s="63"/>
      <c r="F40" s="63"/>
      <c r="G40" s="83"/>
      <c r="O40" s="81">
        <f t="shared" si="5"/>
        <v>0</v>
      </c>
      <c r="Q40" s="76">
        <f>SUM(Q37:Q39)</f>
        <v>964693.28</v>
      </c>
    </row>
    <row r="41" spans="1:17" ht="15" x14ac:dyDescent="0.2">
      <c r="A41" s="49">
        <v>20</v>
      </c>
      <c r="B41" s="66" t="s">
        <v>75</v>
      </c>
      <c r="C41" s="67"/>
      <c r="D41" s="67"/>
      <c r="E41" s="67"/>
      <c r="F41" s="67"/>
      <c r="G41" s="84"/>
      <c r="J41" s="26">
        <f>F37+F46+600000</f>
        <v>600000</v>
      </c>
    </row>
    <row r="42" spans="1:17" ht="12.75" customHeight="1" x14ac:dyDescent="0.2">
      <c r="A42" s="1">
        <v>21</v>
      </c>
      <c r="B42" s="85" t="s">
        <v>72</v>
      </c>
      <c r="C42" s="63"/>
      <c r="D42" s="63"/>
      <c r="E42" s="63"/>
      <c r="F42" s="63"/>
      <c r="G42" s="83"/>
      <c r="J42" s="1" t="e">
        <f>J41/F49</f>
        <v>#DIV/0!</v>
      </c>
    </row>
    <row r="43" spans="1:17" ht="15" x14ac:dyDescent="0.2">
      <c r="A43" s="49">
        <v>22</v>
      </c>
      <c r="B43" s="85" t="s">
        <v>76</v>
      </c>
      <c r="C43" s="63"/>
      <c r="D43" s="63"/>
      <c r="E43" s="63"/>
      <c r="F43" s="63"/>
      <c r="G43" s="83"/>
    </row>
    <row r="44" spans="1:17" ht="15" x14ac:dyDescent="0.2">
      <c r="A44" s="1">
        <v>23</v>
      </c>
      <c r="B44" s="85" t="s">
        <v>77</v>
      </c>
      <c r="C44" s="63"/>
      <c r="D44" s="63"/>
      <c r="E44" s="63"/>
      <c r="F44" s="63"/>
      <c r="G44" s="83"/>
    </row>
    <row r="45" spans="1:17" ht="15" x14ac:dyDescent="0.2">
      <c r="A45" s="49">
        <v>24</v>
      </c>
      <c r="B45" s="85" t="s">
        <v>61</v>
      </c>
      <c r="C45" s="63"/>
      <c r="D45" s="63"/>
      <c r="E45" s="63"/>
      <c r="F45" s="63"/>
      <c r="G45" s="83"/>
    </row>
    <row r="46" spans="1:17" ht="15" x14ac:dyDescent="0.2">
      <c r="A46" s="1">
        <v>25</v>
      </c>
      <c r="B46" s="62" t="s">
        <v>66</v>
      </c>
      <c r="C46" s="63"/>
      <c r="D46" s="63"/>
      <c r="E46" s="63"/>
      <c r="F46" s="63"/>
      <c r="G46" s="83"/>
    </row>
    <row r="47" spans="1:17" ht="16" thickBot="1" x14ac:dyDescent="0.25">
      <c r="A47" s="49">
        <v>26</v>
      </c>
      <c r="B47" s="62" t="s">
        <v>71</v>
      </c>
      <c r="C47" s="63"/>
      <c r="D47" s="63"/>
      <c r="E47" s="63"/>
      <c r="F47" s="63"/>
      <c r="G47" s="83"/>
    </row>
    <row r="48" spans="1:17" ht="16" thickBot="1" x14ac:dyDescent="0.25">
      <c r="A48" s="1">
        <v>27</v>
      </c>
      <c r="B48" s="73" t="s">
        <v>78</v>
      </c>
      <c r="C48" s="74"/>
      <c r="D48" s="74"/>
      <c r="E48" s="74"/>
      <c r="F48" s="74"/>
      <c r="G48" s="75"/>
    </row>
    <row r="49" spans="1:9" ht="15" x14ac:dyDescent="0.2">
      <c r="A49" s="49">
        <v>28</v>
      </c>
      <c r="B49" s="86" t="s">
        <v>79</v>
      </c>
      <c r="C49" s="87"/>
      <c r="D49" s="87"/>
      <c r="E49" s="87"/>
      <c r="F49" s="87"/>
      <c r="G49" s="87"/>
      <c r="H49" s="88"/>
    </row>
    <row r="50" spans="1:9" ht="15" x14ac:dyDescent="0.2">
      <c r="A50" s="1">
        <v>29</v>
      </c>
      <c r="B50" s="89" t="s">
        <v>80</v>
      </c>
      <c r="C50" s="90"/>
      <c r="D50" s="90"/>
      <c r="E50" s="90"/>
      <c r="F50" s="90"/>
      <c r="G50" s="83"/>
    </row>
    <row r="51" spans="1:9" ht="15" x14ac:dyDescent="0.2">
      <c r="A51" s="1">
        <v>30</v>
      </c>
      <c r="B51" s="91" t="s">
        <v>81</v>
      </c>
      <c r="C51" s="90"/>
      <c r="D51" s="92"/>
      <c r="E51" s="92"/>
      <c r="F51" s="92"/>
      <c r="G51" s="83"/>
      <c r="I51" s="26">
        <f>E51+F17</f>
        <v>0</v>
      </c>
    </row>
    <row r="52" spans="1:9" ht="16" thickBot="1" x14ac:dyDescent="0.25">
      <c r="A52" s="1">
        <v>31</v>
      </c>
      <c r="B52" s="93" t="s">
        <v>82</v>
      </c>
      <c r="C52" s="90"/>
      <c r="D52" s="94"/>
      <c r="E52" s="94"/>
      <c r="F52" s="95"/>
      <c r="G52" s="96"/>
    </row>
    <row r="53" spans="1:9" ht="16" thickBot="1" x14ac:dyDescent="0.25">
      <c r="A53" s="1">
        <v>32</v>
      </c>
      <c r="B53" s="97" t="s">
        <v>83</v>
      </c>
      <c r="C53" s="74"/>
      <c r="D53" s="74"/>
      <c r="E53" s="74"/>
      <c r="F53" s="74"/>
      <c r="G53" s="75"/>
    </row>
    <row r="54" spans="1:9" x14ac:dyDescent="0.2">
      <c r="B54" s="98"/>
      <c r="C54" s="99">
        <f>C34-C53</f>
        <v>0</v>
      </c>
      <c r="D54" s="99">
        <f t="shared" ref="D54:F54" si="7">D34-D53</f>
        <v>0</v>
      </c>
      <c r="E54" s="99">
        <f t="shared" si="7"/>
        <v>0</v>
      </c>
      <c r="F54" s="99">
        <f t="shared" si="7"/>
        <v>0</v>
      </c>
      <c r="G54" s="99"/>
    </row>
    <row r="55" spans="1:9" ht="15" thickBot="1" x14ac:dyDescent="0.25">
      <c r="B55" s="98"/>
      <c r="C55" s="99"/>
      <c r="D55" s="99"/>
      <c r="E55" s="99"/>
      <c r="F55" s="99"/>
      <c r="G55" s="99"/>
    </row>
    <row r="56" spans="1:9" ht="16" thickBot="1" x14ac:dyDescent="0.25">
      <c r="B56" s="73" t="s">
        <v>84</v>
      </c>
      <c r="C56" s="100">
        <f>SUM(C57:C60)</f>
        <v>0</v>
      </c>
      <c r="D56" s="100">
        <f t="shared" ref="D56:F56" si="8">SUM(D57:D60)</f>
        <v>0</v>
      </c>
      <c r="E56" s="100">
        <f t="shared" si="8"/>
        <v>0</v>
      </c>
      <c r="F56" s="101">
        <f t="shared" si="8"/>
        <v>0</v>
      </c>
    </row>
    <row r="57" spans="1:9" ht="15" x14ac:dyDescent="0.2">
      <c r="B57" s="103" t="s">
        <v>85</v>
      </c>
      <c r="C57" s="104"/>
      <c r="D57" s="104"/>
      <c r="E57" s="104"/>
      <c r="F57" s="105"/>
    </row>
    <row r="58" spans="1:9" ht="15" x14ac:dyDescent="0.2">
      <c r="B58" s="106" t="s">
        <v>86</v>
      </c>
      <c r="C58" s="107"/>
      <c r="D58" s="107"/>
      <c r="E58" s="107"/>
      <c r="F58" s="108"/>
    </row>
    <row r="59" spans="1:9" ht="15" x14ac:dyDescent="0.2">
      <c r="B59" s="106" t="s">
        <v>87</v>
      </c>
      <c r="C59" s="107"/>
      <c r="D59" s="107"/>
      <c r="E59" s="107"/>
      <c r="F59" s="108"/>
    </row>
    <row r="60" spans="1:9" ht="16" thickBot="1" x14ac:dyDescent="0.25">
      <c r="B60" s="109" t="s">
        <v>88</v>
      </c>
      <c r="C60" s="110"/>
      <c r="D60" s="110"/>
      <c r="E60" s="110"/>
      <c r="F60" s="111"/>
    </row>
    <row r="61" spans="1:9" ht="16" thickBot="1" x14ac:dyDescent="0.25">
      <c r="B61" s="73" t="s">
        <v>89</v>
      </c>
      <c r="C61" s="100">
        <f>C34-C48-C56</f>
        <v>0</v>
      </c>
      <c r="D61" s="100">
        <f t="shared" ref="D61:F61" si="9">D34-D48-D56</f>
        <v>0</v>
      </c>
      <c r="E61" s="100">
        <f t="shared" si="9"/>
        <v>0</v>
      </c>
      <c r="F61" s="100">
        <f t="shared" si="9"/>
        <v>0</v>
      </c>
    </row>
    <row r="62" spans="1:9" ht="49" thickBot="1" x14ac:dyDescent="0.25">
      <c r="B62" s="112" t="s">
        <v>90</v>
      </c>
      <c r="C62" s="26"/>
      <c r="D62" s="26"/>
      <c r="E62" s="26"/>
      <c r="F62" s="26"/>
    </row>
    <row r="63" spans="1:9" ht="16" thickBot="1" x14ac:dyDescent="0.25">
      <c r="B63" s="73" t="s">
        <v>91</v>
      </c>
      <c r="C63" s="113">
        <v>650000</v>
      </c>
      <c r="D63" s="113">
        <v>650000</v>
      </c>
      <c r="E63" s="113">
        <v>650000</v>
      </c>
      <c r="F63" s="114">
        <v>650000</v>
      </c>
      <c r="G63"/>
    </row>
    <row r="64" spans="1:9" x14ac:dyDescent="0.2">
      <c r="B64" s="98"/>
      <c r="C64" s="102"/>
      <c r="D64" s="102"/>
      <c r="E64" s="102"/>
    </row>
    <row r="65" spans="1:7" x14ac:dyDescent="0.2">
      <c r="C65" s="102"/>
      <c r="D65" s="102"/>
      <c r="E65" s="102"/>
      <c r="F65" s="102"/>
    </row>
    <row r="66" spans="1:7" x14ac:dyDescent="0.2">
      <c r="C66" s="102"/>
      <c r="D66" s="102"/>
      <c r="E66" s="102"/>
    </row>
    <row r="67" spans="1:7" x14ac:dyDescent="0.2">
      <c r="C67" s="102"/>
      <c r="D67" s="102"/>
      <c r="E67" s="102"/>
    </row>
    <row r="68" spans="1:7" ht="15" thickBot="1" x14ac:dyDescent="0.25">
      <c r="C68" s="102"/>
      <c r="D68" s="102"/>
      <c r="E68" s="102"/>
      <c r="F68" s="26">
        <f>E51+F17</f>
        <v>0</v>
      </c>
    </row>
    <row r="69" spans="1:7" ht="15" x14ac:dyDescent="0.2">
      <c r="B69" s="42" t="s">
        <v>47</v>
      </c>
      <c r="C69" s="43" t="str">
        <f t="shared" ref="C69:G73" si="10">C21</f>
        <v>30/04/2023</v>
      </c>
      <c r="D69" s="43" t="str">
        <f t="shared" si="10"/>
        <v>30/04/2024</v>
      </c>
      <c r="E69" s="43" t="str">
        <f t="shared" si="10"/>
        <v>30/04/2025</v>
      </c>
      <c r="F69" s="43" t="str">
        <f t="shared" si="10"/>
        <v>30/09/2025</v>
      </c>
      <c r="G69" s="44" t="str">
        <f t="shared" si="10"/>
        <v>30/09/2025</v>
      </c>
    </row>
    <row r="70" spans="1:7" ht="30" x14ac:dyDescent="0.2">
      <c r="B70" s="45" t="s">
        <v>49</v>
      </c>
      <c r="C70" s="8" t="str">
        <f t="shared" si="10"/>
        <v>Audited-30042023</v>
      </c>
      <c r="D70" s="8" t="str">
        <f t="shared" si="10"/>
        <v>Audited-30042024</v>
      </c>
      <c r="E70" s="8" t="str">
        <f t="shared" si="10"/>
        <v>Mgmt Acc-30042025</v>
      </c>
      <c r="F70" s="8" t="str">
        <f t="shared" si="10"/>
        <v>Mgmt Acc-30092025</v>
      </c>
      <c r="G70" s="46" t="str">
        <f t="shared" si="10"/>
        <v>Annualised-30092025</v>
      </c>
    </row>
    <row r="71" spans="1:7" ht="16" thickBot="1" x14ac:dyDescent="0.25">
      <c r="A71" s="49">
        <v>2</v>
      </c>
      <c r="B71" s="50" t="s">
        <v>51</v>
      </c>
      <c r="C71" s="51" t="str">
        <f t="shared" si="10"/>
        <v>Yes</v>
      </c>
      <c r="D71" s="51" t="str">
        <f t="shared" si="10"/>
        <v>Yes</v>
      </c>
      <c r="E71" s="51" t="str">
        <f t="shared" si="10"/>
        <v>Yes</v>
      </c>
      <c r="F71" s="51" t="str">
        <f t="shared" si="10"/>
        <v>N/A</v>
      </c>
      <c r="G71" s="52" t="str">
        <f t="shared" si="10"/>
        <v>N/A</v>
      </c>
    </row>
    <row r="72" spans="1:7" ht="15" x14ac:dyDescent="0.2">
      <c r="A72" s="1">
        <f>A71+1</f>
        <v>3</v>
      </c>
      <c r="B72" s="55" t="s">
        <v>53</v>
      </c>
      <c r="C72" s="56">
        <f t="shared" si="10"/>
        <v>0</v>
      </c>
      <c r="D72" s="56">
        <f t="shared" si="10"/>
        <v>0</v>
      </c>
      <c r="E72" s="56">
        <f t="shared" si="10"/>
        <v>0</v>
      </c>
      <c r="F72" s="56">
        <f t="shared" si="10"/>
        <v>0</v>
      </c>
      <c r="G72" s="57">
        <f t="shared" si="10"/>
        <v>0</v>
      </c>
    </row>
    <row r="73" spans="1:7" ht="16" thickBot="1" x14ac:dyDescent="0.25">
      <c r="A73" s="1">
        <f t="shared" ref="A73:A81" si="11">A72+1</f>
        <v>4</v>
      </c>
      <c r="B73" s="59" t="s">
        <v>55</v>
      </c>
      <c r="C73" s="60">
        <f t="shared" si="10"/>
        <v>0</v>
      </c>
      <c r="D73" s="60">
        <f t="shared" si="10"/>
        <v>0</v>
      </c>
      <c r="E73" s="60">
        <f t="shared" si="10"/>
        <v>0</v>
      </c>
      <c r="F73" s="60">
        <f t="shared" si="10"/>
        <v>0</v>
      </c>
      <c r="G73" s="61">
        <f t="shared" si="10"/>
        <v>0</v>
      </c>
    </row>
    <row r="74" spans="1:7" ht="16" thickBot="1" x14ac:dyDescent="0.25">
      <c r="A74" s="1">
        <f t="shared" si="11"/>
        <v>5</v>
      </c>
      <c r="B74" s="73" t="s">
        <v>64</v>
      </c>
      <c r="C74" s="74">
        <f>C34</f>
        <v>0</v>
      </c>
      <c r="D74" s="74">
        <f t="shared" ref="D74:G75" si="12">D34</f>
        <v>0</v>
      </c>
      <c r="E74" s="74">
        <f t="shared" si="12"/>
        <v>0</v>
      </c>
      <c r="F74" s="74">
        <f t="shared" si="12"/>
        <v>0</v>
      </c>
      <c r="G74" s="75">
        <f t="shared" si="12"/>
        <v>0</v>
      </c>
    </row>
    <row r="75" spans="1:7" ht="15" x14ac:dyDescent="0.2">
      <c r="A75" s="1">
        <f t="shared" si="11"/>
        <v>6</v>
      </c>
      <c r="B75" s="77" t="s">
        <v>65</v>
      </c>
      <c r="C75" s="78">
        <f>C35</f>
        <v>0</v>
      </c>
      <c r="D75" s="78">
        <f t="shared" si="12"/>
        <v>0</v>
      </c>
      <c r="E75" s="78">
        <f t="shared" si="12"/>
        <v>0</v>
      </c>
      <c r="F75" s="78">
        <f t="shared" si="12"/>
        <v>0</v>
      </c>
      <c r="G75" s="79">
        <f t="shared" si="12"/>
        <v>0</v>
      </c>
    </row>
    <row r="76" spans="1:7" ht="16" thickBot="1" x14ac:dyDescent="0.25">
      <c r="A76" s="1">
        <f t="shared" si="11"/>
        <v>7</v>
      </c>
      <c r="B76" s="59" t="s">
        <v>73</v>
      </c>
      <c r="C76" s="60">
        <f>C39</f>
        <v>0</v>
      </c>
      <c r="D76" s="60">
        <f t="shared" ref="D76:G76" si="13">D39</f>
        <v>0</v>
      </c>
      <c r="E76" s="60">
        <f t="shared" si="13"/>
        <v>0</v>
      </c>
      <c r="F76" s="60">
        <f t="shared" si="13"/>
        <v>0</v>
      </c>
      <c r="G76" s="61">
        <f t="shared" si="13"/>
        <v>0</v>
      </c>
    </row>
    <row r="77" spans="1:7" ht="16" thickBot="1" x14ac:dyDescent="0.25">
      <c r="A77" s="1">
        <f t="shared" si="11"/>
        <v>8</v>
      </c>
      <c r="B77" s="73" t="s">
        <v>78</v>
      </c>
      <c r="C77" s="74">
        <f>C48</f>
        <v>0</v>
      </c>
      <c r="D77" s="74">
        <f t="shared" ref="D77:G77" si="14">D48</f>
        <v>0</v>
      </c>
      <c r="E77" s="74">
        <f t="shared" si="14"/>
        <v>0</v>
      </c>
      <c r="F77" s="74">
        <f t="shared" si="14"/>
        <v>0</v>
      </c>
      <c r="G77" s="75">
        <f t="shared" si="14"/>
        <v>0</v>
      </c>
    </row>
    <row r="78" spans="1:7" ht="15" x14ac:dyDescent="0.2">
      <c r="A78" s="1">
        <v>9</v>
      </c>
      <c r="B78" s="89" t="s">
        <v>80</v>
      </c>
      <c r="C78" s="92">
        <f>C50</f>
        <v>0</v>
      </c>
      <c r="D78" s="92">
        <f t="shared" ref="D78:G78" si="15">D50</f>
        <v>0</v>
      </c>
      <c r="E78" s="90">
        <f t="shared" si="15"/>
        <v>0</v>
      </c>
      <c r="F78" s="90">
        <f t="shared" si="15"/>
        <v>0</v>
      </c>
      <c r="G78" s="83">
        <f t="shared" si="15"/>
        <v>0</v>
      </c>
    </row>
    <row r="79" spans="1:7" ht="15" x14ac:dyDescent="0.2">
      <c r="A79" s="1">
        <v>10</v>
      </c>
      <c r="B79" s="91" t="s">
        <v>92</v>
      </c>
      <c r="C79" s="92">
        <f>C52</f>
        <v>0</v>
      </c>
      <c r="D79" s="92">
        <f t="shared" ref="D79:G79" si="16">D52</f>
        <v>0</v>
      </c>
      <c r="E79" s="92">
        <f t="shared" si="16"/>
        <v>0</v>
      </c>
      <c r="F79" s="92">
        <f t="shared" si="16"/>
        <v>0</v>
      </c>
      <c r="G79" s="83">
        <f t="shared" si="16"/>
        <v>0</v>
      </c>
    </row>
    <row r="80" spans="1:7" ht="15" x14ac:dyDescent="0.2">
      <c r="A80" s="1">
        <f t="shared" si="11"/>
        <v>11</v>
      </c>
      <c r="B80" s="91" t="s">
        <v>93</v>
      </c>
      <c r="C80" s="92">
        <f>C51</f>
        <v>0</v>
      </c>
      <c r="D80" s="92">
        <f t="shared" ref="D80:G80" si="17">D51</f>
        <v>0</v>
      </c>
      <c r="E80" s="92">
        <f t="shared" si="17"/>
        <v>0</v>
      </c>
      <c r="F80" s="92">
        <f t="shared" si="17"/>
        <v>0</v>
      </c>
      <c r="G80" s="83">
        <f t="shared" si="17"/>
        <v>0</v>
      </c>
    </row>
    <row r="81" spans="1:7" ht="15" x14ac:dyDescent="0.2">
      <c r="A81" s="1">
        <f t="shared" si="11"/>
        <v>12</v>
      </c>
      <c r="B81" s="91" t="s">
        <v>94</v>
      </c>
      <c r="C81" s="92">
        <v>0</v>
      </c>
      <c r="D81" s="92">
        <v>0</v>
      </c>
      <c r="E81" s="92">
        <v>0</v>
      </c>
      <c r="F81" s="92">
        <v>0</v>
      </c>
      <c r="G81" s="83">
        <v>0</v>
      </c>
    </row>
    <row r="82" spans="1:7" ht="16" thickBot="1" x14ac:dyDescent="0.25">
      <c r="A82" s="1">
        <v>13</v>
      </c>
      <c r="B82" s="86" t="s">
        <v>79</v>
      </c>
      <c r="C82" s="87">
        <f>SUM(C78:C81)</f>
        <v>0</v>
      </c>
      <c r="D82" s="87">
        <f>SUM(D78:D81)</f>
        <v>0</v>
      </c>
      <c r="E82" s="87">
        <f>SUM(E78:E81)</f>
        <v>0</v>
      </c>
      <c r="F82" s="87">
        <f>SUM(F78:F81)</f>
        <v>0</v>
      </c>
      <c r="G82" s="61">
        <f>SUM(G78:G81)</f>
        <v>0</v>
      </c>
    </row>
    <row r="83" spans="1:7" ht="16" thickBot="1" x14ac:dyDescent="0.25">
      <c r="A83" s="1">
        <v>14</v>
      </c>
      <c r="B83" s="73" t="s">
        <v>83</v>
      </c>
      <c r="C83" s="74">
        <f>C53</f>
        <v>0</v>
      </c>
      <c r="D83" s="74">
        <f t="shared" ref="D83:G83" si="18">D53</f>
        <v>0</v>
      </c>
      <c r="E83" s="74">
        <f t="shared" si="18"/>
        <v>0</v>
      </c>
      <c r="F83" s="74">
        <f t="shared" si="18"/>
        <v>0</v>
      </c>
      <c r="G83" s="74">
        <f t="shared" si="18"/>
        <v>0</v>
      </c>
    </row>
    <row r="85" spans="1:7" x14ac:dyDescent="0.2">
      <c r="C85" s="1" t="b">
        <f>C74=C83</f>
        <v>1</v>
      </c>
      <c r="D85" s="1" t="b">
        <f>D74=D83</f>
        <v>1</v>
      </c>
      <c r="E85" s="1" t="b">
        <f>E74=E83</f>
        <v>1</v>
      </c>
      <c r="F85" s="1" t="b">
        <f>F74=F83</f>
        <v>1</v>
      </c>
      <c r="G85" s="1" t="b">
        <f>G74=G83</f>
        <v>1</v>
      </c>
    </row>
    <row r="89" spans="1:7" ht="15" x14ac:dyDescent="0.2">
      <c r="B89" s="4" t="s">
        <v>3</v>
      </c>
      <c r="C89" s="5" t="str">
        <f>C3</f>
        <v>Audited</v>
      </c>
      <c r="D89" s="5" t="str">
        <f t="shared" ref="D89:G89" si="19">D3</f>
        <v>Audited</v>
      </c>
      <c r="E89" s="5" t="str">
        <f t="shared" si="19"/>
        <v>Mgmt Acc</v>
      </c>
      <c r="F89" s="5" t="str">
        <f t="shared" si="19"/>
        <v>Mgmt Acc</v>
      </c>
      <c r="G89" s="6" t="str">
        <f t="shared" si="19"/>
        <v>Annualised</v>
      </c>
    </row>
    <row r="90" spans="1:7" ht="15" x14ac:dyDescent="0.2">
      <c r="B90" s="7" t="s">
        <v>8</v>
      </c>
      <c r="C90" s="5" t="str">
        <f t="shared" ref="C90:G92" si="20">C4</f>
        <v>30/04/2023</v>
      </c>
      <c r="D90" s="5" t="str">
        <f t="shared" si="20"/>
        <v>30/04/2024</v>
      </c>
      <c r="E90" s="8" t="str">
        <f t="shared" si="20"/>
        <v>30/04/2025</v>
      </c>
      <c r="F90" s="8" t="str">
        <f t="shared" si="20"/>
        <v>30/09/2025</v>
      </c>
      <c r="G90" s="8" t="str">
        <f t="shared" si="20"/>
        <v>30/09/2025</v>
      </c>
    </row>
    <row r="91" spans="1:7" ht="30" x14ac:dyDescent="0.2">
      <c r="B91" s="7" t="s">
        <v>15</v>
      </c>
      <c r="C91" s="8" t="str">
        <f t="shared" si="20"/>
        <v>Audited-30042023</v>
      </c>
      <c r="D91" s="8" t="str">
        <f t="shared" si="20"/>
        <v>Audited-30042024</v>
      </c>
      <c r="E91" s="8" t="str">
        <f t="shared" si="20"/>
        <v>Mgmt Acc-30042025</v>
      </c>
      <c r="F91" s="8" t="str">
        <f t="shared" si="20"/>
        <v>Mgmt Acc-30092025</v>
      </c>
      <c r="G91" s="8" t="str">
        <f t="shared" si="20"/>
        <v>Annualised-30092025</v>
      </c>
    </row>
    <row r="92" spans="1:7" ht="15" x14ac:dyDescent="0.2">
      <c r="A92" s="1">
        <v>2</v>
      </c>
      <c r="B92" s="9" t="s">
        <v>18</v>
      </c>
      <c r="C92" s="17">
        <f>C6</f>
        <v>0</v>
      </c>
      <c r="D92" s="17">
        <f t="shared" si="20"/>
        <v>0</v>
      </c>
      <c r="E92" s="17">
        <f t="shared" si="20"/>
        <v>0</v>
      </c>
      <c r="F92" s="17">
        <f t="shared" si="20"/>
        <v>0</v>
      </c>
      <c r="G92" s="11">
        <f>IF($G$2&lt;365,$F92*365/$G$2,$F92)</f>
        <v>0</v>
      </c>
    </row>
    <row r="93" spans="1:7" ht="15" x14ac:dyDescent="0.2">
      <c r="A93" s="1">
        <v>3</v>
      </c>
      <c r="B93" s="29" t="s">
        <v>95</v>
      </c>
      <c r="C93" s="30">
        <f>SUM(C16:C17)</f>
        <v>0</v>
      </c>
      <c r="D93" s="30">
        <f>SUM(D16:D17)</f>
        <v>0</v>
      </c>
      <c r="E93" s="30">
        <f>SUM(E16:E17)</f>
        <v>0</v>
      </c>
      <c r="F93" s="30">
        <f>SUM(F16:F17)</f>
        <v>0</v>
      </c>
      <c r="G93" s="30">
        <f>SUM(G16:G17)</f>
        <v>0</v>
      </c>
    </row>
    <row r="94" spans="1:7" ht="15" x14ac:dyDescent="0.2">
      <c r="A94" s="1">
        <v>4</v>
      </c>
      <c r="B94" s="29" t="s">
        <v>96</v>
      </c>
      <c r="C94" s="30">
        <f>C17</f>
        <v>0</v>
      </c>
      <c r="D94" s="30">
        <f t="shared" ref="D94:G95" si="21">D17</f>
        <v>0</v>
      </c>
      <c r="E94" s="30">
        <f t="shared" si="21"/>
        <v>0</v>
      </c>
      <c r="F94" s="30">
        <f t="shared" si="21"/>
        <v>0</v>
      </c>
      <c r="G94" s="30">
        <f t="shared" si="21"/>
        <v>0</v>
      </c>
    </row>
    <row r="95" spans="1:7" ht="15" x14ac:dyDescent="0.2">
      <c r="A95" s="1">
        <v>5</v>
      </c>
      <c r="B95" s="9" t="s">
        <v>97</v>
      </c>
      <c r="C95" s="10">
        <f>C18</f>
        <v>0</v>
      </c>
      <c r="D95" s="10">
        <f t="shared" si="21"/>
        <v>0</v>
      </c>
      <c r="E95" s="10">
        <f t="shared" si="21"/>
        <v>0</v>
      </c>
      <c r="F95" s="10">
        <f t="shared" si="21"/>
        <v>0</v>
      </c>
      <c r="G95" s="34">
        <f t="shared" si="21"/>
        <v>0</v>
      </c>
    </row>
    <row r="96" spans="1:7" ht="15" x14ac:dyDescent="0.2">
      <c r="A96" s="1">
        <v>6</v>
      </c>
      <c r="B96" s="9" t="s">
        <v>98</v>
      </c>
      <c r="C96" s="10">
        <v>0</v>
      </c>
      <c r="D96" s="10">
        <v>0</v>
      </c>
      <c r="E96" s="10">
        <v>0</v>
      </c>
      <c r="F96" s="10">
        <v>0</v>
      </c>
      <c r="G96" s="34">
        <v>0</v>
      </c>
    </row>
  </sheetData>
  <dataValidations count="1">
    <dataValidation type="list" allowBlank="1" showInputMessage="1" showErrorMessage="1" sqref="C23:G23 J29 C71:G71" xr:uid="{C121269A-32FE-4E0F-B2C4-82A868DE9A32}">
      <formula1>$X$3:$X$5</formula1>
    </dataValidation>
  </dataValidations>
  <pageMargins left="0.11811023622047245" right="0.11811023622047245" top="0.15748031496062992" bottom="0.15748031496062992" header="0.31496062992125984" footer="0.31496062992125984"/>
  <pageSetup paperSize="9" scale="44" fitToHeight="7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of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Kian Hou</dc:creator>
  <cp:lastModifiedBy>Szekiat</cp:lastModifiedBy>
  <dcterms:created xsi:type="dcterms:W3CDTF">2026-04-23T07:59:28Z</dcterms:created>
  <dcterms:modified xsi:type="dcterms:W3CDTF">2026-04-23T14:03:51Z</dcterms:modified>
</cp:coreProperties>
</file>