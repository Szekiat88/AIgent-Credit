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codeName="{DD97A8EA-9A9A-E61F-A557-7D5A7D7259CE}"/>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Odin Lubricant Sdn Bhd/Credit Underwriting/"/>
    </mc:Choice>
  </mc:AlternateContent>
  <xr:revisionPtr revIDLastSave="199" documentId="8_{ACC7DCE5-F4A6-4FEE-840A-4E9BBB3ED43D}" xr6:coauthVersionLast="47" xr6:coauthVersionMax="47" xr10:uidLastSave="{014F5228-C8ED-4F78-863B-484553CD1C40}"/>
  <bookViews>
    <workbookView xWindow="-120" yWindow="-120" windowWidth="20730" windowHeight="11160" firstSheet="7" activeTab="9" xr2:uid="{8CE87ACF-2151-4FBA-8A97-59EAD2955569}"/>
  </bookViews>
  <sheets>
    <sheet name="Mapping - Interest" sheetId="10" state="hidden" r:id="rId1"/>
    <sheet name="Mapping - Payment Status" sheetId="11" state="hidden" r:id="rId2"/>
    <sheet name="Notes" sheetId="3" state="hidden" r:id="rId3"/>
    <sheet name="Effective Rate" sheetId="32" r:id="rId4"/>
    <sheet name="Knock-Out" sheetId="51" r:id="rId5"/>
    <sheet name="Risk Loading" sheetId="52" r:id="rId6"/>
    <sheet name="Limit Increase Checklist" sheetId="56" r:id="rId7"/>
    <sheet name="Credit Evaluation" sheetId="54" r:id="rId8"/>
    <sheet name="Drawdown Checklist" sheetId="53" r:id="rId9"/>
    <sheet name="Bank Statement" sheetId="16" r:id="rId10"/>
    <sheet name="Summary" sheetId="8" r:id="rId11"/>
    <sheet name="For Factsheet Purpose (NEW)" sheetId="39" r:id="rId12"/>
    <sheet name="Summary of Information" sheetId="14" r:id="rId13"/>
    <sheet name="WCR Calculation " sheetId="55" r:id="rId14"/>
    <sheet name="Working Capital Required" sheetId="9" r:id="rId15"/>
    <sheet name="Debt Service - Company" sheetId="15" r:id="rId16"/>
    <sheet name="Debt Service - Individual 1" sheetId="6" state="hidden" r:id="rId17"/>
    <sheet name="Debt Service - Company (TBD)" sheetId="12" state="hidden" r:id="rId18"/>
    <sheet name="Debt Service - Individual (TBD)" sheetId="13" state="hidden" r:id="rId19"/>
    <sheet name="Debt Service - Individual 2" sheetId="21" state="hidden" r:id="rId20"/>
    <sheet name="N.Margin (Ind. Benchmark)" sheetId="2" r:id="rId21"/>
    <sheet name="Mapping &amp; Selection" sheetId="4" r:id="rId22"/>
  </sheets>
  <externalReferences>
    <externalReference r:id="rId23"/>
  </externalReferences>
  <definedNames>
    <definedName name="_TL2" localSheetId="11">[1]validate!$C$70:$C$85</definedName>
    <definedName name="_TL2">[1]validate!$C$70:$C$85</definedName>
    <definedName name="_TR2" localSheetId="11">[1]validate!$C$113:$C$128</definedName>
    <definedName name="_TR2">[1]validate!$C$113:$C$128</definedName>
    <definedName name="BAc" localSheetId="11">[1]validate!$C$225:$C$240</definedName>
    <definedName name="BAc">[1]validate!$C$225:$C$240</definedName>
    <definedName name="CCC" localSheetId="11">[1]validate!$C$164:$C$194</definedName>
    <definedName name="CCC">[1]validate!$C$164:$C$194</definedName>
    <definedName name="HP" localSheetId="11">[1]validate!$C$131:$C$161</definedName>
    <definedName name="HP">[1]validate!$C$131:$C$161</definedName>
    <definedName name="ODRS2" localSheetId="11">[1]validate!$C$95:$C$110</definedName>
    <definedName name="ODRS2">[1]validate!$C$95:$C$110</definedName>
    <definedName name="OverD" localSheetId="11">[1]validate!$C$36:$C$51</definedName>
    <definedName name="OverD">[1]validate!$C$36:$C$51</definedName>
    <definedName name="_xlnm.Print_Area" localSheetId="7">'Credit Evaluation'!$A$1:$I$31,'Credit Evaluation'!$A$33:$I$79</definedName>
    <definedName name="_xlnm.Print_Area" localSheetId="8">'Drawdown Checklist'!$A$1:$M$95</definedName>
    <definedName name="_xlnm.Print_Area" localSheetId="4">'Knock-Out'!$B$1:$S$84</definedName>
    <definedName name="_xlnm.Print_Area" localSheetId="5">'Risk Loading'!$B$1:$N$58</definedName>
    <definedName name="Sources" localSheetId="11">[1]validate!$C$87:$C$93</definedName>
    <definedName name="Sources">[1]validate!$C$87:$C$93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10" i="14" l="1"/>
  <c r="F15" i="14"/>
  <c r="E55" i="14"/>
  <c r="D55" i="14"/>
  <c r="F40" i="14"/>
  <c r="F42" i="14"/>
  <c r="F46" i="14"/>
  <c r="F29" i="14"/>
  <c r="F47" i="14"/>
  <c r="F45" i="14"/>
  <c r="F31" i="14"/>
  <c r="F32" i="14"/>
  <c r="F33" i="14"/>
  <c r="F238" i="15"/>
  <c r="I43" i="14"/>
  <c r="I36" i="52"/>
  <c r="I37" i="52" s="1"/>
  <c r="F11" i="14" l="1"/>
  <c r="J48" i="14"/>
  <c r="Q8" i="51"/>
  <c r="O8" i="51"/>
  <c r="M8" i="51"/>
  <c r="E45" i="14" l="1"/>
  <c r="E42" i="14"/>
  <c r="E31" i="14"/>
  <c r="E10" i="14"/>
  <c r="E11" i="14" s="1"/>
  <c r="H11" i="14" s="1"/>
  <c r="E15" i="14"/>
  <c r="D11" i="55"/>
  <c r="D14" i="55"/>
  <c r="C11" i="55"/>
  <c r="C12" i="55"/>
  <c r="I35" i="16" l="1"/>
  <c r="J239" i="15"/>
  <c r="J240" i="15"/>
  <c r="E240" i="15" s="1"/>
  <c r="J241" i="15"/>
  <c r="E241" i="15" s="1"/>
  <c r="J242" i="15"/>
  <c r="J243" i="15"/>
  <c r="F243" i="15" s="1"/>
  <c r="J244" i="15"/>
  <c r="E244" i="15" s="1"/>
  <c r="J245" i="15"/>
  <c r="F244" i="15" l="1"/>
  <c r="E243" i="15"/>
  <c r="I34" i="16"/>
  <c r="I33" i="16"/>
  <c r="D45" i="14"/>
  <c r="C31" i="14"/>
  <c r="C11" i="14"/>
  <c r="D10" i="14"/>
  <c r="D11" i="14" s="1"/>
  <c r="C10" i="14"/>
  <c r="E242" i="15"/>
  <c r="F239" i="15"/>
  <c r="E239" i="15" s="1"/>
  <c r="F240" i="15"/>
  <c r="F242" i="15"/>
  <c r="J238" i="15"/>
  <c r="E238" i="15" l="1"/>
  <c r="F241" i="15"/>
  <c r="H28" i="16"/>
  <c r="H27" i="16"/>
  <c r="H26" i="16"/>
  <c r="H25" i="16"/>
  <c r="H24" i="16"/>
  <c r="H23" i="16"/>
  <c r="H19" i="16"/>
  <c r="H18" i="16"/>
  <c r="H17" i="16"/>
  <c r="H16" i="16"/>
  <c r="H15" i="16"/>
  <c r="H14" i="16"/>
  <c r="F22" i="16"/>
  <c r="F13" i="16"/>
  <c r="H56" i="15" l="1"/>
  <c r="S37" i="16"/>
  <c r="R37" i="16"/>
  <c r="M35" i="16"/>
  <c r="E33" i="16"/>
  <c r="E34" i="16"/>
  <c r="E35" i="16"/>
  <c r="D35" i="16"/>
  <c r="D34" i="16"/>
  <c r="D33" i="16"/>
  <c r="C35" i="16"/>
  <c r="C34" i="16"/>
  <c r="C33" i="16"/>
  <c r="B35" i="16"/>
  <c r="B34" i="16"/>
  <c r="B33" i="16"/>
  <c r="Y11" i="51"/>
  <c r="M15" i="14"/>
  <c r="L14" i="14"/>
  <c r="D12" i="55"/>
  <c r="D5" i="55"/>
  <c r="M14" i="14" l="1"/>
  <c r="M16" i="14"/>
  <c r="L32" i="52"/>
  <c r="M32" i="52"/>
  <c r="L36" i="52"/>
  <c r="M17" i="14" l="1"/>
  <c r="L38" i="52"/>
  <c r="L37" i="52"/>
  <c r="Q50" i="51"/>
  <c r="O50" i="51"/>
  <c r="M50" i="51"/>
  <c r="F57" i="14"/>
  <c r="E57" i="14"/>
  <c r="D57" i="14"/>
  <c r="C57" i="14"/>
  <c r="F11" i="16" l="1"/>
  <c r="F33" i="16" s="1"/>
  <c r="G6" i="14" l="1"/>
  <c r="C3" i="55" s="1"/>
  <c r="C14" i="55" l="1"/>
  <c r="E5" i="14"/>
  <c r="D5" i="14"/>
  <c r="F81" i="14"/>
  <c r="D21" i="14" l="1"/>
  <c r="E21" i="14"/>
  <c r="J41" i="14" l="1"/>
  <c r="L6" i="14"/>
  <c r="G8" i="9"/>
  <c r="A16" i="39" l="1"/>
  <c r="A17" i="39" s="1"/>
  <c r="A15" i="39"/>
  <c r="F13" i="39"/>
  <c r="E13" i="39"/>
  <c r="D13" i="39"/>
  <c r="C13" i="39"/>
  <c r="F12" i="39"/>
  <c r="E12" i="39"/>
  <c r="D12" i="39"/>
  <c r="C12" i="39"/>
  <c r="A8" i="39"/>
  <c r="A7" i="39"/>
  <c r="F96" i="14"/>
  <c r="E96" i="14"/>
  <c r="D96" i="14"/>
  <c r="C96" i="14"/>
  <c r="F93" i="14"/>
  <c r="G93" i="14" s="1"/>
  <c r="E93" i="14"/>
  <c r="D93" i="14"/>
  <c r="C93" i="14"/>
  <c r="F91" i="14"/>
  <c r="E91" i="14"/>
  <c r="D91" i="14"/>
  <c r="C91" i="14"/>
  <c r="G90" i="14"/>
  <c r="F90" i="14"/>
  <c r="E90" i="14"/>
  <c r="D90" i="14"/>
  <c r="C90" i="14"/>
  <c r="E81" i="14"/>
  <c r="D81" i="14"/>
  <c r="C81" i="14"/>
  <c r="A81" i="14"/>
  <c r="A82" i="14" s="1"/>
  <c r="F80" i="14"/>
  <c r="E80" i="14"/>
  <c r="D80" i="14"/>
  <c r="C80" i="14"/>
  <c r="F79" i="14"/>
  <c r="E79" i="14"/>
  <c r="D79" i="14"/>
  <c r="C79" i="14"/>
  <c r="F73" i="14"/>
  <c r="E73" i="14"/>
  <c r="D73" i="14"/>
  <c r="C73" i="14"/>
  <c r="A73" i="14"/>
  <c r="A74" i="14" s="1"/>
  <c r="A75" i="14" s="1"/>
  <c r="A76" i="14" s="1"/>
  <c r="A77" i="14" s="1"/>
  <c r="A78" i="14" s="1"/>
  <c r="G72" i="14"/>
  <c r="F72" i="14"/>
  <c r="E72" i="14"/>
  <c r="D72" i="14"/>
  <c r="C72" i="14"/>
  <c r="C83" i="14" l="1"/>
  <c r="D83" i="14"/>
  <c r="E83" i="14"/>
  <c r="F83" i="14"/>
  <c r="A18" i="39"/>
  <c r="A9" i="39"/>
  <c r="A10" i="39" l="1"/>
  <c r="A19" i="39"/>
  <c r="A20" i="39" l="1"/>
  <c r="F49" i="14"/>
  <c r="D49" i="14"/>
  <c r="K11" i="14" s="1"/>
  <c r="E49" i="14"/>
  <c r="L11" i="14" s="1"/>
  <c r="C49" i="14"/>
  <c r="J11" i="14" s="1"/>
  <c r="G52" i="14"/>
  <c r="G80" i="14" s="1"/>
  <c r="J38" i="14" l="1"/>
  <c r="M11" i="14"/>
  <c r="K20" i="52" s="1"/>
  <c r="J42" i="14"/>
  <c r="A21" i="39"/>
  <c r="G15" i="14"/>
  <c r="G9" i="14"/>
  <c r="L23" i="14"/>
  <c r="G51" i="14"/>
  <c r="G81" i="14" s="1"/>
  <c r="G50" i="14"/>
  <c r="G79" i="14" s="1"/>
  <c r="F8" i="14"/>
  <c r="F12" i="14" s="1"/>
  <c r="F14" i="14" s="1"/>
  <c r="F17" i="14" s="1"/>
  <c r="C8" i="14"/>
  <c r="K14" i="14"/>
  <c r="K15" i="14"/>
  <c r="J23" i="14"/>
  <c r="E8" i="14"/>
  <c r="E12" i="14" s="1"/>
  <c r="D8" i="14"/>
  <c r="D12" i="14" s="1"/>
  <c r="D14" i="14" s="1"/>
  <c r="D17" i="14" s="1"/>
  <c r="D19" i="14" s="1"/>
  <c r="I51" i="14" l="1"/>
  <c r="F55" i="14"/>
  <c r="M19" i="14"/>
  <c r="G83" i="14"/>
  <c r="D94" i="14"/>
  <c r="D95" i="14"/>
  <c r="A22" i="39"/>
  <c r="G49" i="14"/>
  <c r="F19" i="14"/>
  <c r="K19" i="14"/>
  <c r="K21" i="14"/>
  <c r="M12" i="14"/>
  <c r="C12" i="14"/>
  <c r="C14" i="14" s="1"/>
  <c r="C17" i="14" s="1"/>
  <c r="C19" i="14" s="1"/>
  <c r="E14" i="14"/>
  <c r="E17" i="14" s="1"/>
  <c r="E19" i="14" s="1"/>
  <c r="L24" i="14" l="1"/>
  <c r="E95" i="14"/>
  <c r="E94" i="14"/>
  <c r="K24" i="14"/>
  <c r="C94" i="14"/>
  <c r="C95" i="14"/>
  <c r="F94" i="14"/>
  <c r="F95" i="14"/>
  <c r="A23" i="39"/>
  <c r="F69" i="14"/>
  <c r="M21" i="14"/>
  <c r="L21" i="14"/>
  <c r="L22" i="14"/>
  <c r="L19" i="14"/>
  <c r="J21" i="14"/>
  <c r="J22" i="14"/>
  <c r="J24" i="14" l="1"/>
  <c r="M24" i="14"/>
  <c r="A24" i="39"/>
  <c r="K23" i="14"/>
  <c r="M23" i="14"/>
  <c r="K22" i="14"/>
  <c r="M22" i="14"/>
  <c r="G18" i="14"/>
  <c r="J15" i="14"/>
  <c r="J19" i="14"/>
  <c r="N23" i="14" l="1"/>
  <c r="G96" i="14"/>
  <c r="A25" i="39"/>
  <c r="A26" i="39" l="1"/>
  <c r="G4" i="14"/>
  <c r="G16" i="14"/>
  <c r="H8" i="9"/>
  <c r="G7" i="14"/>
  <c r="Z9" i="15"/>
  <c r="D11" i="15" s="1"/>
  <c r="F11" i="15" s="1"/>
  <c r="F23" i="8" s="1"/>
  <c r="Z8" i="15"/>
  <c r="D10" i="15" s="1"/>
  <c r="F10" i="15" s="1"/>
  <c r="F22" i="8" s="1"/>
  <c r="G10" i="14"/>
  <c r="G11" i="14"/>
  <c r="G13" i="14"/>
  <c r="W9" i="15"/>
  <c r="W8" i="15"/>
  <c r="X9" i="15"/>
  <c r="X8" i="15"/>
  <c r="C27" i="14"/>
  <c r="Y8" i="15"/>
  <c r="Y9" i="15"/>
  <c r="G40" i="14"/>
  <c r="F5" i="14"/>
  <c r="K8" i="52" s="1"/>
  <c r="F35" i="14"/>
  <c r="F76" i="14" s="1"/>
  <c r="F41" i="14"/>
  <c r="E35" i="14"/>
  <c r="E76" i="14" s="1"/>
  <c r="E41" i="14"/>
  <c r="G29" i="14"/>
  <c r="G43" i="14"/>
  <c r="G44" i="14"/>
  <c r="J12" i="14"/>
  <c r="C5" i="14"/>
  <c r="E27" i="14"/>
  <c r="E25" i="14" s="1"/>
  <c r="E74" i="14" s="1"/>
  <c r="G26" i="14"/>
  <c r="H10" i="9" s="1"/>
  <c r="G28" i="14"/>
  <c r="G30" i="14"/>
  <c r="G31" i="14"/>
  <c r="G32" i="14"/>
  <c r="H11" i="9" s="1"/>
  <c r="G33" i="14"/>
  <c r="G42" i="14"/>
  <c r="G45" i="14"/>
  <c r="G46" i="14"/>
  <c r="G47" i="14"/>
  <c r="G36" i="14"/>
  <c r="G37" i="14"/>
  <c r="G38" i="14"/>
  <c r="L15" i="14"/>
  <c r="L16" i="14"/>
  <c r="G24" i="14"/>
  <c r="G73" i="14" s="1"/>
  <c r="C41" i="14"/>
  <c r="D27" i="14"/>
  <c r="D25" i="14" s="1"/>
  <c r="D74" i="14" s="1"/>
  <c r="D41" i="14"/>
  <c r="C35" i="14"/>
  <c r="C76" i="14" s="1"/>
  <c r="D35" i="14"/>
  <c r="D76" i="14" s="1"/>
  <c r="J16" i="14"/>
  <c r="K16" i="14"/>
  <c r="K6" i="14"/>
  <c r="F27" i="14"/>
  <c r="F25" i="14" s="1"/>
  <c r="I30" i="14" s="1"/>
  <c r="N3" i="14"/>
  <c r="M3" i="14"/>
  <c r="L3" i="14"/>
  <c r="K3" i="14"/>
  <c r="J3" i="14"/>
  <c r="D12" i="15"/>
  <c r="F12" i="15"/>
  <c r="F24" i="8"/>
  <c r="M6" i="14"/>
  <c r="H11" i="16"/>
  <c r="F20" i="16"/>
  <c r="I22" i="16"/>
  <c r="H22" i="16"/>
  <c r="F46" i="15"/>
  <c r="H46" i="15"/>
  <c r="F47" i="15"/>
  <c r="H47" i="15" s="1"/>
  <c r="F48" i="15"/>
  <c r="H48" i="15" s="1"/>
  <c r="F49" i="15"/>
  <c r="H49" i="15" s="1"/>
  <c r="F50" i="15"/>
  <c r="H50" i="15" s="1"/>
  <c r="F51" i="15"/>
  <c r="H51" i="15" s="1"/>
  <c r="F52" i="15"/>
  <c r="H52" i="15" s="1"/>
  <c r="F53" i="15"/>
  <c r="H53" i="15" s="1"/>
  <c r="F217" i="15"/>
  <c r="F54" i="15" s="1"/>
  <c r="H54" i="15" s="1"/>
  <c r="I54" i="15" s="1"/>
  <c r="F235" i="15"/>
  <c r="F55" i="15" s="1"/>
  <c r="H55" i="15" s="1"/>
  <c r="I55" i="15" s="1"/>
  <c r="F57" i="15"/>
  <c r="H57" i="15" s="1"/>
  <c r="F289" i="15"/>
  <c r="F58" i="15" s="1"/>
  <c r="P46" i="15"/>
  <c r="R46" i="15" s="1"/>
  <c r="P47" i="15"/>
  <c r="R47" i="15" s="1"/>
  <c r="P48" i="15"/>
  <c r="R48" i="15" s="1"/>
  <c r="P49" i="15"/>
  <c r="R49" i="15" s="1"/>
  <c r="P50" i="15"/>
  <c r="R50" i="15" s="1"/>
  <c r="P51" i="15"/>
  <c r="R51" i="15" s="1"/>
  <c r="P52" i="15"/>
  <c r="R52" i="15" s="1"/>
  <c r="P53" i="15"/>
  <c r="R53" i="15" s="1"/>
  <c r="P217" i="15"/>
  <c r="P54" i="15" s="1"/>
  <c r="P235" i="15"/>
  <c r="P55" i="15"/>
  <c r="R55" i="15" s="1"/>
  <c r="S55" i="15" s="1"/>
  <c r="P253" i="15"/>
  <c r="P56" i="15" s="1"/>
  <c r="R56" i="15" s="1"/>
  <c r="P57" i="15"/>
  <c r="R57" i="15" s="1"/>
  <c r="P289" i="15"/>
  <c r="P58" i="15" s="1"/>
  <c r="R58" i="15" s="1"/>
  <c r="H62" i="15"/>
  <c r="I62" i="15"/>
  <c r="H63" i="15"/>
  <c r="I63" i="15" s="1"/>
  <c r="H64" i="15"/>
  <c r="I64" i="15" s="1"/>
  <c r="H65" i="15"/>
  <c r="I65" i="15"/>
  <c r="H66" i="15"/>
  <c r="I66" i="15"/>
  <c r="H67" i="15"/>
  <c r="I67" i="15"/>
  <c r="H68" i="15"/>
  <c r="I68" i="15" s="1"/>
  <c r="H69" i="15"/>
  <c r="I69" i="15"/>
  <c r="H70" i="15"/>
  <c r="I70" i="15"/>
  <c r="H71" i="15"/>
  <c r="I71" i="15"/>
  <c r="H72" i="15"/>
  <c r="I72" i="15" s="1"/>
  <c r="H73" i="15"/>
  <c r="I73" i="15"/>
  <c r="H74" i="15"/>
  <c r="I74" i="15"/>
  <c r="H75" i="15"/>
  <c r="I75" i="15"/>
  <c r="H76" i="15"/>
  <c r="I76" i="15" s="1"/>
  <c r="H80" i="15"/>
  <c r="I80" i="15"/>
  <c r="H81" i="15"/>
  <c r="I81" i="15"/>
  <c r="H82" i="15"/>
  <c r="I82" i="15"/>
  <c r="H83" i="15"/>
  <c r="I83" i="15" s="1"/>
  <c r="H84" i="15"/>
  <c r="I84" i="15"/>
  <c r="H85" i="15"/>
  <c r="I85" i="15"/>
  <c r="H86" i="15"/>
  <c r="I86" i="15"/>
  <c r="H87" i="15"/>
  <c r="I87" i="15" s="1"/>
  <c r="H88" i="15"/>
  <c r="I88" i="15"/>
  <c r="H89" i="15"/>
  <c r="I89" i="15"/>
  <c r="H90" i="15"/>
  <c r="I90" i="15"/>
  <c r="H91" i="15"/>
  <c r="I91" i="15" s="1"/>
  <c r="H92" i="15"/>
  <c r="I92" i="15"/>
  <c r="H93" i="15"/>
  <c r="I93" i="15"/>
  <c r="H94" i="15"/>
  <c r="I94" i="15"/>
  <c r="H98" i="15"/>
  <c r="I98" i="15" s="1"/>
  <c r="H99" i="15"/>
  <c r="I99" i="15"/>
  <c r="H100" i="15"/>
  <c r="I100" i="15"/>
  <c r="H101" i="15"/>
  <c r="I101" i="15"/>
  <c r="H102" i="15"/>
  <c r="I102" i="15" s="1"/>
  <c r="H103" i="15"/>
  <c r="I103" i="15"/>
  <c r="H104" i="15"/>
  <c r="I104" i="15"/>
  <c r="H105" i="15"/>
  <c r="I105" i="15"/>
  <c r="H106" i="15"/>
  <c r="I106" i="15" s="1"/>
  <c r="H107" i="15"/>
  <c r="I107" i="15"/>
  <c r="H108" i="15"/>
  <c r="I108" i="15"/>
  <c r="H109" i="15"/>
  <c r="I109" i="15"/>
  <c r="H110" i="15"/>
  <c r="I110" i="15" s="1"/>
  <c r="H111" i="15"/>
  <c r="I111" i="15"/>
  <c r="H112" i="15"/>
  <c r="I112" i="15"/>
  <c r="H116" i="15"/>
  <c r="I116" i="15"/>
  <c r="H117" i="15"/>
  <c r="I117" i="15" s="1"/>
  <c r="H118" i="15"/>
  <c r="I118" i="15" s="1"/>
  <c r="H119" i="15"/>
  <c r="I119" i="15" s="1"/>
  <c r="H120" i="15"/>
  <c r="I120" i="15"/>
  <c r="H121" i="15"/>
  <c r="I121" i="15" s="1"/>
  <c r="H122" i="15"/>
  <c r="I122" i="15"/>
  <c r="H123" i="15"/>
  <c r="I123" i="15"/>
  <c r="H124" i="15"/>
  <c r="I124" i="15"/>
  <c r="H125" i="15"/>
  <c r="I125" i="15" s="1"/>
  <c r="H126" i="15"/>
  <c r="I126" i="15"/>
  <c r="H127" i="15"/>
  <c r="I127" i="15"/>
  <c r="H128" i="15"/>
  <c r="I128" i="15"/>
  <c r="H129" i="15"/>
  <c r="I129" i="15" s="1"/>
  <c r="H130" i="15"/>
  <c r="I130" i="15"/>
  <c r="H134" i="15"/>
  <c r="I134" i="15" s="1"/>
  <c r="H135" i="15"/>
  <c r="I135" i="15" s="1"/>
  <c r="H136" i="15"/>
  <c r="I136" i="15" s="1"/>
  <c r="H137" i="15"/>
  <c r="I137" i="15" s="1"/>
  <c r="H138" i="15"/>
  <c r="I138" i="15" s="1"/>
  <c r="H139" i="15"/>
  <c r="I139" i="15" s="1"/>
  <c r="H140" i="15"/>
  <c r="I140" i="15" s="1"/>
  <c r="H141" i="15"/>
  <c r="I141" i="15" s="1"/>
  <c r="H142" i="15"/>
  <c r="I142" i="15" s="1"/>
  <c r="H143" i="15"/>
  <c r="I143" i="15" s="1"/>
  <c r="H144" i="15"/>
  <c r="I144" i="15" s="1"/>
  <c r="H145" i="15"/>
  <c r="I145" i="15" s="1"/>
  <c r="H146" i="15"/>
  <c r="I146" i="15" s="1"/>
  <c r="H147" i="15"/>
  <c r="I147" i="15" s="1"/>
  <c r="H148" i="15"/>
  <c r="I148" i="15" s="1"/>
  <c r="H152" i="15"/>
  <c r="I152" i="15" s="1"/>
  <c r="H153" i="15"/>
  <c r="I153" i="15" s="1"/>
  <c r="H154" i="15"/>
  <c r="I154" i="15" s="1"/>
  <c r="H155" i="15"/>
  <c r="I155" i="15" s="1"/>
  <c r="H156" i="15"/>
  <c r="I156" i="15" s="1"/>
  <c r="H157" i="15"/>
  <c r="I157" i="15" s="1"/>
  <c r="H158" i="15"/>
  <c r="I158" i="15" s="1"/>
  <c r="H159" i="15"/>
  <c r="I159" i="15" s="1"/>
  <c r="H160" i="15"/>
  <c r="I160" i="15" s="1"/>
  <c r="H161" i="15"/>
  <c r="I161" i="15" s="1"/>
  <c r="H162" i="15"/>
  <c r="I162" i="15" s="1"/>
  <c r="H163" i="15"/>
  <c r="I163" i="15" s="1"/>
  <c r="H164" i="15"/>
  <c r="I164" i="15" s="1"/>
  <c r="H165" i="15"/>
  <c r="I165" i="15" s="1"/>
  <c r="H166" i="15"/>
  <c r="I166" i="15" s="1"/>
  <c r="H170" i="15"/>
  <c r="I170" i="15" s="1"/>
  <c r="H171" i="15"/>
  <c r="I171" i="15" s="1"/>
  <c r="H172" i="15"/>
  <c r="I172" i="15" s="1"/>
  <c r="H173" i="15"/>
  <c r="I173" i="15" s="1"/>
  <c r="H174" i="15"/>
  <c r="I174" i="15" s="1"/>
  <c r="H175" i="15"/>
  <c r="I175" i="15" s="1"/>
  <c r="H176" i="15"/>
  <c r="I176" i="15" s="1"/>
  <c r="H177" i="15"/>
  <c r="I177" i="15" s="1"/>
  <c r="H178" i="15"/>
  <c r="I178" i="15" s="1"/>
  <c r="H179" i="15"/>
  <c r="I179" i="15" s="1"/>
  <c r="H180" i="15"/>
  <c r="I180" i="15" s="1"/>
  <c r="H181" i="15"/>
  <c r="I181" i="15" s="1"/>
  <c r="H182" i="15"/>
  <c r="I182" i="15" s="1"/>
  <c r="H183" i="15"/>
  <c r="I183" i="15" s="1"/>
  <c r="H184" i="15"/>
  <c r="I184" i="15" s="1"/>
  <c r="H188" i="15"/>
  <c r="I188" i="15" s="1"/>
  <c r="H189" i="15"/>
  <c r="I189" i="15" s="1"/>
  <c r="H190" i="15"/>
  <c r="I190" i="15" s="1"/>
  <c r="H191" i="15"/>
  <c r="I191" i="15" s="1"/>
  <c r="H192" i="15"/>
  <c r="I192" i="15" s="1"/>
  <c r="H193" i="15"/>
  <c r="I193" i="15" s="1"/>
  <c r="H194" i="15"/>
  <c r="I194" i="15" s="1"/>
  <c r="H195" i="15"/>
  <c r="I195" i="15" s="1"/>
  <c r="H196" i="15"/>
  <c r="I196" i="15" s="1"/>
  <c r="H197" i="15"/>
  <c r="I197" i="15" s="1"/>
  <c r="H198" i="15"/>
  <c r="I198" i="15" s="1"/>
  <c r="H199" i="15"/>
  <c r="I199" i="15"/>
  <c r="H200" i="15"/>
  <c r="I200" i="15" s="1"/>
  <c r="H201" i="15"/>
  <c r="I201" i="15" s="1"/>
  <c r="H202" i="15"/>
  <c r="I202" i="15" s="1"/>
  <c r="G54" i="15"/>
  <c r="G55" i="15"/>
  <c r="G56" i="15"/>
  <c r="I256" i="15"/>
  <c r="H257" i="15"/>
  <c r="I257" i="15" s="1"/>
  <c r="H258" i="15"/>
  <c r="I258" i="15"/>
  <c r="H259" i="15"/>
  <c r="I259" i="15" s="1"/>
  <c r="H260" i="15"/>
  <c r="I260" i="15"/>
  <c r="H261" i="15"/>
  <c r="I261" i="15" s="1"/>
  <c r="H262" i="15"/>
  <c r="I262" i="15"/>
  <c r="H263" i="15"/>
  <c r="I263" i="15" s="1"/>
  <c r="H264" i="15"/>
  <c r="I264" i="15" s="1"/>
  <c r="H265" i="15"/>
  <c r="I265" i="15" s="1"/>
  <c r="H266" i="15"/>
  <c r="I266" i="15"/>
  <c r="H267" i="15"/>
  <c r="I267" i="15" s="1"/>
  <c r="H268" i="15"/>
  <c r="I268" i="15"/>
  <c r="H269" i="15"/>
  <c r="I269" i="15" s="1"/>
  <c r="H270" i="15"/>
  <c r="I270" i="15" s="1"/>
  <c r="G58" i="15"/>
  <c r="R62" i="15"/>
  <c r="S62" i="15"/>
  <c r="R63" i="15"/>
  <c r="S63" i="15"/>
  <c r="R64" i="15"/>
  <c r="S64" i="15" s="1"/>
  <c r="R65" i="15"/>
  <c r="S65" i="15" s="1"/>
  <c r="R66" i="15"/>
  <c r="S66" i="15"/>
  <c r="R67" i="15"/>
  <c r="S67" i="15"/>
  <c r="R68" i="15"/>
  <c r="S68" i="15" s="1"/>
  <c r="R69" i="15"/>
  <c r="S69" i="15" s="1"/>
  <c r="R70" i="15"/>
  <c r="S70" i="15" s="1"/>
  <c r="R71" i="15"/>
  <c r="S71" i="15"/>
  <c r="R72" i="15"/>
  <c r="S72" i="15" s="1"/>
  <c r="R73" i="15"/>
  <c r="S73" i="15"/>
  <c r="R74" i="15"/>
  <c r="S74" i="15" s="1"/>
  <c r="R75" i="15"/>
  <c r="S75" i="15" s="1"/>
  <c r="R76" i="15"/>
  <c r="S76" i="15" s="1"/>
  <c r="R80" i="15"/>
  <c r="S80" i="15" s="1"/>
  <c r="R81" i="15"/>
  <c r="S81" i="15" s="1"/>
  <c r="R82" i="15"/>
  <c r="S82" i="15" s="1"/>
  <c r="R83" i="15"/>
  <c r="S83" i="15"/>
  <c r="R84" i="15"/>
  <c r="S84" i="15"/>
  <c r="R85" i="15"/>
  <c r="S85" i="15"/>
  <c r="R86" i="15"/>
  <c r="S86" i="15" s="1"/>
  <c r="R87" i="15"/>
  <c r="S87" i="15" s="1"/>
  <c r="R88" i="15"/>
  <c r="S88" i="15" s="1"/>
  <c r="R89" i="15"/>
  <c r="S89" i="15" s="1"/>
  <c r="R90" i="15"/>
  <c r="S90" i="15" s="1"/>
  <c r="R91" i="15"/>
  <c r="S91" i="15" s="1"/>
  <c r="R92" i="15"/>
  <c r="S92" i="15"/>
  <c r="R93" i="15"/>
  <c r="S93" i="15"/>
  <c r="R94" i="15"/>
  <c r="S94" i="15" s="1"/>
  <c r="R98" i="15"/>
  <c r="S98" i="15" s="1"/>
  <c r="R99" i="15"/>
  <c r="S99" i="15"/>
  <c r="R100" i="15"/>
  <c r="S100" i="15" s="1"/>
  <c r="R101" i="15"/>
  <c r="S101" i="15"/>
  <c r="R102" i="15"/>
  <c r="S102" i="15"/>
  <c r="R103" i="15"/>
  <c r="S103" i="15" s="1"/>
  <c r="R104" i="15"/>
  <c r="S104" i="15" s="1"/>
  <c r="R105" i="15"/>
  <c r="S105" i="15" s="1"/>
  <c r="R106" i="15"/>
  <c r="S106" i="15" s="1"/>
  <c r="R107" i="15"/>
  <c r="S107" i="15" s="1"/>
  <c r="R108" i="15"/>
  <c r="S108" i="15" s="1"/>
  <c r="R109" i="15"/>
  <c r="S109" i="15" s="1"/>
  <c r="R110" i="15"/>
  <c r="S110" i="15"/>
  <c r="R111" i="15"/>
  <c r="S111" i="15"/>
  <c r="R112" i="15"/>
  <c r="S112" i="15" s="1"/>
  <c r="R116" i="15"/>
  <c r="S116" i="15"/>
  <c r="R117" i="15"/>
  <c r="S117" i="15" s="1"/>
  <c r="R118" i="15"/>
  <c r="S118" i="15" s="1"/>
  <c r="R119" i="15"/>
  <c r="S119" i="15"/>
  <c r="R120" i="15"/>
  <c r="S120" i="15" s="1"/>
  <c r="R121" i="15"/>
  <c r="S121" i="15"/>
  <c r="R122" i="15"/>
  <c r="S122" i="15" s="1"/>
  <c r="R123" i="15"/>
  <c r="S123" i="15" s="1"/>
  <c r="R124" i="15"/>
  <c r="S124" i="15" s="1"/>
  <c r="R125" i="15"/>
  <c r="S125" i="15" s="1"/>
  <c r="R126" i="15"/>
  <c r="S126" i="15" s="1"/>
  <c r="R127" i="15"/>
  <c r="S127" i="15"/>
  <c r="R128" i="15"/>
  <c r="S128" i="15"/>
  <c r="R129" i="15"/>
  <c r="S129" i="15" s="1"/>
  <c r="R130" i="15"/>
  <c r="S130" i="15" s="1"/>
  <c r="R134" i="15"/>
  <c r="S134" i="15" s="1"/>
  <c r="R135" i="15"/>
  <c r="S135" i="15" s="1"/>
  <c r="R136" i="15"/>
  <c r="S136" i="15" s="1"/>
  <c r="R137" i="15"/>
  <c r="S137" i="15" s="1"/>
  <c r="R138" i="15"/>
  <c r="S138" i="15"/>
  <c r="R139" i="15"/>
  <c r="S139" i="15"/>
  <c r="R140" i="15"/>
  <c r="S140" i="15" s="1"/>
  <c r="R141" i="15"/>
  <c r="S141" i="15" s="1"/>
  <c r="R142" i="15"/>
  <c r="S142" i="15"/>
  <c r="R143" i="15"/>
  <c r="S143" i="15" s="1"/>
  <c r="R144" i="15"/>
  <c r="S144" i="15" s="1"/>
  <c r="R145" i="15"/>
  <c r="S145" i="15"/>
  <c r="R146" i="15"/>
  <c r="S146" i="15" s="1"/>
  <c r="R147" i="15"/>
  <c r="S147" i="15"/>
  <c r="R148" i="15"/>
  <c r="S148" i="15" s="1"/>
  <c r="R152" i="15"/>
  <c r="S152" i="15" s="1"/>
  <c r="R153" i="15"/>
  <c r="S153" i="15" s="1"/>
  <c r="R154" i="15"/>
  <c r="S154" i="15" s="1"/>
  <c r="R155" i="15"/>
  <c r="S155" i="15"/>
  <c r="R156" i="15"/>
  <c r="S156" i="15"/>
  <c r="R157" i="15"/>
  <c r="S157" i="15"/>
  <c r="R158" i="15"/>
  <c r="S158" i="15" s="1"/>
  <c r="R159" i="15"/>
  <c r="S159" i="15" s="1"/>
  <c r="R160" i="15"/>
  <c r="S160" i="15"/>
  <c r="R161" i="15"/>
  <c r="S161" i="15" s="1"/>
  <c r="R162" i="15"/>
  <c r="S162" i="15" s="1"/>
  <c r="R163" i="15"/>
  <c r="S163" i="15" s="1"/>
  <c r="R164" i="15"/>
  <c r="S164" i="15"/>
  <c r="R165" i="15"/>
  <c r="S165" i="15"/>
  <c r="R166" i="15"/>
  <c r="S166" i="15" s="1"/>
  <c r="R170" i="15"/>
  <c r="S170" i="15" s="1"/>
  <c r="R171" i="15"/>
  <c r="S171" i="15" s="1"/>
  <c r="R172" i="15"/>
  <c r="S172" i="15" s="1"/>
  <c r="R173" i="15"/>
  <c r="S173" i="15"/>
  <c r="R174" i="15"/>
  <c r="S174" i="15"/>
  <c r="R175" i="15"/>
  <c r="S175" i="15" s="1"/>
  <c r="R176" i="15"/>
  <c r="S176" i="15" s="1"/>
  <c r="R177" i="15"/>
  <c r="S177" i="15"/>
  <c r="R178" i="15"/>
  <c r="S178" i="15" s="1"/>
  <c r="R179" i="15"/>
  <c r="S179" i="15" s="1"/>
  <c r="R180" i="15"/>
  <c r="S180" i="15" s="1"/>
  <c r="R181" i="15"/>
  <c r="S181" i="15" s="1"/>
  <c r="R182" i="15"/>
  <c r="S182" i="15"/>
  <c r="R183" i="15"/>
  <c r="S183" i="15"/>
  <c r="R184" i="15"/>
  <c r="S184" i="15" s="1"/>
  <c r="R188" i="15"/>
  <c r="S188" i="15"/>
  <c r="R189" i="15"/>
  <c r="S189" i="15" s="1"/>
  <c r="R190" i="15"/>
  <c r="S190" i="15" s="1"/>
  <c r="R191" i="15"/>
  <c r="S191" i="15"/>
  <c r="R192" i="15"/>
  <c r="S192" i="15" s="1"/>
  <c r="R193" i="15"/>
  <c r="S193" i="15"/>
  <c r="R194" i="15"/>
  <c r="S194" i="15" s="1"/>
  <c r="R195" i="15"/>
  <c r="S195" i="15" s="1"/>
  <c r="R196" i="15"/>
  <c r="S196" i="15" s="1"/>
  <c r="R197" i="15"/>
  <c r="S197" i="15"/>
  <c r="R198" i="15"/>
  <c r="S198" i="15" s="1"/>
  <c r="R199" i="15"/>
  <c r="S199" i="15" s="1"/>
  <c r="R200" i="15"/>
  <c r="S200" i="15"/>
  <c r="R201" i="15"/>
  <c r="S201" i="15" s="1"/>
  <c r="R202" i="15"/>
  <c r="S202" i="15" s="1"/>
  <c r="Q54" i="15"/>
  <c r="Q55" i="15"/>
  <c r="Q56" i="15"/>
  <c r="S256" i="15"/>
  <c r="R257" i="15"/>
  <c r="S257" i="15" s="1"/>
  <c r="R258" i="15"/>
  <c r="S258" i="15"/>
  <c r="R259" i="15"/>
  <c r="S259" i="15"/>
  <c r="R260" i="15"/>
  <c r="S260" i="15"/>
  <c r="R261" i="15"/>
  <c r="S261" i="15" s="1"/>
  <c r="R262" i="15"/>
  <c r="S262" i="15" s="1"/>
  <c r="R263" i="15"/>
  <c r="S263" i="15" s="1"/>
  <c r="R264" i="15"/>
  <c r="S264" i="15"/>
  <c r="R265" i="15"/>
  <c r="S265" i="15" s="1"/>
  <c r="R266" i="15"/>
  <c r="S266" i="15" s="1"/>
  <c r="R267" i="15"/>
  <c r="S267" i="15" s="1"/>
  <c r="R268" i="15"/>
  <c r="S268" i="15"/>
  <c r="R269" i="15"/>
  <c r="S269" i="15" s="1"/>
  <c r="R270" i="15"/>
  <c r="S270" i="15" s="1"/>
  <c r="Q58" i="15"/>
  <c r="S44" i="6"/>
  <c r="S45" i="6"/>
  <c r="S46" i="6"/>
  <c r="S59" i="6"/>
  <c r="Q32" i="6"/>
  <c r="Q41" i="6"/>
  <c r="D8" i="6"/>
  <c r="D6" i="6"/>
  <c r="J6" i="6"/>
  <c r="F18" i="8"/>
  <c r="D13" i="15"/>
  <c r="E29" i="16"/>
  <c r="D29" i="16"/>
  <c r="P24" i="16"/>
  <c r="P25" i="16"/>
  <c r="P26" i="16"/>
  <c r="P27" i="16"/>
  <c r="P28" i="16"/>
  <c r="P23" i="16"/>
  <c r="P15" i="16"/>
  <c r="P16" i="16"/>
  <c r="P17" i="16"/>
  <c r="P18" i="16"/>
  <c r="P14" i="16"/>
  <c r="E20" i="16"/>
  <c r="D20" i="16"/>
  <c r="C9" i="32"/>
  <c r="C11" i="32"/>
  <c r="C8" i="32"/>
  <c r="C7" i="32"/>
  <c r="F29" i="16"/>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P10" i="16"/>
  <c r="P9" i="16"/>
  <c r="P8" i="16"/>
  <c r="P7" i="16"/>
  <c r="P6" i="16"/>
  <c r="P5" i="16"/>
  <c r="AB10" i="15"/>
  <c r="AB9" i="15"/>
  <c r="N68" i="9"/>
  <c r="E11" i="16"/>
  <c r="M4" i="14"/>
  <c r="L4" i="14"/>
  <c r="K4" i="14"/>
  <c r="G37" i="16"/>
  <c r="P13" i="16"/>
  <c r="P22" i="16" s="1"/>
  <c r="R28" i="16"/>
  <c r="O28" i="16"/>
  <c r="N28" i="16"/>
  <c r="R27" i="16"/>
  <c r="O27" i="16"/>
  <c r="N27" i="16"/>
  <c r="R26" i="16"/>
  <c r="O26" i="16"/>
  <c r="N26" i="16"/>
  <c r="R25" i="16"/>
  <c r="O25" i="16"/>
  <c r="N25" i="16"/>
  <c r="R24" i="16"/>
  <c r="O24" i="16"/>
  <c r="N24" i="16"/>
  <c r="R23" i="16"/>
  <c r="S29" i="16" s="1"/>
  <c r="O23" i="16"/>
  <c r="N23" i="16"/>
  <c r="R19" i="16"/>
  <c r="R18" i="16"/>
  <c r="O18" i="16"/>
  <c r="N18" i="16"/>
  <c r="R17" i="16"/>
  <c r="O17" i="16"/>
  <c r="N17" i="16"/>
  <c r="R16" i="16"/>
  <c r="O16" i="16"/>
  <c r="N16" i="16"/>
  <c r="R15" i="16"/>
  <c r="O15" i="16"/>
  <c r="N15" i="16"/>
  <c r="R14" i="16"/>
  <c r="S20" i="16" s="1"/>
  <c r="O14" i="16"/>
  <c r="N14" i="16"/>
  <c r="R10" i="16"/>
  <c r="O10" i="16"/>
  <c r="N10" i="16"/>
  <c r="R9" i="16"/>
  <c r="O9" i="16"/>
  <c r="N9" i="16"/>
  <c r="R8" i="16"/>
  <c r="O8" i="16"/>
  <c r="N8" i="16"/>
  <c r="R7" i="16"/>
  <c r="O7" i="16"/>
  <c r="N7" i="16"/>
  <c r="R6" i="16"/>
  <c r="O6" i="16"/>
  <c r="N6" i="16"/>
  <c r="R5" i="16"/>
  <c r="S11" i="16" s="1"/>
  <c r="O5" i="16"/>
  <c r="N5" i="16"/>
  <c r="M29" i="16"/>
  <c r="M28" i="16"/>
  <c r="M27" i="16"/>
  <c r="M26" i="16"/>
  <c r="M25" i="16"/>
  <c r="M24" i="16"/>
  <c r="M23" i="16"/>
  <c r="M20" i="16"/>
  <c r="M19" i="16"/>
  <c r="M18" i="16"/>
  <c r="M17" i="16"/>
  <c r="M16" i="16"/>
  <c r="M15" i="16"/>
  <c r="M14" i="16"/>
  <c r="M13" i="16"/>
  <c r="M34" i="16" s="1"/>
  <c r="M11" i="16"/>
  <c r="M10" i="16"/>
  <c r="M9" i="16"/>
  <c r="M8" i="16"/>
  <c r="M7" i="16"/>
  <c r="M6" i="16"/>
  <c r="M5" i="16"/>
  <c r="M4" i="16"/>
  <c r="M33" i="16" s="1"/>
  <c r="I11" i="16"/>
  <c r="H29" i="16"/>
  <c r="H20" i="16"/>
  <c r="H37" i="16"/>
  <c r="D37" i="16"/>
  <c r="E37" i="16"/>
  <c r="B40" i="6"/>
  <c r="B39" i="6"/>
  <c r="A40" i="6"/>
  <c r="A38" i="6"/>
  <c r="C210" i="6"/>
  <c r="A37" i="6"/>
  <c r="C209" i="6"/>
  <c r="A36" i="6"/>
  <c r="A35" i="6"/>
  <c r="A34" i="6"/>
  <c r="A33" i="6"/>
  <c r="A32" i="6"/>
  <c r="C211" i="6"/>
  <c r="F304" i="15"/>
  <c r="A58" i="15"/>
  <c r="C303" i="15" s="1"/>
  <c r="A57" i="15"/>
  <c r="A56" i="15"/>
  <c r="A55" i="15"/>
  <c r="C300" i="15" s="1"/>
  <c r="A54" i="15"/>
  <c r="A53" i="15"/>
  <c r="C301" i="15" s="1"/>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F8" i="9"/>
  <c r="E8" i="9"/>
  <c r="D8" i="9"/>
  <c r="O149" i="6"/>
  <c r="N149" i="6"/>
  <c r="E149" i="6"/>
  <c r="D149" i="6"/>
  <c r="O167" i="6"/>
  <c r="N167" i="6"/>
  <c r="E167" i="6"/>
  <c r="D167" i="6"/>
  <c r="C208" i="6"/>
  <c r="C213" i="6"/>
  <c r="P185" i="6"/>
  <c r="O185" i="6"/>
  <c r="N185" i="6"/>
  <c r="F21" i="14"/>
  <c r="F70" i="14" s="1"/>
  <c r="N67" i="9"/>
  <c r="N66" i="9"/>
  <c r="N65" i="9"/>
  <c r="J4" i="14"/>
  <c r="E70" i="14"/>
  <c r="D70" i="14"/>
  <c r="C21" i="14"/>
  <c r="C70" i="14" s="1"/>
  <c r="Z289" i="15"/>
  <c r="Z58" i="15" s="1"/>
  <c r="AB58" i="15" s="1"/>
  <c r="Y289" i="15"/>
  <c r="Y58" i="15" s="1"/>
  <c r="X289" i="15"/>
  <c r="X58" i="15" s="1"/>
  <c r="Y271" i="15"/>
  <c r="Y57" i="15" s="1"/>
  <c r="X271" i="15"/>
  <c r="X57" i="15" s="1"/>
  <c r="AB270" i="15"/>
  <c r="AC270" i="15"/>
  <c r="AB269" i="15"/>
  <c r="AC269" i="15"/>
  <c r="AB268" i="15"/>
  <c r="AC268" i="15"/>
  <c r="AB267" i="15"/>
  <c r="AC267" i="15"/>
  <c r="AB266" i="15"/>
  <c r="AC266" i="15"/>
  <c r="AB265" i="15"/>
  <c r="AC265" i="15"/>
  <c r="AB264" i="15"/>
  <c r="AC264" i="15"/>
  <c r="AB263" i="15"/>
  <c r="AC263" i="15"/>
  <c r="AB262" i="15"/>
  <c r="AC262" i="15"/>
  <c r="AB261" i="15"/>
  <c r="AC261" i="15"/>
  <c r="AB260" i="15"/>
  <c r="AC260" i="15"/>
  <c r="AB259" i="15"/>
  <c r="AC259" i="15"/>
  <c r="AB258" i="15"/>
  <c r="AC258" i="15"/>
  <c r="AB257" i="15"/>
  <c r="AC257" i="15"/>
  <c r="AB256" i="15"/>
  <c r="AC256" i="15"/>
  <c r="Z253" i="15"/>
  <c r="Z56" i="15" s="1"/>
  <c r="Y253" i="15"/>
  <c r="Y56" i="15" s="1"/>
  <c r="X253" i="15"/>
  <c r="X56" i="15"/>
  <c r="Z235" i="15"/>
  <c r="Z55" i="15"/>
  <c r="AB55" i="15" s="1"/>
  <c r="AC55" i="15" s="1"/>
  <c r="Y235" i="15"/>
  <c r="Y55" i="15" s="1"/>
  <c r="X235" i="15"/>
  <c r="X55" i="15" s="1"/>
  <c r="Z217" i="15"/>
  <c r="Z54" i="15" s="1"/>
  <c r="AB54" i="15" s="1"/>
  <c r="Y217" i="15"/>
  <c r="Y54" i="15"/>
  <c r="X217" i="15"/>
  <c r="X54" i="15" s="1"/>
  <c r="Y203" i="15"/>
  <c r="Y53" i="15"/>
  <c r="X203" i="15"/>
  <c r="X53" i="15"/>
  <c r="AB202" i="15"/>
  <c r="AC202" i="15"/>
  <c r="AB201" i="15"/>
  <c r="AC201" i="15" s="1"/>
  <c r="AB200" i="15"/>
  <c r="AC200" i="15"/>
  <c r="AB199" i="15"/>
  <c r="AC199" i="15"/>
  <c r="AB198" i="15"/>
  <c r="AC198" i="15"/>
  <c r="AB197" i="15"/>
  <c r="AC197" i="15" s="1"/>
  <c r="AB196" i="15"/>
  <c r="AC196" i="15"/>
  <c r="AB195" i="15"/>
  <c r="AC195" i="15"/>
  <c r="AB194" i="15"/>
  <c r="AC194" i="15"/>
  <c r="AB193" i="15"/>
  <c r="AC193" i="15" s="1"/>
  <c r="AB192" i="15"/>
  <c r="AC192" i="15"/>
  <c r="AB191" i="15"/>
  <c r="AC191" i="15"/>
  <c r="AB190" i="15"/>
  <c r="AC190" i="15"/>
  <c r="AB189" i="15"/>
  <c r="AC189" i="15" s="1"/>
  <c r="AB188" i="15"/>
  <c r="AC188" i="15"/>
  <c r="Y185" i="15"/>
  <c r="Y52" i="15"/>
  <c r="X185" i="15"/>
  <c r="X52" i="15"/>
  <c r="AB184" i="15"/>
  <c r="AC184" i="15"/>
  <c r="AB183" i="15"/>
  <c r="AC183" i="15"/>
  <c r="AB182" i="15"/>
  <c r="AC182" i="15"/>
  <c r="AB181" i="15"/>
  <c r="AC181" i="15"/>
  <c r="AB180" i="15"/>
  <c r="AC180" i="15"/>
  <c r="AB179" i="15"/>
  <c r="AC179" i="15"/>
  <c r="AB178" i="15"/>
  <c r="AC178" i="15"/>
  <c r="AB177" i="15"/>
  <c r="AC177" i="15"/>
  <c r="AB176" i="15"/>
  <c r="AC176" i="15" s="1"/>
  <c r="AB175" i="15"/>
  <c r="AC175" i="15"/>
  <c r="AB174" i="15"/>
  <c r="AC174" i="15"/>
  <c r="AB173" i="15"/>
  <c r="AC173" i="15"/>
  <c r="AB172" i="15"/>
  <c r="AC172" i="15"/>
  <c r="AB171" i="15"/>
  <c r="AC171" i="15"/>
  <c r="AB170" i="15"/>
  <c r="AC170" i="15"/>
  <c r="Y167" i="15"/>
  <c r="Y51" i="15"/>
  <c r="X167" i="15"/>
  <c r="X51" i="15"/>
  <c r="AB166" i="15"/>
  <c r="AC166" i="15"/>
  <c r="AB165" i="15"/>
  <c r="AC165" i="15"/>
  <c r="AB164" i="15"/>
  <c r="AC164" i="15"/>
  <c r="AB163" i="15"/>
  <c r="AC163" i="15"/>
  <c r="AB162" i="15"/>
  <c r="AC162" i="15"/>
  <c r="AB161" i="15"/>
  <c r="AC161" i="15"/>
  <c r="AB160" i="15"/>
  <c r="AC160" i="15"/>
  <c r="AB159" i="15"/>
  <c r="AC159" i="15"/>
  <c r="AB158" i="15"/>
  <c r="AC158" i="15"/>
  <c r="AB157" i="15"/>
  <c r="AC157" i="15"/>
  <c r="AB156" i="15"/>
  <c r="AC156" i="15"/>
  <c r="AB155" i="15"/>
  <c r="AC155" i="15"/>
  <c r="AB154" i="15"/>
  <c r="AC154" i="15"/>
  <c r="AB153" i="15"/>
  <c r="AC153" i="15"/>
  <c r="AB152" i="15"/>
  <c r="AC152" i="15"/>
  <c r="Y149" i="15"/>
  <c r="Y50" i="15"/>
  <c r="X149" i="15"/>
  <c r="X50" i="15"/>
  <c r="AB148" i="15"/>
  <c r="AC148" i="15"/>
  <c r="AB147" i="15"/>
  <c r="AC147" i="15"/>
  <c r="AB146" i="15"/>
  <c r="AC146" i="15"/>
  <c r="AB145" i="15"/>
  <c r="AC145" i="15"/>
  <c r="AB144" i="15"/>
  <c r="AC144" i="15"/>
  <c r="AB143" i="15"/>
  <c r="AC143" i="15"/>
  <c r="AB142" i="15"/>
  <c r="AC142" i="15"/>
  <c r="AB141" i="15"/>
  <c r="AC141" i="15"/>
  <c r="AB140" i="15"/>
  <c r="AC140" i="15"/>
  <c r="AB139" i="15"/>
  <c r="AC139" i="15"/>
  <c r="AB138" i="15"/>
  <c r="AC138" i="15"/>
  <c r="AB137" i="15"/>
  <c r="AC137" i="15"/>
  <c r="AB136" i="15"/>
  <c r="AC136" i="15"/>
  <c r="AB135" i="15"/>
  <c r="AC135" i="15"/>
  <c r="AB134" i="15"/>
  <c r="AC134" i="15"/>
  <c r="Y131" i="15"/>
  <c r="Y49" i="15"/>
  <c r="X131" i="15"/>
  <c r="X49" i="15"/>
  <c r="AB130" i="15"/>
  <c r="AC130" i="15"/>
  <c r="AB129" i="15"/>
  <c r="AC129" i="15"/>
  <c r="AB128" i="15"/>
  <c r="AC128" i="15"/>
  <c r="AB127" i="15"/>
  <c r="AC127" i="15"/>
  <c r="AB126" i="15"/>
  <c r="AC126" i="15"/>
  <c r="AB125" i="15"/>
  <c r="AC125" i="15"/>
  <c r="AB124" i="15"/>
  <c r="AC124" i="15"/>
  <c r="AB123" i="15"/>
  <c r="AC123" i="15"/>
  <c r="AB122" i="15"/>
  <c r="AC122" i="15"/>
  <c r="AB121" i="15"/>
  <c r="AC121" i="15"/>
  <c r="AB120" i="15"/>
  <c r="AC120" i="15"/>
  <c r="AB119" i="15"/>
  <c r="AC119" i="15"/>
  <c r="AB118" i="15"/>
  <c r="AC118" i="15"/>
  <c r="AB117" i="15"/>
  <c r="AC117" i="15"/>
  <c r="AB116" i="15"/>
  <c r="AC116" i="15"/>
  <c r="Y113" i="15"/>
  <c r="Y48" i="15"/>
  <c r="X113" i="15"/>
  <c r="X48" i="15"/>
  <c r="AB112" i="15"/>
  <c r="AC112" i="15"/>
  <c r="AB111" i="15"/>
  <c r="AC111" i="15"/>
  <c r="AB110" i="15"/>
  <c r="AC110" i="15"/>
  <c r="AB109" i="15"/>
  <c r="AC109" i="15"/>
  <c r="AB108" i="15"/>
  <c r="AC108" i="15"/>
  <c r="AB107" i="15"/>
  <c r="AC107" i="15"/>
  <c r="AB106" i="15"/>
  <c r="AC106" i="15"/>
  <c r="AB105" i="15"/>
  <c r="AC105" i="15"/>
  <c r="AB104" i="15"/>
  <c r="AC104" i="15"/>
  <c r="AB103" i="15"/>
  <c r="AC103" i="15"/>
  <c r="AB102" i="15"/>
  <c r="AC102" i="15"/>
  <c r="AB101" i="15"/>
  <c r="AC101" i="15"/>
  <c r="AC113" i="15" s="1"/>
  <c r="AA48" i="15" s="1"/>
  <c r="AB100" i="15"/>
  <c r="AC100" i="15"/>
  <c r="AB99" i="15"/>
  <c r="AC99" i="15"/>
  <c r="AB98" i="15"/>
  <c r="AC98" i="15"/>
  <c r="Y95" i="15"/>
  <c r="Y47" i="15"/>
  <c r="X95" i="15"/>
  <c r="X47" i="15"/>
  <c r="AB94" i="15"/>
  <c r="AC94" i="15"/>
  <c r="AB93" i="15"/>
  <c r="AC93" i="15"/>
  <c r="AB92" i="15"/>
  <c r="AC92" i="15"/>
  <c r="AB91" i="15"/>
  <c r="AC91" i="15"/>
  <c r="AB90" i="15"/>
  <c r="AC90" i="15"/>
  <c r="AB89" i="15"/>
  <c r="AC89" i="15"/>
  <c r="AB88" i="15"/>
  <c r="AC88" i="15"/>
  <c r="AB87" i="15"/>
  <c r="AC87" i="15"/>
  <c r="AB86" i="15"/>
  <c r="AC86" i="15"/>
  <c r="AB85" i="15"/>
  <c r="AC85" i="15"/>
  <c r="AB84" i="15"/>
  <c r="AC84" i="15"/>
  <c r="AB83" i="15"/>
  <c r="AC83" i="15"/>
  <c r="AB82" i="15"/>
  <c r="AC82" i="15"/>
  <c r="AB81" i="15"/>
  <c r="AC81" i="15"/>
  <c r="AB80" i="15"/>
  <c r="AC80" i="15"/>
  <c r="Y77" i="15"/>
  <c r="Y46" i="15"/>
  <c r="X77" i="15"/>
  <c r="X46" i="15"/>
  <c r="AB76" i="15"/>
  <c r="AC76" i="15"/>
  <c r="AB75" i="15"/>
  <c r="AC75" i="15"/>
  <c r="AB74" i="15"/>
  <c r="AC74" i="15"/>
  <c r="AB73" i="15"/>
  <c r="AC73" i="15"/>
  <c r="AB72" i="15"/>
  <c r="AC72" i="15"/>
  <c r="AB71" i="15"/>
  <c r="AC71" i="15"/>
  <c r="AB70" i="15"/>
  <c r="AC70" i="15"/>
  <c r="AB69" i="15"/>
  <c r="AC69" i="15"/>
  <c r="AB68" i="15"/>
  <c r="AC68" i="15"/>
  <c r="AB67" i="15"/>
  <c r="AC67" i="15"/>
  <c r="AB66" i="15"/>
  <c r="AC66" i="15"/>
  <c r="AB65" i="15"/>
  <c r="AC65" i="15"/>
  <c r="AB64" i="15"/>
  <c r="AC64" i="15"/>
  <c r="AB63" i="15"/>
  <c r="AC63" i="15"/>
  <c r="AB62" i="15"/>
  <c r="AC62" i="15"/>
  <c r="W59" i="15"/>
  <c r="V59" i="15"/>
  <c r="AA58" i="15"/>
  <c r="W58" i="15"/>
  <c r="AC58" i="15" s="1"/>
  <c r="Z57" i="15"/>
  <c r="AB57" i="15"/>
  <c r="W57" i="15"/>
  <c r="AA56" i="15"/>
  <c r="W56" i="15"/>
  <c r="AA55" i="15"/>
  <c r="W55" i="15"/>
  <c r="AA54" i="15"/>
  <c r="W54" i="15"/>
  <c r="Z53" i="15"/>
  <c r="AB53" i="15" s="1"/>
  <c r="W53" i="15"/>
  <c r="Z52" i="15"/>
  <c r="AB52" i="15"/>
  <c r="W52" i="15"/>
  <c r="Z51" i="15"/>
  <c r="AB51" i="15" s="1"/>
  <c r="W51" i="15"/>
  <c r="Z50" i="15"/>
  <c r="AB50" i="15" s="1"/>
  <c r="W50" i="15"/>
  <c r="Z49" i="15"/>
  <c r="AB49" i="15" s="1"/>
  <c r="W49" i="15"/>
  <c r="Z48" i="15"/>
  <c r="AB48" i="15"/>
  <c r="W48" i="15"/>
  <c r="Z47" i="15"/>
  <c r="AB47" i="15" s="1"/>
  <c r="W47" i="15"/>
  <c r="Z46" i="15"/>
  <c r="AB46" i="15" s="1"/>
  <c r="W46" i="15"/>
  <c r="AF59" i="15"/>
  <c r="M59" i="15"/>
  <c r="L59" i="15"/>
  <c r="M58" i="15"/>
  <c r="S58" i="15" s="1"/>
  <c r="M57" i="15"/>
  <c r="M56" i="15"/>
  <c r="M55" i="15"/>
  <c r="M54" i="15"/>
  <c r="M53" i="15"/>
  <c r="M52" i="15"/>
  <c r="M51" i="15"/>
  <c r="M50" i="15"/>
  <c r="M49" i="15"/>
  <c r="M48" i="15"/>
  <c r="M47" i="15"/>
  <c r="M46" i="15"/>
  <c r="T45" i="15"/>
  <c r="AD45" i="15" s="1"/>
  <c r="S45" i="15"/>
  <c r="AC45" i="15"/>
  <c r="R45" i="15"/>
  <c r="AB45" i="15" s="1"/>
  <c r="Q45" i="15"/>
  <c r="AA45" i="15" s="1"/>
  <c r="P45" i="15"/>
  <c r="Z45" i="15" s="1"/>
  <c r="O45" i="15"/>
  <c r="Y45" i="15" s="1"/>
  <c r="N45" i="15"/>
  <c r="X45" i="15" s="1"/>
  <c r="M45" i="15"/>
  <c r="W45" i="15" s="1"/>
  <c r="L273" i="15"/>
  <c r="L289" i="15" s="1"/>
  <c r="L255" i="15"/>
  <c r="L237" i="15"/>
  <c r="V237" i="15" s="1"/>
  <c r="V253" i="15" s="1"/>
  <c r="L219" i="15"/>
  <c r="L205" i="15"/>
  <c r="L187" i="15"/>
  <c r="L169" i="15"/>
  <c r="L185" i="15" s="1"/>
  <c r="L151" i="15"/>
  <c r="L133" i="15"/>
  <c r="V133" i="15" s="1"/>
  <c r="V149" i="15" s="1"/>
  <c r="L115" i="15"/>
  <c r="V115" i="15"/>
  <c r="V131" i="15" s="1"/>
  <c r="L97" i="15"/>
  <c r="V97" i="15" s="1"/>
  <c r="V113" i="15" s="1"/>
  <c r="L79" i="15"/>
  <c r="L95" i="15" s="1"/>
  <c r="T61" i="15"/>
  <c r="AD61" i="15" s="1"/>
  <c r="S61" i="15"/>
  <c r="AC61" i="15" s="1"/>
  <c r="R61" i="15"/>
  <c r="AB61" i="15" s="1"/>
  <c r="Q61" i="15"/>
  <c r="AA61" i="15"/>
  <c r="P61" i="15"/>
  <c r="Z61" i="15" s="1"/>
  <c r="O61" i="15"/>
  <c r="Y61" i="15" s="1"/>
  <c r="N61" i="15"/>
  <c r="X61" i="15" s="1"/>
  <c r="M61" i="15"/>
  <c r="W61" i="15" s="1"/>
  <c r="L61" i="15"/>
  <c r="L77" i="15" s="1"/>
  <c r="O289" i="15"/>
  <c r="O58" i="15"/>
  <c r="N289" i="15"/>
  <c r="N58" i="15"/>
  <c r="O271" i="15"/>
  <c r="O57" i="15" s="1"/>
  <c r="N271" i="15"/>
  <c r="N57" i="15"/>
  <c r="O253" i="15"/>
  <c r="O56" i="15" s="1"/>
  <c r="N253" i="15"/>
  <c r="N56" i="15" s="1"/>
  <c r="O235" i="15"/>
  <c r="O55" i="15"/>
  <c r="N235" i="15"/>
  <c r="N55" i="15" s="1"/>
  <c r="O217" i="15"/>
  <c r="O54" i="15"/>
  <c r="N217" i="15"/>
  <c r="N54" i="15" s="1"/>
  <c r="O203" i="15"/>
  <c r="O53" i="15" s="1"/>
  <c r="N203" i="15"/>
  <c r="N53" i="15" s="1"/>
  <c r="O185" i="15"/>
  <c r="O52" i="15"/>
  <c r="N185" i="15"/>
  <c r="N52" i="15" s="1"/>
  <c r="O167" i="15"/>
  <c r="O51" i="15" s="1"/>
  <c r="N167" i="15"/>
  <c r="N51" i="15" s="1"/>
  <c r="O149" i="15"/>
  <c r="O50" i="15"/>
  <c r="N149" i="15"/>
  <c r="N50" i="15" s="1"/>
  <c r="O131" i="15"/>
  <c r="O49" i="15" s="1"/>
  <c r="N131" i="15"/>
  <c r="N49" i="15" s="1"/>
  <c r="O113" i="15"/>
  <c r="O48" i="15" s="1"/>
  <c r="N113" i="15"/>
  <c r="N48" i="15" s="1"/>
  <c r="O95" i="15"/>
  <c r="O47" i="15" s="1"/>
  <c r="N95" i="15"/>
  <c r="N47" i="15" s="1"/>
  <c r="O77" i="15"/>
  <c r="O46" i="15" s="1"/>
  <c r="N77" i="15"/>
  <c r="N46" i="15" s="1"/>
  <c r="J273" i="15"/>
  <c r="T273" i="15" s="1"/>
  <c r="AD273" i="15" s="1"/>
  <c r="J255" i="15"/>
  <c r="T255" i="15"/>
  <c r="AD255" i="15" s="1"/>
  <c r="J237" i="15"/>
  <c r="T237" i="15" s="1"/>
  <c r="AD237" i="15" s="1"/>
  <c r="J219" i="15"/>
  <c r="T219" i="15" s="1"/>
  <c r="AD219" i="15" s="1"/>
  <c r="J205" i="15"/>
  <c r="T205" i="15" s="1"/>
  <c r="AD205" i="15" s="1"/>
  <c r="J187" i="15"/>
  <c r="T187" i="15" s="1"/>
  <c r="AD187" i="15" s="1"/>
  <c r="J169" i="15"/>
  <c r="T169" i="15" s="1"/>
  <c r="AD169" i="15" s="1"/>
  <c r="J151" i="15"/>
  <c r="T151" i="15" s="1"/>
  <c r="AD151" i="15" s="1"/>
  <c r="J133" i="15"/>
  <c r="T133" i="15" s="1"/>
  <c r="AD133" i="15" s="1"/>
  <c r="J115" i="15"/>
  <c r="T115" i="15" s="1"/>
  <c r="AD115" i="15" s="1"/>
  <c r="J97" i="15"/>
  <c r="T97" i="15" s="1"/>
  <c r="AD97" i="15" s="1"/>
  <c r="J79" i="15"/>
  <c r="T79" i="15" s="1"/>
  <c r="AD79" i="15" s="1"/>
  <c r="B58" i="15"/>
  <c r="V58" i="15" s="1"/>
  <c r="B57" i="15"/>
  <c r="L57" i="15" s="1"/>
  <c r="L149" i="15"/>
  <c r="L58" i="15"/>
  <c r="L167" i="15"/>
  <c r="V151" i="15"/>
  <c r="V167" i="15"/>
  <c r="L113" i="15"/>
  <c r="L253" i="15"/>
  <c r="L271" i="15"/>
  <c r="V255" i="15"/>
  <c r="V271" i="15" s="1"/>
  <c r="L203" i="15"/>
  <c r="V187" i="15"/>
  <c r="V203" i="15" s="1"/>
  <c r="L131" i="15"/>
  <c r="L217" i="15"/>
  <c r="V205" i="15"/>
  <c r="V217" i="15" s="1"/>
  <c r="V79" i="15"/>
  <c r="V95" i="15" s="1"/>
  <c r="L235" i="15"/>
  <c r="V219" i="15"/>
  <c r="V235" i="15" s="1"/>
  <c r="B289" i="15"/>
  <c r="B271" i="15"/>
  <c r="B253" i="15"/>
  <c r="B235" i="15"/>
  <c r="B217" i="15"/>
  <c r="B203" i="15"/>
  <c r="B185" i="15"/>
  <c r="B167" i="15"/>
  <c r="B149" i="15"/>
  <c r="B131" i="15"/>
  <c r="B113" i="15"/>
  <c r="B95" i="15"/>
  <c r="B77" i="15"/>
  <c r="I58" i="15"/>
  <c r="E289" i="15"/>
  <c r="E58" i="15" s="1"/>
  <c r="D289" i="15"/>
  <c r="D58" i="15" s="1"/>
  <c r="E271" i="15"/>
  <c r="E57" i="15" s="1"/>
  <c r="D271" i="15"/>
  <c r="D57" i="15" s="1"/>
  <c r="D253" i="15"/>
  <c r="D56" i="15" s="1"/>
  <c r="D203" i="15"/>
  <c r="D53" i="15" s="1"/>
  <c r="D301" i="15" s="1"/>
  <c r="E185" i="15"/>
  <c r="E52" i="15" s="1"/>
  <c r="D185" i="15"/>
  <c r="D52" i="15"/>
  <c r="E167" i="15"/>
  <c r="E51" i="15" s="1"/>
  <c r="D167" i="15"/>
  <c r="D51" i="15" s="1"/>
  <c r="E149" i="15"/>
  <c r="E50" i="15" s="1"/>
  <c r="D149" i="15"/>
  <c r="D50" i="15" s="1"/>
  <c r="E131" i="15"/>
  <c r="E49" i="15" s="1"/>
  <c r="D131" i="15"/>
  <c r="E113" i="15"/>
  <c r="E48" i="15" s="1"/>
  <c r="D113" i="15"/>
  <c r="D48" i="15" s="1"/>
  <c r="E95" i="15"/>
  <c r="E47" i="15" s="1"/>
  <c r="D95" i="15"/>
  <c r="D47" i="15" s="1"/>
  <c r="I273" i="15"/>
  <c r="S273" i="15"/>
  <c r="AC273" i="15" s="1"/>
  <c r="H273" i="15"/>
  <c r="R273" i="15" s="1"/>
  <c r="AB273" i="15" s="1"/>
  <c r="G273" i="15"/>
  <c r="Q273" i="15" s="1"/>
  <c r="AA273" i="15" s="1"/>
  <c r="F273" i="15"/>
  <c r="P273" i="15" s="1"/>
  <c r="Z273" i="15" s="1"/>
  <c r="E273" i="15"/>
  <c r="O273" i="15"/>
  <c r="Y273" i="15" s="1"/>
  <c r="D273" i="15"/>
  <c r="N273" i="15" s="1"/>
  <c r="X273" i="15" s="1"/>
  <c r="C273" i="15"/>
  <c r="M273" i="15"/>
  <c r="W273" i="15" s="1"/>
  <c r="B52" i="15"/>
  <c r="L52" i="15" s="1"/>
  <c r="I169" i="15"/>
  <c r="S169" i="15" s="1"/>
  <c r="AC169" i="15" s="1"/>
  <c r="H169" i="15"/>
  <c r="R169" i="15" s="1"/>
  <c r="AB169" i="15" s="1"/>
  <c r="G169" i="15"/>
  <c r="Q169" i="15" s="1"/>
  <c r="AA169" i="15" s="1"/>
  <c r="F169" i="15"/>
  <c r="P169" i="15" s="1"/>
  <c r="Z169" i="15" s="1"/>
  <c r="E169" i="15"/>
  <c r="O169" i="15" s="1"/>
  <c r="Y169" i="15" s="1"/>
  <c r="D169" i="15"/>
  <c r="N169" i="15" s="1"/>
  <c r="X169" i="15" s="1"/>
  <c r="C169" i="15"/>
  <c r="M169" i="15" s="1"/>
  <c r="W169" i="15" s="1"/>
  <c r="B51" i="15"/>
  <c r="L51" i="15" s="1"/>
  <c r="I151" i="15"/>
  <c r="S151" i="15" s="1"/>
  <c r="AC151" i="15" s="1"/>
  <c r="H151" i="15"/>
  <c r="R151" i="15" s="1"/>
  <c r="AB151" i="15" s="1"/>
  <c r="G151" i="15"/>
  <c r="Q151" i="15"/>
  <c r="AA151" i="15"/>
  <c r="F151" i="15"/>
  <c r="P151" i="15" s="1"/>
  <c r="Z151" i="15" s="1"/>
  <c r="E151" i="15"/>
  <c r="O151" i="15"/>
  <c r="Y151" i="15" s="1"/>
  <c r="D151" i="15"/>
  <c r="N151" i="15"/>
  <c r="X151" i="15" s="1"/>
  <c r="C151" i="15"/>
  <c r="M151" i="15"/>
  <c r="W151" i="15" s="1"/>
  <c r="B50" i="15"/>
  <c r="V50" i="15" s="1"/>
  <c r="I133" i="15"/>
  <c r="S133" i="15"/>
  <c r="AC133" i="15" s="1"/>
  <c r="H133" i="15"/>
  <c r="R133" i="15" s="1"/>
  <c r="AB133" i="15" s="1"/>
  <c r="G133" i="15"/>
  <c r="Q133" i="15" s="1"/>
  <c r="AA133" i="15" s="1"/>
  <c r="F133" i="15"/>
  <c r="P133" i="15" s="1"/>
  <c r="Z133" i="15" s="1"/>
  <c r="E133" i="15"/>
  <c r="O133" i="15" s="1"/>
  <c r="Y133" i="15" s="1"/>
  <c r="D133" i="15"/>
  <c r="N133" i="15" s="1"/>
  <c r="X133" i="15" s="1"/>
  <c r="C133" i="15"/>
  <c r="M133" i="15" s="1"/>
  <c r="W133" i="15" s="1"/>
  <c r="L50" i="15"/>
  <c r="E77" i="15"/>
  <c r="E46" i="15" s="1"/>
  <c r="I255" i="15"/>
  <c r="S255" i="15"/>
  <c r="AC255" i="15" s="1"/>
  <c r="H255" i="15"/>
  <c r="R255" i="15" s="1"/>
  <c r="AB255" i="15" s="1"/>
  <c r="G255" i="15"/>
  <c r="Q255" i="15" s="1"/>
  <c r="AA255" i="15" s="1"/>
  <c r="F255" i="15"/>
  <c r="P255" i="15" s="1"/>
  <c r="Z255" i="15" s="1"/>
  <c r="E255" i="15"/>
  <c r="O255" i="15" s="1"/>
  <c r="Y255" i="15" s="1"/>
  <c r="D255" i="15"/>
  <c r="N255" i="15" s="1"/>
  <c r="X255" i="15" s="1"/>
  <c r="C255" i="15"/>
  <c r="M255" i="15" s="1"/>
  <c r="W255" i="15" s="1"/>
  <c r="I237" i="15"/>
  <c r="S237" i="15" s="1"/>
  <c r="AC237" i="15" s="1"/>
  <c r="H237" i="15"/>
  <c r="R237" i="15" s="1"/>
  <c r="AB237" i="15" s="1"/>
  <c r="G237" i="15"/>
  <c r="Q237" i="15" s="1"/>
  <c r="AA237" i="15" s="1"/>
  <c r="F237" i="15"/>
  <c r="P237" i="15" s="1"/>
  <c r="Z237" i="15" s="1"/>
  <c r="E237" i="15"/>
  <c r="O237" i="15"/>
  <c r="Y237" i="15" s="1"/>
  <c r="D237" i="15"/>
  <c r="N237" i="15"/>
  <c r="X237" i="15" s="1"/>
  <c r="C237" i="15"/>
  <c r="M237" i="15" s="1"/>
  <c r="W237" i="15" s="1"/>
  <c r="E203" i="15"/>
  <c r="E53" i="15" s="1"/>
  <c r="E301" i="15" s="1"/>
  <c r="I187" i="15"/>
  <c r="S187" i="15" s="1"/>
  <c r="AC187" i="15" s="1"/>
  <c r="H187" i="15"/>
  <c r="R187" i="15" s="1"/>
  <c r="AB187" i="15" s="1"/>
  <c r="G187" i="15"/>
  <c r="Q187" i="15" s="1"/>
  <c r="AA187" i="15" s="1"/>
  <c r="F187" i="15"/>
  <c r="P187" i="15"/>
  <c r="Z187" i="15" s="1"/>
  <c r="E187" i="15"/>
  <c r="O187" i="15"/>
  <c r="Y187" i="15" s="1"/>
  <c r="D187" i="15"/>
  <c r="N187" i="15"/>
  <c r="X187" i="15" s="1"/>
  <c r="C187" i="15"/>
  <c r="M187" i="15" s="1"/>
  <c r="W187" i="15" s="1"/>
  <c r="E235" i="15"/>
  <c r="E55" i="15" s="1"/>
  <c r="E300" i="15" s="1"/>
  <c r="D235" i="15"/>
  <c r="D55" i="15" s="1"/>
  <c r="D300" i="15" s="1"/>
  <c r="I219" i="15"/>
  <c r="S219" i="15"/>
  <c r="AC219" i="15" s="1"/>
  <c r="H219" i="15"/>
  <c r="R219" i="15" s="1"/>
  <c r="AB219" i="15" s="1"/>
  <c r="G219" i="15"/>
  <c r="Q219" i="15"/>
  <c r="AA219" i="15" s="1"/>
  <c r="F219" i="15"/>
  <c r="P219" i="15" s="1"/>
  <c r="Z219" i="15" s="1"/>
  <c r="E219" i="15"/>
  <c r="O219" i="15" s="1"/>
  <c r="Y219" i="15" s="1"/>
  <c r="D219" i="15"/>
  <c r="N219" i="15" s="1"/>
  <c r="X219" i="15" s="1"/>
  <c r="C219" i="15"/>
  <c r="M219" i="15"/>
  <c r="W219" i="15" s="1"/>
  <c r="E217" i="15"/>
  <c r="E54" i="15" s="1"/>
  <c r="D217" i="15"/>
  <c r="D54" i="15" s="1"/>
  <c r="I205" i="15"/>
  <c r="S205" i="15" s="1"/>
  <c r="AC205" i="15" s="1"/>
  <c r="H205" i="15"/>
  <c r="R205" i="15" s="1"/>
  <c r="AB205" i="15" s="1"/>
  <c r="G205" i="15"/>
  <c r="Q205" i="15" s="1"/>
  <c r="AA205" i="15" s="1"/>
  <c r="F205" i="15"/>
  <c r="P205" i="15" s="1"/>
  <c r="Z205" i="15" s="1"/>
  <c r="E205" i="15"/>
  <c r="O205" i="15" s="1"/>
  <c r="Y205" i="15" s="1"/>
  <c r="D205" i="15"/>
  <c r="N205" i="15" s="1"/>
  <c r="X205" i="15" s="1"/>
  <c r="C205" i="15"/>
  <c r="M205" i="15" s="1"/>
  <c r="W205" i="15" s="1"/>
  <c r="I115" i="15"/>
  <c r="S115" i="15" s="1"/>
  <c r="AC115" i="15" s="1"/>
  <c r="H115" i="15"/>
  <c r="R115" i="15" s="1"/>
  <c r="AB115" i="15" s="1"/>
  <c r="G115" i="15"/>
  <c r="Q115" i="15" s="1"/>
  <c r="AA115" i="15" s="1"/>
  <c r="F115" i="15"/>
  <c r="P115" i="15" s="1"/>
  <c r="Z115" i="15" s="1"/>
  <c r="E115" i="15"/>
  <c r="O115" i="15" s="1"/>
  <c r="Y115" i="15" s="1"/>
  <c r="D115" i="15"/>
  <c r="N115" i="15" s="1"/>
  <c r="X115" i="15" s="1"/>
  <c r="C115" i="15"/>
  <c r="M115" i="15" s="1"/>
  <c r="W115" i="15" s="1"/>
  <c r="I97" i="15"/>
  <c r="S97" i="15" s="1"/>
  <c r="AC97" i="15" s="1"/>
  <c r="H97" i="15"/>
  <c r="R97" i="15" s="1"/>
  <c r="AB97" i="15" s="1"/>
  <c r="G97" i="15"/>
  <c r="Q97" i="15" s="1"/>
  <c r="AA97" i="15" s="1"/>
  <c r="F97" i="15"/>
  <c r="P97" i="15" s="1"/>
  <c r="Z97" i="15" s="1"/>
  <c r="E97" i="15"/>
  <c r="O97" i="15" s="1"/>
  <c r="Y97" i="15" s="1"/>
  <c r="D97" i="15"/>
  <c r="N97" i="15" s="1"/>
  <c r="X97" i="15" s="1"/>
  <c r="C97" i="15"/>
  <c r="M97" i="15" s="1"/>
  <c r="W97" i="15" s="1"/>
  <c r="I79" i="15"/>
  <c r="S79" i="15" s="1"/>
  <c r="AC79" i="15" s="1"/>
  <c r="H79" i="15"/>
  <c r="R79" i="15" s="1"/>
  <c r="AB79" i="15" s="1"/>
  <c r="G79" i="15"/>
  <c r="Q79" i="15" s="1"/>
  <c r="AA79" i="15" s="1"/>
  <c r="F79" i="15"/>
  <c r="P79" i="15" s="1"/>
  <c r="Z79" i="15" s="1"/>
  <c r="E79" i="15"/>
  <c r="O79" i="15" s="1"/>
  <c r="Y79" i="15" s="1"/>
  <c r="D79" i="15"/>
  <c r="N79" i="15"/>
  <c r="X79" i="15" s="1"/>
  <c r="C79" i="15"/>
  <c r="M79" i="15" s="1"/>
  <c r="W79" i="15" s="1"/>
  <c r="D77" i="15"/>
  <c r="D46" i="15" s="1"/>
  <c r="B56" i="15"/>
  <c r="V56" i="15" s="1"/>
  <c r="B53" i="15"/>
  <c r="L53" i="15" s="1"/>
  <c r="B55" i="15"/>
  <c r="L55" i="15" s="1"/>
  <c r="B54" i="15"/>
  <c r="L54" i="15" s="1"/>
  <c r="B49" i="15"/>
  <c r="V49" i="15" s="1"/>
  <c r="B48" i="15"/>
  <c r="L48" i="15" s="1"/>
  <c r="B47" i="15"/>
  <c r="L47" i="15" s="1"/>
  <c r="B46" i="15"/>
  <c r="V46" i="15" s="1"/>
  <c r="L56" i="15"/>
  <c r="L46" i="15"/>
  <c r="L49" i="15"/>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F22"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J8" i="6"/>
  <c r="I6" i="6"/>
  <c r="G9" i="6"/>
  <c r="C6" i="6"/>
  <c r="I27" i="6"/>
  <c r="I5" i="6"/>
  <c r="H27" i="6"/>
  <c r="H5" i="6"/>
  <c r="H9" i="6"/>
  <c r="E22" i="9"/>
  <c r="D22" i="9"/>
  <c r="L22" i="9"/>
  <c r="G22" i="9"/>
  <c r="H20" i="9"/>
  <c r="J5" i="6"/>
  <c r="F17" i="8"/>
  <c r="I9" i="6"/>
  <c r="C9" i="6"/>
  <c r="J12" i="6"/>
  <c r="J27" i="6"/>
  <c r="E21" i="2"/>
  <c r="E20" i="2"/>
  <c r="E19" i="2"/>
  <c r="E18" i="2"/>
  <c r="E17" i="2"/>
  <c r="E16" i="2"/>
  <c r="E15" i="2"/>
  <c r="E14" i="2"/>
  <c r="E13" i="2"/>
  <c r="E12" i="2"/>
  <c r="E11" i="2"/>
  <c r="E10" i="2"/>
  <c r="E9" i="2"/>
  <c r="E8" i="2"/>
  <c r="E7" i="2"/>
  <c r="E6" i="2"/>
  <c r="E5" i="2"/>
  <c r="F11" i="8"/>
  <c r="H22" i="9"/>
  <c r="E22" i="2"/>
  <c r="D8" i="15"/>
  <c r="F8" i="15" s="1"/>
  <c r="J9" i="6"/>
  <c r="D7" i="12"/>
  <c r="F7" i="12"/>
  <c r="N33" i="16" l="1"/>
  <c r="I113" i="15"/>
  <c r="G48" i="15" s="1"/>
  <c r="I48" i="15" s="1"/>
  <c r="AC203" i="15"/>
  <c r="AA53" i="15" s="1"/>
  <c r="I131" i="15"/>
  <c r="G49" i="15" s="1"/>
  <c r="I49" i="15" s="1"/>
  <c r="I77" i="15"/>
  <c r="G46" i="15" s="1"/>
  <c r="I46" i="15" s="1"/>
  <c r="V48" i="15"/>
  <c r="V169" i="15"/>
  <c r="V185" i="15" s="1"/>
  <c r="AC271" i="15"/>
  <c r="AA57" i="15" s="1"/>
  <c r="AC57" i="15" s="1"/>
  <c r="V273" i="15"/>
  <c r="V289" i="15" s="1"/>
  <c r="I95" i="15"/>
  <c r="G47" i="15" s="1"/>
  <c r="I47" i="15" s="1"/>
  <c r="V54" i="15"/>
  <c r="AC53" i="15"/>
  <c r="AC77" i="15"/>
  <c r="AA46" i="15" s="1"/>
  <c r="AA59" i="15" s="1"/>
  <c r="AC95" i="15"/>
  <c r="AA47" i="15" s="1"/>
  <c r="AC131" i="15"/>
  <c r="AA49" i="15" s="1"/>
  <c r="AC49" i="15" s="1"/>
  <c r="AC149" i="15"/>
  <c r="AA50" i="15" s="1"/>
  <c r="AC50" i="15" s="1"/>
  <c r="AC167" i="15"/>
  <c r="AA51" i="15" s="1"/>
  <c r="AC51" i="15" s="1"/>
  <c r="AC185" i="15"/>
  <c r="AA52" i="15" s="1"/>
  <c r="AC52" i="15" s="1"/>
  <c r="AC48" i="15"/>
  <c r="S271" i="15"/>
  <c r="Q57" i="15" s="1"/>
  <c r="S167" i="15"/>
  <c r="Q51" i="15" s="1"/>
  <c r="S51" i="15" s="1"/>
  <c r="S95" i="15"/>
  <c r="Q47" i="15" s="1"/>
  <c r="S47" i="15" s="1"/>
  <c r="E303" i="15"/>
  <c r="S149" i="15"/>
  <c r="Q50" i="15" s="1"/>
  <c r="S50" i="15" s="1"/>
  <c r="S77" i="15"/>
  <c r="Q46" i="15" s="1"/>
  <c r="I149" i="15"/>
  <c r="G50" i="15" s="1"/>
  <c r="I50" i="15" s="1"/>
  <c r="S203" i="15"/>
  <c r="Q53" i="15" s="1"/>
  <c r="S53" i="15" s="1"/>
  <c r="S131" i="15"/>
  <c r="Q49" i="15" s="1"/>
  <c r="S49" i="15" s="1"/>
  <c r="I167" i="15"/>
  <c r="G51" i="15" s="1"/>
  <c r="I51" i="15" s="1"/>
  <c r="S57" i="15"/>
  <c r="I185" i="15"/>
  <c r="G52" i="15" s="1"/>
  <c r="I52" i="15" s="1"/>
  <c r="AC47" i="15"/>
  <c r="S185" i="15"/>
  <c r="Q52" i="15" s="1"/>
  <c r="S52" i="15" s="1"/>
  <c r="S113" i="15"/>
  <c r="Q48" i="15" s="1"/>
  <c r="S48" i="15" s="1"/>
  <c r="I203" i="15"/>
  <c r="G53" i="15" s="1"/>
  <c r="I53" i="15" s="1"/>
  <c r="V47" i="15"/>
  <c r="V52" i="15"/>
  <c r="I271" i="15"/>
  <c r="G57" i="15" s="1"/>
  <c r="V55" i="15"/>
  <c r="V57" i="15"/>
  <c r="AC54" i="15"/>
  <c r="V53" i="15"/>
  <c r="V51" i="15"/>
  <c r="V61" i="15"/>
  <c r="V77" i="15" s="1"/>
  <c r="D49" i="15"/>
  <c r="D302" i="15" s="1"/>
  <c r="C17" i="55"/>
  <c r="N34" i="16"/>
  <c r="P59" i="15"/>
  <c r="R54" i="15"/>
  <c r="S54" i="15" s="1"/>
  <c r="C299" i="15"/>
  <c r="D299" i="15"/>
  <c r="N59" i="15"/>
  <c r="O59" i="15"/>
  <c r="X59" i="15"/>
  <c r="Y59" i="15"/>
  <c r="E302" i="15"/>
  <c r="C302" i="15"/>
  <c r="R59" i="15"/>
  <c r="D29" i="15" s="1"/>
  <c r="S56" i="15"/>
  <c r="Z59" i="15"/>
  <c r="AB56" i="15"/>
  <c r="O34" i="16"/>
  <c r="N35" i="16"/>
  <c r="P33" i="16"/>
  <c r="O33" i="16"/>
  <c r="O35" i="16"/>
  <c r="P35" i="16"/>
  <c r="I29" i="16"/>
  <c r="F35" i="16"/>
  <c r="P34" i="16"/>
  <c r="I20" i="16"/>
  <c r="F34" i="16"/>
  <c r="N11" i="14"/>
  <c r="H9" i="9"/>
  <c r="H17" i="9" s="1"/>
  <c r="C4" i="55"/>
  <c r="P29" i="16"/>
  <c r="Q35" i="16" s="1"/>
  <c r="R20" i="16"/>
  <c r="N29" i="16"/>
  <c r="D39" i="14"/>
  <c r="D77" i="14" s="1"/>
  <c r="F39" i="14"/>
  <c r="C39" i="14"/>
  <c r="C77" i="14" s="1"/>
  <c r="H12" i="9"/>
  <c r="H14" i="9" s="1"/>
  <c r="H19" i="9" s="1"/>
  <c r="D16" i="9"/>
  <c r="E39" i="14"/>
  <c r="P20" i="16"/>
  <c r="Q34" i="16" s="1"/>
  <c r="O29" i="16"/>
  <c r="O20" i="16"/>
  <c r="N20" i="16"/>
  <c r="H16" i="9"/>
  <c r="R29" i="16"/>
  <c r="R11" i="16"/>
  <c r="F74" i="14"/>
  <c r="F34" i="14"/>
  <c r="C92" i="14"/>
  <c r="W6" i="15"/>
  <c r="D92" i="14"/>
  <c r="E92" i="14"/>
  <c r="D303" i="15"/>
  <c r="M5" i="14"/>
  <c r="F92" i="14"/>
  <c r="N4" i="14"/>
  <c r="G91" i="14"/>
  <c r="I57" i="15"/>
  <c r="L17" i="14"/>
  <c r="P11" i="16"/>
  <c r="Q33" i="16" s="1"/>
  <c r="O11" i="16"/>
  <c r="N11" i="16"/>
  <c r="K17" i="14"/>
  <c r="N14" i="14"/>
  <c r="J13" i="14"/>
  <c r="G5" i="14"/>
  <c r="G21" i="14"/>
  <c r="G70" i="14" s="1"/>
  <c r="E12" i="9"/>
  <c r="E14" i="9" s="1"/>
  <c r="E19" i="9" s="1"/>
  <c r="G12" i="9"/>
  <c r="G14" i="9" s="1"/>
  <c r="G15" i="9" s="1"/>
  <c r="L12" i="9"/>
  <c r="L14" i="9" s="1"/>
  <c r="L19" i="9" s="1"/>
  <c r="N6" i="14"/>
  <c r="L8" i="9"/>
  <c r="G17" i="9"/>
  <c r="N15" i="14"/>
  <c r="G27" i="14"/>
  <c r="G25" i="14" s="1"/>
  <c r="G74" i="14" s="1"/>
  <c r="L5" i="14"/>
  <c r="F22" i="14"/>
  <c r="F71" i="14" s="1"/>
  <c r="E17" i="9"/>
  <c r="E22" i="14"/>
  <c r="E71" i="14" s="1"/>
  <c r="F16" i="9"/>
  <c r="D22" i="14"/>
  <c r="D71" i="14" s="1"/>
  <c r="J5" i="14"/>
  <c r="F17" i="9"/>
  <c r="C22" i="14"/>
  <c r="C71" i="14" s="1"/>
  <c r="G41" i="14"/>
  <c r="G39" i="14" s="1"/>
  <c r="G77" i="14" s="1"/>
  <c r="X6" i="15"/>
  <c r="K7" i="14"/>
  <c r="M7" i="14"/>
  <c r="G16" i="9"/>
  <c r="D17" i="9"/>
  <c r="G8" i="14"/>
  <c r="L7" i="14"/>
  <c r="W7" i="15"/>
  <c r="K13" i="14"/>
  <c r="E16" i="9"/>
  <c r="J7" i="14"/>
  <c r="D12" i="9"/>
  <c r="D14" i="9" s="1"/>
  <c r="D15" i="9" s="1"/>
  <c r="C25" i="14"/>
  <c r="C74" i="14" s="1"/>
  <c r="E34" i="14"/>
  <c r="M13" i="14"/>
  <c r="Y7" i="15"/>
  <c r="D34" i="14"/>
  <c r="X7" i="15"/>
  <c r="L13" i="14"/>
  <c r="L12" i="14"/>
  <c r="K5" i="14"/>
  <c r="K12" i="14"/>
  <c r="N16" i="14"/>
  <c r="F12" i="9"/>
  <c r="F14" i="9" s="1"/>
  <c r="L9" i="9"/>
  <c r="L17" i="9" s="1"/>
  <c r="G35" i="14"/>
  <c r="G76" i="14" s="1"/>
  <c r="Y6" i="15"/>
  <c r="E77" i="14" l="1"/>
  <c r="I44" i="14"/>
  <c r="F77" i="14"/>
  <c r="J47" i="14"/>
  <c r="C304" i="15"/>
  <c r="AC46" i="15"/>
  <c r="D59" i="15"/>
  <c r="S46" i="15"/>
  <c r="S59" i="15" s="1"/>
  <c r="Q59" i="15"/>
  <c r="D30" i="15" s="1"/>
  <c r="F30" i="15" s="1"/>
  <c r="G59" i="15"/>
  <c r="D25" i="15" s="1"/>
  <c r="D17" i="55"/>
  <c r="D18" i="55" s="1"/>
  <c r="C18" i="55"/>
  <c r="D304" i="15"/>
  <c r="AC56" i="15"/>
  <c r="AC59" i="15" s="1"/>
  <c r="AB59" i="15"/>
  <c r="F29" i="15"/>
  <c r="P37" i="16"/>
  <c r="O37" i="16"/>
  <c r="F37" i="16"/>
  <c r="Q37" i="16"/>
  <c r="M10" i="14"/>
  <c r="M9" i="14"/>
  <c r="K17" i="52" s="1"/>
  <c r="F48" i="14"/>
  <c r="F78" i="14" s="1"/>
  <c r="D48" i="14"/>
  <c r="D62" i="14" s="1"/>
  <c r="K10" i="14"/>
  <c r="K9" i="14"/>
  <c r="L9" i="14"/>
  <c r="C48" i="14"/>
  <c r="C78" i="14" s="1"/>
  <c r="G12" i="14"/>
  <c r="G14" i="14" s="1"/>
  <c r="N12" i="14" s="1"/>
  <c r="C5" i="55"/>
  <c r="H23" i="9"/>
  <c r="H15" i="9"/>
  <c r="H21" i="9"/>
  <c r="D75" i="14"/>
  <c r="L10" i="14"/>
  <c r="E48" i="14"/>
  <c r="E62" i="14" s="1"/>
  <c r="M18" i="14"/>
  <c r="L20" i="14"/>
  <c r="E75" i="14"/>
  <c r="M20" i="14"/>
  <c r="F75" i="14"/>
  <c r="N5" i="14"/>
  <c r="G92" i="14"/>
  <c r="F8" i="39" s="1"/>
  <c r="F25" i="15"/>
  <c r="E21" i="9"/>
  <c r="K20" i="14"/>
  <c r="G48" i="14"/>
  <c r="G23" i="9"/>
  <c r="N17" i="14"/>
  <c r="E15" i="9"/>
  <c r="E23" i="9"/>
  <c r="L18" i="14"/>
  <c r="Z6" i="15"/>
  <c r="G22" i="14"/>
  <c r="C2" i="55" s="1"/>
  <c r="L23" i="9"/>
  <c r="L21" i="9"/>
  <c r="G21" i="9"/>
  <c r="G19" i="9"/>
  <c r="L15" i="9"/>
  <c r="D23" i="9"/>
  <c r="D19" i="9"/>
  <c r="L16" i="9"/>
  <c r="D21" i="9"/>
  <c r="N9" i="14"/>
  <c r="N10" i="14"/>
  <c r="G34" i="14"/>
  <c r="G75" i="14" s="1"/>
  <c r="J10" i="14"/>
  <c r="N7" i="14"/>
  <c r="K8" i="14"/>
  <c r="J9" i="14"/>
  <c r="C34" i="14"/>
  <c r="F21" i="9"/>
  <c r="F15" i="9"/>
  <c r="F19" i="9"/>
  <c r="F23" i="9"/>
  <c r="M8" i="14"/>
  <c r="J8" i="14"/>
  <c r="L8" i="14"/>
  <c r="D31" i="15" l="1"/>
  <c r="F31" i="15"/>
  <c r="D6" i="39"/>
  <c r="C8" i="39"/>
  <c r="C7" i="39"/>
  <c r="D10" i="39"/>
  <c r="C10" i="39"/>
  <c r="D7" i="39"/>
  <c r="C9" i="39"/>
  <c r="C6" i="39"/>
  <c r="D78" i="14"/>
  <c r="C53" i="14"/>
  <c r="C62" i="14"/>
  <c r="D53" i="14"/>
  <c r="D84" i="14" s="1"/>
  <c r="D86" i="14" s="1"/>
  <c r="F53" i="14"/>
  <c r="D8" i="39"/>
  <c r="F62" i="14"/>
  <c r="D9" i="39"/>
  <c r="G17" i="14"/>
  <c r="N20" i="14" s="1"/>
  <c r="Z7" i="15"/>
  <c r="D9" i="15" s="1"/>
  <c r="D21" i="15" s="1"/>
  <c r="N13" i="14"/>
  <c r="E78" i="14"/>
  <c r="E53" i="14"/>
  <c r="E7" i="39"/>
  <c r="F6" i="39"/>
  <c r="E6" i="39"/>
  <c r="F9" i="39"/>
  <c r="E9" i="39"/>
  <c r="E10" i="39"/>
  <c r="E8" i="39"/>
  <c r="J20" i="14"/>
  <c r="C75" i="14"/>
  <c r="G53" i="14"/>
  <c r="G84" i="14" s="1"/>
  <c r="G86" i="14" s="1"/>
  <c r="G78" i="14"/>
  <c r="F10" i="39"/>
  <c r="G71" i="14"/>
  <c r="F7" i="39"/>
  <c r="F27" i="8"/>
  <c r="K18" i="14"/>
  <c r="N18" i="14"/>
  <c r="D20" i="39" l="1"/>
  <c r="C15" i="39"/>
  <c r="C22" i="39"/>
  <c r="C14" i="39"/>
  <c r="C19" i="39"/>
  <c r="C24" i="39"/>
  <c r="C16" i="39"/>
  <c r="C18" i="39"/>
  <c r="C23" i="39"/>
  <c r="C25" i="39"/>
  <c r="C21" i="39"/>
  <c r="D17" i="39"/>
  <c r="C20" i="39"/>
  <c r="D54" i="14"/>
  <c r="C84" i="14"/>
  <c r="C26" i="39" s="1"/>
  <c r="C54" i="14"/>
  <c r="G94" i="14"/>
  <c r="D26" i="39"/>
  <c r="G95" i="14"/>
  <c r="N22" i="14"/>
  <c r="G19" i="14"/>
  <c r="N24" i="14" s="1"/>
  <c r="F84" i="14"/>
  <c r="F86" i="14" s="1"/>
  <c r="F54" i="14"/>
  <c r="E84" i="14"/>
  <c r="E86" i="14" s="1"/>
  <c r="E54" i="14"/>
  <c r="F21" i="15"/>
  <c r="D24" i="39"/>
  <c r="D18" i="39"/>
  <c r="D16" i="39"/>
  <c r="D21" i="39"/>
  <c r="D25" i="39"/>
  <c r="D23" i="39"/>
  <c r="D19" i="39"/>
  <c r="D22" i="39"/>
  <c r="D14" i="39"/>
  <c r="D15" i="39"/>
  <c r="N21" i="14"/>
  <c r="N8" i="14"/>
  <c r="N19" i="14"/>
  <c r="E22" i="39"/>
  <c r="E19" i="39"/>
  <c r="E18" i="39"/>
  <c r="E24" i="39"/>
  <c r="E23" i="39"/>
  <c r="E16" i="39"/>
  <c r="E15" i="39"/>
  <c r="E21" i="39"/>
  <c r="E20" i="39"/>
  <c r="E14" i="39"/>
  <c r="E25" i="39"/>
  <c r="E17" i="39"/>
  <c r="C17" i="39"/>
  <c r="F22" i="39"/>
  <c r="F24" i="39"/>
  <c r="F20" i="39"/>
  <c r="F16" i="39"/>
  <c r="F25" i="39"/>
  <c r="F23" i="39"/>
  <c r="F18" i="39"/>
  <c r="F21" i="39"/>
  <c r="F14" i="39"/>
  <c r="F15" i="39"/>
  <c r="F19" i="39"/>
  <c r="F17" i="39"/>
  <c r="C86" i="14" l="1"/>
  <c r="F26" i="39"/>
  <c r="E26" i="39"/>
  <c r="F21" i="8"/>
  <c r="F25" i="8" s="1"/>
  <c r="F31" i="8" s="1"/>
  <c r="E253" i="15" l="1"/>
  <c r="E56" i="15" s="1"/>
  <c r="F253" i="15"/>
  <c r="F56" i="15" s="1"/>
  <c r="F59" i="15" l="1"/>
  <c r="E59" i="15"/>
  <c r="E299" i="15"/>
  <c r="E304" i="15" s="1"/>
  <c r="I56" i="15" l="1"/>
  <c r="I59" i="15" s="1"/>
  <c r="H59" i="15"/>
  <c r="D24" i="15" s="1"/>
  <c r="D26" i="15" l="1"/>
  <c r="D4" i="15" s="1"/>
  <c r="F24" i="15"/>
  <c r="F26" i="15" l="1"/>
  <c r="F4" i="15" s="1"/>
  <c r="K9" i="52" s="1"/>
  <c r="F26" i="8"/>
  <c r="F28" i="8" s="1"/>
  <c r="F10" i="8" l="1"/>
  <c r="F32" i="8"/>
  <c r="F1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<sst xmlns="http://schemas.openxmlformats.org/spreadsheetml/2006/main" count="10207" uniqueCount="1020">
  <si>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</si>
  <si>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</si>
  <si>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</si>
  <si>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</si>
  <si>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</si>
  <si>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</si>
  <si>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</si>
  <si>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</si>
  <si>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</si>
  <si>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</si>
  <si>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</si>
  <si>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</si>
  <si>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</si>
  <si>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</si>
  <si>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</si>
  <si>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</si>
  <si>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</si>
  <si>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</si>
  <si>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</si>
  <si>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</si>
  <si>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</si>
  <si>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</si>
  <si>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</si>
  <si>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</si>
  <si>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</si>
  <si>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</si>
  <si>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</si>
  <si>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</si>
  <si>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</si>
  <si>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</si>
  <si>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</si>
  <si>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</si>
  <si>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</si>
  <si>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</si>
  <si>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</si>
  <si>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</si>
  <si>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</si>
  <si>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</si>
  <si>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</si>
  <si>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</si>
  <si>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</si>
  <si>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</si>
  <si>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</si>
  <si>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</si>
  <si>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</si>
  <si>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</si>
  <si>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</si>
  <si>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</si>
  <si>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</si>
  <si>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</si>
  <si>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</si>
  <si>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Yes</t>
  </si>
  <si>
    <t>Financing Amount</t>
  </si>
  <si>
    <t>Financing Term (months)</t>
  </si>
  <si>
    <t>Simple Interest</t>
  </si>
  <si>
    <t>Principal</t>
  </si>
  <si>
    <t>Interest</t>
  </si>
  <si>
    <t>Monthly Installment</t>
  </si>
  <si>
    <t>Effective Interest Rate</t>
  </si>
  <si>
    <t>No.</t>
  </si>
  <si>
    <t>Items</t>
  </si>
  <si>
    <t>Remarks</t>
  </si>
  <si>
    <t>A</t>
  </si>
  <si>
    <t>B</t>
  </si>
  <si>
    <t>C</t>
  </si>
  <si>
    <t>D</t>
  </si>
  <si>
    <t>E</t>
  </si>
  <si>
    <t>F</t>
  </si>
  <si>
    <t>Guidance Note</t>
  </si>
  <si>
    <t>Issuer's Actual Indicator / Ratio</t>
  </si>
  <si>
    <t>Type of Risk</t>
  </si>
  <si>
    <t>Max. Loading</t>
  </si>
  <si>
    <t>Actual Loading</t>
  </si>
  <si>
    <t>Debt Service Ratios &lt; 1.2</t>
  </si>
  <si>
    <t>Negative networth in the last preceding 2 Years</t>
  </si>
  <si>
    <t>Negative networth In the last Financial Year</t>
  </si>
  <si>
    <t>Current Ratio &lt; 2</t>
  </si>
  <si>
    <t>Current Ratio &lt; 1.2 (Trading)</t>
  </si>
  <si>
    <t>Gearing Ratio</t>
  </si>
  <si>
    <t>Benchmarking Ratio by industry:</t>
  </si>
  <si>
    <t>Gearing</t>
  </si>
  <si>
    <t>Manufacturing</t>
  </si>
  <si>
    <t>Negative Industry Outlook</t>
  </si>
  <si>
    <t>Gross Financing Rate</t>
  </si>
  <si>
    <t>Issuer</t>
  </si>
  <si>
    <t>Corporate Guarantor</t>
  </si>
  <si>
    <t>Source</t>
  </si>
  <si>
    <t>Referred 1</t>
  </si>
  <si>
    <t>Referred 2</t>
  </si>
  <si>
    <t>Referred 3</t>
  </si>
  <si>
    <t>Any of the below</t>
  </si>
  <si>
    <t>CTOS</t>
  </si>
  <si>
    <t>Exempt Private Company</t>
  </si>
  <si>
    <t xml:space="preserve">Winding Up / Bankruptcy Proceedings Record </t>
  </si>
  <si>
    <t>Summary</t>
  </si>
  <si>
    <t>Trade Receivable</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</si>
  <si>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</si>
  <si>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</si>
  <si>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</si>
  <si>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</si>
  <si>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</si>
  <si>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</si>
  <si>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</si>
  <si>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</si>
  <si>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</si>
  <si>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</si>
  <si>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</si>
  <si>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</si>
  <si>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</si>
  <si>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UOB USD</t>
  </si>
  <si>
    <t>Time Period</t>
  </si>
  <si>
    <t>Average Deposit</t>
  </si>
  <si>
    <t>Average Withdrawal</t>
  </si>
  <si>
    <t>Overdraft Limit, if any</t>
  </si>
  <si>
    <t>Average Available Balance</t>
  </si>
  <si>
    <r>
      <t xml:space="preserve">Latest Balance as at </t>
    </r>
    <r>
      <rPr>
        <b/>
        <sz val="10"/>
        <color rgb="FFFF0000"/>
        <rFont val="Calibri"/>
        <family val="2"/>
      </rPr>
      <t>Feb 2020</t>
    </r>
  </si>
  <si>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</si>
  <si>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</si>
  <si>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</si>
  <si>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</si>
  <si>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</si>
  <si>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</si>
  <si>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</si>
  <si>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</si>
  <si>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</si>
  <si>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</si>
  <si>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</si>
  <si>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</si>
  <si>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</si>
  <si>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</si>
  <si>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</si>
  <si>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</si>
  <si>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</si>
  <si>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</si>
  <si>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</si>
  <si>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</si>
  <si>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</si>
  <si>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</si>
  <si>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</si>
  <si>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</si>
  <si>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</si>
  <si>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</si>
  <si>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</si>
  <si>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</si>
  <si>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</si>
  <si>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</si>
  <si>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</si>
  <si>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</si>
  <si>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</si>
  <si>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</si>
  <si>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</si>
  <si>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</si>
  <si>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</si>
  <si>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</si>
  <si>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</si>
  <si>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</si>
  <si>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</si>
  <si>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</si>
  <si>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</si>
  <si>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</si>
  <si>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</si>
  <si>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</si>
  <si>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</si>
  <si>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</si>
  <si>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</si>
  <si>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</si>
  <si>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</si>
  <si>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</si>
  <si>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</si>
  <si>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</si>
  <si>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</si>
  <si>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</si>
  <si>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</si>
  <si>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</si>
  <si>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</si>
  <si>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</si>
  <si>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</si>
  <si>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</si>
  <si>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</si>
  <si>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</si>
  <si>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</si>
  <si>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</si>
  <si>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</si>
  <si>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</si>
  <si>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</si>
  <si>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</si>
  <si>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</si>
  <si>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</si>
  <si>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</si>
  <si>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</si>
  <si>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</si>
  <si>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</si>
  <si>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</si>
  <si>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</si>
  <si>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</si>
  <si>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</si>
  <si>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</si>
  <si>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</si>
  <si>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</si>
  <si>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</si>
  <si>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</si>
  <si>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</si>
  <si>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</si>
  <si>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</si>
  <si>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</si>
  <si>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</si>
  <si>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</si>
  <si>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</si>
  <si>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</si>
  <si>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</si>
  <si>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</si>
  <si>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</si>
  <si>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</si>
  <si>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</si>
  <si>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</si>
  <si>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</si>
  <si>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</si>
  <si>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</si>
  <si>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</si>
  <si>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</si>
  <si>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</si>
  <si>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</si>
  <si>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</si>
  <si>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</si>
  <si>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</si>
  <si>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</si>
  <si>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</si>
  <si>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</si>
  <si>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</si>
  <si>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</si>
  <si>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</si>
  <si>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</si>
  <si>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</si>
  <si>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</si>
  <si>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</si>
  <si>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</si>
  <si>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</si>
  <si>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</si>
  <si>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</si>
  <si>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</si>
  <si>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</si>
  <si>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</si>
  <si>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</si>
  <si>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</si>
  <si>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</si>
  <si>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</si>
  <si>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</si>
  <si>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</si>
  <si>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</si>
  <si>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</si>
  <si>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</si>
  <si>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</si>
  <si>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</si>
  <si>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</si>
  <si>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</si>
  <si>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</si>
  <si>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</si>
  <si>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</si>
  <si>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</si>
  <si>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</si>
  <si>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</si>
  <si>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</si>
  <si>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</si>
  <si>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</si>
  <si>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</si>
  <si>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</si>
  <si>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</si>
  <si>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</si>
  <si>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</si>
  <si>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</si>
  <si>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</si>
  <si>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</si>
  <si>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</si>
  <si>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</si>
  <si>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</si>
  <si>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</si>
  <si>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</si>
  <si>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</si>
  <si>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</si>
  <si>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</si>
  <si>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</si>
  <si>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</si>
  <si>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</si>
  <si>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</si>
  <si>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</si>
  <si>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</si>
  <si>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</si>
  <si>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</si>
  <si>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</si>
  <si>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</si>
  <si>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</si>
  <si>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</si>
  <si>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</si>
  <si>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</si>
  <si>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</si>
  <si>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</si>
  <si>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</si>
  <si>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</si>
  <si>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</si>
  <si>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</si>
  <si>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</si>
  <si>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</si>
  <si>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</si>
  <si>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</si>
  <si>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</si>
  <si>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</si>
  <si>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</si>
  <si>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</si>
  <si>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</si>
  <si>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</si>
  <si>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</si>
  <si>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yes</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</si>
  <si>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</si>
  <si>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</si>
  <si>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</si>
  <si>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</si>
  <si>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</si>
  <si>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</si>
  <si>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</si>
  <si>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</si>
  <si>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</si>
  <si>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</si>
  <si>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</si>
  <si>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</si>
  <si>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</si>
  <si>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</si>
  <si>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</si>
  <si>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</si>
  <si>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</si>
  <si>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</si>
  <si>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</si>
  <si>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</si>
  <si>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</si>
  <si>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</si>
  <si>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</si>
  <si>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</si>
  <si>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</si>
  <si>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</si>
  <si>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</si>
  <si>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</si>
  <si>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Expected Net income</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</si>
  <si>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</si>
  <si>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</si>
  <si>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</si>
  <si>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</si>
  <si>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</si>
  <si>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</si>
  <si>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</si>
  <si>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</si>
  <si>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</si>
  <si>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</si>
  <si>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</si>
  <si>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</si>
  <si>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</si>
  <si>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</si>
  <si>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</si>
  <si>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</si>
  <si>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</si>
  <si>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</si>
  <si>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</si>
  <si>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</si>
  <si>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</si>
  <si>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</si>
  <si>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</si>
  <si>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</si>
  <si>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</si>
  <si>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</si>
  <si>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</si>
  <si>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</si>
  <si>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</si>
  <si>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</si>
  <si>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</si>
  <si>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</si>
  <si>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</si>
  <si>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</si>
  <si>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</si>
  <si>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</si>
  <si>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</si>
  <si>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</si>
  <si>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</si>
  <si>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</si>
  <si>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</si>
  <si>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</si>
  <si>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</si>
  <si>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</si>
  <si>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</si>
  <si>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</si>
  <si>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</si>
  <si>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</si>
  <si>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</si>
  <si>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</si>
  <si>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</si>
  <si>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</si>
  <si>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</si>
  <si>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</si>
  <si>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</si>
  <si>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</si>
  <si>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</si>
  <si>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</si>
  <si>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</si>
  <si>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</si>
  <si>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</si>
  <si>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</si>
  <si>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</si>
  <si>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</si>
  <si>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</si>
  <si>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</si>
  <si>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</si>
  <si>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</si>
  <si>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</si>
  <si>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</si>
  <si>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</si>
  <si>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</si>
  <si>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</si>
  <si>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</si>
  <si>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</si>
  <si>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</si>
  <si>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</si>
  <si>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</si>
  <si>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</si>
  <si>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</si>
  <si>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</si>
  <si>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</si>
  <si>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</si>
  <si>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</si>
  <si>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</si>
  <si>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</si>
  <si>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</si>
  <si>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</si>
  <si>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</si>
  <si>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</si>
  <si>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</si>
  <si>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</si>
  <si>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</si>
  <si>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</si>
  <si>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</si>
  <si>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</si>
  <si>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</si>
  <si>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</si>
  <si>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</si>
  <si>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</si>
  <si>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</si>
  <si>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</si>
  <si>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</si>
  <si>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</si>
  <si>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</si>
  <si>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</si>
  <si>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</si>
  <si>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</si>
  <si>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</si>
  <si>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</si>
  <si>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</si>
  <si>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</si>
  <si>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</si>
  <si>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</si>
  <si>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</si>
  <si>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</si>
  <si>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</si>
  <si>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</si>
  <si>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</si>
  <si>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</si>
  <si>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</si>
  <si>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</si>
  <si>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</si>
  <si>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</si>
  <si>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</si>
  <si>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</si>
  <si>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</si>
  <si>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</si>
  <si>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</si>
  <si>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</si>
  <si>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</si>
  <si>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</si>
  <si>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</si>
  <si>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</si>
  <si>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</si>
  <si>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</si>
  <si>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</si>
  <si>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</si>
  <si>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</si>
  <si>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</si>
  <si>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</si>
  <si>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</si>
  <si>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</si>
  <si>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</si>
  <si>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</si>
  <si>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</si>
  <si>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</si>
  <si>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</si>
  <si>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</si>
  <si>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</si>
  <si>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</si>
  <si>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</si>
  <si>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</si>
  <si>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</si>
  <si>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</si>
  <si>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</si>
  <si>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</si>
  <si>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</si>
  <si>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</si>
  <si>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</si>
  <si>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</si>
  <si>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</si>
  <si>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</si>
  <si>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</si>
  <si>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</si>
  <si>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</si>
  <si>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</si>
  <si>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</si>
  <si>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</si>
  <si>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</si>
  <si>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</si>
  <si>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</si>
  <si>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</si>
  <si>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</si>
  <si>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</si>
  <si>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</si>
  <si>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</si>
  <si>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</si>
  <si>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</si>
  <si>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</si>
  <si>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</si>
  <si>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</si>
  <si>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</si>
  <si>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</si>
  <si>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</si>
  <si>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</si>
  <si>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</si>
  <si>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</si>
  <si>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</si>
  <si>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</si>
  <si>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</si>
  <si>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</si>
  <si>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</si>
  <si>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</si>
  <si>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</si>
  <si>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</si>
  <si>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</si>
  <si>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</si>
  <si>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</si>
  <si>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</si>
  <si>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</si>
  <si>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</si>
  <si>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</si>
  <si>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</si>
  <si>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</si>
  <si>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</si>
  <si>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</si>
  <si>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</si>
  <si>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</si>
  <si>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</si>
  <si>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</si>
  <si>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</si>
  <si>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</si>
  <si>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</si>
  <si>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</si>
  <si>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</si>
  <si>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</si>
  <si>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</si>
  <si>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</si>
  <si>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</si>
  <si>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</si>
  <si>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</si>
  <si>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</si>
  <si>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</si>
  <si>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</si>
  <si>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</si>
  <si>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</si>
  <si>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</si>
  <si>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</si>
  <si>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</si>
  <si>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</si>
  <si>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</si>
  <si>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</si>
  <si>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</si>
  <si>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</si>
  <si>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</si>
  <si>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</si>
  <si>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</si>
  <si>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</si>
  <si>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</si>
  <si>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</si>
  <si>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</si>
  <si>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</si>
  <si>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</si>
  <si>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</si>
  <si>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</si>
  <si>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</si>
  <si>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</si>
  <si>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</si>
  <si>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</si>
  <si>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</si>
  <si>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</si>
  <si>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</si>
  <si>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</si>
  <si>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</si>
  <si>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</si>
  <si>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</si>
  <si>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</si>
  <si>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</si>
  <si>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</si>
  <si>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</si>
  <si>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</si>
  <si>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</si>
  <si>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</si>
  <si>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</si>
  <si>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</si>
  <si>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</si>
  <si>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</si>
  <si>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</si>
  <si>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</si>
  <si>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</si>
  <si>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</si>
  <si>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</si>
  <si>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</si>
  <si>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</si>
  <si>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</si>
  <si>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</si>
  <si>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</si>
  <si>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</si>
  <si>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</si>
  <si>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</si>
  <si>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</si>
  <si>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</si>
  <si>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</si>
  <si>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</si>
  <si>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</si>
  <si>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</si>
  <si>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</si>
  <si>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</si>
  <si>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</si>
  <si>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</si>
  <si>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</si>
  <si>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</si>
  <si>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</si>
  <si>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</si>
  <si>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</si>
  <si>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</si>
  <si>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</si>
  <si>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</si>
  <si>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</si>
  <si>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</si>
  <si>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</si>
  <si>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</si>
  <si>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</si>
  <si>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</si>
  <si>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</si>
  <si>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</si>
  <si>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</si>
  <si>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</si>
  <si>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</si>
  <si>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</si>
  <si>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</si>
  <si>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</si>
  <si>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</si>
  <si>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</si>
  <si>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</si>
  <si>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</si>
  <si>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</si>
  <si>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</si>
  <si>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</si>
  <si>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</si>
  <si>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 xml:space="preserve">PBT </t>
  </si>
  <si>
    <t>PBT Margin</t>
  </si>
  <si>
    <t>Reserve</t>
  </si>
  <si>
    <t>Retained Earning</t>
  </si>
  <si>
    <t>Minority Interest</t>
  </si>
  <si>
    <t>Net Profit (Loss) Before Tax</t>
  </si>
  <si>
    <t>Net Profit (Loss) After Tax</t>
  </si>
  <si>
    <t>Net Dividend</t>
  </si>
  <si>
    <t>Miniority Interest</t>
  </si>
  <si>
    <t>Share Premium &amp; Reserve</t>
  </si>
  <si>
    <t>Checker</t>
  </si>
  <si>
    <t xml:space="preserve">Date: </t>
  </si>
  <si>
    <t>Mgmt Acc</t>
  </si>
  <si>
    <t>Facility Drawdown Checklist</t>
  </si>
  <si>
    <t>Issuer Name:</t>
  </si>
  <si>
    <t xml:space="preserve">Note ID: </t>
  </si>
  <si>
    <t>Primary CRA Report Source:</t>
  </si>
  <si>
    <t>Date (CRA Report):</t>
  </si>
  <si>
    <t>Review</t>
  </si>
  <si>
    <t xml:space="preserve">If yes, Initial by Maker </t>
  </si>
  <si>
    <t>If yes, Initial by Checker</t>
  </si>
  <si>
    <t>Remarks is mendatory for  inputs that are not affirmative/(No)</t>
  </si>
  <si>
    <t>dd/Mmm/yyyy</t>
  </si>
  <si>
    <t>Mmm yyyy</t>
  </si>
  <si>
    <t>All key Information on Issuer is included/updated in Factsheet</t>
  </si>
  <si>
    <t>Credit Evaluation Checklist</t>
  </si>
  <si>
    <t>Any changes in Director/Shareholder? As per latest CRA report</t>
  </si>
  <si>
    <t>Footnote to be stated in Factsheet (if any)</t>
  </si>
  <si>
    <t>Footnote</t>
  </si>
  <si>
    <t>Details</t>
  </si>
  <si>
    <t>Footnote 1</t>
  </si>
  <si>
    <t>Footnote 2</t>
  </si>
  <si>
    <t>Footnote 3</t>
  </si>
  <si>
    <t>Footnote 4</t>
  </si>
  <si>
    <t>Footnote 5</t>
  </si>
  <si>
    <t>Deleted Checker's Confrimation Table</t>
  </si>
  <si>
    <t>For recommendation and justification to proceed or reject the facility drawdown by Issuer</t>
  </si>
  <si>
    <t>By Credit Analyst</t>
  </si>
  <si>
    <t>Justification:</t>
  </si>
  <si>
    <t>By Chief Credit Officer</t>
  </si>
  <si>
    <t>Approval by Credit Committee</t>
  </si>
  <si>
    <t>By Credit Committee 1</t>
  </si>
  <si>
    <t>By Credit Committee 2</t>
  </si>
  <si>
    <t>Name:</t>
  </si>
  <si>
    <t>Signature:</t>
  </si>
  <si>
    <t>Date:</t>
  </si>
  <si>
    <t>By Credit Committee 3</t>
  </si>
  <si>
    <t xml:space="preserve">Risk Loading Calculation </t>
  </si>
  <si>
    <t xml:space="preserve">Issuer Name: </t>
  </si>
  <si>
    <t>Stage:</t>
  </si>
  <si>
    <t>Note ID:</t>
  </si>
  <si>
    <t>Maker</t>
  </si>
  <si>
    <t>Indicative Risks Loading Rate (Up to)</t>
  </si>
  <si>
    <t xml:space="preserve">Debt Service Ratios </t>
  </si>
  <si>
    <t>DSR is based on annualised Account</t>
  </si>
  <si>
    <t>Negative networth in All last 3 Years (Generally Reject. Approval subject to Credit Committee)</t>
  </si>
  <si>
    <t>positive</t>
  </si>
  <si>
    <t>negative</t>
  </si>
  <si>
    <t>Note: Any deviations to any ascribed risk loading for any of the above categories and/or the overall total risk loading has to be highlighted by credit analyst and approved by Chief Credit Officer and highlighted in the Credit Memo for Credit Committee approval.</t>
  </si>
  <si>
    <t>Total Net Risk Loading
(Max 5%)</t>
  </si>
  <si>
    <t xml:space="preserve">Guidance Note for Base Financing Rate: </t>
  </si>
  <si>
    <t>Credit Score Equivalent</t>
  </si>
  <si>
    <t>Base Rate</t>
  </si>
  <si>
    <t>Risk Loading</t>
  </si>
  <si>
    <t>Justification for deviation to any ascribed risk loading for any of the above categories (If any).</t>
  </si>
  <si>
    <t>Justification:
By Credit Analyst</t>
  </si>
  <si>
    <t>Justification:
By Chief Credit Officer</t>
  </si>
  <si>
    <t>Knock-Out Matrix</t>
  </si>
  <si>
    <t>Director / Guarantor
- Individual</t>
  </si>
  <si>
    <t>Criteria that failed</t>
  </si>
  <si>
    <t>Knock-Out Items</t>
  </si>
  <si>
    <t>Scoring by CRA Agency (Issuer's Credit Agency Score)</t>
  </si>
  <si>
    <t>Scoring by CRA Agency (Credit Score Equivalent)</t>
  </si>
  <si>
    <t>Company Status (Existing Only)</t>
  </si>
  <si>
    <t>Third Party Guarantor-Individual</t>
  </si>
  <si>
    <t>Special Attention Account (per primary CRA report)</t>
  </si>
  <si>
    <t>Summary of Total Liabilities (Outstanding) (per primary CRA report)</t>
  </si>
  <si>
    <t>Summary of Total Liabilities (Total Limit) (per primary CRA report)</t>
  </si>
  <si>
    <t>&gt;1 &amp; outstanding &gt;RM10k</t>
  </si>
  <si>
    <t>Legal Case - Status (per primary CRA report)</t>
  </si>
  <si>
    <t>CCRIS Loan Account - Conduct Count (per primary CRA report)</t>
  </si>
  <si>
    <t>CCRIS Loan Account - Legal Status (per primary CRA report)</t>
  </si>
  <si>
    <t>Any positive notation</t>
  </si>
  <si>
    <t>&gt;5 per month</t>
  </si>
  <si>
    <t>AMLA (per KYC Screening Report)
(Compulsory to include shareholders &gt;20%, irrespective whether they stand as guarantor)</t>
  </si>
  <si>
    <t>PEP (per KYC Screening Report)
(Compulsory to include shareholders &gt;20%, irrespective whether they stand as guarantor)</t>
  </si>
  <si>
    <t>Knock Out Matrix Summary
(based on inputs in the matrix above by Credit Analyst)</t>
  </si>
  <si>
    <t>Note: To fill up the the section below if Knock-Out Matrix Summary is rejected as above:</t>
  </si>
  <si>
    <t>Knock-Out Items
(to tabulate summary of criteria that failed)</t>
  </si>
  <si>
    <t>For recommendation to proceed or reject the credit application if deviates from Knock Out Matrix Summary</t>
  </si>
  <si>
    <t>Justifications:</t>
  </si>
  <si>
    <t>Approval by Credit Committee (if required as per Credit Policy Section 7.1, item v )</t>
  </si>
  <si>
    <t>Signature</t>
  </si>
  <si>
    <t xml:space="preserve">NA </t>
  </si>
  <si>
    <t>Granting Of Credit</t>
  </si>
  <si>
    <t>To Show Computation Via WCR Or Cash Flow Of The Amount To Be Approved And Include Justifications</t>
  </si>
  <si>
    <t>Type, Amount &amp; Tenor Is Appropriate And With Justification Provided By Credit Analyst</t>
  </si>
  <si>
    <t>Financial</t>
  </si>
  <si>
    <t>No Changes In Auditors Over The Past 2 Years</t>
  </si>
  <si>
    <t>Industry Outlook</t>
  </si>
  <si>
    <t>Industry &amp; Growth Outlook (Comments If Any)</t>
  </si>
  <si>
    <t>i</t>
  </si>
  <si>
    <t>ii</t>
  </si>
  <si>
    <t>Repayment Capacity</t>
  </si>
  <si>
    <t>Net Cash Flow After Financing Cost Positive</t>
  </si>
  <si>
    <t xml:space="preserve">Management </t>
  </si>
  <si>
    <t>G</t>
  </si>
  <si>
    <t>For Trade Related Facilites (Approved Buyers &amp; Supplier Only Where Applicable):</t>
  </si>
  <si>
    <t>Buyer And Supplier No Matches (Sanction List &amp; Enforcement) In CTOS KYC Screening Report</t>
  </si>
  <si>
    <t>H</t>
  </si>
  <si>
    <t>Security /Collateral</t>
  </si>
  <si>
    <t>For Corporate Shareholders With Shareholding &gt;20%, Corporate Guarantee Is Taken Unless Approved By Credit Committee</t>
  </si>
  <si>
    <t>Guarantee Is Taken For All Directors With Shareholding &gt;10% Unless Approved By Credit Committee</t>
  </si>
  <si>
    <t>Guarantee Is Taken For All Major Individual Shareholders With Shareholding &gt;20% Unless Approved By Credit Committee</t>
  </si>
  <si>
    <t>Deviations And Approvals</t>
  </si>
  <si>
    <t>Any Deviations To Knock Out Matrix Is Highlighted And Approved (Attached To Credit Memo)</t>
  </si>
  <si>
    <t>Any Deviations To Risk Loading Is Highlighted And Approved (Attached To Credit Memo)</t>
  </si>
  <si>
    <t>Any Deviations From Moneysave Credit Policy Is Highlighted And Approved (Attached To Credit Memo)</t>
  </si>
  <si>
    <t>Key Director's / Corporate / Third Party GUARANTEES</t>
  </si>
  <si>
    <t xml:space="preserve">Inflow </t>
  </si>
  <si>
    <t>1.1.1</t>
  </si>
  <si>
    <t>Funding approval from FIs</t>
  </si>
  <si>
    <t>1.1.2</t>
  </si>
  <si>
    <t>Revenue supported by existing Purchase Order/Invoices from buyers (reasonable forecasted revenue ratio based on sales growth forecast)</t>
  </si>
  <si>
    <t>1.1.3</t>
  </si>
  <si>
    <t xml:space="preserve">Outflow </t>
  </si>
  <si>
    <t>1.2.1</t>
  </si>
  <si>
    <t>1.2.2</t>
  </si>
  <si>
    <t>1.2.3</t>
  </si>
  <si>
    <t>NTA = Total Assets - Total Liabilities - Intangible Assets ;
Where: Intangible Assets include non-physical assets like goodwill, patents, trademarks, and copyrights.</t>
  </si>
  <si>
    <t xml:space="preserve">Intangible Asset </t>
  </si>
  <si>
    <t>Goodwill</t>
  </si>
  <si>
    <t xml:space="preserve">Patent </t>
  </si>
  <si>
    <t>Trademarks</t>
  </si>
  <si>
    <t>Copyrights</t>
  </si>
  <si>
    <t>Net Tangible Asset</t>
  </si>
  <si>
    <t>Other Risk Reduction Incentives</t>
  </si>
  <si>
    <t>Marketable Property @&lt;60% OMV as collateral</t>
  </si>
  <si>
    <t>Director / Key Person / Guarantor- Individual</t>
  </si>
  <si>
    <t>No Score , E or worse</t>
  </si>
  <si>
    <t>Business has been in operations for at least THREE (3) years (Including upgrade from Sole Proprietorship and Partnership under similar business activity)</t>
  </si>
  <si>
    <t xml:space="preserve">No
</t>
  </si>
  <si>
    <t>Key Directors must have at least 3 years involvement in the business and/or relevant related industries.</t>
  </si>
  <si>
    <t>Other than "Existing"</t>
  </si>
  <si>
    <t>≥1</t>
  </si>
  <si>
    <t>Credit Applications Approved for Last 12 months (per primary CRA report)</t>
  </si>
  <si>
    <t>To fill up respectively</t>
  </si>
  <si>
    <t>Credit Applications Pending (per primary CRA report)</t>
  </si>
  <si>
    <t>≥5 within the past 6 months</t>
  </si>
  <si>
    <t>Legal Action taken (from Banking) (per primary CRA report)</t>
  </si>
  <si>
    <t>Existing No. of Facility (from Banking) (per primary CRA report)</t>
  </si>
  <si>
    <t>Legal Suits (per primary CRA report) (either as Plaintiff or Defendant)</t>
  </si>
  <si>
    <t>Subject as "Defendant" and case is "Ongoing" only</t>
  </si>
  <si>
    <t>Trade / Credit Reference (per primary CRA report)</t>
  </si>
  <si>
    <t>Overdraft facility outstanding amount does not exceed the approved overdraft limit as per CCRIS (based on the primary CRA report)</t>
  </si>
  <si>
    <t xml:space="preserve">Issuer's Total Banking Outstanding Facilities does not exceed the Total Banking Limit (per primary CRA report) </t>
  </si>
  <si>
    <t>&gt; 2 times MIA2 for past 6 months and /or current 1 month &gt; 4 times MIA1</t>
  </si>
  <si>
    <t xml:space="preserve">Issuer's Total Non- Bank Lender Outstanding Facilities does not exceed the Total Non-Bank Lender Limit (per primary CRA report) </t>
  </si>
  <si>
    <t>Non-Bank Lender Credit Information (NLCI)- Conduct Count (per primary CRA report)</t>
  </si>
  <si>
    <t>Non-Bank Lender Credit Information (NLCI) - Legal Status (per primary CRA report)</t>
  </si>
  <si>
    <t>Issuer must be profitable for at least TWO (2) out of THREE (3) years with the most recent years showing profit (From either Primary CRA Report / SSM / Audited Report /Draft Audited Report)</t>
  </si>
  <si>
    <t xml:space="preserve">&lt; 2 years profit out of 3 years </t>
  </si>
  <si>
    <t>Positive Networth in latest FYE (From either Primary CRA Report / SSM / Audited Report /Draft Audited Report)</t>
  </si>
  <si>
    <t>Negative Networth</t>
  </si>
  <si>
    <t>Positive</t>
  </si>
  <si>
    <t>Issuer must be a business registered in Malaysia</t>
  </si>
  <si>
    <t>Avoid Industry Sector</t>
  </si>
  <si>
    <t>As per Appendix A</t>
  </si>
  <si>
    <r>
      <t>Any negative risk loading</t>
    </r>
    <r>
      <rPr>
        <sz val="12"/>
        <rFont val="Calibri"/>
        <family val="2"/>
      </rPr>
      <t xml:space="preserve"> given to Issuer with justification and has to be highlighted by credit analyst and approved by Chief Credit Officer and submitted to the Credit Committee for approval in Credit Memo</t>
    </r>
  </si>
  <si>
    <r>
      <t>Any other risk loading</t>
    </r>
    <r>
      <rPr>
        <sz val="12"/>
        <color theme="1"/>
        <rFont val="Calibri"/>
        <family val="2"/>
      </rPr>
      <t xml:space="preserve"> loaded by Moneysave Credit Committee as deem necessary</t>
    </r>
  </si>
  <si>
    <r>
      <t xml:space="preserve">Management Lack of Depth &amp; Breadth of Experience (CEO/Sole Proprietor/Partners &lt;3 Years Experience in Industry) </t>
    </r>
    <r>
      <rPr>
        <sz val="12"/>
        <color theme="1"/>
        <rFont val="Calibri"/>
        <family val="2"/>
      </rPr>
      <t>and/or Management with No Clear Succession Planning (to Keyman)</t>
    </r>
  </si>
  <si>
    <r>
      <t xml:space="preserve">Year in Operations &lt; </t>
    </r>
    <r>
      <rPr>
        <b/>
        <sz val="12"/>
        <color rgb="FFC00000"/>
        <rFont val="Calibri"/>
        <family val="2"/>
      </rPr>
      <t>3</t>
    </r>
    <r>
      <rPr>
        <b/>
        <sz val="12"/>
        <color theme="1"/>
        <rFont val="Calibri"/>
        <family val="2"/>
      </rPr>
      <t xml:space="preserve"> Years</t>
    </r>
  </si>
  <si>
    <t>Case to case basis</t>
  </si>
  <si>
    <t>Others: (Case by case basis)</t>
  </si>
  <si>
    <t>Services Industries</t>
  </si>
  <si>
    <t>Wholesale / Retail /Trading</t>
  </si>
  <si>
    <t>Liquidity: Current Ratio</t>
  </si>
  <si>
    <t>Solvency: Negative Net Worth</t>
  </si>
  <si>
    <t>Debt Service Ratios ≥ 1.5</t>
  </si>
  <si>
    <t>1.2 ≤ Debt Service Ratios &lt; 1.5</t>
  </si>
  <si>
    <t>Check</t>
  </si>
  <si>
    <t>Any specific conditions to be complied with as per Letter of Offer</t>
  </si>
  <si>
    <t>Facility Drawdown Checklist - Appendix 1</t>
  </si>
  <si>
    <t>Strength of the Issuer</t>
  </si>
  <si>
    <t>Issuer is owned ≥ 51% (Effective Shareholding) by the Malaysian Government, State Governments, GLCs, GLICs and Government bodies / agencies or its subsidiaries.</t>
  </si>
  <si>
    <t>Issuer is either a Corporation / Public Listed Company (PLC) with NTA of ≥ RM30m or is owned ≥51% (Effective Shareholding) by a Corporation / PLC with NTA of ≥ RM30m.</t>
  </si>
  <si>
    <t>Issuer is either a Corporation / Public Listed Company (PLC) with NTA of ≥ RM10m or is owned ≥51% (Effective Shareholding) by a Corporation / PLC with NTA of ≥ RM10m.</t>
  </si>
  <si>
    <t>Strength of Project / Contract Awarder / Paymaster</t>
  </si>
  <si>
    <t>The financing of the Investment Note is in respect of projects or contracts relating to supplies, services or works awarded by the Malaysian Government, State Governments, GLCs, GLICs and Government bodies / agencies or by their respective subsidiaries (≥51% Effective S/holding).</t>
  </si>
  <si>
    <t>The financing of the Investment Note is in respect of projects or contracts relating to supplies, services or works awarded by a Corporation or Public Listed Company (PLC) with NTA of ≥ RM30m or by their respective subsidiaries (≥51% Effective S/holding).</t>
  </si>
  <si>
    <t>The financing of the Investment Note is in respect of projects or contracts relating to supplies, services or works awarded by a Corporation or Public Listed Company (PLC) with NTA of ≥ RM10m or by their respective subsidiaries (≥51% Effective S/holding).</t>
  </si>
  <si>
    <t>For Account Receivables / Invoice Financing</t>
  </si>
  <si>
    <t>Invoice is to a Paymaster that is M'sian Govt. (incl. State Govt.)/ GLCs/ GLICs or its bodies or agencies or its subsidiaries where a Notice of Assignment of receivables from the Issuer to the Paymaster has been acknowledged by the Paymaster but without recourse to the Paymaster.</t>
  </si>
  <si>
    <t>Invoice is to a Paymaster that is a Corporation / Public Listed Company (PLC) with NTA of ≥ RM30m or is owned ≥51% (Effective S/holding) by a Corporation / PLC with NTA of ≥ RM30m where a Notice of Assignment of receivables from the Issuer to the Paymaster has been acknowledged by the Paymaster but without recourse to the Paymaster.</t>
  </si>
  <si>
    <t>Invoice is to a Paymaster that is a Corporation / Public Listed Company (PLC) with NTA of ≥ RM10m or is owned ≥51% (Effective S/holding) by a Corporation / PLC with NTA of ≥ RM10m where a Notice of Assignment of receivables from the Issuer to the Paymaster has been acknowledged by the Paymaster but without recourse to the Paymaster.</t>
  </si>
  <si>
    <t>Keyman(s) / Key Management Insurance (Life) Policy assigned to Platform (0.20% per keyman, max. 0.40%)</t>
  </si>
  <si>
    <t>Guarantee from Credit Guarantee Corporation Malaysia @50%</t>
  </si>
  <si>
    <t>Types Of Credit Assessment / Evaluation
(&gt; RM1m)</t>
  </si>
  <si>
    <t>Types Of Credit Assessment / Evaluation
(≤ RM1m)</t>
  </si>
  <si>
    <r>
      <t xml:space="preserve">Purpose Of Financing Is Stated By Issuer On The Application Form:
</t>
    </r>
    <r>
      <rPr>
        <i/>
        <sz val="11.05"/>
        <rFont val="Calibri"/>
        <family val="2"/>
      </rPr>
      <t>a. For All Types of Financing</t>
    </r>
  </si>
  <si>
    <t>Unqualified Financials By Auditors</t>
  </si>
  <si>
    <t>No Concentration Risk To A Single Buyer (&gt;40% Of Total Sales) 
If triggered &gt; 40%, to state: 
Total Sales to Buyer: RM________; 
Total Sales : RM________; 
% of Concentration: _______ %
Name of Buyer :</t>
  </si>
  <si>
    <t>No significant intercompany sales &gt; 30% total sales</t>
  </si>
  <si>
    <t>No Concentration Risk To A Single Supplier (&gt;40% Of Total Purchases) 
If triggered &gt; 40%, to state: 
Total Purchases  from Supplier: RM________; 
Total Purchases (COGS) : RM________; 
% of Concentration: _______ %
Name of Supplier :</t>
  </si>
  <si>
    <t>No Debtors Ageing &gt; 90 days for debtors representing &gt; 30% of total Trade Debtors. (where Issuer can furnish 120 days ageing, we will trigger the query based on &gt;120 days), if triggered to enquire the credit terms given and any extension approved by the Issuer.</t>
  </si>
  <si>
    <t>No Creditors Ageing &gt; 90 days for creditors representing &gt; 30% of total Trade Creditors. (where Issuer can furnish 120 days ageing, we will trigger the query based on &gt;120 days), if triggered to enquire the credit terms given and any extension approved by the Creditors.</t>
  </si>
  <si>
    <t>Industry SWOT Analysis (Applicable for application &gt;RM5m)</t>
  </si>
  <si>
    <t>Contract / Letter of Award / SST / Indent</t>
  </si>
  <si>
    <t xml:space="preserve">Generally, for non specific project/contract financing - Operating Expenditure such as staff cost is consistent with previous years financials (not more than 20% variance). For specific project/contract financing, operating expediture such as staff cost is reasonable.
</t>
  </si>
  <si>
    <t>1.2.4</t>
  </si>
  <si>
    <t>1.2.5</t>
  </si>
  <si>
    <t>1.2.6</t>
  </si>
  <si>
    <t>Include any Existing P2P Repayment Obligations Where Reported By Issuer (As Not Available In CCRIS) including any borrowings reflected in the balance sheet of the Issuer in the computation of DSR or free cash flow.</t>
  </si>
  <si>
    <t>Buyer And Supplier's Company Status Is Stated As Existing And Not Wound Up (CTOS Lite or equivalent)</t>
  </si>
  <si>
    <t>Buyer And Supplier's Financials No Negative Networth Based On Latest Available Audited Financials (CTOS Lite or equivalent)</t>
  </si>
  <si>
    <t>Obtained Information Of Buyer/Supplier Such As Years Of Incorporation &amp; Business Sector (CTOS Lite or equivalent)</t>
  </si>
  <si>
    <t>Deed of Assignment (DOA) / Notice of Assignment (NOA) Provided (If Applicable)</t>
  </si>
  <si>
    <r>
      <t xml:space="preserve">Purpose Of Financing Is Stated By Issuer On The Application Form:
</t>
    </r>
    <r>
      <rPr>
        <i/>
        <sz val="11.05"/>
        <color theme="1"/>
        <rFont val="Calibri"/>
        <family val="2"/>
      </rPr>
      <t>a. SME / Large Corporate Financing (including Working Capital Financing this includes customers engaged in project where they have a supply contract to deliver to the paymaster)
b. Account Receivable Financing
c. Account Payable Financing</t>
    </r>
  </si>
  <si>
    <r>
      <t xml:space="preserve">Financing quantum per customer basis is not to exceed 20% of the total annual sales turnover.
</t>
    </r>
    <r>
      <rPr>
        <i/>
        <sz val="10"/>
        <color theme="1"/>
        <rFont val="Calibri"/>
        <family val="2"/>
      </rPr>
      <t>(Turnover may be based on audited financial statement or forecasted turnover per annualised management account or forecast turnover provided by Issuer)</t>
    </r>
  </si>
  <si>
    <r>
      <rPr>
        <i/>
        <sz val="13"/>
        <color theme="1"/>
        <rFont val="Calibri"/>
        <family val="2"/>
      </rPr>
      <t xml:space="preserve">Maximum Gearing Ratio to be guided by the various benchmark ratios for respective industry:
</t>
    </r>
    <r>
      <rPr>
        <sz val="13"/>
        <color theme="1"/>
        <rFont val="Calibri"/>
        <family val="2"/>
      </rPr>
      <t xml:space="preserve">a. Manufacturing: 3.5 times
b. Wholesale/Retail/Trading: 2.5 times
c. Services Industries: 2 times
d. Construction: 2 times
e. Others: (Case by case basis)
</t>
    </r>
    <r>
      <rPr>
        <b/>
        <i/>
        <sz val="11"/>
        <color theme="1"/>
        <rFont val="Calibri"/>
        <family val="2"/>
      </rPr>
      <t xml:space="preserve">
1. Gearing Ratio</t>
    </r>
    <r>
      <rPr>
        <i/>
        <sz val="11"/>
        <color theme="1"/>
        <rFont val="Calibri"/>
        <family val="2"/>
      </rPr>
      <t xml:space="preserve"> is computed based on </t>
    </r>
    <r>
      <rPr>
        <b/>
        <i/>
        <sz val="11"/>
        <color theme="1"/>
        <rFont val="Calibri"/>
        <family val="2"/>
      </rPr>
      <t>Total Borrowings / (Total Shareholder Funds - Intangible Assets)</t>
    </r>
    <r>
      <rPr>
        <i/>
        <sz val="11"/>
        <color theme="1"/>
        <rFont val="Calibri"/>
        <family val="2"/>
      </rPr>
      <t xml:space="preserve">
</t>
    </r>
    <r>
      <rPr>
        <b/>
        <i/>
        <sz val="11"/>
        <color theme="1"/>
        <rFont val="Calibri"/>
        <family val="2"/>
      </rPr>
      <t>2. Intangible Assets</t>
    </r>
    <r>
      <rPr>
        <i/>
        <sz val="11"/>
        <color theme="1"/>
        <rFont val="Calibri"/>
        <family val="2"/>
      </rPr>
      <t xml:space="preserve"> to include non-physical assets like </t>
    </r>
    <r>
      <rPr>
        <b/>
        <i/>
        <sz val="11"/>
        <color theme="1"/>
        <rFont val="Calibri"/>
        <family val="2"/>
      </rPr>
      <t>goodwill, patents, trademarks, and copyrights</t>
    </r>
    <r>
      <rPr>
        <i/>
        <sz val="11"/>
        <color theme="1"/>
        <rFont val="Calibri"/>
        <family val="2"/>
      </rPr>
      <t>.</t>
    </r>
  </si>
  <si>
    <r>
      <t xml:space="preserve">Profitable for at least TWO (2) out of THREE (3) years with the most recent years showing profit based on audited and latest management account on an annualised basis.
</t>
    </r>
    <r>
      <rPr>
        <i/>
        <sz val="11"/>
        <color theme="1"/>
        <rFont val="Calibri"/>
        <family val="2"/>
      </rPr>
      <t xml:space="preserve">Profitability = </t>
    </r>
    <r>
      <rPr>
        <b/>
        <i/>
        <sz val="11"/>
        <color theme="1"/>
        <rFont val="Calibri"/>
        <family val="2"/>
      </rPr>
      <t>Profit Before Tax (PBT)</t>
    </r>
  </si>
  <si>
    <r>
      <t xml:space="preserve">Positive Tangible Networth in latest FYE (From either Primary CRA Report / SSM / Audited Report / Annualised Management Account)
</t>
    </r>
    <r>
      <rPr>
        <i/>
        <sz val="11"/>
        <color theme="1"/>
        <rFont val="Calibri"/>
        <family val="2"/>
      </rPr>
      <t>(Tangible Networth is defined as Shareholder Funds + Net Advances from Shareholders/Directors - Intangible Assets)</t>
    </r>
  </si>
  <si>
    <r>
      <t xml:space="preserve">Issuer annual sales turnover is on an increasing trend. However, a decrease of 20% is allowed by comparing the recent year sales turnover against the average of the previous 2 years sales turnover. </t>
    </r>
    <r>
      <rPr>
        <i/>
        <sz val="11"/>
        <color theme="1"/>
        <rFont val="Calibri"/>
        <family val="2"/>
      </rPr>
      <t>(Turnover may be based on audited financial statement or latest annualised management account)</t>
    </r>
  </si>
  <si>
    <r>
      <t xml:space="preserve">Annualised deposits per bank statements should be at least 70% of the previous year's annual sales turnover
</t>
    </r>
    <r>
      <rPr>
        <i/>
        <sz val="10"/>
        <color theme="1"/>
        <rFont val="Calibri"/>
        <family val="2"/>
      </rPr>
      <t>(where applicable to exclude transactions under overnight sweeping reverse accounts (credit sweeps)/money market deposits placement and drawdown on trade facilities example BA)</t>
    </r>
  </si>
  <si>
    <r>
      <t xml:space="preserve">Cash Flow Projections Are Acceptable / Reasonable as per guidelines below:
</t>
    </r>
    <r>
      <rPr>
        <i/>
        <sz val="11"/>
        <color theme="1"/>
        <rFont val="Calibri"/>
        <family val="2"/>
      </rPr>
      <t xml:space="preserve">Generally, we would not require on mandatory basis the cash flow projection for Financing Facilities RM500k and below. However, the repayment capability should be justified by other means. </t>
    </r>
  </si>
  <si>
    <r>
      <t xml:space="preserve">Existing debt repayment (P+I) to tie in to their monthy commitment as reflected in their bank letter of offer </t>
    </r>
    <r>
      <rPr>
        <i/>
        <sz val="11.05"/>
        <color theme="1"/>
        <rFont val="Calibri"/>
        <family val="2"/>
      </rPr>
      <t>(reasonable financing cost ratio)</t>
    </r>
  </si>
  <si>
    <r>
      <t xml:space="preserve">Payment to suppliers to be supported by existing invoices or forecast expenditure
</t>
    </r>
    <r>
      <rPr>
        <i/>
        <sz val="11.05"/>
        <color theme="1"/>
        <rFont val="Calibri"/>
        <family val="2"/>
      </rPr>
      <t xml:space="preserve">(reasonable operating cost ratio) </t>
    </r>
  </si>
  <si>
    <r>
      <t xml:space="preserve">Debt Service Ratio (DSR) ≥ 1?
</t>
    </r>
    <r>
      <rPr>
        <i/>
        <sz val="13"/>
        <color theme="1"/>
        <rFont val="Calibri"/>
        <family val="2"/>
      </rPr>
      <t>(Otherwise Please Justify Via Cash Flow)</t>
    </r>
  </si>
  <si>
    <t>Key Director / Key Person / Guarantor- Individual</t>
  </si>
  <si>
    <t>Item</t>
  </si>
  <si>
    <t>Forecasted Sales /Annualised Sales</t>
  </si>
  <si>
    <t>COGS</t>
  </si>
  <si>
    <t>Adjusted Stock Turnover Period (Days)</t>
  </si>
  <si>
    <t>Adjusted Debtor Turnover Period (Days)</t>
  </si>
  <si>
    <t>Adjusted Creditor Turnover Period (Days)</t>
  </si>
  <si>
    <t>Financing Gap (Days)</t>
  </si>
  <si>
    <t xml:space="preserve">Adjusted Financing Gap </t>
  </si>
  <si>
    <t xml:space="preserve">Adjusted Net Working Capital </t>
  </si>
  <si>
    <t xml:space="preserve">Forecast /
Projection </t>
  </si>
  <si>
    <t>Current Existing Bank Financing</t>
  </si>
  <si>
    <t>Adjusted Net Working Capital Requirement</t>
  </si>
  <si>
    <r>
      <t>Total Enquiries for Last 12 months (per primary CRA report) (</t>
    </r>
    <r>
      <rPr>
        <i/>
        <sz val="11"/>
        <color rgb="FFFF0000"/>
        <rFont val="Calibri"/>
        <family val="2"/>
      </rPr>
      <t>Financial Related Search Count</t>
    </r>
    <r>
      <rPr>
        <sz val="13"/>
        <rFont val="Calibri"/>
        <family val="2"/>
      </rPr>
      <t>)</t>
    </r>
  </si>
  <si>
    <t>Audited 2021 (preceding 3 yrs)</t>
  </si>
  <si>
    <t>Audited 2022 (preceding 2 yrs)</t>
  </si>
  <si>
    <t>Audited 2023 (last year)</t>
  </si>
  <si>
    <t>Mgmt 30 Jun 2024 (current year)</t>
  </si>
  <si>
    <t>Loading</t>
  </si>
  <si>
    <r>
      <rPr>
        <i/>
        <sz val="10"/>
        <color theme="1"/>
        <rFont val="Calibri"/>
        <family val="2"/>
      </rPr>
      <t xml:space="preserve">Invoice is INSURED against Bad Debt / Delayed Payments @90% </t>
    </r>
    <r>
      <rPr>
        <i/>
        <sz val="9"/>
        <color theme="1"/>
        <rFont val="Calibri"/>
        <family val="2"/>
      </rPr>
      <t xml:space="preserve">
</t>
    </r>
    <r>
      <rPr>
        <i/>
        <sz val="8"/>
        <color theme="1"/>
        <rFont val="Calibri"/>
        <family val="2"/>
      </rPr>
      <t>(Note: Issuer's Trade Receivables / Invoices are INSURED against the trade debtor’s insolvency, bankruptcy and failure to meet agreed payment terms and conditions by providing an indemnity of up to 90% of approved losses by the Insurer. This insurance does not cover the default of financing / repayment obligations or insolvency of the Issuer.)</t>
    </r>
    <r>
      <rPr>
        <i/>
        <sz val="9"/>
        <color theme="1"/>
        <rFont val="Calibri"/>
        <family val="2"/>
      </rPr>
      <t xml:space="preserve">
</t>
    </r>
  </si>
  <si>
    <t>Moneysave</t>
  </si>
  <si>
    <t>Existing</t>
  </si>
  <si>
    <t>NA</t>
  </si>
  <si>
    <t>Negative</t>
  </si>
  <si>
    <t>28/02/2023</t>
  </si>
  <si>
    <t>29/02/2024</t>
  </si>
  <si>
    <t>28/02/2025</t>
  </si>
  <si>
    <t>ALLIANCE - 7856</t>
  </si>
  <si>
    <t>MBB - 5416</t>
  </si>
  <si>
    <t>RHB - 1718</t>
  </si>
  <si>
    <t>Odin Lubricant Sdn. Bhd.</t>
  </si>
  <si>
    <t>Issuer Name: Odin Lubricant Sdn. Bhd.</t>
  </si>
  <si>
    <t>Audited-28/02/2023</t>
  </si>
  <si>
    <t>Audited-29/02/2024</t>
  </si>
  <si>
    <t>BAOWNPCH 08/03/2024</t>
  </si>
  <si>
    <t>RVVGCRDT 25/04/2025</t>
  </si>
  <si>
    <t>OTLNFNCE 09/08/2019</t>
  </si>
  <si>
    <t>OTLNFNCE 20/07/2020</t>
  </si>
  <si>
    <t>OTLNFNCE 09/12/2021</t>
  </si>
  <si>
    <t>OTLNFNCE 05/04/2024</t>
  </si>
  <si>
    <t>OTLNFNCE 12/04/2024</t>
  </si>
  <si>
    <t>OTLNFNCE 26/06/2025</t>
  </si>
  <si>
    <t>Modalku</t>
  </si>
  <si>
    <t>Capshere</t>
  </si>
  <si>
    <t>ILOAN SME</t>
  </si>
  <si>
    <t>CHAN LIEN CHAN</t>
  </si>
  <si>
    <t>VINCENT LIM TEE YONG</t>
  </si>
  <si>
    <t>ODIN LUBRICANT SDN. BHD.</t>
  </si>
  <si>
    <t xml:space="preserve">Item 1: </t>
  </si>
  <si>
    <t>Checkbox</t>
  </si>
  <si>
    <t>Is the purpose same as the existing facilities?</t>
  </si>
  <si>
    <t>Check balance sheet items for any leakages like advances to related company / directors</t>
  </si>
  <si>
    <t>Check stock turnover, accounts receivable collection and trade creditors payment acceptable.</t>
  </si>
  <si>
    <t>For Issuers justifying their cash flow for their repayment capability, are their cash inflow based on their operating revenue i.e consolidated revenue from all revenue streams/contracts?</t>
  </si>
  <si>
    <t>For Issuers justifying their cash flow for their repayment capability, are their cash outflow based on their consolidated expenses?</t>
  </si>
  <si>
    <t>Is the existing facility fully settled? If not, is the repayment currently prompt and up to date</t>
  </si>
  <si>
    <t>No deterioration in the financial statements. Example management accounts</t>
  </si>
  <si>
    <t>No deterioration in the CCRIS of the Issuer and Guarantors?</t>
  </si>
  <si>
    <t>No legal action by creditors / banks / FIs?</t>
  </si>
  <si>
    <t>Is the industry still in the growth sector? i.e Positive industry outlook?</t>
  </si>
  <si>
    <t>Refer to WCR calculation in Credit Memo (CM_ i MYCO258500000003 _001)</t>
  </si>
  <si>
    <t>According to the sources, Manufacturing Industry outlook is positive.</t>
  </si>
  <si>
    <t>The Malaysia Automotive Engine Oils Market size is estimated at 293.15 million liters in 2025, and is expected to reach 334.26 million liters by 2030, at a CAGR of 2.66% during the forecast period (2025-2030).</t>
  </si>
  <si>
    <t>https://www.mordorintelligence.com/industry-reports/malaysia-automotive-engine-oils-market</t>
  </si>
  <si>
    <t>The Issuer projected the total staff cost and other operating expenses for next 12 months to be RM108k monthly which is consistent with previous years financials.</t>
  </si>
  <si>
    <t xml:space="preserve">Issuer has taken financing from Funding Society and Capsphere </t>
  </si>
  <si>
    <t>The DSR &lt;1 is mitigated by the positive cash flow projection, which indicates sufficient coverage of the Issuer’s financial repayment obligations.</t>
  </si>
  <si>
    <t>The Issuer has submitted a sample set of invoices to validate historical cash outflows and the corresponding  payment evidence were provided.</t>
  </si>
  <si>
    <r>
      <t>Is the total aggregate limit under this application within MS daily operational limit  and Single Issuer Limit (&lt;RM</t>
    </r>
    <r>
      <rPr>
        <u/>
        <sz val="13"/>
        <color theme="1"/>
        <rFont val="Calibri"/>
        <family val="2"/>
      </rPr>
      <t xml:space="preserve"> 25,000,000 </t>
    </r>
    <r>
      <rPr>
        <sz val="13"/>
        <color theme="1"/>
        <rFont val="Calibri"/>
        <family val="2"/>
      </rPr>
      <t xml:space="preserve">)?
</t>
    </r>
  </si>
  <si>
    <t>Within limit</t>
  </si>
  <si>
    <t xml:space="preserve">Purpose for the additional facility is justifiable </t>
  </si>
  <si>
    <t>Sufficient repayment capacity to service the additional exposure repayment commitments</t>
  </si>
  <si>
    <t>To forecast growth and expansion of their business</t>
  </si>
  <si>
    <t>Supported by cash flow projections</t>
  </si>
  <si>
    <t>*Manufacturing</t>
  </si>
  <si>
    <t xml:space="preserve">The Issuer has submitted a sample set of invoices to validate historical cash inflows and the corresponding buyer's payment transaction are observed in the bank statements. </t>
  </si>
  <si>
    <t>Audited-28/02/2025</t>
  </si>
  <si>
    <r>
      <t xml:space="preserve">Risk Loading Calculation 
</t>
    </r>
    <r>
      <rPr>
        <i/>
        <sz val="10"/>
        <rFont val="Calibri"/>
        <family val="2"/>
      </rPr>
      <t>(Based on Board Memo Approval Dated [04/07/2025])</t>
    </r>
  </si>
  <si>
    <r>
      <t xml:space="preserve">Knock Out Matrix  
</t>
    </r>
    <r>
      <rPr>
        <i/>
        <sz val="10"/>
        <rFont val="Calibri"/>
        <family val="2"/>
      </rPr>
      <t>(Based on Board Memo Approval Dated [04/07/2025])</t>
    </r>
  </si>
  <si>
    <r>
      <t xml:space="preserve">Credit Evaluation Checklist  
</t>
    </r>
    <r>
      <rPr>
        <i/>
        <sz val="10"/>
        <rFont val="Calibri"/>
        <family val="2"/>
      </rPr>
      <t>(Based on Board Memo Approval Dated [04/07/2025])</t>
    </r>
  </si>
  <si>
    <t>Management Account Updated
(if available, updated to :   30/09/2025  )</t>
  </si>
  <si>
    <t>Audited Accounts Updated
(if available, updated to :   28/02/2025 )</t>
  </si>
  <si>
    <t xml:space="preserve">Key Person’s age for Sole Proprietorship, Partnership, Limited Liability Partnership and key director's age for Private Limited Company/Limited Company - maximum age of 65 years at the point of application or upon financing maturity for term financing, an alternate key person/director/successor of the business must be identified. The key person/director/successor of the business must within the eligible age at the point of application or upon financing maturity for term financing and must be a guarantor of the facility. 
</t>
  </si>
  <si>
    <t>ROHAYA BINTI AHMAD has been appointed as a 30% shareholder solely to fulfil the regulatory requirement set by the Ministry of Domestic Trade and Cost of Living (KPDN) for the Perlesenan Dalaman Akta (PDA) 4/SIRM certification. The Issuer has submitted a Letter of Clarification Regarding Change in Shareholding (attached) confirming that the new nominee shareholder does not have any beneficial ownership or control over the company.
In view of the above, we recommend waiving the requirement for a personal guarantee from ROHAYA BINTI AHMAD.</t>
  </si>
  <si>
    <t>There is an additional personal guarantee taken from a third party guarantor.</t>
  </si>
  <si>
    <t>Refer to the justification in Knock Out Matrix</t>
  </si>
  <si>
    <t>Issuer requested for additional working capital as in the application form dated 14/10/2025</t>
  </si>
  <si>
    <t xml:space="preserve">This additional financing facility requested of RM1,200,000.00 making a total aggregate facility of RM1,800,000 is granted under SME / Large Corporate Business Financing, with a tenure of up to 12 months and monthly repayment structure. The condition of drawdown for any outstanding above RM250,000 outstanding will require submission of tax invoices (consignment invoices are not acceptable) from the approved buyers and the aforesaid invoices to the approved buyers in the table below are to be covered under Trade Credit Insurance.
</t>
  </si>
  <si>
    <t>Prior to any disbursement, the following original documentation must be sighted (where applicable):
1.	Accepted Purchase Order/Progress Claims from the Approved Buyer/Paymaster
2.	Original signed and approved Tax Invoices by the Approved Buyer/Paymaster only. Consignment invoice is not acceptable for financing.
3.	Original signed Delivery Order, Payment Certificate or other equivalent work done report by the Approved Buyer/Paymaster.</t>
  </si>
  <si>
    <t>Every tax invoice and delivery order must be duly affixed and signed by the Trade Debtor / Buyer / Paymaster, accompanied by a copy of Purchase Order or relevant Contract (if any).</t>
  </si>
  <si>
    <t>All tax invoices to be financed must be subject to the following: 
I.	Tax invoice date should not exceed Thirty (30) days from the date of tax invoice or does not exceed the credit term given by you to the Trade Debtor / Buyer / Paymaster, whichever is earlier unless otherwise agreed by Moneysave.
II.	Not Consignment/or Cash Sales.
III.	Not to a Trade Debtor / Buyer / Paymaster which is a related company of the Issuer.
IV.	Not to a Trade Debtor / Buyer / Paymaster where there may be monies due to the customer from the Issuer or the Issuer’s associated company or sales involving contra items.
V.	No such other conditional sales arrangement or on abnormal terms or on terms not previously notified to Moneysave.
VI.	All tax invoices provided to Moneysave for financing purposes shall not be in the present or future factored or assigned to any Bank/FI/Non-FI.</t>
  </si>
  <si>
    <t>Where applicable, this facility allows for subsequent multiple drawdowns on a revolving basis subject to availability and at the sole discretion of Moneysave based on the following requirements:
I.	Presentation of valid claims/purchase orders/invoices/pro-forma invoices/delivery orders/quotations and/or any other additional information as and when required by Moneysave.
II.	Total new financing amount and outstanding existing exposure not exceeding the approved aggregate limit.
III.	There will be no additional utilisation within the aggregate limit in the event Issuer has any overdue monthly instalments for outstanding notes. Any approval to allow additional utilisation will be at the sole discretion of Moneysave.
IV.	To submit to us a request to drawdown/rollover at least 3 working days prior to utilisation using Moneysave Utilisation Request Form, Schedule 4.</t>
  </si>
  <si>
    <t>Eddy Lam Choon Yee</t>
  </si>
  <si>
    <t>Kwan Chan Meng</t>
  </si>
  <si>
    <t>Vincent Soh Aik Guan</t>
  </si>
  <si>
    <t>Risk Mitigation
(Based on Board Memo Approval Dated [26 / 05 / 2025])</t>
  </si>
  <si>
    <t>Experian</t>
  </si>
  <si>
    <t>A copy/original of the Trade Credit Insurance policy on Issuer’s buyers / paymasters to be furnished to Moneysave prior to drawdown.</t>
  </si>
  <si>
    <t>The Trade Credit Insurance coverage by the Insurer to include the Lost Payee Clause wherein Moneysave is duly named as the Lost Payee.</t>
  </si>
  <si>
    <t>Base Financing Rate
(as of 29/12/2025)</t>
  </si>
  <si>
    <t>Sighted MS endorsed as Lost Payee</t>
  </si>
  <si>
    <t>Sighted Trade Credit Insurance policy</t>
  </si>
  <si>
    <t>Tax invoices from approved buyers were submitted for drawdown making outstanding exposure &gt;RM250,000.</t>
  </si>
  <si>
    <t>2025-10</t>
  </si>
  <si>
    <t>2025-11</t>
  </si>
  <si>
    <t>2025-12</t>
  </si>
  <si>
    <t>The following original documentations are sighted:
I.	Accepted Purchase Order Approved Buyer/Paymaster.
II.	Original signed and approved Tax Invoices by the Approved Buyer/Paymaster.
III.	Original signed Delivery Order by the Approved Buyer/Paymaster.</t>
  </si>
  <si>
    <t>Bank Statements Updated 
(Latest 6 months Bank Statement, 01/07/2025 to 31/12/2025 )</t>
  </si>
  <si>
    <r>
      <t xml:space="preserve">Base Rate 
</t>
    </r>
    <r>
      <rPr>
        <i/>
        <sz val="10"/>
        <rFont val="Calibri"/>
        <family val="2"/>
      </rPr>
      <t>(Based on Board Memo Approval Dated [29/12/2025])</t>
    </r>
  </si>
  <si>
    <t xml:space="preserve">2 MIA 1 for past 6 months 1 MIA 1 in current month </t>
  </si>
  <si>
    <t xml:space="preserve">2 MIA 1 for past 6 months
No MIA in current month </t>
  </si>
  <si>
    <t>The E Score is due to historical MIA. Latest CCRIS shows no MIA in current month.</t>
  </si>
  <si>
    <t>(25 / 03 / 2026)</t>
  </si>
  <si>
    <t>30/11/2025</t>
  </si>
  <si>
    <t>Mgmt Acc-30/11/2025</t>
  </si>
  <si>
    <t>Drawdown</t>
  </si>
  <si>
    <t>MYNT264800000002</t>
  </si>
  <si>
    <t xml:space="preserve">No MIA for past 6 months
No MIA in current month </t>
  </si>
  <si>
    <r>
      <rPr>
        <sz val="13"/>
        <color theme="1"/>
        <rFont val="Calibri"/>
        <family val="2"/>
      </rPr>
      <t xml:space="preserve">Credit Memo Approval Date: 15 / 12 / 2025
Latest CRA Report Date: 25 / 03 / 2026
Based on the relevant CRA report, to review for the Issuer only the following items only. If any variation from previous month, to update and provide justification.
1. Calculating credit score equivalent /base financing rate
2. CCRIS Loan Account - Conduct Count (per primary CRA report)
3. Legal Action taken (from Banking) (per primary CRA report)
4. Legal Suits (per primary CRA report) (either as Plaintiff or Defendant)
5. Trade / Credit Reference (per primary CRA report) 
6. Winding Up / Bankruptcy Proceedings Record (per primary CRA report)
7. AML/CFT - Anti-Money Laundering and Anti-Terrorism Financing Act 2001 (per primary CRA report)
</t>
    </r>
    <r>
      <rPr>
        <b/>
        <sz val="13"/>
        <color theme="1"/>
        <rFont val="Calibri"/>
        <family val="2"/>
      </rPr>
      <t xml:space="preserve">
</t>
    </r>
    <r>
      <rPr>
        <i/>
        <u/>
        <sz val="10"/>
        <color theme="1"/>
        <rFont val="Calibri"/>
        <family val="2"/>
      </rPr>
      <t>For an illustration:</t>
    </r>
    <r>
      <rPr>
        <i/>
        <sz val="10"/>
        <color theme="1"/>
        <rFont val="Calibri"/>
        <family val="2"/>
      </rPr>
      <t xml:space="preserve">
Hosting of the Investment Note will be based on the latest CRA, the validity of which shall be based on the scenario below:
CRA Report Date: 12/06/2025
Credit memo approved: 12/06/2025
Hosting can be done by latest 09/07/2025 based on CRA report dated 12/06/2025
Hosting after 10/07/2025 to be based on CRA report dated 11/7/2025</t>
    </r>
  </si>
  <si>
    <r>
      <t xml:space="preserve">1. Calculating credit score equivalent /base financing rate - </t>
    </r>
    <r>
      <rPr>
        <b/>
        <sz val="13"/>
        <color theme="1"/>
        <rFont val="Calibri"/>
        <family val="2"/>
      </rPr>
      <t xml:space="preserve">Credit Score Equivalent B, refer to Risk Loading Calculation 07/04/2026 </t>
    </r>
    <r>
      <rPr>
        <sz val="13"/>
        <color theme="1"/>
        <rFont val="Calibri"/>
        <family val="2"/>
      </rPr>
      <t xml:space="preserve">
2. CCRIS Loan Account - Conduct Count (per primary CRA report)-</t>
    </r>
    <r>
      <rPr>
        <b/>
        <sz val="13"/>
        <color theme="1"/>
        <rFont val="Calibri"/>
        <family val="2"/>
      </rPr>
      <t xml:space="preserve">2 MIA 1 for past 6 months, 1 MIA 1 in current month </t>
    </r>
    <r>
      <rPr>
        <sz val="13"/>
        <color theme="1"/>
        <rFont val="Calibri"/>
        <family val="2"/>
      </rPr>
      <t xml:space="preserve"> </t>
    </r>
    <r>
      <rPr>
        <b/>
        <sz val="13"/>
        <color theme="1"/>
        <rFont val="Calibri"/>
        <family val="2"/>
      </rPr>
      <t xml:space="preserve"> </t>
    </r>
    <r>
      <rPr>
        <sz val="13"/>
        <color theme="1"/>
        <rFont val="Calibri"/>
        <family val="2"/>
      </rPr>
      <t xml:space="preserve">
3. Legal Action taken (from Banking) (per primary CRA report) - </t>
    </r>
    <r>
      <rPr>
        <b/>
        <sz val="13"/>
        <color theme="1"/>
        <rFont val="Calibri"/>
        <family val="2"/>
      </rPr>
      <t>No</t>
    </r>
    <r>
      <rPr>
        <sz val="13"/>
        <color theme="1"/>
        <rFont val="Calibri"/>
        <family val="2"/>
      </rPr>
      <t xml:space="preserve">
4. Legal Suits (per primary CRA report) (either as Plaintiff or Defendant) - </t>
    </r>
    <r>
      <rPr>
        <b/>
        <sz val="13"/>
        <color theme="1"/>
        <rFont val="Calibri"/>
        <family val="2"/>
      </rPr>
      <t>Yes, Issuer as Plaintiff</t>
    </r>
    <r>
      <rPr>
        <sz val="13"/>
        <color theme="1"/>
        <rFont val="Calibri"/>
        <family val="2"/>
      </rPr>
      <t xml:space="preserve">
5. Trade / Credit Reference (per primary CRA report) - </t>
    </r>
    <r>
      <rPr>
        <b/>
        <sz val="13"/>
        <color theme="1"/>
        <rFont val="Calibri"/>
        <family val="2"/>
      </rPr>
      <t>No</t>
    </r>
    <r>
      <rPr>
        <sz val="13"/>
        <color theme="1"/>
        <rFont val="Calibri"/>
        <family val="2"/>
      </rPr>
      <t xml:space="preserve">
6. Winding Up / Bankruptcy Proceedings Record (per primary CRA report) - </t>
    </r>
    <r>
      <rPr>
        <b/>
        <sz val="13"/>
        <color theme="1"/>
        <rFont val="Calibri"/>
        <family val="2"/>
      </rPr>
      <t>No</t>
    </r>
    <r>
      <rPr>
        <sz val="13"/>
        <color theme="1"/>
        <rFont val="Calibri"/>
        <family val="2"/>
      </rPr>
      <t xml:space="preserve">
7. AML/CFT - Anti-Money Laundering and Anti-Terrorism Financing Act 2001 (per primary CRA report) - </t>
    </r>
    <r>
      <rPr>
        <b/>
        <sz val="13"/>
        <color theme="1"/>
        <rFont val="Calibri"/>
        <family val="2"/>
      </rPr>
      <t>Negative</t>
    </r>
  </si>
  <si>
    <t>No Changes</t>
  </si>
  <si>
    <t>Based on the Trade Debtors Ageing report as of  30/11/2025, there is no concentration risk to a single buyer.</t>
  </si>
  <si>
    <t>Based on the Trade Creditors Ageing report as of  30/11/2025, there is no concentration risk to a single supplier.</t>
  </si>
  <si>
    <t>Based on the Trade Debtors Ageing report as of  30/11/2025, there is no single debtor &gt;120 days representing &gt;30% of the total trade debtors.</t>
  </si>
  <si>
    <t>Based on the Trade Creditors Ageing report as of  30/11/2025, there is no single creditor &gt;120 days representing &gt;30% of the total trade creditors.</t>
  </si>
  <si>
    <t>The management accounts' Balance Sheet is subject to finalisation in respect of the classification of current and non-current liabilities. Similarly, the Profit &amp; Loss statement is pending adjustment for including but not limited to, the finalization of tax expenses, depreciation and etc.</t>
  </si>
  <si>
    <t>2026-01</t>
  </si>
  <si>
    <t>2026-02</t>
  </si>
  <si>
    <t>2026-03</t>
  </si>
  <si>
    <r>
      <t>Latest Balance as at Mar</t>
    </r>
    <r>
      <rPr>
        <b/>
        <sz val="10"/>
        <color rgb="FFFF0000"/>
        <rFont val="Calibri"/>
        <family val="2"/>
      </rPr>
      <t xml:space="preserve">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</si>
</sst>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 #,##0_-;_-* &quot;-&quot;_-;_-@_-"/>
    <numFmt numFmtId="165" formatCode="_-* #,##0.00_-;\-* #,##0.00_-;_-* &quot;-&quot;??_-;_-@_-"/>
    <numFmt numFmtId="166" formatCode="_-* #,##0_-;\-* #,##0_-;_-* &quot;-&quot;??_-;_-@_-"/>
    <numFmt numFmtId="167" formatCode="_-* #,##0.0_-;\-* #,##0.0_-;_-* &quot;-&quot;??_-;_-@_-"/>
    <numFmt numFmtId="168" formatCode="dd/mm/yyyy;@"/>
    <numFmt numFmtId="169" formatCode="_-* #,##0.0_-;\-* #,##0.0_-;_-* &quot;-&quot;?_-;_-@_-"/>
    <numFmt numFmtId="170" formatCode="#,##0_ ;[Red]\-#,##0\ "/>
    <numFmt numFmtId="171" formatCode="[$-409]d\-mmm\-yy;@"/>
  </numFmts>
  <fonts count="106" x14ac:knownFonts="1">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b/>
      <sz val="10"/>
      <color rgb="FF2110F8"/>
      <name val="Calibri"/>
      <family val="2"/>
      <scheme val="minor"/>
    </font>
    <font>
      <sz val="11"/>
      <name val="Calibri"/>
      <family val="2"/>
      <scheme val="minor"/>
    </font>
    <font>
      <sz val="11"/>
      <color rgb="FF0000FF"/>
      <name val="Calibri"/>
      <family val="2"/>
      <scheme val="minor"/>
    </font>
    <font>
      <sz val="10"/>
      <color theme="4"/>
      <name val="Calibri"/>
      <family val="2"/>
      <scheme val="minor"/>
    </font>
    <font>
      <sz val="10"/>
      <color theme="2" tint="-0.499984740745262"/>
      <name val="Calibri"/>
      <family val="2"/>
      <scheme val="minor"/>
    </font>
    <font>
      <b/>
      <sz val="8"/>
      <color theme="1"/>
      <name val="Calibri"/>
      <family val="2"/>
      <scheme val="minor"/>
    </font>
    <font>
      <sz val="11"/>
      <color theme="1"/>
      <name val="Calibri"/>
      <family val="2"/>
    </font>
    <font>
      <sz val="12"/>
      <color theme="1"/>
      <name val="Calibri"/>
      <family val="2"/>
    </font>
    <font>
      <b/>
      <sz val="11"/>
      <color theme="1"/>
      <name val="Calibri"/>
      <family val="2"/>
    </font>
    <font>
      <sz val="3"/>
      <color theme="1"/>
      <name val="Calibri"/>
      <family val="2"/>
    </font>
    <font>
      <b/>
      <sz val="18"/>
      <color theme="1"/>
      <name val="Calibri"/>
      <family val="2"/>
    </font>
    <font>
      <b/>
      <sz val="12"/>
      <name val="Calibri"/>
      <family val="2"/>
    </font>
    <font>
      <b/>
      <sz val="12"/>
      <color theme="1"/>
      <name val="Calibri"/>
      <family val="2"/>
    </font>
    <font>
      <b/>
      <sz val="12"/>
      <color theme="0" tint="-0.14999847407452621"/>
      <name val="Calibri"/>
      <family val="2"/>
    </font>
    <font>
      <b/>
      <sz val="11"/>
      <color theme="0" tint="-0.249977111117893"/>
      <name val="Calibri"/>
      <family val="2"/>
    </font>
    <font>
      <b/>
      <sz val="11"/>
      <color theme="0" tint="-0.14999847407452621"/>
      <name val="Calibri"/>
      <family val="2"/>
    </font>
    <font>
      <i/>
      <sz val="11"/>
      <color theme="1"/>
      <name val="Calibri"/>
      <family val="2"/>
    </font>
    <font>
      <i/>
      <sz val="10"/>
      <color theme="1"/>
      <name val="Calibri"/>
      <family val="2"/>
    </font>
    <font>
      <b/>
      <sz val="11"/>
      <name val="Calibri"/>
      <family val="2"/>
    </font>
    <font>
      <sz val="11"/>
      <color rgb="FFC00000"/>
      <name val="Calibri"/>
      <family val="2"/>
    </font>
    <font>
      <b/>
      <sz val="14"/>
      <color theme="1"/>
      <name val="Calibri"/>
      <family val="2"/>
    </font>
    <font>
      <b/>
      <sz val="14"/>
      <name val="Calibri"/>
      <family val="2"/>
    </font>
    <font>
      <sz val="11"/>
      <name val="Calibri"/>
      <family val="2"/>
    </font>
    <font>
      <sz val="3"/>
      <name val="Calibri"/>
      <family val="2"/>
    </font>
    <font>
      <b/>
      <sz val="3"/>
      <name val="Calibri"/>
      <family val="2"/>
    </font>
    <font>
      <sz val="3"/>
      <name val="Calibri"/>
      <family val="2"/>
      <scheme val="minor"/>
    </font>
    <font>
      <b/>
      <sz val="3"/>
      <color theme="1"/>
      <name val="Calibri"/>
      <family val="2"/>
    </font>
    <font>
      <b/>
      <sz val="12"/>
      <color rgb="FFC00000"/>
      <name val="Calibri"/>
      <family val="2"/>
    </font>
    <font>
      <b/>
      <sz val="11"/>
      <color rgb="FFC00000"/>
      <name val="Calibri"/>
      <family val="2"/>
    </font>
    <font>
      <sz val="11"/>
      <color rgb="FFC00000"/>
      <name val="Calibri"/>
      <family val="2"/>
      <scheme val="minor"/>
    </font>
    <font>
      <sz val="9"/>
      <color theme="1"/>
      <name val="Calibri"/>
      <family val="2"/>
    </font>
    <font>
      <i/>
      <sz val="9"/>
      <color theme="1"/>
      <name val="Calibri"/>
      <family val="2"/>
    </font>
    <font>
      <b/>
      <sz val="9"/>
      <color theme="1"/>
      <name val="Calibri"/>
      <family val="2"/>
    </font>
    <font>
      <b/>
      <u/>
      <sz val="9"/>
      <color theme="1"/>
      <name val="Calibri"/>
      <family val="2"/>
    </font>
    <font>
      <i/>
      <sz val="9"/>
      <name val="Calibri"/>
      <family val="2"/>
    </font>
    <font>
      <b/>
      <i/>
      <sz val="11"/>
      <color theme="1"/>
      <name val="Calibri"/>
      <family val="2"/>
    </font>
    <font>
      <i/>
      <sz val="11"/>
      <name val="Calibri"/>
      <family val="2"/>
    </font>
    <font>
      <b/>
      <sz val="9"/>
      <name val="Calibri"/>
      <family val="2"/>
    </font>
    <font>
      <sz val="9"/>
      <name val="Calibri"/>
      <family val="2"/>
    </font>
    <font>
      <b/>
      <sz val="13"/>
      <name val="Calibri"/>
      <family val="2"/>
    </font>
    <font>
      <sz val="11"/>
      <color rgb="FF000000"/>
      <name val="Calibri"/>
      <family val="2"/>
    </font>
    <font>
      <b/>
      <sz val="11"/>
      <color rgb="FF000000"/>
      <name val="Calibri"/>
      <family val="2"/>
    </font>
    <font>
      <sz val="12"/>
      <name val="Calibri"/>
      <family val="2"/>
    </font>
    <font>
      <sz val="13"/>
      <color theme="1"/>
      <name val="Calibri"/>
      <family val="2"/>
    </font>
    <font>
      <b/>
      <sz val="13"/>
      <color theme="1"/>
      <name val="Calibri"/>
      <family val="2"/>
    </font>
    <font>
      <sz val="13"/>
      <name val="Calibri"/>
      <family val="2"/>
    </font>
    <font>
      <b/>
      <sz val="18"/>
      <name val="Calibri"/>
      <family val="2"/>
    </font>
    <font>
      <sz val="12"/>
      <color rgb="FFC00000"/>
      <name val="Calibri"/>
      <family val="2"/>
    </font>
    <font>
      <sz val="13"/>
      <color rgb="FFFF0000"/>
      <name val="Calibri"/>
      <family val="2"/>
    </font>
    <font>
      <sz val="12"/>
      <color rgb="FFFF0000"/>
      <name val="Calibri"/>
      <family val="2"/>
    </font>
    <font>
      <b/>
      <sz val="12"/>
      <color rgb="FFFF0000"/>
      <name val="Calibri"/>
      <family val="2"/>
    </font>
    <font>
      <sz val="13"/>
      <name val="Calibri Light"/>
      <family val="2"/>
    </font>
    <font>
      <sz val="13"/>
      <name val="Aptos Narrow"/>
      <family val="2"/>
    </font>
    <font>
      <b/>
      <i/>
      <sz val="12"/>
      <name val="Calibri"/>
      <family val="2"/>
    </font>
    <font>
      <i/>
      <sz val="12"/>
      <name val="Calibri"/>
      <family val="2"/>
    </font>
    <font>
      <b/>
      <i/>
      <sz val="12"/>
      <color theme="1"/>
      <name val="Calibri"/>
      <family val="2"/>
    </font>
    <font>
      <i/>
      <sz val="12"/>
      <color theme="1"/>
      <name val="Calibri"/>
      <family val="2"/>
    </font>
    <font>
      <sz val="12"/>
      <color rgb="FF2110F8"/>
      <name val="Calibri"/>
      <family val="2"/>
    </font>
    <font>
      <sz val="12"/>
      <color rgb="FF002060"/>
      <name val="Calibri"/>
      <family val="2"/>
    </font>
    <font>
      <b/>
      <sz val="12"/>
      <color rgb="FF002060"/>
      <name val="Calibri"/>
      <family val="2"/>
    </font>
    <font>
      <i/>
      <sz val="13"/>
      <color theme="1"/>
      <name val="Calibri"/>
      <family val="2"/>
    </font>
    <font>
      <i/>
      <sz val="13"/>
      <name val="Calibri"/>
      <family val="2"/>
    </font>
    <font>
      <sz val="13"/>
      <color theme="0"/>
      <name val="Calibri"/>
      <family val="2"/>
    </font>
    <font>
      <i/>
      <sz val="10"/>
      <name val="Calibri"/>
      <family val="2"/>
    </font>
    <font>
      <i/>
      <sz val="11.05"/>
      <name val="Calibri"/>
      <family val="2"/>
    </font>
    <font>
      <i/>
      <sz val="11.05"/>
      <color theme="1"/>
      <name val="Calibri"/>
      <family val="2"/>
    </font>
    <font>
      <u/>
      <sz val="13"/>
      <color theme="1"/>
      <name val="Calibri"/>
      <family val="2"/>
    </font>
    <font>
      <i/>
      <u/>
      <sz val="10"/>
      <color theme="1"/>
      <name val="Calibri"/>
      <family val="2"/>
    </font>
    <font>
      <i/>
      <sz val="11"/>
      <color rgb="FFFF0000"/>
      <name val="Calibri"/>
      <family val="2"/>
    </font>
    <font>
      <i/>
      <sz val="8"/>
      <color theme="1"/>
      <name val="Calibri"/>
      <family val="2"/>
    </font>
    <font>
      <u/>
      <sz val="11"/>
      <color theme="10"/>
      <name val="Calibri"/>
      <family val="2"/>
      <scheme val="minor"/>
    </font>
    <font>
      <b/>
      <sz val="11"/>
      <color rgb="FF000000"/>
      <name val="Calibri"/>
      <family val="2"/>
      <scheme val="minor"/>
    </font>
  </fonts>
  <fills count="2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2" tint="-9.9978637043366805E-2"/>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style="thin">
        <color theme="1"/>
      </left>
      <right style="thin">
        <color theme="1"/>
      </right>
      <top style="thin">
        <color theme="1"/>
      </top>
      <bottom/>
      <diagonal/>
    </border>
    <border>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s>
  <cellStyleXfs count="6">
    <xf numFmtId="0" fontId="0" fillId="0" borderId="0"/>
    <xf numFmtId="165" fontId="1" fillId="0" borderId="0" applyFont="0" applyFill="0" applyBorder="0" applyAlignment="0" applyProtection="0"/>
    <xf numFmtId="9" fontId="1" fillId="0" borderId="0" applyFont="0" applyFill="0" applyBorder="0" applyAlignment="0" applyProtection="0"/>
    <xf numFmtId="0" fontId="3" fillId="0" borderId="0"/>
    <xf numFmtId="43" fontId="1" fillId="0" borderId="0" applyFont="0" applyFill="0" applyBorder="0" applyAlignment="0" applyProtection="0"/>
    <xf numFmtId="0" fontId="104" fillId="0" borderId="0" applyNumberFormat="0" applyFill="0" applyBorder="0" applyAlignment="0" applyProtection="0"/>
  </cellStyleXfs>
  <cellXfs count="877">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6"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6"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6"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6" fontId="6" fillId="0" borderId="0" xfId="1" applyNumberFormat="1" applyFont="1" applyAlignment="1">
      <alignment vertical="center"/>
    </xf>
    <xf numFmtId="0" fontId="2" fillId="0" borderId="0" xfId="0" applyFont="1" applyAlignment="1">
      <alignment horizontal="center" vertical="center" wrapText="1"/>
    </xf>
    <xf numFmtId="165" fontId="2" fillId="2" borderId="1" xfId="1" applyFont="1" applyFill="1" applyBorder="1" applyAlignment="1">
      <alignment vertical="center"/>
    </xf>
    <xf numFmtId="10" fontId="2" fillId="2" borderId="1" xfId="2" applyNumberFormat="1" applyFont="1" applyFill="1" applyBorder="1" applyAlignment="1">
      <alignment vertical="center"/>
    </xf>
    <xf numFmtId="165"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6" fontId="4" fillId="4" borderId="4" xfId="0" applyNumberFormat="1" applyFont="1" applyFill="1" applyBorder="1" applyAlignment="1">
      <alignment vertical="center"/>
    </xf>
    <xf numFmtId="166" fontId="2" fillId="7" borderId="1" xfId="1" applyNumberFormat="1" applyFont="1" applyFill="1" applyBorder="1" applyAlignment="1">
      <alignment vertical="center"/>
    </xf>
    <xf numFmtId="166"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165" fontId="2" fillId="7" borderId="1" xfId="1" applyFont="1" applyFill="1" applyBorder="1" applyAlignment="1">
      <alignment vertical="center"/>
    </xf>
    <xf numFmtId="0" fontId="2" fillId="6" borderId="1" xfId="0" applyFont="1" applyFill="1" applyBorder="1" applyAlignment="1">
      <alignment vertical="center" wrapText="1"/>
    </xf>
    <xf numFmtId="166" fontId="2" fillId="9" borderId="1" xfId="0" applyNumberFormat="1" applyFont="1" applyFill="1" applyBorder="1" applyAlignment="1">
      <alignment vertical="center"/>
    </xf>
    <xf numFmtId="166"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6"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6" fontId="4" fillId="4" borderId="1" xfId="1" applyNumberFormat="1" applyFont="1" applyFill="1" applyBorder="1" applyAlignment="1">
      <alignment horizontal="center"/>
    </xf>
    <xf numFmtId="166"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6" fontId="2" fillId="2" borderId="1" xfId="1" applyNumberFormat="1" applyFont="1" applyFill="1" applyBorder="1"/>
    <xf numFmtId="165" fontId="2" fillId="5" borderId="1" xfId="1" applyFont="1" applyFill="1" applyBorder="1"/>
    <xf numFmtId="166"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6"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6" fontId="4" fillId="3" borderId="1" xfId="1" applyNumberFormat="1" applyFont="1" applyFill="1" applyBorder="1" applyAlignment="1">
      <alignment vertical="center"/>
    </xf>
    <xf numFmtId="166" fontId="2" fillId="5" borderId="1" xfId="1" applyNumberFormat="1" applyFont="1" applyFill="1" applyBorder="1" applyAlignment="1">
      <alignment vertical="center"/>
    </xf>
    <xf numFmtId="0" fontId="0" fillId="4" borderId="1" xfId="0" applyFill="1" applyBorder="1" applyAlignment="1">
      <alignment horizontal="center"/>
    </xf>
    <xf numFmtId="166" fontId="6" fillId="0" borderId="1" xfId="1" applyNumberFormat="1" applyFont="1" applyBorder="1" applyAlignment="1">
      <alignment vertical="center"/>
    </xf>
    <xf numFmtId="166" fontId="6" fillId="5" borderId="1" xfId="1" applyNumberFormat="1" applyFont="1" applyFill="1" applyBorder="1" applyAlignment="1">
      <alignment vertical="center"/>
    </xf>
    <xf numFmtId="166" fontId="6" fillId="0" borderId="1" xfId="0" applyNumberFormat="1" applyFont="1" applyBorder="1" applyAlignment="1">
      <alignment vertical="center"/>
    </xf>
    <xf numFmtId="0" fontId="16" fillId="0" borderId="1" xfId="0" applyFont="1" applyBorder="1" applyAlignment="1">
      <alignment horizontal="center"/>
    </xf>
    <xf numFmtId="166"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6"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6" fontId="14" fillId="0" borderId="1" xfId="1" applyNumberFormat="1" applyFont="1" applyBorder="1" applyAlignment="1">
      <alignment vertical="center"/>
    </xf>
    <xf numFmtId="166" fontId="14" fillId="2" borderId="1" xfId="1" applyNumberFormat="1" applyFont="1" applyFill="1" applyBorder="1" applyAlignment="1">
      <alignment vertical="center"/>
    </xf>
    <xf numFmtId="165"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6"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6" fontId="14" fillId="0" borderId="16" xfId="1" applyNumberFormat="1" applyFont="1" applyBorder="1" applyAlignment="1">
      <alignment horizontal="center" vertical="center" wrapText="1"/>
    </xf>
    <xf numFmtId="166"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6" fontId="4" fillId="0" borderId="0" xfId="0" applyNumberFormat="1" applyFont="1" applyAlignment="1">
      <alignment vertical="center"/>
    </xf>
    <xf numFmtId="166" fontId="14" fillId="0" borderId="1" xfId="1" applyNumberFormat="1" applyFont="1" applyFill="1" applyBorder="1" applyAlignment="1">
      <alignment vertical="center"/>
    </xf>
    <xf numFmtId="43"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7" fontId="14" fillId="2" borderId="1" xfId="1" applyNumberFormat="1" applyFont="1" applyFill="1" applyBorder="1" applyAlignment="1">
      <alignment vertical="center"/>
    </xf>
    <xf numFmtId="167"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6" fontId="4" fillId="5" borderId="1" xfId="0" applyNumberFormat="1" applyFont="1" applyFill="1" applyBorder="1" applyAlignment="1">
      <alignment vertical="center"/>
    </xf>
    <xf numFmtId="167" fontId="20" fillId="0"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6"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165" fontId="2" fillId="2" borderId="1" xfId="1" applyFont="1" applyFill="1" applyBorder="1" applyAlignment="1">
      <alignment horizontal="center" vertical="center" wrapText="1"/>
    </xf>
    <xf numFmtId="0" fontId="2" fillId="0" borderId="0" xfId="0" applyFont="1" applyAlignment="1">
      <alignment horizontal="left" vertical="center" wrapText="1"/>
    </xf>
    <xf numFmtId="165"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43"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43" fontId="24" fillId="11" borderId="0" xfId="0" applyNumberFormat="1" applyFont="1" applyFill="1" applyProtection="1">
      <protection hidden="1"/>
    </xf>
    <xf numFmtId="0" fontId="4" fillId="18" borderId="0" xfId="0" applyFont="1" applyFill="1" applyProtection="1">
      <protection hidden="1"/>
    </xf>
    <xf numFmtId="43" fontId="24" fillId="18" borderId="0" xfId="0" applyNumberFormat="1" applyFont="1" applyFill="1" applyProtection="1">
      <protection hidden="1"/>
    </xf>
    <xf numFmtId="0" fontId="4" fillId="11" borderId="0" xfId="0" applyFont="1" applyFill="1" applyAlignment="1" applyProtection="1">
      <alignment horizontal="left"/>
      <protection hidden="1"/>
    </xf>
    <xf numFmtId="0" fontId="4" fillId="18" borderId="0" xfId="0" applyFont="1" applyFill="1" applyAlignment="1" applyProtection="1">
      <alignment horizontal="left"/>
      <protection hidden="1"/>
    </xf>
    <xf numFmtId="165" fontId="21" fillId="5" borderId="4" xfId="1" applyFont="1" applyFill="1" applyBorder="1" applyAlignment="1">
      <alignment vertical="center"/>
    </xf>
    <xf numFmtId="165" fontId="2" fillId="5" borderId="1" xfId="1" applyFont="1" applyFill="1" applyBorder="1" applyAlignment="1">
      <alignment vertical="center"/>
    </xf>
    <xf numFmtId="166" fontId="4" fillId="7" borderId="0" xfId="0" applyNumberFormat="1" applyFont="1" applyFill="1" applyAlignment="1">
      <alignment vertical="center"/>
    </xf>
    <xf numFmtId="166"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6" fontId="6" fillId="5" borderId="1" xfId="0" applyNumberFormat="1" applyFont="1" applyFill="1" applyBorder="1" applyAlignment="1">
      <alignment vertical="center"/>
    </xf>
    <xf numFmtId="166" fontId="6" fillId="19"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66" fontId="14" fillId="7" borderId="1" xfId="1" applyNumberFormat="1" applyFont="1" applyFill="1" applyBorder="1" applyAlignment="1">
      <alignment vertical="center"/>
    </xf>
    <xf numFmtId="10" fontId="14" fillId="2" borderId="1" xfId="2" applyNumberFormat="1" applyFont="1" applyFill="1" applyBorder="1" applyAlignment="1">
      <alignment vertical="center"/>
    </xf>
    <xf numFmtId="14" fontId="4" fillId="5" borderId="16" xfId="0" applyNumberFormat="1" applyFont="1" applyFill="1" applyBorder="1" applyAlignment="1">
      <alignment horizontal="center" vertical="center" wrapText="1"/>
    </xf>
    <xf numFmtId="166" fontId="26" fillId="0" borderId="0" xfId="0" applyNumberFormat="1" applyFont="1" applyAlignment="1">
      <alignment horizontal="center" vertical="center" wrapText="1"/>
    </xf>
    <xf numFmtId="166" fontId="2" fillId="0" borderId="0" xfId="0" applyNumberFormat="1" applyFont="1" applyAlignment="1">
      <alignment vertical="center" wrapText="1"/>
    </xf>
    <xf numFmtId="167" fontId="27" fillId="2" borderId="1" xfId="1" applyNumberFormat="1" applyFont="1" applyFill="1" applyBorder="1" applyAlignment="1">
      <alignment vertical="center"/>
    </xf>
    <xf numFmtId="0" fontId="26" fillId="0" borderId="0" xfId="0" applyFont="1" applyAlignment="1">
      <alignment vertical="center" wrapText="1"/>
    </xf>
    <xf numFmtId="167" fontId="27" fillId="0" borderId="1" xfId="1" applyNumberFormat="1" applyFont="1" applyFill="1" applyBorder="1" applyAlignment="1">
      <alignment vertical="center"/>
    </xf>
    <xf numFmtId="43" fontId="12" fillId="0" borderId="0" xfId="1" applyNumberFormat="1" applyFont="1" applyFill="1" applyBorder="1" applyAlignment="1">
      <alignment vertical="center"/>
    </xf>
    <xf numFmtId="43" fontId="2" fillId="0" borderId="0" xfId="1" applyNumberFormat="1" applyFont="1" applyFill="1" applyBorder="1" applyAlignment="1">
      <alignment vertical="center"/>
    </xf>
    <xf numFmtId="165" fontId="14" fillId="0" borderId="0" xfId="1" applyFont="1" applyFill="1" applyBorder="1" applyAlignment="1">
      <alignment vertical="center"/>
    </xf>
    <xf numFmtId="167" fontId="2" fillId="0" borderId="0" xfId="1" applyNumberFormat="1" applyFont="1" applyFill="1" applyBorder="1" applyAlignment="1">
      <alignment vertical="center"/>
    </xf>
    <xf numFmtId="0" fontId="4" fillId="18" borderId="1" xfId="0" applyFont="1" applyFill="1" applyBorder="1" applyAlignment="1">
      <alignment horizontal="center" vertical="center" wrapText="1"/>
    </xf>
    <xf numFmtId="0" fontId="4" fillId="18" borderId="1" xfId="0" applyFont="1" applyFill="1" applyBorder="1" applyAlignment="1">
      <alignment vertical="center" wrapText="1"/>
    </xf>
    <xf numFmtId="43" fontId="28" fillId="18" borderId="1" xfId="1" applyNumberFormat="1" applyFont="1" applyFill="1" applyBorder="1" applyAlignment="1">
      <alignment vertical="center"/>
    </xf>
    <xf numFmtId="43" fontId="4" fillId="18" borderId="1" xfId="1" applyNumberFormat="1" applyFont="1" applyFill="1" applyBorder="1" applyAlignment="1">
      <alignment vertical="center"/>
    </xf>
    <xf numFmtId="165" fontId="14" fillId="18" borderId="1" xfId="1" applyFont="1" applyFill="1" applyBorder="1" applyAlignment="1">
      <alignment vertical="center"/>
    </xf>
    <xf numFmtId="165" fontId="21" fillId="18"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6" fontId="20" fillId="5" borderId="1" xfId="0" applyNumberFormat="1" applyFont="1" applyFill="1" applyBorder="1" applyAlignment="1">
      <alignment horizontal="center" vertical="center" wrapText="1"/>
    </xf>
    <xf numFmtId="0" fontId="25" fillId="18" borderId="1" xfId="0" applyFont="1" applyFill="1" applyBorder="1" applyAlignment="1">
      <alignment horizontal="center" vertical="center" wrapText="1"/>
    </xf>
    <xf numFmtId="167" fontId="27" fillId="0" borderId="1" xfId="0" applyNumberFormat="1" applyFont="1" applyBorder="1" applyAlignment="1">
      <alignment vertical="center"/>
    </xf>
    <xf numFmtId="165" fontId="14" fillId="20"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6" fontId="2" fillId="0" borderId="1" xfId="1" applyNumberFormat="1" applyFont="1" applyBorder="1" applyAlignment="1">
      <alignment horizontal="center"/>
    </xf>
    <xf numFmtId="166" fontId="2" fillId="0" borderId="1" xfId="1" applyNumberFormat="1" applyFont="1" applyBorder="1" applyAlignment="1"/>
    <xf numFmtId="0" fontId="4" fillId="0" borderId="1" xfId="0" applyFont="1" applyBorder="1" applyAlignment="1">
      <alignment horizontal="center" wrapText="1"/>
    </xf>
    <xf numFmtId="168" fontId="2" fillId="0" borderId="1" xfId="0" applyNumberFormat="1" applyFont="1" applyBorder="1" applyAlignment="1">
      <alignment horizontal="center" vertical="center"/>
    </xf>
    <xf numFmtId="166" fontId="4" fillId="3" borderId="1" xfId="0" applyNumberFormat="1" applyFont="1" applyFill="1" applyBorder="1"/>
    <xf numFmtId="166" fontId="4" fillId="2" borderId="1" xfId="0" applyNumberFormat="1" applyFont="1" applyFill="1" applyBorder="1"/>
    <xf numFmtId="166" fontId="27" fillId="0" borderId="1" xfId="1" applyNumberFormat="1" applyFont="1" applyBorder="1" applyAlignment="1">
      <alignment vertical="center"/>
    </xf>
    <xf numFmtId="166" fontId="4" fillId="21" borderId="1" xfId="0" applyNumberFormat="1" applyFont="1" applyFill="1" applyBorder="1" applyAlignment="1">
      <alignment vertical="center"/>
    </xf>
    <xf numFmtId="166" fontId="6" fillId="17" borderId="1" xfId="0" applyNumberFormat="1" applyFont="1" applyFill="1" applyBorder="1" applyAlignment="1">
      <alignment vertical="center"/>
    </xf>
    <xf numFmtId="166"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43"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2"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6" fontId="2" fillId="2" borderId="1" xfId="0" applyNumberFormat="1" applyFont="1" applyFill="1" applyBorder="1" applyAlignment="1">
      <alignment vertical="center" wrapText="1"/>
    </xf>
    <xf numFmtId="166" fontId="2" fillId="0" borderId="0" xfId="1" applyNumberFormat="1" applyFont="1" applyAlignment="1">
      <alignment vertical="center"/>
    </xf>
    <xf numFmtId="166" fontId="27" fillId="0" borderId="0" xfId="1" applyNumberFormat="1" applyFont="1" applyAlignment="1">
      <alignment vertical="center"/>
    </xf>
    <xf numFmtId="0" fontId="2" fillId="3" borderId="1" xfId="0" applyFont="1" applyFill="1" applyBorder="1" applyAlignment="1">
      <alignment horizontal="center" vertical="center" wrapText="1"/>
    </xf>
    <xf numFmtId="166"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165" fontId="4" fillId="0" borderId="0" xfId="1" applyFont="1" applyAlignment="1">
      <alignment horizontal="center" vertical="center" wrapText="1"/>
    </xf>
    <xf numFmtId="165" fontId="2" fillId="0" borderId="0" xfId="1" applyFont="1" applyAlignment="1">
      <alignment horizontal="center" vertical="center"/>
    </xf>
    <xf numFmtId="0" fontId="2" fillId="20" borderId="1" xfId="0" applyFont="1" applyFill="1" applyBorder="1" applyAlignment="1">
      <alignment vertical="center"/>
    </xf>
    <xf numFmtId="165" fontId="2" fillId="0" borderId="0" xfId="1" applyFont="1" applyAlignment="1">
      <alignment vertical="center"/>
    </xf>
    <xf numFmtId="166" fontId="4" fillId="5" borderId="1" xfId="1" applyNumberFormat="1" applyFont="1" applyFill="1" applyBorder="1" applyAlignment="1">
      <alignment vertical="center"/>
    </xf>
    <xf numFmtId="166" fontId="34" fillId="5" borderId="1" xfId="1" applyNumberFormat="1" applyFont="1" applyFill="1" applyBorder="1" applyAlignment="1">
      <alignment vertical="center"/>
    </xf>
    <xf numFmtId="165" fontId="2" fillId="0" borderId="0" xfId="1" applyFont="1" applyAlignment="1">
      <alignment vertical="center" wrapText="1"/>
    </xf>
    <xf numFmtId="166" fontId="2" fillId="0" borderId="1" xfId="1" applyNumberFormat="1" applyFont="1" applyBorder="1" applyAlignment="1">
      <alignment vertical="center" wrapText="1"/>
    </xf>
    <xf numFmtId="166" fontId="34" fillId="21" borderId="1" xfId="1" applyNumberFormat="1" applyFont="1" applyFill="1" applyBorder="1" applyAlignment="1">
      <alignment vertical="center"/>
    </xf>
    <xf numFmtId="166" fontId="2" fillId="0" borderId="1" xfId="1" applyNumberFormat="1" applyFont="1" applyBorder="1" applyAlignment="1">
      <alignment horizontal="center" vertical="center"/>
    </xf>
    <xf numFmtId="43" fontId="2" fillId="0" borderId="0" xfId="0" applyNumberFormat="1" applyFont="1" applyAlignment="1">
      <alignment vertical="center"/>
    </xf>
    <xf numFmtId="166" fontId="2" fillId="0" borderId="0" xfId="0" applyNumberFormat="1" applyFont="1" applyAlignment="1">
      <alignment vertical="center"/>
    </xf>
    <xf numFmtId="9" fontId="2" fillId="0" borderId="1" xfId="2" applyFont="1" applyBorder="1" applyAlignment="1">
      <alignment vertical="center" wrapText="1"/>
    </xf>
    <xf numFmtId="165" fontId="2" fillId="0" borderId="1" xfId="1" applyFont="1" applyBorder="1" applyAlignment="1">
      <alignment vertical="center" wrapText="1"/>
    </xf>
    <xf numFmtId="166" fontId="14" fillId="13" borderId="1" xfId="1" applyNumberFormat="1" applyFont="1" applyFill="1" applyBorder="1" applyAlignment="1">
      <alignment vertical="center"/>
    </xf>
    <xf numFmtId="166" fontId="20" fillId="10" borderId="1" xfId="1" applyNumberFormat="1" applyFont="1" applyFill="1" applyBorder="1" applyAlignment="1">
      <alignment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9" fontId="2" fillId="0" borderId="0" xfId="0" applyNumberFormat="1" applyFont="1" applyAlignment="1">
      <alignment vertical="center" wrapText="1"/>
    </xf>
    <xf numFmtId="165" fontId="2" fillId="0" borderId="0" xfId="0" applyNumberFormat="1" applyFont="1" applyAlignment="1">
      <alignment vertical="center" wrapText="1"/>
    </xf>
    <xf numFmtId="165" fontId="0" fillId="0" borderId="1" xfId="4" applyNumberFormat="1" applyFont="1" applyFill="1" applyBorder="1"/>
    <xf numFmtId="164" fontId="0" fillId="2" borderId="1" xfId="4" applyNumberFormat="1" applyFont="1" applyFill="1" applyBorder="1"/>
    <xf numFmtId="10" fontId="36" fillId="0" borderId="1" xfId="0" applyNumberFormat="1" applyFont="1" applyBorder="1"/>
    <xf numFmtId="165" fontId="0" fillId="0" borderId="1" xfId="4" applyNumberFormat="1" applyFont="1" applyBorder="1"/>
    <xf numFmtId="165" fontId="0" fillId="0" borderId="1" xfId="0" applyNumberFormat="1" applyBorder="1"/>
    <xf numFmtId="10" fontId="0" fillId="25" borderId="1" xfId="2" applyNumberFormat="1" applyFont="1" applyFill="1" applyBorder="1"/>
    <xf numFmtId="166" fontId="2" fillId="0" borderId="0" xfId="1" applyNumberFormat="1" applyFont="1" applyAlignment="1">
      <alignment horizontal="center" vertical="center" wrapText="1"/>
    </xf>
    <xf numFmtId="166" fontId="4" fillId="5" borderId="16" xfId="1" applyNumberFormat="1" applyFont="1" applyFill="1" applyBorder="1" applyAlignment="1">
      <alignment horizontal="center" vertical="center" wrapText="1"/>
    </xf>
    <xf numFmtId="166" fontId="4" fillId="2" borderId="22" xfId="1" applyNumberFormat="1" applyFont="1" applyFill="1" applyBorder="1" applyAlignment="1">
      <alignment horizontal="center" vertical="center" wrapText="1"/>
    </xf>
    <xf numFmtId="166" fontId="4" fillId="2" borderId="24" xfId="1" applyNumberFormat="1" applyFont="1" applyFill="1" applyBorder="1" applyAlignment="1">
      <alignment horizontal="center" vertical="center" wrapText="1"/>
    </xf>
    <xf numFmtId="166" fontId="2" fillId="2" borderId="24" xfId="1" applyNumberFormat="1" applyFont="1" applyFill="1" applyBorder="1" applyAlignment="1">
      <alignment horizontal="center" vertical="center" wrapText="1"/>
    </xf>
    <xf numFmtId="166" fontId="4" fillId="2" borderId="28" xfId="1" applyNumberFormat="1" applyFont="1" applyFill="1" applyBorder="1" applyAlignment="1">
      <alignment horizontal="center" vertical="center" wrapText="1"/>
    </xf>
    <xf numFmtId="166" fontId="2" fillId="2" borderId="22" xfId="1" applyNumberFormat="1" applyFont="1" applyFill="1" applyBorder="1" applyAlignment="1">
      <alignment horizontal="center" vertical="center" wrapText="1"/>
    </xf>
    <xf numFmtId="168"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8" fontId="4" fillId="5" borderId="19" xfId="0" applyNumberFormat="1" applyFont="1" applyFill="1" applyBorder="1" applyAlignment="1">
      <alignment horizontal="center" vertical="center" wrapText="1"/>
    </xf>
    <xf numFmtId="168" fontId="4" fillId="5" borderId="20" xfId="1" applyNumberFormat="1" applyFont="1" applyFill="1" applyBorder="1" applyAlignment="1">
      <alignment horizontal="center" vertical="center" wrapText="1"/>
    </xf>
    <xf numFmtId="168" fontId="4" fillId="5" borderId="37"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26" borderId="21" xfId="0" applyFont="1" applyFill="1" applyBorder="1" applyAlignment="1">
      <alignment vertical="center" wrapText="1"/>
    </xf>
    <xf numFmtId="166" fontId="4" fillId="26" borderId="1" xfId="1" applyNumberFormat="1" applyFont="1" applyFill="1" applyBorder="1" applyAlignment="1">
      <alignment horizontal="center" vertical="center" wrapText="1"/>
    </xf>
    <xf numFmtId="166" fontId="4" fillId="26" borderId="22" xfId="1" applyNumberFormat="1" applyFont="1" applyFill="1" applyBorder="1" applyAlignment="1">
      <alignment horizontal="center" vertical="center" wrapText="1"/>
    </xf>
    <xf numFmtId="0" fontId="2" fillId="26" borderId="21" xfId="0" applyFont="1" applyFill="1" applyBorder="1" applyAlignment="1">
      <alignment horizontal="left" vertical="center" wrapText="1" indent="1"/>
    </xf>
    <xf numFmtId="166" fontId="20" fillId="26" borderId="1" xfId="1" applyNumberFormat="1" applyFont="1" applyFill="1" applyBorder="1" applyAlignment="1">
      <alignment horizontal="center" vertical="center" wrapText="1"/>
    </xf>
    <xf numFmtId="166" fontId="25" fillId="26"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6" fontId="4" fillId="26" borderId="28" xfId="1" applyNumberFormat="1" applyFont="1" applyFill="1" applyBorder="1" applyAlignment="1">
      <alignment horizontal="center" vertical="center" wrapText="1"/>
    </xf>
    <xf numFmtId="0" fontId="4" fillId="26" borderId="18" xfId="0" applyFont="1" applyFill="1" applyBorder="1" applyAlignment="1">
      <alignment vertical="center" wrapText="1"/>
    </xf>
    <xf numFmtId="166" fontId="4" fillId="26" borderId="19" xfId="1" applyNumberFormat="1" applyFont="1" applyFill="1" applyBorder="1" applyAlignment="1">
      <alignment horizontal="center" vertical="center" wrapText="1"/>
    </xf>
    <xf numFmtId="166" fontId="4" fillId="26" borderId="20" xfId="1" applyNumberFormat="1" applyFont="1" applyFill="1" applyBorder="1" applyAlignment="1">
      <alignment horizontal="center" vertical="center" wrapText="1"/>
    </xf>
    <xf numFmtId="0" fontId="4" fillId="27" borderId="25" xfId="0" applyFont="1" applyFill="1" applyBorder="1" applyAlignment="1">
      <alignment vertical="center" wrapText="1"/>
    </xf>
    <xf numFmtId="166" fontId="4" fillId="27" borderId="26" xfId="1" applyNumberFormat="1" applyFont="1" applyFill="1" applyBorder="1" applyAlignment="1">
      <alignment horizontal="center" vertical="center" wrapText="1"/>
    </xf>
    <xf numFmtId="166" fontId="4" fillId="27" borderId="27" xfId="1" applyNumberFormat="1" applyFont="1" applyFill="1" applyBorder="1" applyAlignment="1">
      <alignment horizontal="center" vertical="center" wrapText="1"/>
    </xf>
    <xf numFmtId="166" fontId="20" fillId="26" borderId="22" xfId="1" applyNumberFormat="1" applyFont="1" applyFill="1" applyBorder="1" applyAlignment="1">
      <alignment horizontal="center" vertical="center" wrapText="1"/>
    </xf>
    <xf numFmtId="38" fontId="37" fillId="0" borderId="1" xfId="1" applyNumberFormat="1" applyFont="1" applyBorder="1" applyAlignment="1">
      <alignment horizontal="right"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26" borderId="1" xfId="0" applyFont="1" applyFill="1" applyBorder="1" applyAlignment="1">
      <alignment vertical="center" wrapText="1"/>
    </xf>
    <xf numFmtId="38" fontId="4" fillId="26" borderId="1" xfId="1" applyNumberFormat="1" applyFont="1" applyFill="1" applyBorder="1" applyAlignment="1">
      <alignment horizontal="right" vertical="center" wrapText="1"/>
    </xf>
    <xf numFmtId="38" fontId="25" fillId="26" borderId="1" xfId="1" applyNumberFormat="1" applyFont="1" applyFill="1" applyBorder="1" applyAlignment="1">
      <alignment horizontal="right" vertical="center" wrapText="1"/>
    </xf>
    <xf numFmtId="0" fontId="4" fillId="27" borderId="1" xfId="0" applyFont="1" applyFill="1" applyBorder="1" applyAlignment="1">
      <alignment vertical="center" wrapText="1"/>
    </xf>
    <xf numFmtId="38" fontId="4" fillId="27" borderId="1" xfId="1" applyNumberFormat="1" applyFont="1" applyFill="1" applyBorder="1" applyAlignment="1">
      <alignment horizontal="right" vertical="center" wrapText="1"/>
    </xf>
    <xf numFmtId="166" fontId="21" fillId="26" borderId="19" xfId="1" applyNumberFormat="1" applyFont="1" applyFill="1" applyBorder="1" applyAlignment="1">
      <alignment horizontal="center" vertical="center" wrapText="1"/>
    </xf>
    <xf numFmtId="0" fontId="4" fillId="5" borderId="23" xfId="0" applyFont="1" applyFill="1" applyBorder="1" applyAlignment="1">
      <alignment horizontal="center" vertical="center" wrapText="1"/>
    </xf>
    <xf numFmtId="168" fontId="4" fillId="5" borderId="24" xfId="1" applyNumberFormat="1" applyFont="1" applyFill="1" applyBorder="1" applyAlignment="1">
      <alignment horizontal="center" vertical="center" wrapText="1"/>
    </xf>
    <xf numFmtId="168"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6" fontId="34" fillId="2" borderId="17" xfId="1" applyNumberFormat="1" applyFont="1" applyFill="1" applyBorder="1" applyAlignment="1">
      <alignment horizontal="center" vertical="center" wrapText="1"/>
    </xf>
    <xf numFmtId="168" fontId="4" fillId="5" borderId="39" xfId="0" applyNumberFormat="1" applyFont="1" applyFill="1" applyBorder="1" applyAlignment="1">
      <alignment horizontal="center" vertical="center" wrapText="1"/>
    </xf>
    <xf numFmtId="168" fontId="4" fillId="5" borderId="40"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6" fontId="2" fillId="2" borderId="38" xfId="1" applyNumberFormat="1" applyFont="1" applyFill="1" applyBorder="1" applyAlignment="1">
      <alignment horizontal="center" vertical="center" wrapText="1"/>
    </xf>
    <xf numFmtId="166" fontId="21" fillId="16" borderId="16" xfId="1" applyNumberFormat="1" applyFont="1" applyFill="1" applyBorder="1" applyAlignment="1">
      <alignment horizontal="center" vertical="center" wrapText="1"/>
    </xf>
    <xf numFmtId="166"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6" fontId="2" fillId="27" borderId="26" xfId="1" applyNumberFormat="1" applyFont="1" applyFill="1" applyBorder="1" applyAlignment="1">
      <alignment vertical="center" wrapText="1"/>
    </xf>
    <xf numFmtId="166" fontId="2" fillId="27" borderId="27" xfId="1" applyNumberFormat="1" applyFont="1" applyFill="1" applyBorder="1" applyAlignment="1">
      <alignment vertical="center" wrapText="1"/>
    </xf>
    <xf numFmtId="166" fontId="2" fillId="2" borderId="1" xfId="1" applyNumberFormat="1" applyFont="1" applyFill="1" applyBorder="1" applyAlignment="1">
      <alignment horizontal="center" vertical="center" wrapText="1"/>
    </xf>
    <xf numFmtId="166" fontId="14" fillId="0" borderId="1" xfId="0" applyNumberFormat="1" applyFont="1" applyBorder="1" applyAlignment="1">
      <alignment horizontal="center" vertical="center" wrapText="1"/>
    </xf>
    <xf numFmtId="2" fontId="2" fillId="0" borderId="1" xfId="0" applyNumberFormat="1" applyFont="1" applyBorder="1" applyAlignment="1">
      <alignment vertical="center" wrapText="1"/>
    </xf>
    <xf numFmtId="0" fontId="2" fillId="0" borderId="16" xfId="0" applyFont="1" applyBorder="1" applyAlignment="1">
      <alignment horizontal="lef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41" xfId="0" applyNumberFormat="1" applyFont="1" applyBorder="1" applyAlignment="1">
      <alignment vertical="center" wrapText="1"/>
    </xf>
    <xf numFmtId="0" fontId="4" fillId="2" borderId="31" xfId="0" applyFont="1" applyFill="1" applyBorder="1" applyAlignment="1">
      <alignment horizontal="center" vertical="center" wrapText="1"/>
    </xf>
    <xf numFmtId="0" fontId="4" fillId="26" borderId="43" xfId="0" applyFont="1" applyFill="1" applyBorder="1" applyAlignment="1">
      <alignment vertical="center" wrapText="1"/>
    </xf>
    <xf numFmtId="168" fontId="4" fillId="2" borderId="44"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45" xfId="0" applyFont="1" applyBorder="1" applyAlignment="1">
      <alignment vertical="center" wrapText="1"/>
    </xf>
    <xf numFmtId="0" fontId="38" fillId="0" borderId="1" xfId="0" applyFont="1" applyBorder="1" applyAlignment="1">
      <alignment vertical="center" wrapText="1"/>
    </xf>
    <xf numFmtId="0" fontId="2" fillId="0" borderId="21" xfId="0" applyFont="1" applyBorder="1" applyAlignment="1">
      <alignment vertical="center" wrapText="1"/>
    </xf>
    <xf numFmtId="0" fontId="4" fillId="5" borderId="37"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166" fontId="2" fillId="0" borderId="1" xfId="0" applyNumberFormat="1" applyFont="1" applyBorder="1" applyAlignment="1">
      <alignment horizontal="center" vertical="center" wrapText="1"/>
    </xf>
    <xf numFmtId="166" fontId="2" fillId="2" borderId="1" xfId="0" applyNumberFormat="1" applyFont="1" applyFill="1" applyBorder="1" applyAlignment="1">
      <alignment horizontal="center" vertical="center" wrapText="1"/>
    </xf>
    <xf numFmtId="0" fontId="2" fillId="0" borderId="46" xfId="0" applyFont="1" applyBorder="1" applyAlignment="1">
      <alignment horizontal="left" vertical="center" wrapText="1"/>
    </xf>
    <xf numFmtId="2" fontId="2" fillId="0" borderId="46" xfId="0" applyNumberFormat="1" applyFont="1" applyBorder="1" applyAlignment="1">
      <alignment horizontal="right" vertical="center"/>
    </xf>
    <xf numFmtId="9" fontId="2" fillId="0" borderId="1" xfId="0" applyNumberFormat="1" applyFont="1" applyBorder="1" applyAlignment="1">
      <alignment vertical="center" wrapText="1"/>
    </xf>
    <xf numFmtId="0" fontId="20" fillId="0" borderId="43" xfId="0" applyFont="1" applyBorder="1" applyAlignment="1">
      <alignment vertical="center" wrapText="1"/>
    </xf>
    <xf numFmtId="166"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6"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6"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6" fontId="20" fillId="0" borderId="16" xfId="1" applyNumberFormat="1" applyFont="1" applyFill="1" applyBorder="1" applyAlignment="1">
      <alignment horizontal="center" vertical="center" wrapText="1"/>
    </xf>
    <xf numFmtId="166" fontId="20" fillId="0" borderId="27" xfId="1" applyNumberFormat="1" applyFont="1" applyFill="1" applyBorder="1" applyAlignment="1">
      <alignment horizontal="center" vertical="center" wrapText="1"/>
    </xf>
    <xf numFmtId="10" fontId="2" fillId="0" borderId="1" xfId="2" applyNumberFormat="1" applyFont="1" applyBorder="1" applyAlignment="1">
      <alignment vertical="center" wrapText="1"/>
    </xf>
    <xf numFmtId="0" fontId="41" fillId="0" borderId="0" xfId="0" applyFont="1"/>
    <xf numFmtId="0" fontId="42" fillId="0" borderId="0" xfId="0" applyFont="1" applyAlignment="1">
      <alignment wrapText="1"/>
    </xf>
    <xf numFmtId="0" fontId="43" fillId="0" borderId="0" xfId="0" applyFont="1"/>
    <xf numFmtId="0" fontId="43" fillId="0" borderId="0" xfId="0" applyFont="1" applyAlignment="1">
      <alignment wrapText="1"/>
    </xf>
    <xf numFmtId="0" fontId="45" fillId="0" borderId="0" xfId="0" applyFont="1" applyAlignment="1">
      <alignment vertical="center"/>
    </xf>
    <xf numFmtId="0" fontId="41" fillId="0" borderId="0" xfId="0" applyFont="1" applyAlignment="1">
      <alignment vertical="center"/>
    </xf>
    <xf numFmtId="0" fontId="46" fillId="0" borderId="0" xfId="0" applyFont="1" applyAlignment="1">
      <alignment horizontal="left" vertical="center"/>
    </xf>
    <xf numFmtId="0" fontId="46" fillId="0" borderId="0" xfId="0" applyFont="1" applyAlignment="1">
      <alignment horizontal="right" vertical="center"/>
    </xf>
    <xf numFmtId="0" fontId="46" fillId="0" borderId="0" xfId="0" applyFont="1" applyAlignment="1">
      <alignment horizontal="center" vertical="center"/>
    </xf>
    <xf numFmtId="0" fontId="47" fillId="0" borderId="0" xfId="0" applyFont="1" applyAlignment="1">
      <alignment vertical="center"/>
    </xf>
    <xf numFmtId="0" fontId="45" fillId="0" borderId="29" xfId="0" applyFont="1" applyBorder="1" applyAlignment="1">
      <alignment vertical="center"/>
    </xf>
    <xf numFmtId="0" fontId="41" fillId="0" borderId="30" xfId="0" applyFont="1" applyBorder="1" applyAlignment="1">
      <alignment vertical="center"/>
    </xf>
    <xf numFmtId="0" fontId="47" fillId="0" borderId="30" xfId="0" applyFont="1" applyBorder="1" applyAlignment="1">
      <alignment vertical="center"/>
    </xf>
    <xf numFmtId="0" fontId="41" fillId="0" borderId="31" xfId="0" applyFont="1" applyBorder="1" applyAlignment="1">
      <alignment vertical="center"/>
    </xf>
    <xf numFmtId="0" fontId="45" fillId="0" borderId="29" xfId="0" applyFont="1" applyBorder="1" applyAlignment="1">
      <alignment horizontal="left" vertical="center" wrapText="1"/>
    </xf>
    <xf numFmtId="0" fontId="45" fillId="0" borderId="32" xfId="0" applyFont="1" applyBorder="1" applyAlignment="1">
      <alignment vertical="center"/>
    </xf>
    <xf numFmtId="0" fontId="41" fillId="0" borderId="33" xfId="0" applyFont="1" applyBorder="1" applyAlignment="1">
      <alignment vertical="center"/>
    </xf>
    <xf numFmtId="0" fontId="41" fillId="0" borderId="34" xfId="0" applyFont="1" applyBorder="1" applyAlignment="1">
      <alignment vertical="center"/>
    </xf>
    <xf numFmtId="0" fontId="45" fillId="0" borderId="32" xfId="0" applyFont="1" applyBorder="1" applyAlignment="1">
      <alignment horizontal="left" vertical="center" wrapText="1"/>
    </xf>
    <xf numFmtId="0" fontId="42" fillId="0" borderId="0" xfId="0" applyFont="1" applyAlignment="1">
      <alignment vertical="center" wrapText="1"/>
    </xf>
    <xf numFmtId="0" fontId="48" fillId="0" borderId="0" xfId="0" applyFont="1" applyAlignment="1">
      <alignment vertical="center"/>
    </xf>
    <xf numFmtId="0" fontId="42" fillId="0" borderId="0" xfId="0" applyFont="1" applyAlignment="1">
      <alignment horizontal="right" vertical="center"/>
    </xf>
    <xf numFmtId="0" fontId="49" fillId="0" borderId="0" xfId="0" applyFont="1" applyAlignment="1">
      <alignment horizontal="center" vertical="center"/>
    </xf>
    <xf numFmtId="0" fontId="51" fillId="0" borderId="0" xfId="0" applyFont="1" applyAlignment="1">
      <alignment vertical="center"/>
    </xf>
    <xf numFmtId="0" fontId="53" fillId="2" borderId="0" xfId="0" applyFont="1" applyFill="1" applyAlignment="1">
      <alignment vertical="center"/>
    </xf>
    <xf numFmtId="0" fontId="53" fillId="0" borderId="0" xfId="0" applyFont="1" applyAlignment="1">
      <alignment vertical="center"/>
    </xf>
    <xf numFmtId="0" fontId="55" fillId="0" borderId="30" xfId="0" applyFont="1" applyBorder="1" applyAlignment="1">
      <alignment horizontal="left"/>
    </xf>
    <xf numFmtId="0" fontId="56" fillId="0" borderId="30" xfId="0" applyFont="1" applyBorder="1" applyAlignment="1">
      <alignment horizontal="left" vertical="center" wrapText="1"/>
    </xf>
    <xf numFmtId="0" fontId="35" fillId="0" borderId="30" xfId="0" applyFont="1" applyBorder="1"/>
    <xf numFmtId="0" fontId="56" fillId="0" borderId="30" xfId="0" applyFont="1" applyBorder="1" applyAlignment="1">
      <alignment wrapText="1"/>
    </xf>
    <xf numFmtId="0" fontId="56" fillId="0" borderId="30" xfId="0" applyFont="1" applyBorder="1" applyAlignment="1">
      <alignment vertical="center" wrapText="1"/>
    </xf>
    <xf numFmtId="0" fontId="42" fillId="0" borderId="36" xfId="0" applyFont="1" applyBorder="1" applyAlignment="1">
      <alignment wrapText="1"/>
    </xf>
    <xf numFmtId="0" fontId="52" fillId="0" borderId="29" xfId="0" applyFont="1" applyBorder="1" applyAlignment="1">
      <alignment vertical="center"/>
    </xf>
    <xf numFmtId="0" fontId="52" fillId="0" borderId="31" xfId="0" applyFont="1" applyBorder="1" applyAlignment="1">
      <alignment horizontal="left" vertical="center" wrapText="1"/>
    </xf>
    <xf numFmtId="0" fontId="52" fillId="0" borderId="29" xfId="0" applyFont="1" applyBorder="1" applyAlignment="1">
      <alignment horizontal="left" vertical="center" wrapText="1"/>
    </xf>
    <xf numFmtId="0" fontId="52" fillId="0" borderId="30" xfId="0" applyFont="1" applyBorder="1" applyAlignment="1">
      <alignment horizontal="left" vertical="center" wrapText="1"/>
    </xf>
    <xf numFmtId="0" fontId="31" fillId="0" borderId="31" xfId="0" applyFont="1" applyBorder="1"/>
    <xf numFmtId="0" fontId="52" fillId="0" borderId="31" xfId="0" applyFont="1" applyBorder="1" applyAlignment="1">
      <alignment vertical="center" wrapText="1"/>
    </xf>
    <xf numFmtId="0" fontId="42" fillId="0" borderId="47" xfId="0" applyFont="1" applyBorder="1" applyAlignment="1">
      <alignment vertical="center"/>
    </xf>
    <xf numFmtId="0" fontId="42" fillId="0" borderId="0" xfId="0" applyFont="1" applyAlignment="1">
      <alignment vertical="center"/>
    </xf>
    <xf numFmtId="0" fontId="56" fillId="0" borderId="36" xfId="0" applyFont="1" applyBorder="1" applyAlignment="1">
      <alignment vertical="center"/>
    </xf>
    <xf numFmtId="0" fontId="56" fillId="0" borderId="47" xfId="0" applyFont="1" applyBorder="1" applyAlignment="1">
      <alignment horizontal="left" vertical="center" wrapText="1"/>
    </xf>
    <xf numFmtId="0" fontId="56" fillId="0" borderId="36" xfId="0" applyFont="1" applyBorder="1" applyAlignment="1">
      <alignment horizontal="left" vertical="center" wrapText="1"/>
    </xf>
    <xf numFmtId="0" fontId="56" fillId="0" borderId="0" xfId="0" applyFont="1" applyAlignment="1">
      <alignment horizontal="left" vertical="center" wrapText="1"/>
    </xf>
    <xf numFmtId="0" fontId="35" fillId="0" borderId="36" xfId="0" applyFont="1" applyBorder="1"/>
    <xf numFmtId="0" fontId="35" fillId="0" borderId="47" xfId="0" applyFont="1" applyBorder="1"/>
    <xf numFmtId="0" fontId="56" fillId="0" borderId="0" xfId="0" applyFont="1" applyAlignment="1">
      <alignment wrapText="1"/>
    </xf>
    <xf numFmtId="0" fontId="56" fillId="0" borderId="47" xfId="0" applyFont="1" applyBorder="1" applyAlignment="1">
      <alignment vertical="center" wrapText="1"/>
    </xf>
    <xf numFmtId="0" fontId="56" fillId="0" borderId="36" xfId="0" applyFont="1" applyBorder="1" applyAlignment="1">
      <alignment horizontal="left" vertical="center"/>
    </xf>
    <xf numFmtId="0" fontId="52" fillId="0" borderId="36" xfId="0" applyFont="1" applyBorder="1" applyAlignment="1">
      <alignment horizontal="left" vertical="center"/>
    </xf>
    <xf numFmtId="0" fontId="56" fillId="0" borderId="36" xfId="0" applyFont="1" applyBorder="1" applyAlignment="1">
      <alignment horizontal="center" vertical="center"/>
    </xf>
    <xf numFmtId="0" fontId="56" fillId="0" borderId="36" xfId="0" applyFont="1" applyBorder="1" applyAlignment="1">
      <alignment wrapText="1"/>
    </xf>
    <xf numFmtId="0" fontId="56" fillId="0" borderId="32" xfId="0" applyFont="1" applyBorder="1" applyAlignment="1">
      <alignment horizontal="center" vertical="center"/>
    </xf>
    <xf numFmtId="0" fontId="56" fillId="0" borderId="34" xfId="0" applyFont="1" applyBorder="1" applyAlignment="1">
      <alignment horizontal="left" vertical="center" wrapText="1"/>
    </xf>
    <xf numFmtId="0" fontId="56" fillId="0" borderId="32" xfId="0" applyFont="1" applyBorder="1" applyAlignment="1">
      <alignment horizontal="left" vertical="center" wrapText="1"/>
    </xf>
    <xf numFmtId="0" fontId="56" fillId="0" borderId="33" xfId="0" applyFont="1" applyBorder="1" applyAlignment="1">
      <alignment horizontal="left" vertical="center" wrapText="1"/>
    </xf>
    <xf numFmtId="0" fontId="56" fillId="0" borderId="32" xfId="0" applyFont="1" applyBorder="1" applyAlignment="1">
      <alignment wrapText="1"/>
    </xf>
    <xf numFmtId="0" fontId="35" fillId="0" borderId="34" xfId="0" applyFont="1" applyBorder="1"/>
    <xf numFmtId="0" fontId="56" fillId="0" borderId="33" xfId="0" applyFont="1" applyBorder="1" applyAlignment="1">
      <alignment wrapText="1"/>
    </xf>
    <xf numFmtId="0" fontId="56" fillId="0" borderId="34" xfId="0" applyFont="1" applyBorder="1" applyAlignment="1">
      <alignment vertical="center" wrapText="1"/>
    </xf>
    <xf numFmtId="0" fontId="56" fillId="0" borderId="0" xfId="0" applyFont="1" applyAlignment="1">
      <alignment vertical="center"/>
    </xf>
    <xf numFmtId="0" fontId="56" fillId="0" borderId="0" xfId="0" applyFont="1" applyAlignment="1">
      <alignment vertical="center" wrapText="1"/>
    </xf>
    <xf numFmtId="0" fontId="56" fillId="0" borderId="33" xfId="0" applyFont="1" applyBorder="1" applyAlignment="1">
      <alignment vertical="center"/>
    </xf>
    <xf numFmtId="0" fontId="56" fillId="0" borderId="33" xfId="0" applyFont="1" applyBorder="1" applyAlignment="1">
      <alignment vertical="center" wrapText="1"/>
    </xf>
    <xf numFmtId="0" fontId="57" fillId="0" borderId="0" xfId="0" applyFont="1" applyAlignment="1">
      <alignment vertical="center"/>
    </xf>
    <xf numFmtId="0" fontId="57" fillId="0" borderId="0" xfId="0" applyFont="1" applyAlignment="1">
      <alignment vertical="center" wrapText="1"/>
    </xf>
    <xf numFmtId="0" fontId="43" fillId="0" borderId="0" xfId="0" applyFont="1" applyAlignment="1">
      <alignment vertical="center"/>
    </xf>
    <xf numFmtId="0" fontId="45" fillId="0" borderId="30" xfId="0" applyFont="1" applyBorder="1" applyAlignment="1">
      <alignment horizontal="left"/>
    </xf>
    <xf numFmtId="0" fontId="56" fillId="0" borderId="30" xfId="0" applyFont="1" applyBorder="1" applyAlignment="1">
      <alignment horizontal="left" vertical="center"/>
    </xf>
    <xf numFmtId="0" fontId="56" fillId="0" borderId="31" xfId="0" applyFont="1" applyBorder="1" applyAlignment="1">
      <alignment horizontal="left" vertical="center" wrapText="1"/>
    </xf>
    <xf numFmtId="0" fontId="35" fillId="0" borderId="31" xfId="0" applyFont="1" applyBorder="1"/>
    <xf numFmtId="0" fontId="56" fillId="0" borderId="29" xfId="0" applyFont="1" applyBorder="1" applyAlignment="1">
      <alignment horizontal="left" vertical="center" wrapText="1"/>
    </xf>
    <xf numFmtId="0" fontId="56" fillId="0" borderId="31" xfId="0" applyFont="1" applyBorder="1" applyAlignment="1">
      <alignment horizontal="center" vertical="center" wrapText="1"/>
    </xf>
    <xf numFmtId="0" fontId="45" fillId="0" borderId="36" xfId="0" applyFont="1" applyBorder="1" applyAlignment="1">
      <alignment horizontal="left" vertical="center" wrapText="1"/>
    </xf>
    <xf numFmtId="0" fontId="52" fillId="0" borderId="36" xfId="0" applyFont="1" applyBorder="1" applyAlignment="1">
      <alignment horizontal="left" vertical="center" wrapText="1"/>
    </xf>
    <xf numFmtId="0" fontId="52" fillId="0" borderId="32" xfId="0" applyFont="1" applyBorder="1" applyAlignment="1">
      <alignment horizontal="left" vertical="center" wrapText="1"/>
    </xf>
    <xf numFmtId="0" fontId="43" fillId="0" borderId="36" xfId="0" applyFont="1" applyBorder="1" applyAlignment="1">
      <alignment wrapText="1"/>
    </xf>
    <xf numFmtId="0" fontId="58" fillId="0" borderId="0" xfId="0" applyFont="1" applyAlignment="1">
      <alignment horizontal="left" vertical="center" wrapText="1"/>
    </xf>
    <xf numFmtId="0" fontId="57" fillId="0" borderId="0" xfId="0" applyFont="1" applyAlignment="1">
      <alignment horizontal="left" vertical="center" wrapText="1"/>
    </xf>
    <xf numFmtId="0" fontId="57" fillId="0" borderId="0" xfId="0" applyFont="1" applyAlignment="1">
      <alignment wrapText="1"/>
    </xf>
    <xf numFmtId="0" fontId="59" fillId="0" borderId="0" xfId="0" applyFont="1"/>
    <xf numFmtId="0" fontId="43" fillId="0" borderId="47" xfId="0" applyFont="1" applyBorder="1" applyAlignment="1">
      <alignment vertical="center"/>
    </xf>
    <xf numFmtId="0" fontId="60" fillId="0" borderId="0" xfId="0" applyFont="1" applyAlignment="1">
      <alignment horizontal="center" vertical="center"/>
    </xf>
    <xf numFmtId="0" fontId="52" fillId="0" borderId="0" xfId="0" applyFont="1" applyAlignment="1">
      <alignment vertical="center"/>
    </xf>
    <xf numFmtId="0" fontId="31" fillId="0" borderId="0" xfId="0" applyFont="1"/>
    <xf numFmtId="0" fontId="52" fillId="0" borderId="0" xfId="0" applyFont="1" applyAlignment="1">
      <alignment horizontal="left" vertical="center" wrapText="1"/>
    </xf>
    <xf numFmtId="0" fontId="52" fillId="0" borderId="0" xfId="0" applyFont="1" applyAlignment="1">
      <alignment vertical="center" wrapText="1"/>
    </xf>
    <xf numFmtId="0" fontId="35" fillId="0" borderId="0" xfId="0" applyFont="1"/>
    <xf numFmtId="0" fontId="52" fillId="0" borderId="0" xfId="0" applyFont="1" applyAlignment="1">
      <alignment horizontal="left" vertical="center"/>
    </xf>
    <xf numFmtId="0" fontId="56" fillId="0" borderId="0" xfId="0" applyFont="1" applyAlignment="1">
      <alignment horizontal="center" vertical="center" wrapText="1"/>
    </xf>
    <xf numFmtId="0" fontId="53" fillId="0" borderId="47" xfId="0" applyFont="1" applyBorder="1" applyAlignment="1">
      <alignment horizontal="left" vertical="center" wrapText="1"/>
    </xf>
    <xf numFmtId="0" fontId="62" fillId="0" borderId="36" xfId="0" applyFont="1" applyBorder="1" applyAlignment="1">
      <alignment horizontal="left" vertical="center" wrapText="1"/>
    </xf>
    <xf numFmtId="0" fontId="53" fillId="0" borderId="0" xfId="0" applyFont="1" applyAlignment="1">
      <alignment horizontal="left" vertical="center" wrapText="1"/>
    </xf>
    <xf numFmtId="0" fontId="53" fillId="0" borderId="0" xfId="0" applyFont="1" applyAlignment="1">
      <alignment wrapText="1"/>
    </xf>
    <xf numFmtId="0" fontId="63" fillId="0" borderId="0" xfId="0" applyFont="1"/>
    <xf numFmtId="0" fontId="61" fillId="0" borderId="32" xfId="0" applyFont="1" applyBorder="1" applyAlignment="1">
      <alignment horizontal="left" vertical="center" wrapText="1"/>
    </xf>
    <xf numFmtId="0" fontId="53" fillId="0" borderId="34" xfId="0" applyFont="1" applyBorder="1" applyAlignment="1">
      <alignment horizontal="left" vertical="center" wrapText="1"/>
    </xf>
    <xf numFmtId="0" fontId="62" fillId="0" borderId="32" xfId="0" applyFont="1" applyBorder="1" applyAlignment="1">
      <alignment horizontal="left" vertical="center" wrapText="1"/>
    </xf>
    <xf numFmtId="0" fontId="53" fillId="0" borderId="33" xfId="0" applyFont="1" applyBorder="1" applyAlignment="1">
      <alignment horizontal="left" vertical="center" wrapText="1"/>
    </xf>
    <xf numFmtId="0" fontId="43" fillId="0" borderId="32" xfId="0" applyFont="1" applyBorder="1"/>
    <xf numFmtId="0" fontId="43" fillId="0" borderId="33" xfId="0" applyFont="1" applyBorder="1" applyAlignment="1">
      <alignment vertical="center"/>
    </xf>
    <xf numFmtId="0" fontId="43" fillId="0" borderId="33" xfId="0" applyFont="1" applyBorder="1" applyAlignment="1">
      <alignment vertical="center" wrapText="1"/>
    </xf>
    <xf numFmtId="0" fontId="43" fillId="0" borderId="34" xfId="0" applyFont="1" applyBorder="1" applyAlignment="1">
      <alignment vertical="center"/>
    </xf>
    <xf numFmtId="0" fontId="64" fillId="0" borderId="0" xfId="0" applyFont="1" applyAlignment="1">
      <alignment vertical="top"/>
    </xf>
    <xf numFmtId="0" fontId="65" fillId="0" borderId="0" xfId="0" applyFont="1" applyAlignment="1">
      <alignment horizontal="center" vertical="top"/>
    </xf>
    <xf numFmtId="0" fontId="64" fillId="0" borderId="0" xfId="0" applyFont="1" applyAlignment="1">
      <alignment vertical="top" wrapText="1"/>
    </xf>
    <xf numFmtId="0" fontId="64" fillId="0" borderId="0" xfId="0" applyFont="1" applyAlignment="1">
      <alignment horizontal="center" vertical="top" wrapText="1"/>
    </xf>
    <xf numFmtId="10" fontId="66" fillId="0" borderId="0" xfId="2" applyNumberFormat="1" applyFont="1" applyAlignment="1">
      <alignment horizontal="center" vertical="top" wrapText="1"/>
    </xf>
    <xf numFmtId="0" fontId="44" fillId="0" borderId="0" xfId="0" applyFont="1" applyAlignment="1">
      <alignment horizontal="center" vertical="top"/>
    </xf>
    <xf numFmtId="0" fontId="67" fillId="0" borderId="0" xfId="0" applyFont="1" applyAlignment="1">
      <alignment horizontal="left" vertical="top"/>
    </xf>
    <xf numFmtId="10" fontId="42" fillId="0" borderId="0" xfId="2" applyNumberFormat="1" applyFont="1" applyAlignment="1">
      <alignment horizontal="center" vertical="top" wrapText="1"/>
    </xf>
    <xf numFmtId="0" fontId="68" fillId="0" borderId="0" xfId="0" applyFont="1" applyAlignment="1">
      <alignment horizontal="center" vertical="top"/>
    </xf>
    <xf numFmtId="0" fontId="52" fillId="0" borderId="17" xfId="0" applyFont="1" applyBorder="1" applyAlignment="1">
      <alignment horizontal="center" vertical="center" wrapText="1"/>
    </xf>
    <xf numFmtId="10" fontId="52" fillId="0" borderId="17" xfId="2" applyNumberFormat="1" applyFont="1" applyBorder="1" applyAlignment="1">
      <alignment horizontal="center" vertical="center" wrapText="1"/>
    </xf>
    <xf numFmtId="0" fontId="52" fillId="0" borderId="0" xfId="0" applyFont="1" applyAlignment="1">
      <alignment horizontal="center" vertical="center" wrapText="1"/>
    </xf>
    <xf numFmtId="0" fontId="72" fillId="0" borderId="0" xfId="0" applyFont="1" applyAlignment="1">
      <alignment vertical="top" wrapText="1"/>
    </xf>
    <xf numFmtId="0" fontId="52" fillId="5" borderId="1" xfId="0" applyFont="1" applyFill="1" applyBorder="1" applyAlignment="1">
      <alignment horizontal="center" vertical="center" wrapText="1"/>
    </xf>
    <xf numFmtId="0" fontId="72" fillId="0" borderId="0" xfId="0" applyFont="1" applyAlignment="1">
      <alignment horizontal="center" vertical="top" wrapText="1"/>
    </xf>
    <xf numFmtId="10" fontId="71" fillId="0" borderId="0" xfId="2" applyNumberFormat="1" applyFont="1" applyAlignment="1">
      <alignment horizontal="center" vertical="top" wrapText="1"/>
    </xf>
    <xf numFmtId="0" fontId="52" fillId="5" borderId="1" xfId="0" applyFont="1" applyFill="1" applyBorder="1" applyAlignment="1">
      <alignment horizontal="left" vertical="center" wrapText="1"/>
    </xf>
    <xf numFmtId="0" fontId="56" fillId="10" borderId="1" xfId="0" applyFont="1" applyFill="1" applyBorder="1" applyAlignment="1">
      <alignment horizontal="center" vertical="center"/>
    </xf>
    <xf numFmtId="0" fontId="56" fillId="0" borderId="0" xfId="0" applyFont="1" applyAlignment="1">
      <alignment horizontal="center" vertical="center"/>
    </xf>
    <xf numFmtId="0" fontId="52" fillId="5" borderId="1" xfId="0" applyFont="1" applyFill="1" applyBorder="1" applyAlignment="1">
      <alignment horizontal="left" vertical="top" wrapText="1"/>
    </xf>
    <xf numFmtId="10" fontId="52" fillId="24" borderId="1" xfId="2" applyNumberFormat="1" applyFont="1" applyFill="1" applyBorder="1" applyAlignment="1">
      <alignment horizontal="center" vertical="top" wrapText="1"/>
    </xf>
    <xf numFmtId="0" fontId="56" fillId="0" borderId="0" xfId="0" applyFont="1" applyAlignment="1">
      <alignment horizontal="left"/>
    </xf>
    <xf numFmtId="0" fontId="55" fillId="0" borderId="0" xfId="0" applyFont="1" applyAlignment="1">
      <alignment horizontal="left"/>
    </xf>
    <xf numFmtId="0" fontId="53" fillId="0" borderId="0" xfId="0" applyFont="1" applyAlignment="1">
      <alignment horizontal="left"/>
    </xf>
    <xf numFmtId="0" fontId="52" fillId="0" borderId="29" xfId="0" applyFont="1" applyBorder="1"/>
    <xf numFmtId="0" fontId="73" fillId="0" borderId="31" xfId="0" applyFont="1" applyBorder="1" applyAlignment="1">
      <alignment horizontal="left" vertical="center" wrapText="1"/>
    </xf>
    <xf numFmtId="0" fontId="74" fillId="0" borderId="0" xfId="0" applyFont="1"/>
    <xf numFmtId="0" fontId="75" fillId="0" borderId="0" xfId="0" applyFont="1"/>
    <xf numFmtId="0" fontId="73" fillId="0" borderId="36" xfId="0" applyFont="1" applyBorder="1" applyAlignment="1">
      <alignment horizontal="left" vertical="center" wrapText="1"/>
    </xf>
    <xf numFmtId="0" fontId="73" fillId="0" borderId="0" xfId="0" applyFont="1" applyAlignment="1">
      <alignment horizontal="left" vertical="center" wrapText="1"/>
    </xf>
    <xf numFmtId="0" fontId="56" fillId="0" borderId="36" xfId="0" applyFont="1" applyBorder="1" applyAlignment="1">
      <alignment vertical="center" wrapText="1"/>
    </xf>
    <xf numFmtId="0" fontId="56" fillId="0" borderId="0" xfId="0" applyFont="1"/>
    <xf numFmtId="0" fontId="56" fillId="0" borderId="36" xfId="0" applyFont="1" applyBorder="1"/>
    <xf numFmtId="0" fontId="73" fillId="0" borderId="47" xfId="0" applyFont="1" applyBorder="1" applyAlignment="1">
      <alignment horizontal="left" vertical="center" wrapText="1"/>
    </xf>
    <xf numFmtId="0" fontId="55" fillId="0" borderId="0" xfId="0" applyFont="1" applyAlignment="1">
      <alignment horizontal="left" vertical="center" wrapText="1"/>
    </xf>
    <xf numFmtId="0" fontId="55" fillId="0" borderId="36" xfId="0" applyFont="1" applyBorder="1" applyAlignment="1">
      <alignment horizontal="left" vertical="center" wrapText="1"/>
    </xf>
    <xf numFmtId="0" fontId="56" fillId="0" borderId="47" xfId="0" applyFont="1" applyBorder="1"/>
    <xf numFmtId="0" fontId="55" fillId="0" borderId="47" xfId="0" applyFont="1" applyBorder="1" applyAlignment="1">
      <alignment horizontal="left" vertical="center" wrapText="1"/>
    </xf>
    <xf numFmtId="0" fontId="56" fillId="0" borderId="32" xfId="0" applyFont="1" applyBorder="1" applyAlignment="1">
      <alignment vertical="center" wrapText="1"/>
    </xf>
    <xf numFmtId="0" fontId="56" fillId="0" borderId="32" xfId="0" applyFont="1" applyBorder="1"/>
    <xf numFmtId="0" fontId="56" fillId="0" borderId="33" xfId="0" applyFont="1" applyBorder="1"/>
    <xf numFmtId="0" fontId="56" fillId="0" borderId="34" xfId="0" applyFont="1" applyBorder="1"/>
    <xf numFmtId="0" fontId="76" fillId="0" borderId="0" xfId="0" applyFont="1"/>
    <xf numFmtId="0" fontId="56" fillId="0" borderId="0" xfId="0" applyFont="1" applyAlignment="1">
      <alignment horizontal="center"/>
    </xf>
    <xf numFmtId="0" fontId="77" fillId="0" borderId="0" xfId="0" applyFont="1"/>
    <xf numFmtId="0" fontId="46" fillId="0" borderId="0" xfId="0" applyFont="1" applyAlignment="1">
      <alignment vertical="center" wrapText="1"/>
    </xf>
    <xf numFmtId="0" fontId="73" fillId="0" borderId="0" xfId="0" applyFont="1" applyAlignment="1">
      <alignment vertical="center"/>
    </xf>
    <xf numFmtId="0" fontId="78" fillId="0" borderId="0" xfId="0" applyFont="1" applyAlignment="1">
      <alignment vertical="center"/>
    </xf>
    <xf numFmtId="0" fontId="77" fillId="0" borderId="0" xfId="0" applyFont="1" applyAlignment="1">
      <alignment horizontal="center" vertical="center" wrapText="1"/>
    </xf>
    <xf numFmtId="0" fontId="77" fillId="0" borderId="0" xfId="0" applyFont="1" applyAlignment="1">
      <alignment horizontal="center"/>
    </xf>
    <xf numFmtId="0" fontId="78" fillId="0" borderId="0" xfId="0" applyFont="1" applyAlignment="1">
      <alignment vertical="center" wrapText="1"/>
    </xf>
    <xf numFmtId="0" fontId="78" fillId="23" borderId="1" xfId="0" applyFont="1" applyFill="1" applyBorder="1" applyAlignment="1">
      <alignment horizontal="center" vertical="center" wrapText="1"/>
    </xf>
    <xf numFmtId="0" fontId="78" fillId="19" borderId="1" xfId="0" applyFont="1" applyFill="1" applyBorder="1" applyAlignment="1">
      <alignment horizontal="center" vertical="center" wrapText="1"/>
    </xf>
    <xf numFmtId="0" fontId="78" fillId="0" borderId="1" xfId="0" applyFont="1" applyBorder="1" applyAlignment="1">
      <alignment horizontal="center" vertical="center"/>
    </xf>
    <xf numFmtId="0" fontId="73" fillId="3" borderId="1" xfId="0" applyFont="1" applyFill="1" applyBorder="1" applyAlignment="1">
      <alignment horizontal="center" vertical="center" wrapText="1"/>
    </xf>
    <xf numFmtId="0" fontId="77" fillId="3" borderId="1" xfId="0" applyFont="1" applyFill="1" applyBorder="1" applyAlignment="1">
      <alignment horizontal="center"/>
    </xf>
    <xf numFmtId="0" fontId="78" fillId="3" borderId="1" xfId="0" applyFont="1" applyFill="1" applyBorder="1" applyAlignment="1">
      <alignment horizontal="center" vertical="center" wrapText="1"/>
    </xf>
    <xf numFmtId="0" fontId="79" fillId="5" borderId="1" xfId="0" applyFont="1" applyFill="1" applyBorder="1" applyAlignment="1">
      <alignment horizontal="center" vertical="center" wrapText="1"/>
    </xf>
    <xf numFmtId="0" fontId="77" fillId="0" borderId="1" xfId="0" applyFont="1" applyBorder="1" applyAlignment="1">
      <alignment horizontal="center" vertical="center"/>
    </xf>
    <xf numFmtId="171" fontId="77" fillId="0" borderId="1" xfId="0" applyNumberFormat="1" applyFont="1" applyBorder="1" applyAlignment="1">
      <alignment horizontal="center" vertical="center"/>
    </xf>
    <xf numFmtId="0" fontId="77" fillId="19" borderId="1" xfId="0" applyFont="1" applyFill="1" applyBorder="1" applyAlignment="1">
      <alignment horizontal="center" vertical="center" wrapText="1"/>
    </xf>
    <xf numFmtId="4" fontId="77" fillId="0" borderId="1" xfId="0" applyNumberFormat="1" applyFont="1" applyBorder="1" applyAlignment="1">
      <alignment horizontal="center" vertical="center"/>
    </xf>
    <xf numFmtId="0" fontId="77" fillId="0" borderId="1" xfId="0" applyFont="1" applyBorder="1" applyAlignment="1">
      <alignment horizontal="center" vertical="center" wrapText="1"/>
    </xf>
    <xf numFmtId="0" fontId="75" fillId="0" borderId="47" xfId="0" applyFont="1" applyBorder="1"/>
    <xf numFmtId="0" fontId="75" fillId="0" borderId="32" xfId="0" applyFont="1" applyBorder="1"/>
    <xf numFmtId="0" fontId="75" fillId="0" borderId="33" xfId="0" applyFont="1" applyBorder="1"/>
    <xf numFmtId="0" fontId="75" fillId="0" borderId="34" xfId="0" applyFont="1" applyBorder="1"/>
    <xf numFmtId="0" fontId="55" fillId="0" borderId="0" xfId="0" applyFont="1"/>
    <xf numFmtId="0" fontId="52" fillId="0" borderId="0" xfId="0" applyFont="1"/>
    <xf numFmtId="0" fontId="73" fillId="0" borderId="9" xfId="0" applyFont="1" applyBorder="1"/>
    <xf numFmtId="0" fontId="56" fillId="0" borderId="9" xfId="0" applyFont="1" applyBorder="1"/>
    <xf numFmtId="0" fontId="56" fillId="0" borderId="9" xfId="0" applyFont="1" applyBorder="1" applyAlignment="1">
      <alignment horizontal="center" vertical="center" wrapText="1"/>
    </xf>
    <xf numFmtId="0" fontId="56" fillId="0" borderId="9" xfId="0" applyFont="1" applyBorder="1" applyAlignment="1">
      <alignment horizontal="center"/>
    </xf>
    <xf numFmtId="0" fontId="77" fillId="0" borderId="11" xfId="0" applyFont="1" applyBorder="1"/>
    <xf numFmtId="0" fontId="73" fillId="23" borderId="1" xfId="0" applyFont="1" applyFill="1" applyBorder="1" applyAlignment="1">
      <alignment horizontal="center" vertical="center" wrapText="1"/>
    </xf>
    <xf numFmtId="0" fontId="79" fillId="0" borderId="0" xfId="0" applyFont="1" applyAlignment="1">
      <alignment horizontal="center" vertical="center"/>
    </xf>
    <xf numFmtId="0" fontId="77" fillId="0" borderId="12" xfId="0" applyFont="1" applyBorder="1"/>
    <xf numFmtId="0" fontId="56" fillId="0" borderId="1" xfId="0" applyFont="1" applyBorder="1" applyAlignment="1">
      <alignment horizontal="center"/>
    </xf>
    <xf numFmtId="0" fontId="56" fillId="0" borderId="1" xfId="0" applyFont="1" applyBorder="1" applyAlignment="1">
      <alignment horizontal="center" vertical="center" wrapText="1"/>
    </xf>
    <xf numFmtId="0" fontId="73" fillId="0" borderId="29" xfId="0" applyFont="1" applyBorder="1" applyAlignment="1">
      <alignment vertical="center" wrapText="1"/>
    </xf>
    <xf numFmtId="0" fontId="55" fillId="0" borderId="35" xfId="0" applyFont="1" applyBorder="1" applyAlignment="1">
      <alignment horizontal="left" vertical="center" wrapText="1"/>
    </xf>
    <xf numFmtId="0" fontId="56" fillId="0" borderId="35" xfId="0" applyFont="1" applyBorder="1"/>
    <xf numFmtId="0" fontId="56" fillId="0" borderId="17" xfId="0" applyFont="1" applyBorder="1"/>
    <xf numFmtId="0" fontId="78" fillId="0" borderId="12" xfId="0" applyFont="1" applyBorder="1" applyAlignment="1">
      <alignment vertical="center" wrapText="1"/>
    </xf>
    <xf numFmtId="0" fontId="73" fillId="0" borderId="16" xfId="0" applyFont="1" applyBorder="1" applyAlignment="1">
      <alignment vertical="center" wrapText="1"/>
    </xf>
    <xf numFmtId="0" fontId="73" fillId="0" borderId="35" xfId="0" applyFont="1" applyBorder="1" applyAlignment="1">
      <alignment horizontal="left" vertical="center" wrapText="1"/>
    </xf>
    <xf numFmtId="0" fontId="73" fillId="0" borderId="32" xfId="0" applyFont="1" applyBorder="1" applyAlignment="1">
      <alignment horizontal="left" vertical="center" wrapText="1"/>
    </xf>
    <xf numFmtId="0" fontId="73" fillId="0" borderId="34" xfId="0" applyFont="1" applyBorder="1" applyAlignment="1">
      <alignment horizontal="left" vertical="center" wrapText="1"/>
    </xf>
    <xf numFmtId="0" fontId="73" fillId="0" borderId="17" xfId="0" applyFont="1" applyBorder="1" applyAlignment="1">
      <alignment horizontal="left" vertical="center" wrapText="1"/>
    </xf>
    <xf numFmtId="0" fontId="73" fillId="0" borderId="33" xfId="0" applyFont="1" applyBorder="1" applyAlignment="1">
      <alignment horizontal="left" vertical="center" wrapText="1"/>
    </xf>
    <xf numFmtId="0" fontId="46" fillId="0" borderId="11" xfId="0" applyFont="1" applyBorder="1" applyAlignment="1">
      <alignment vertical="center" wrapText="1"/>
    </xf>
    <xf numFmtId="0" fontId="45" fillId="0" borderId="47" xfId="0" applyFont="1" applyBorder="1" applyAlignment="1">
      <alignment horizontal="left" vertical="center" wrapText="1"/>
    </xf>
    <xf numFmtId="0" fontId="45" fillId="0" borderId="0" xfId="0" applyFont="1"/>
    <xf numFmtId="0" fontId="45" fillId="0" borderId="47" xfId="0" applyFont="1" applyBorder="1"/>
    <xf numFmtId="0" fontId="45" fillId="0" borderId="35" xfId="0" applyFont="1" applyBorder="1" applyAlignment="1">
      <alignment horizontal="left" vertical="center" wrapText="1"/>
    </xf>
    <xf numFmtId="0" fontId="45" fillId="0" borderId="36" xfId="0" applyFont="1" applyBorder="1"/>
    <xf numFmtId="0" fontId="45" fillId="0" borderId="0" xfId="0" applyFont="1" applyAlignment="1">
      <alignment horizontal="left" indent="14"/>
    </xf>
    <xf numFmtId="0" fontId="46" fillId="0" borderId="12" xfId="0" applyFont="1" applyBorder="1"/>
    <xf numFmtId="0" fontId="46" fillId="0" borderId="0" xfId="0" applyFont="1"/>
    <xf numFmtId="0" fontId="45" fillId="0" borderId="0" xfId="0" applyFont="1" applyAlignment="1">
      <alignment horizontal="left" indent="19"/>
    </xf>
    <xf numFmtId="0" fontId="52" fillId="0" borderId="32" xfId="0" applyFont="1" applyBorder="1" applyAlignment="1">
      <alignment vertical="center" wrapText="1"/>
    </xf>
    <xf numFmtId="0" fontId="56" fillId="0" borderId="14" xfId="0" applyFont="1" applyBorder="1" applyAlignment="1">
      <alignment vertical="center" wrapText="1"/>
    </xf>
    <xf numFmtId="0" fontId="56" fillId="0" borderId="14" xfId="0" applyFont="1" applyBorder="1" applyAlignment="1">
      <alignment horizontal="center" vertical="center" wrapText="1"/>
    </xf>
    <xf numFmtId="0" fontId="56" fillId="0" borderId="14" xfId="0" applyFont="1" applyBorder="1" applyAlignment="1">
      <alignment horizontal="center"/>
    </xf>
    <xf numFmtId="0" fontId="44" fillId="0" borderId="0" xfId="0" applyFont="1" applyAlignment="1">
      <alignment horizontal="center"/>
    </xf>
    <xf numFmtId="0" fontId="55" fillId="0" borderId="0" xfId="0" applyFont="1" applyAlignment="1">
      <alignment vertical="center"/>
    </xf>
    <xf numFmtId="0" fontId="42" fillId="0" borderId="0" xfId="0" applyFont="1"/>
    <xf numFmtId="0" fontId="81" fillId="0" borderId="0" xfId="0" applyFont="1"/>
    <xf numFmtId="0" fontId="40" fillId="0" borderId="0" xfId="0" applyFont="1"/>
    <xf numFmtId="0" fontId="40" fillId="0" borderId="0" xfId="0" applyFont="1" applyAlignment="1">
      <alignment horizontal="center" vertical="center" wrapText="1"/>
    </xf>
    <xf numFmtId="0" fontId="40" fillId="0" borderId="0" xfId="0" applyFont="1" applyAlignment="1">
      <alignment horizontal="center"/>
    </xf>
    <xf numFmtId="0" fontId="40" fillId="0" borderId="29" xfId="0" applyFont="1" applyBorder="1" applyAlignment="1">
      <alignment horizontal="center" vertical="center" wrapText="1"/>
    </xf>
    <xf numFmtId="0" fontId="40" fillId="0" borderId="30" xfId="0" applyFont="1" applyBorder="1" applyAlignment="1">
      <alignment horizontal="center" vertical="center" wrapText="1"/>
    </xf>
    <xf numFmtId="0" fontId="40" fillId="0" borderId="31" xfId="0" applyFont="1" applyBorder="1" applyAlignment="1">
      <alignment horizontal="center" vertical="center" wrapText="1"/>
    </xf>
    <xf numFmtId="0" fontId="40" fillId="0" borderId="0" xfId="0" applyFont="1" applyAlignment="1">
      <alignment vertical="center" wrapText="1"/>
    </xf>
    <xf numFmtId="0" fontId="40" fillId="0" borderId="8" xfId="0" applyFont="1" applyBorder="1"/>
    <xf numFmtId="0" fontId="40" fillId="0" borderId="10" xfId="0" applyFont="1" applyBorder="1"/>
    <xf numFmtId="0" fontId="40" fillId="0" borderId="11" xfId="0" applyFont="1" applyBorder="1"/>
    <xf numFmtId="0" fontId="40" fillId="0" borderId="12" xfId="0" applyFont="1" applyBorder="1"/>
    <xf numFmtId="0" fontId="40" fillId="0" borderId="11" xfId="0" applyFont="1" applyBorder="1" applyAlignment="1">
      <alignment vertical="center" wrapText="1"/>
    </xf>
    <xf numFmtId="0" fontId="40" fillId="0" borderId="13" xfId="0" applyFont="1" applyBorder="1"/>
    <xf numFmtId="0" fontId="40" fillId="0" borderId="15" xfId="0" applyFont="1" applyBorder="1"/>
    <xf numFmtId="0" fontId="40" fillId="0" borderId="0" xfId="0" applyFont="1" applyAlignment="1">
      <alignment vertical="top" wrapText="1"/>
    </xf>
    <xf numFmtId="0" fontId="40" fillId="0" borderId="0" xfId="0" applyFont="1" applyAlignment="1">
      <alignment vertical="top"/>
    </xf>
    <xf numFmtId="10" fontId="32" fillId="0" borderId="0" xfId="2" applyNumberFormat="1" applyFont="1" applyFill="1" applyBorder="1" applyAlignment="1">
      <alignment horizontal="center" vertical="top" wrapText="1"/>
    </xf>
    <xf numFmtId="10" fontId="42" fillId="0" borderId="0" xfId="2" applyNumberFormat="1" applyFont="1" applyFill="1" applyBorder="1" applyAlignment="1">
      <alignment horizontal="center" vertical="top" wrapText="1"/>
    </xf>
    <xf numFmtId="10" fontId="66" fillId="0" borderId="0" xfId="2" applyNumberFormat="1" applyFont="1" applyFill="1" applyBorder="1" applyAlignment="1">
      <alignment horizontal="center" vertical="top" wrapText="1"/>
    </xf>
    <xf numFmtId="10" fontId="52" fillId="0" borderId="0" xfId="2" applyNumberFormat="1" applyFont="1" applyBorder="1" applyAlignment="1">
      <alignment horizontal="center" vertical="center" wrapText="1"/>
    </xf>
    <xf numFmtId="10" fontId="52" fillId="24" borderId="0" xfId="2" applyNumberFormat="1" applyFont="1" applyFill="1" applyBorder="1" applyAlignment="1">
      <alignment horizontal="center" vertical="top" wrapText="1"/>
    </xf>
    <xf numFmtId="0" fontId="40" fillId="0" borderId="0" xfId="0" applyFont="1" applyAlignment="1">
      <alignment horizontal="center" vertical="center"/>
    </xf>
    <xf numFmtId="0" fontId="40" fillId="0" borderId="0" xfId="0" applyFont="1" applyAlignment="1">
      <alignment vertical="center"/>
    </xf>
    <xf numFmtId="0" fontId="40" fillId="0" borderId="0" xfId="0" applyFont="1" applyAlignment="1">
      <alignment wrapText="1"/>
    </xf>
    <xf numFmtId="0" fontId="40" fillId="0" borderId="29" xfId="0" applyFont="1" applyBorder="1" applyAlignment="1">
      <alignment wrapText="1"/>
    </xf>
    <xf numFmtId="0" fontId="40" fillId="0" borderId="31" xfId="0" applyFont="1" applyBorder="1" applyAlignment="1">
      <alignment vertical="center"/>
    </xf>
    <xf numFmtId="0" fontId="40" fillId="0" borderId="36" xfId="0" applyFont="1" applyBorder="1" applyAlignment="1">
      <alignment wrapText="1"/>
    </xf>
    <xf numFmtId="0" fontId="40" fillId="0" borderId="47" xfId="0" applyFont="1" applyBorder="1" applyAlignment="1">
      <alignment vertical="center"/>
    </xf>
    <xf numFmtId="0" fontId="40" fillId="0" borderId="36" xfId="0" applyFont="1" applyBorder="1"/>
    <xf numFmtId="0" fontId="40" fillId="0" borderId="32" xfId="0" applyFont="1" applyBorder="1"/>
    <xf numFmtId="0" fontId="40" fillId="0" borderId="34" xfId="0" applyFont="1" applyBorder="1" applyAlignment="1">
      <alignment vertical="center"/>
    </xf>
    <xf numFmtId="0" fontId="4" fillId="0" borderId="0" xfId="0" applyFont="1" applyAlignment="1">
      <alignment vertical="center" wrapText="1"/>
    </xf>
    <xf numFmtId="166" fontId="4" fillId="0" borderId="0" xfId="1" applyNumberFormat="1" applyFont="1" applyFill="1" applyBorder="1" applyAlignment="1">
      <alignment horizontal="center" vertical="center" wrapText="1"/>
    </xf>
    <xf numFmtId="166" fontId="2" fillId="0" borderId="1" xfId="0" applyNumberFormat="1" applyFont="1" applyBorder="1" applyAlignment="1">
      <alignment vertical="center" wrapText="1"/>
    </xf>
    <xf numFmtId="0" fontId="4" fillId="0" borderId="21" xfId="0" applyFont="1" applyBorder="1" applyAlignment="1">
      <alignment vertical="center" wrapText="1"/>
    </xf>
    <xf numFmtId="166" fontId="2" fillId="0" borderId="22" xfId="0" applyNumberFormat="1" applyFont="1" applyBorder="1" applyAlignment="1">
      <alignment vertical="center" wrapText="1"/>
    </xf>
    <xf numFmtId="0" fontId="4" fillId="0" borderId="48" xfId="0" applyFont="1" applyBorder="1" applyAlignment="1">
      <alignment vertical="center" wrapText="1"/>
    </xf>
    <xf numFmtId="166" fontId="2" fillId="0" borderId="17" xfId="0" applyNumberFormat="1" applyFont="1" applyBorder="1" applyAlignment="1">
      <alignment vertical="center" wrapText="1"/>
    </xf>
    <xf numFmtId="166" fontId="2" fillId="0" borderId="28" xfId="0" applyNumberFormat="1" applyFont="1" applyBorder="1" applyAlignment="1">
      <alignment vertical="center" wrapText="1"/>
    </xf>
    <xf numFmtId="166" fontId="4" fillId="27" borderId="26" xfId="0" applyNumberFormat="1" applyFont="1" applyFill="1" applyBorder="1" applyAlignment="1">
      <alignment vertical="center" wrapText="1"/>
    </xf>
    <xf numFmtId="166" fontId="4" fillId="27" borderId="27" xfId="0" applyNumberFormat="1" applyFont="1" applyFill="1" applyBorder="1" applyAlignment="1">
      <alignment vertical="center" wrapText="1"/>
    </xf>
    <xf numFmtId="0" fontId="4" fillId="0" borderId="23" xfId="0" applyFont="1" applyBorder="1" applyAlignment="1">
      <alignment vertical="center" wrapText="1"/>
    </xf>
    <xf numFmtId="166" fontId="2" fillId="0" borderId="16" xfId="0" applyNumberFormat="1" applyFont="1" applyBorder="1" applyAlignment="1">
      <alignment vertical="center" wrapText="1"/>
    </xf>
    <xf numFmtId="166" fontId="2" fillId="0" borderId="24" xfId="0" applyNumberFormat="1" applyFont="1" applyBorder="1" applyAlignment="1">
      <alignment vertical="center" wrapText="1"/>
    </xf>
    <xf numFmtId="0" fontId="4" fillId="27" borderId="49" xfId="0" applyFont="1" applyFill="1" applyBorder="1" applyAlignment="1">
      <alignment vertical="center" wrapText="1"/>
    </xf>
    <xf numFmtId="0" fontId="2" fillId="0" borderId="50" xfId="0" applyFont="1" applyBorder="1" applyAlignment="1">
      <alignment vertical="center" wrapText="1"/>
    </xf>
    <xf numFmtId="0" fontId="39" fillId="0" borderId="0" xfId="0" applyFont="1" applyAlignment="1">
      <alignment vertical="center" wrapText="1"/>
    </xf>
    <xf numFmtId="0" fontId="77" fillId="0" borderId="1" xfId="0" applyFont="1" applyBorder="1" applyAlignment="1">
      <alignment horizontal="left" vertical="center"/>
    </xf>
    <xf numFmtId="0" fontId="79" fillId="5" borderId="1" xfId="0" applyFont="1" applyFill="1" applyBorder="1" applyAlignment="1">
      <alignment horizontal="center" vertical="top" wrapText="1"/>
    </xf>
    <xf numFmtId="0" fontId="85" fillId="5" borderId="1" xfId="0" applyFont="1" applyFill="1" applyBorder="1" applyAlignment="1">
      <alignment horizontal="center" vertical="top" wrapText="1"/>
    </xf>
    <xf numFmtId="0" fontId="77" fillId="0" borderId="1" xfId="0" applyFont="1" applyBorder="1" applyAlignment="1">
      <alignment horizontal="left" vertical="center" wrapText="1"/>
    </xf>
    <xf numFmtId="0" fontId="86" fillId="5" borderId="1" xfId="0" applyFont="1" applyFill="1" applyBorder="1" applyAlignment="1">
      <alignment horizontal="center" vertical="center" wrapText="1"/>
    </xf>
    <xf numFmtId="10" fontId="52" fillId="0" borderId="0" xfId="2" applyNumberFormat="1" applyFont="1" applyAlignment="1">
      <alignment horizontal="center" vertical="top" wrapText="1"/>
    </xf>
    <xf numFmtId="0" fontId="56" fillId="0" borderId="0" xfId="0" applyFont="1" applyAlignment="1">
      <alignment horizontal="center" vertical="top" wrapText="1"/>
    </xf>
    <xf numFmtId="0" fontId="70" fillId="0" borderId="0" xfId="0" applyFont="1" applyAlignment="1">
      <alignment horizontal="center" vertical="top"/>
    </xf>
    <xf numFmtId="10" fontId="52" fillId="0" borderId="1" xfId="0" applyNumberFormat="1" applyFont="1" applyBorder="1" applyAlignment="1">
      <alignment horizontal="center" vertical="top"/>
    </xf>
    <xf numFmtId="0" fontId="52" fillId="0" borderId="1" xfId="0" applyFont="1" applyBorder="1" applyAlignment="1">
      <alignment horizontal="center" vertical="top"/>
    </xf>
    <xf numFmtId="10" fontId="52" fillId="0" borderId="0" xfId="0" applyNumberFormat="1" applyFont="1" applyAlignment="1">
      <alignment horizontal="center" vertical="top"/>
    </xf>
    <xf numFmtId="0" fontId="56" fillId="0" borderId="0" xfId="0" applyFont="1" applyAlignment="1">
      <alignment vertical="top"/>
    </xf>
    <xf numFmtId="0" fontId="56" fillId="0" borderId="0" xfId="0" applyFont="1" applyAlignment="1">
      <alignment vertical="top" wrapText="1"/>
    </xf>
    <xf numFmtId="0" fontId="70" fillId="0" borderId="0" xfId="0" applyFont="1" applyAlignment="1">
      <alignment horizontal="left" vertical="top" wrapText="1"/>
    </xf>
    <xf numFmtId="0" fontId="52" fillId="0" borderId="0" xfId="0" applyFont="1" applyAlignment="1">
      <alignment vertical="top"/>
    </xf>
    <xf numFmtId="0" fontId="41" fillId="0" borderId="0" xfId="0" applyFont="1" applyAlignment="1">
      <alignment vertical="top"/>
    </xf>
    <xf numFmtId="10" fontId="46" fillId="0" borderId="0" xfId="2" applyNumberFormat="1" applyFont="1" applyFill="1" applyBorder="1" applyAlignment="1">
      <alignment horizontal="center" vertical="top" wrapText="1"/>
    </xf>
    <xf numFmtId="10" fontId="45" fillId="5" borderId="1" xfId="2" applyNumberFormat="1" applyFont="1" applyFill="1" applyBorder="1" applyAlignment="1">
      <alignment horizontal="center" vertical="top" wrapText="1"/>
    </xf>
    <xf numFmtId="10" fontId="76" fillId="5" borderId="4" xfId="0" applyNumberFormat="1" applyFont="1" applyFill="1" applyBorder="1" applyAlignment="1">
      <alignment horizontal="center" vertical="top" wrapText="1"/>
    </xf>
    <xf numFmtId="10" fontId="87" fillId="5" borderId="1" xfId="0" applyNumberFormat="1" applyFont="1" applyFill="1" applyBorder="1" applyAlignment="1">
      <alignment horizontal="center" vertical="top"/>
    </xf>
    <xf numFmtId="10" fontId="46" fillId="5" borderId="1" xfId="2" applyNumberFormat="1" applyFont="1" applyFill="1" applyBorder="1" applyAlignment="1">
      <alignment horizontal="center" vertical="top" wrapText="1"/>
    </xf>
    <xf numFmtId="10" fontId="83" fillId="5" borderId="4" xfId="0" applyNumberFormat="1" applyFont="1" applyFill="1" applyBorder="1" applyAlignment="1">
      <alignment horizontal="center" vertical="top" wrapText="1"/>
    </xf>
    <xf numFmtId="10" fontId="89" fillId="5" borderId="1" xfId="0" applyNumberFormat="1" applyFont="1" applyFill="1" applyBorder="1" applyAlignment="1">
      <alignment horizontal="center" vertical="top"/>
    </xf>
    <xf numFmtId="10" fontId="41" fillId="5" borderId="4" xfId="0" applyNumberFormat="1" applyFont="1" applyFill="1" applyBorder="1" applyAlignment="1">
      <alignment horizontal="center" vertical="top" wrapText="1"/>
    </xf>
    <xf numFmtId="17" fontId="41" fillId="5" borderId="4" xfId="0" applyNumberFormat="1" applyFont="1" applyFill="1" applyBorder="1" applyAlignment="1">
      <alignment horizontal="center" vertical="top" wrapText="1"/>
    </xf>
    <xf numFmtId="10" fontId="46" fillId="0" borderId="1" xfId="2" applyNumberFormat="1" applyFont="1" applyFill="1" applyBorder="1" applyAlignment="1">
      <alignment horizontal="center" vertical="top" wrapText="1"/>
    </xf>
    <xf numFmtId="165" fontId="91" fillId="0" borderId="4" xfId="0" applyNumberFormat="1" applyFont="1" applyBorder="1" applyAlignment="1">
      <alignment horizontal="center" vertical="top" wrapText="1"/>
    </xf>
    <xf numFmtId="10" fontId="89" fillId="0" borderId="1" xfId="0" applyNumberFormat="1" applyFont="1" applyBorder="1" applyAlignment="1">
      <alignment horizontal="center" vertical="top"/>
    </xf>
    <xf numFmtId="10" fontId="46" fillId="0" borderId="1" xfId="2" applyNumberFormat="1" applyFont="1" applyFill="1" applyBorder="1" applyAlignment="1">
      <alignment horizontal="center" vertical="top"/>
    </xf>
    <xf numFmtId="10" fontId="41" fillId="0" borderId="0" xfId="0" applyNumberFormat="1" applyFont="1" applyAlignment="1">
      <alignment vertical="top"/>
    </xf>
    <xf numFmtId="0" fontId="41" fillId="9" borderId="0" xfId="0" applyFont="1" applyFill="1" applyAlignment="1">
      <alignment vertical="top"/>
    </xf>
    <xf numFmtId="10" fontId="46" fillId="0" borderId="0" xfId="2" applyNumberFormat="1" applyFont="1" applyAlignment="1">
      <alignment horizontal="center" vertical="top" wrapText="1"/>
    </xf>
    <xf numFmtId="0" fontId="92" fillId="0" borderId="4" xfId="0" applyFont="1" applyBorder="1" applyAlignment="1">
      <alignment vertical="top" wrapText="1"/>
    </xf>
    <xf numFmtId="0" fontId="93" fillId="0" borderId="1" xfId="0" applyFont="1" applyBorder="1" applyAlignment="1">
      <alignment horizontal="center" vertical="top" wrapText="1"/>
    </xf>
    <xf numFmtId="0" fontId="93" fillId="0" borderId="4" xfId="0" applyFont="1" applyBorder="1" applyAlignment="1">
      <alignment vertical="top"/>
    </xf>
    <xf numFmtId="0" fontId="93" fillId="0" borderId="1" xfId="0" applyFont="1" applyBorder="1" applyAlignment="1">
      <alignment horizontal="center" vertical="top"/>
    </xf>
    <xf numFmtId="165" fontId="91" fillId="5" borderId="4" xfId="0" applyNumberFormat="1" applyFont="1" applyFill="1" applyBorder="1" applyAlignment="1">
      <alignment horizontal="center" vertical="top" wrapText="1"/>
    </xf>
    <xf numFmtId="10" fontId="89" fillId="5" borderId="1" xfId="0" applyNumberFormat="1" applyFont="1" applyFill="1" applyBorder="1" applyAlignment="1">
      <alignment horizontal="center" vertical="center"/>
    </xf>
    <xf numFmtId="0" fontId="41" fillId="0" borderId="4" xfId="0" applyFont="1" applyBorder="1" applyAlignment="1">
      <alignment horizontal="center" vertical="top" wrapText="1"/>
    </xf>
    <xf numFmtId="0" fontId="89" fillId="0" borderId="1" xfId="0" applyFont="1" applyBorder="1" applyAlignment="1">
      <alignment horizontal="center" vertical="top"/>
    </xf>
    <xf numFmtId="165" fontId="91" fillId="5" borderId="4" xfId="1" applyFont="1" applyFill="1" applyBorder="1" applyAlignment="1">
      <alignment horizontal="center" vertical="top" wrapText="1"/>
    </xf>
    <xf numFmtId="0" fontId="83" fillId="0" borderId="4" xfId="0" applyFont="1" applyBorder="1" applyAlignment="1">
      <alignment horizontal="center" vertical="top" wrapText="1"/>
    </xf>
    <xf numFmtId="0" fontId="41" fillId="0" borderId="0" xfId="0" applyFont="1" applyAlignment="1">
      <alignment vertical="top" wrapText="1"/>
    </xf>
    <xf numFmtId="0" fontId="83" fillId="5" borderId="4" xfId="0" applyFont="1" applyFill="1" applyBorder="1" applyAlignment="1">
      <alignment horizontal="center" vertical="top" wrapText="1"/>
    </xf>
    <xf numFmtId="10" fontId="84" fillId="0" borderId="0" xfId="2" applyNumberFormat="1" applyFont="1" applyFill="1" applyBorder="1" applyAlignment="1">
      <alignment horizontal="center" vertical="top" wrapText="1"/>
    </xf>
    <xf numFmtId="10" fontId="84" fillId="0" borderId="0" xfId="0" applyNumberFormat="1" applyFont="1" applyAlignment="1">
      <alignment horizontal="center" vertical="top"/>
    </xf>
    <xf numFmtId="10" fontId="81" fillId="0" borderId="0" xfId="0" applyNumberFormat="1" applyFont="1" applyAlignment="1">
      <alignment horizontal="left" vertical="top"/>
    </xf>
    <xf numFmtId="43" fontId="91" fillId="5" borderId="4" xfId="0" applyNumberFormat="1" applyFont="1" applyFill="1" applyBorder="1" applyAlignment="1">
      <alignment horizontal="center" vertical="top" wrapText="1"/>
    </xf>
    <xf numFmtId="0" fontId="46" fillId="0" borderId="0" xfId="0" applyFont="1" applyAlignment="1">
      <alignment horizontal="center" vertical="center" wrapText="1"/>
    </xf>
    <xf numFmtId="10" fontId="84" fillId="0" borderId="0" xfId="0" applyNumberFormat="1" applyFont="1" applyAlignment="1">
      <alignment horizontal="center" vertical="center" wrapText="1"/>
    </xf>
    <xf numFmtId="10" fontId="84" fillId="0" borderId="0" xfId="2" applyNumberFormat="1" applyFont="1" applyFill="1" applyBorder="1" applyAlignment="1">
      <alignment horizontal="center" vertical="center" wrapText="1"/>
    </xf>
    <xf numFmtId="10" fontId="46" fillId="0" borderId="1" xfId="2" applyNumberFormat="1" applyFont="1" applyBorder="1" applyAlignment="1">
      <alignment horizontal="center" vertical="center" wrapText="1"/>
    </xf>
    <xf numFmtId="14" fontId="46" fillId="5" borderId="4" xfId="0" applyNumberFormat="1" applyFont="1" applyFill="1" applyBorder="1" applyAlignment="1">
      <alignment horizontal="center" vertical="center" wrapText="1"/>
    </xf>
    <xf numFmtId="0" fontId="89" fillId="0" borderId="1" xfId="0" applyFont="1" applyBorder="1" applyAlignment="1">
      <alignment horizontal="center" vertical="center" wrapText="1"/>
    </xf>
    <xf numFmtId="10" fontId="46" fillId="0" borderId="0" xfId="2" applyNumberFormat="1" applyFont="1" applyFill="1" applyAlignment="1">
      <alignment horizontal="center" vertical="top" wrapText="1"/>
    </xf>
    <xf numFmtId="0" fontId="46" fillId="0" borderId="1" xfId="0" applyFont="1" applyBorder="1" applyAlignment="1">
      <alignment horizontal="center" vertical="center" wrapText="1"/>
    </xf>
    <xf numFmtId="0" fontId="77" fillId="0" borderId="0" xfId="0" applyFont="1" applyAlignment="1">
      <alignment vertical="top"/>
    </xf>
    <xf numFmtId="10" fontId="78" fillId="0" borderId="0" xfId="2" applyNumberFormat="1" applyFont="1" applyFill="1" applyAlignment="1">
      <alignment horizontal="center" vertical="top" wrapText="1"/>
    </xf>
    <xf numFmtId="0" fontId="77" fillId="0" borderId="0" xfId="0" applyFont="1" applyAlignment="1">
      <alignment horizontal="center" vertical="top" wrapText="1"/>
    </xf>
    <xf numFmtId="0" fontId="94" fillId="0" borderId="0" xfId="0" applyFont="1" applyAlignment="1">
      <alignment horizontal="center" vertical="top"/>
    </xf>
    <xf numFmtId="0" fontId="95" fillId="0" borderId="0" xfId="0" applyFont="1" applyAlignment="1">
      <alignment horizontal="left" vertical="top"/>
    </xf>
    <xf numFmtId="0" fontId="73" fillId="0" borderId="0" xfId="0" applyFont="1" applyAlignment="1">
      <alignment horizontal="right" vertical="center"/>
    </xf>
    <xf numFmtId="0" fontId="78" fillId="0" borderId="1" xfId="0" applyFont="1" applyBorder="1" applyAlignment="1">
      <alignment horizontal="center" vertical="center" wrapText="1"/>
    </xf>
    <xf numFmtId="0" fontId="96" fillId="5" borderId="1" xfId="0" applyFont="1" applyFill="1" applyBorder="1" applyAlignment="1">
      <alignment vertical="center" wrapText="1"/>
    </xf>
    <xf numFmtId="0" fontId="96" fillId="0" borderId="1" xfId="0" applyFont="1" applyBorder="1" applyAlignment="1">
      <alignment vertical="center" wrapText="1"/>
    </xf>
    <xf numFmtId="0" fontId="96" fillId="0" borderId="1" xfId="0" applyFont="1" applyBorder="1" applyAlignment="1">
      <alignment horizontal="left" vertical="center" wrapText="1"/>
    </xf>
    <xf numFmtId="0" fontId="77" fillId="0" borderId="0" xfId="0" applyFont="1" applyAlignment="1">
      <alignment vertical="center"/>
    </xf>
    <xf numFmtId="0" fontId="77" fillId="0" borderId="0" xfId="0" applyFont="1" applyAlignment="1">
      <alignment vertical="center" wrapText="1"/>
    </xf>
    <xf numFmtId="0" fontId="82" fillId="28" borderId="1" xfId="0" applyFont="1" applyFill="1" applyBorder="1" applyAlignment="1">
      <alignment horizontal="center" vertical="center"/>
    </xf>
    <xf numFmtId="0" fontId="94" fillId="0" borderId="1" xfId="0" applyFont="1" applyBorder="1" applyAlignment="1">
      <alignment horizontal="left" vertical="top" wrapText="1"/>
    </xf>
    <xf numFmtId="0" fontId="54" fillId="0" borderId="0" xfId="0" applyFont="1" applyAlignment="1">
      <alignment horizontal="right" vertical="center"/>
    </xf>
    <xf numFmtId="0" fontId="78" fillId="0" borderId="35" xfId="0" applyFont="1" applyBorder="1" applyAlignment="1">
      <alignment vertical="center" wrapText="1"/>
    </xf>
    <xf numFmtId="0" fontId="81" fillId="0" borderId="0" xfId="0" applyFont="1" applyAlignment="1">
      <alignment vertical="center"/>
    </xf>
    <xf numFmtId="10" fontId="90" fillId="0" borderId="1" xfId="0" quotePrefix="1" applyNumberFormat="1" applyFont="1" applyBorder="1" applyAlignment="1">
      <alignment vertical="center" wrapText="1"/>
    </xf>
    <xf numFmtId="0" fontId="78" fillId="0" borderId="35" xfId="0" applyFont="1" applyBorder="1" applyAlignment="1">
      <alignment horizontal="center" vertical="center" wrapText="1"/>
    </xf>
    <xf numFmtId="10" fontId="94" fillId="0" borderId="1" xfId="0" quotePrefix="1" applyNumberFormat="1" applyFont="1" applyBorder="1" applyAlignment="1">
      <alignment vertical="center" wrapText="1"/>
    </xf>
    <xf numFmtId="0" fontId="73" fillId="19" borderId="1" xfId="0" applyFont="1" applyFill="1" applyBorder="1" applyAlignment="1">
      <alignment horizontal="center" vertical="center"/>
    </xf>
    <xf numFmtId="0" fontId="73" fillId="19" borderId="1" xfId="0" applyFont="1" applyFill="1" applyBorder="1" applyAlignment="1">
      <alignment horizontal="center" vertical="center" wrapText="1"/>
    </xf>
    <xf numFmtId="0" fontId="73" fillId="10" borderId="1" xfId="0" applyFont="1" applyFill="1" applyBorder="1" applyAlignment="1">
      <alignment horizontal="center" vertical="center"/>
    </xf>
    <xf numFmtId="0" fontId="79" fillId="0" borderId="1" xfId="0" applyFont="1" applyBorder="1" applyAlignment="1">
      <alignment vertical="center"/>
    </xf>
    <xf numFmtId="0" fontId="79" fillId="0" borderId="1" xfId="0" applyFont="1" applyBorder="1" applyAlignment="1">
      <alignment vertical="center" wrapText="1"/>
    </xf>
    <xf numFmtId="0" fontId="79" fillId="0" borderId="1" xfId="0" applyFont="1" applyBorder="1" applyAlignment="1">
      <alignment vertical="center"/>
      <extLst>
        <ext xmlns:xfpb="http://schemas.microsoft.com/office/spreadsheetml/2022/featurepropertybag" uri="{C7286773-470A-42A8-94C5-96B5CB345126}">
          <xfpb:xfComplement i="0"/>
        </ext>
      </extLst>
    </xf>
    <xf numFmtId="0" fontId="79"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79" fillId="0" borderId="1" xfId="0" applyFont="1" applyBorder="1" applyAlignment="1">
      <alignment horizontal="center" vertical="center"/>
    </xf>
    <xf numFmtId="0" fontId="79" fillId="0" borderId="1" xfId="0" applyFont="1" applyBorder="1" applyAlignment="1">
      <alignment horizontal="right" vertical="center"/>
    </xf>
    <xf numFmtId="0" fontId="79" fillId="0" borderId="1" xfId="0" applyFont="1" applyBorder="1" applyAlignment="1">
      <alignment horizontal="left" vertical="top" wrapText="1"/>
    </xf>
    <xf numFmtId="0" fontId="73" fillId="0" borderId="1" xfId="0" applyFont="1" applyBorder="1" applyAlignment="1">
      <alignment horizontal="center" vertical="center"/>
    </xf>
    <xf numFmtId="0" fontId="77" fillId="0" borderId="1" xfId="0" applyFont="1" applyBorder="1" applyAlignment="1">
      <alignment vertical="center" wrapText="1"/>
    </xf>
    <xf numFmtId="0" fontId="77" fillId="0" borderId="1" xfId="0" applyFont="1" applyBorder="1" applyAlignment="1">
      <alignment vertical="center"/>
      <extLst>
        <ext xmlns:xfpb="http://schemas.microsoft.com/office/spreadsheetml/2022/featurepropertybag" uri="{C7286773-470A-42A8-94C5-96B5CB345126}">
          <xfpb:xfComplement i="0"/>
        </ext>
      </extLst>
    </xf>
    <xf numFmtId="0" fontId="77" fillId="0" borderId="1" xfId="0" applyFont="1" applyBorder="1" applyAlignment="1">
      <alignment vertical="center"/>
    </xf>
    <xf numFmtId="0" fontId="78" fillId="0" borderId="1" xfId="0" applyFont="1" applyBorder="1" applyAlignment="1">
      <alignment vertical="center"/>
    </xf>
    <xf numFmtId="9" fontId="2" fillId="0" borderId="0" xfId="2" applyFont="1" applyBorder="1" applyAlignment="1">
      <alignment vertical="center" wrapText="1"/>
    </xf>
    <xf numFmtId="1" fontId="2" fillId="0" borderId="0" xfId="2" applyNumberFormat="1" applyFont="1" applyBorder="1" applyAlignment="1">
      <alignment vertical="center" wrapText="1"/>
    </xf>
    <xf numFmtId="14" fontId="77" fillId="0" borderId="0" xfId="0" applyNumberFormat="1" applyFont="1"/>
    <xf numFmtId="0" fontId="8" fillId="0" borderId="0" xfId="0" applyFont="1" applyAlignment="1">
      <alignment horizontal="center" vertical="center" wrapText="1"/>
    </xf>
    <xf numFmtId="0" fontId="0" fillId="0" borderId="0" xfId="0" applyAlignment="1">
      <alignment vertical="center" wrapText="1"/>
    </xf>
    <xf numFmtId="10" fontId="0" fillId="0" borderId="0" xfId="0" applyNumberFormat="1" applyAlignment="1">
      <alignment vertical="center" wrapText="1"/>
    </xf>
    <xf numFmtId="0" fontId="73" fillId="3" borderId="2" xfId="0" applyFont="1" applyFill="1" applyBorder="1" applyAlignment="1">
      <alignment horizontal="center" vertical="center" wrapText="1"/>
    </xf>
    <xf numFmtId="2" fontId="2" fillId="0" borderId="41" xfId="0" applyNumberFormat="1" applyFont="1" applyBorder="1" applyAlignment="1">
      <alignment vertical="center" wrapText="1"/>
    </xf>
    <xf numFmtId="2" fontId="2" fillId="0" borderId="1" xfId="2" applyNumberFormat="1" applyFont="1" applyBorder="1" applyAlignment="1">
      <alignment vertical="center" wrapText="1"/>
    </xf>
    <xf numFmtId="14" fontId="78" fillId="0" borderId="1" xfId="0" applyNumberFormat="1" applyFont="1" applyBorder="1" applyAlignment="1">
      <alignment horizontal="center" vertical="center"/>
    </xf>
    <xf numFmtId="0" fontId="20" fillId="0" borderId="1" xfId="0" applyFont="1" applyBorder="1" applyAlignment="1">
      <alignment vertical="top"/>
    </xf>
    <xf numFmtId="166" fontId="20" fillId="0" borderId="1" xfId="1" applyNumberFormat="1" applyFont="1" applyBorder="1" applyAlignment="1">
      <alignment vertical="top"/>
    </xf>
    <xf numFmtId="170" fontId="20" fillId="10" borderId="1" xfId="1" applyNumberFormat="1" applyFont="1" applyFill="1" applyBorder="1" applyAlignment="1">
      <alignment vertical="top"/>
    </xf>
    <xf numFmtId="38" fontId="20" fillId="10" borderId="1" xfId="1" applyNumberFormat="1" applyFont="1" applyFill="1" applyBorder="1" applyAlignment="1">
      <alignment vertical="top"/>
    </xf>
    <xf numFmtId="3" fontId="2" fillId="0" borderId="1" xfId="0" applyNumberFormat="1" applyFont="1" applyBorder="1" applyAlignment="1">
      <alignment vertical="center"/>
    </xf>
    <xf numFmtId="166" fontId="21" fillId="0" borderId="51" xfId="1" applyNumberFormat="1" applyFont="1" applyBorder="1" applyAlignment="1">
      <alignment horizontal="center" vertical="center" wrapText="1"/>
    </xf>
    <xf numFmtId="166" fontId="14" fillId="0" borderId="17" xfId="1" applyNumberFormat="1" applyFont="1" applyBorder="1" applyAlignment="1">
      <alignment horizontal="center" vertical="center" wrapText="1"/>
    </xf>
    <xf numFmtId="166" fontId="21" fillId="0" borderId="37" xfId="1" applyNumberFormat="1" applyFont="1" applyBorder="1" applyAlignment="1">
      <alignment horizontal="center" vertical="center" wrapText="1"/>
    </xf>
    <xf numFmtId="0" fontId="82" fillId="0" borderId="1" xfId="0" applyFont="1" applyBorder="1" applyAlignment="1">
      <alignment horizontal="center" vertical="center"/>
    </xf>
    <xf numFmtId="0" fontId="78" fillId="0" borderId="4" xfId="0" applyFont="1" applyBorder="1" applyAlignment="1">
      <alignment horizontal="center" vertical="center" wrapText="1"/>
    </xf>
    <xf numFmtId="165" fontId="0" fillId="0" borderId="1" xfId="1" applyFont="1" applyBorder="1"/>
    <xf numFmtId="166" fontId="6" fillId="25" borderId="1" xfId="0" applyNumberFormat="1" applyFont="1" applyFill="1" applyBorder="1" applyAlignment="1">
      <alignment vertical="center"/>
    </xf>
    <xf numFmtId="0" fontId="76" fillId="0" borderId="1" xfId="0" applyFont="1" applyBorder="1" applyAlignment="1">
      <alignment vertical="center" wrapText="1"/>
    </xf>
    <xf numFmtId="0" fontId="104" fillId="0" borderId="1" xfId="5" applyBorder="1" applyAlignment="1">
      <alignment vertical="center" wrapText="1"/>
    </xf>
    <xf numFmtId="0" fontId="41" fillId="0" borderId="1" xfId="0" applyFont="1"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vertical="center"/>
      <extLst>
        <ext xmlns:xfpb="http://schemas.microsoft.com/office/spreadsheetml/2022/featurepropertybag" uri="{C7286773-470A-42A8-94C5-96B5CB345126}">
          <xfpb:xfComplement i="0"/>
        </ext>
      </extLst>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77" fillId="0" borderId="4" xfId="0" applyFont="1" applyBorder="1" applyAlignment="1">
      <alignment horizontal="left" vertical="center" wrapText="1"/>
    </xf>
    <xf numFmtId="0" fontId="41" fillId="0" borderId="2" xfId="0" applyFont="1" applyBorder="1" applyAlignment="1">
      <alignment horizontal="left" vertical="center" wrapText="1"/>
    </xf>
    <xf numFmtId="0" fontId="105" fillId="0" borderId="36" xfId="0" applyFont="1" applyBorder="1"/>
    <xf numFmtId="0" fontId="46" fillId="0" borderId="0" xfId="0" applyFont="1" applyAlignment="1">
      <alignment vertical="center"/>
    </xf>
    <xf numFmtId="14" fontId="78" fillId="0" borderId="0" xfId="0" applyNumberFormat="1" applyFont="1" applyAlignment="1">
      <alignment horizontal="left" vertical="center"/>
    </xf>
    <xf numFmtId="0" fontId="45" fillId="0" borderId="36" xfId="0" applyFont="1" applyBorder="1" applyAlignment="1">
      <alignment horizontal="left" vertical="center"/>
    </xf>
    <xf numFmtId="0" fontId="40" fillId="0" borderId="1" xfId="0" applyFont="1" applyBorder="1" applyAlignment="1">
      <alignment vertical="center" wrapText="1"/>
    </xf>
    <xf numFmtId="10" fontId="62" fillId="0" borderId="1" xfId="0" applyNumberFormat="1" applyFont="1" applyBorder="1" applyAlignment="1">
      <alignment horizontal="center" vertical="top"/>
    </xf>
    <xf numFmtId="14" fontId="46" fillId="0" borderId="33" xfId="0" applyNumberFormat="1" applyFont="1" applyBorder="1" applyAlignment="1">
      <alignment horizontal="left" vertical="center"/>
    </xf>
    <xf numFmtId="0" fontId="90" fillId="0" borderId="2" xfId="0" quotePrefix="1" applyFont="1" applyBorder="1" applyAlignment="1">
      <alignment horizontal="left" vertical="center" wrapText="1"/>
    </xf>
    <xf numFmtId="0" fontId="90" fillId="0" borderId="3" xfId="0" quotePrefix="1" applyFont="1" applyBorder="1" applyAlignment="1">
      <alignment horizontal="left" vertical="center" wrapText="1"/>
    </xf>
    <xf numFmtId="0" fontId="51" fillId="0" borderId="2" xfId="0" applyFont="1" applyBorder="1" applyAlignment="1">
      <alignment horizontal="left" vertical="center" wrapText="1"/>
    </xf>
    <xf numFmtId="0" fontId="51" fillId="0" borderId="3" xfId="0" applyFont="1" applyBorder="1" applyAlignment="1">
      <alignment horizontal="left" vertical="center" wrapText="1"/>
    </xf>
    <xf numFmtId="0" fontId="51" fillId="0" borderId="4" xfId="0" applyFont="1" applyBorder="1" applyAlignment="1">
      <alignment horizontal="left" vertical="center" wrapText="1"/>
    </xf>
    <xf numFmtId="0" fontId="65" fillId="0" borderId="2" xfId="0" applyFont="1" applyBorder="1" applyAlignment="1">
      <alignment horizontal="left" vertical="center" wrapText="1"/>
    </xf>
    <xf numFmtId="0" fontId="65" fillId="0" borderId="3" xfId="0" applyFont="1" applyBorder="1" applyAlignment="1">
      <alignment horizontal="left" vertical="center" wrapText="1"/>
    </xf>
    <xf numFmtId="0" fontId="65" fillId="0" borderId="4" xfId="0" applyFont="1" applyBorder="1" applyAlignment="1">
      <alignment horizontal="left" vertical="center" wrapText="1"/>
    </xf>
    <xf numFmtId="0" fontId="78" fillId="0" borderId="2" xfId="0" quotePrefix="1" applyFont="1" applyBorder="1" applyAlignment="1">
      <alignment horizontal="left" vertical="center" wrapText="1"/>
    </xf>
    <xf numFmtId="0" fontId="78" fillId="0" borderId="3" xfId="0" quotePrefix="1" applyFont="1" applyBorder="1" applyAlignment="1">
      <alignment horizontal="left" vertical="center" wrapText="1"/>
    </xf>
    <xf numFmtId="0" fontId="78" fillId="0" borderId="4" xfId="0" quotePrefix="1" applyFont="1" applyBorder="1" applyAlignment="1">
      <alignment horizontal="left" vertical="center" wrapText="1"/>
    </xf>
    <xf numFmtId="0" fontId="77" fillId="28" borderId="1" xfId="0" applyFont="1" applyFill="1" applyBorder="1" applyAlignment="1">
      <alignment horizontal="center" vertical="center" wrapText="1"/>
    </xf>
    <xf numFmtId="0" fontId="96" fillId="5" borderId="1" xfId="0" applyFont="1" applyFill="1" applyBorder="1" applyAlignment="1">
      <alignment horizontal="center" vertical="center" wrapText="1"/>
    </xf>
    <xf numFmtId="0" fontId="96" fillId="0" borderId="1" xfId="0" applyFont="1" applyBorder="1" applyAlignment="1">
      <alignment horizontal="center" vertical="center" wrapText="1"/>
    </xf>
    <xf numFmtId="0" fontId="90" fillId="0" borderId="4" xfId="0" quotePrefix="1" applyFont="1" applyBorder="1" applyAlignment="1">
      <alignment horizontal="left" vertical="center" wrapText="1"/>
    </xf>
    <xf numFmtId="0" fontId="78" fillId="0" borderId="1" xfId="0" quotePrefix="1" applyFont="1" applyBorder="1" applyAlignment="1">
      <alignment horizontal="left" vertical="center" wrapText="1"/>
    </xf>
    <xf numFmtId="0" fontId="78" fillId="0" borderId="1" xfId="0" applyFont="1" applyBorder="1" applyAlignment="1">
      <alignment horizontal="left" vertical="center" wrapText="1"/>
    </xf>
    <xf numFmtId="0" fontId="90" fillId="0" borderId="2" xfId="0" applyFont="1" applyBorder="1" applyAlignment="1">
      <alignment horizontal="left" vertical="center" wrapText="1"/>
    </xf>
    <xf numFmtId="0" fontId="90" fillId="0" borderId="3" xfId="0" applyFont="1" applyBorder="1" applyAlignment="1">
      <alignment horizontal="left" vertical="center" wrapText="1"/>
    </xf>
    <xf numFmtId="0" fontId="78" fillId="0" borderId="2" xfId="0" applyFont="1" applyBorder="1" applyAlignment="1">
      <alignment horizontal="left" vertical="center" wrapText="1"/>
    </xf>
    <xf numFmtId="0" fontId="78" fillId="0" borderId="3" xfId="0" applyFont="1" applyBorder="1" applyAlignment="1">
      <alignment horizontal="left" vertical="center" wrapText="1"/>
    </xf>
    <xf numFmtId="0" fontId="78" fillId="0" borderId="4" xfId="0" applyFont="1" applyBorder="1" applyAlignment="1">
      <alignment horizontal="left" vertical="center" wrapText="1"/>
    </xf>
    <xf numFmtId="0" fontId="78" fillId="3" borderId="2" xfId="0" applyFont="1" applyFill="1" applyBorder="1" applyAlignment="1">
      <alignment horizontal="center" vertical="center" wrapText="1"/>
    </xf>
    <xf numFmtId="0" fontId="78" fillId="3" borderId="3" xfId="0" applyFont="1" applyFill="1" applyBorder="1" applyAlignment="1">
      <alignment horizontal="center" vertical="center" wrapText="1"/>
    </xf>
    <xf numFmtId="0" fontId="78" fillId="3" borderId="4" xfId="0" applyFont="1" applyFill="1" applyBorder="1" applyAlignment="1">
      <alignment horizontal="center" vertical="center" wrapText="1"/>
    </xf>
    <xf numFmtId="0" fontId="78" fillId="0" borderId="16" xfId="0" applyFont="1" applyBorder="1" applyAlignment="1">
      <alignment horizontal="center" vertical="center" wrapText="1"/>
    </xf>
    <xf numFmtId="0" fontId="78" fillId="0" borderId="35" xfId="0" applyFont="1" applyBorder="1" applyAlignment="1">
      <alignment horizontal="center" vertical="center" wrapText="1"/>
    </xf>
    <xf numFmtId="0" fontId="78" fillId="0" borderId="17" xfId="0" applyFont="1" applyBorder="1" applyAlignment="1">
      <alignment horizontal="center" vertical="center" wrapText="1"/>
    </xf>
    <xf numFmtId="0" fontId="77" fillId="0" borderId="2" xfId="0" applyFont="1" applyBorder="1" applyAlignment="1">
      <alignment horizontal="left" vertical="center" wrapText="1"/>
    </xf>
    <xf numFmtId="0" fontId="77" fillId="0" borderId="3" xfId="0" applyFont="1" applyBorder="1" applyAlignment="1">
      <alignment horizontal="left" vertical="center" wrapText="1"/>
    </xf>
    <xf numFmtId="0" fontId="77" fillId="0" borderId="4" xfId="0" applyFont="1" applyBorder="1" applyAlignment="1">
      <alignment horizontal="left" vertical="center" wrapText="1"/>
    </xf>
    <xf numFmtId="0" fontId="77" fillId="0" borderId="2" xfId="0" applyFont="1" applyBorder="1" applyAlignment="1">
      <alignment horizontal="left" vertical="top" wrapText="1"/>
    </xf>
    <xf numFmtId="0" fontId="77" fillId="0" borderId="3" xfId="0" applyFont="1" applyBorder="1" applyAlignment="1">
      <alignment horizontal="left" vertical="top" wrapText="1"/>
    </xf>
    <xf numFmtId="0" fontId="77" fillId="0" borderId="4" xfId="0" applyFont="1" applyBorder="1" applyAlignment="1">
      <alignment horizontal="left" vertical="top" wrapText="1"/>
    </xf>
    <xf numFmtId="0" fontId="41" fillId="0" borderId="2" xfId="0" applyFont="1" applyBorder="1" applyAlignment="1">
      <alignment horizontal="left" vertical="center" wrapText="1"/>
    </xf>
    <xf numFmtId="0" fontId="41" fillId="0" borderId="3" xfId="0" applyFont="1" applyBorder="1" applyAlignment="1">
      <alignment horizontal="left" vertical="center" wrapText="1"/>
    </xf>
    <xf numFmtId="0" fontId="41" fillId="0" borderId="4" xfId="0" applyFont="1" applyBorder="1" applyAlignment="1">
      <alignment horizontal="left" vertical="center" wrapText="1"/>
    </xf>
    <xf numFmtId="0" fontId="79" fillId="0" borderId="2" xfId="0" applyFont="1" applyBorder="1" applyAlignment="1">
      <alignment horizontal="left" vertical="center" wrapText="1"/>
    </xf>
    <xf numFmtId="0" fontId="79" fillId="0" borderId="3" xfId="0" applyFont="1" applyBorder="1" applyAlignment="1">
      <alignment horizontal="left" vertical="center" wrapText="1"/>
    </xf>
    <xf numFmtId="0" fontId="79" fillId="0" borderId="4" xfId="0" applyFont="1" applyBorder="1" applyAlignment="1">
      <alignment horizontal="left" vertical="center" wrapText="1"/>
    </xf>
    <xf numFmtId="0" fontId="44" fillId="0" borderId="0" xfId="0" applyFont="1" applyAlignment="1">
      <alignment horizontal="center" vertical="center"/>
    </xf>
    <xf numFmtId="0" fontId="73" fillId="0" borderId="29" xfId="0" applyFont="1" applyBorder="1" applyAlignment="1">
      <alignment horizontal="left" vertical="center" wrapText="1"/>
    </xf>
    <xf numFmtId="0" fontId="73" fillId="0" borderId="30" xfId="0" applyFont="1" applyBorder="1" applyAlignment="1">
      <alignment horizontal="left" vertical="center" wrapText="1"/>
    </xf>
    <xf numFmtId="0" fontId="73" fillId="0" borderId="31" xfId="0" applyFont="1" applyBorder="1" applyAlignment="1">
      <alignment horizontal="left" vertical="center" wrapText="1"/>
    </xf>
    <xf numFmtId="0" fontId="73" fillId="0" borderId="0" xfId="0" applyFont="1" applyAlignment="1">
      <alignment horizontal="left" vertical="center" wrapText="1"/>
    </xf>
    <xf numFmtId="0" fontId="56" fillId="0" borderId="0" xfId="0" applyFont="1" applyAlignment="1">
      <alignment horizontal="left" vertical="center" wrapText="1"/>
    </xf>
    <xf numFmtId="0" fontId="56" fillId="0" borderId="47" xfId="0" applyFont="1" applyBorder="1" applyAlignment="1">
      <alignment horizontal="left" vertical="center" wrapText="1"/>
    </xf>
    <xf numFmtId="0" fontId="56" fillId="0" borderId="0" xfId="0" applyFont="1" applyAlignment="1">
      <alignment horizontal="left"/>
    </xf>
    <xf numFmtId="0" fontId="56" fillId="0" borderId="47" xfId="0" applyFont="1" applyBorder="1" applyAlignment="1">
      <alignment horizontal="left"/>
    </xf>
    <xf numFmtId="0" fontId="56" fillId="0" borderId="0" xfId="0" applyFont="1" applyAlignment="1">
      <alignment horizontal="left" wrapText="1"/>
    </xf>
    <xf numFmtId="0" fontId="56" fillId="0" borderId="47" xfId="0" applyFont="1" applyBorder="1" applyAlignment="1">
      <alignment horizontal="left" wrapText="1"/>
    </xf>
    <xf numFmtId="0" fontId="73" fillId="3" borderId="2" xfId="0" applyFont="1" applyFill="1" applyBorder="1" applyAlignment="1">
      <alignment horizontal="center" vertical="center" wrapText="1"/>
    </xf>
    <xf numFmtId="0" fontId="73" fillId="3" borderId="3" xfId="0" applyFont="1" applyFill="1" applyBorder="1" applyAlignment="1">
      <alignment horizontal="center" vertical="center" wrapText="1"/>
    </xf>
    <xf numFmtId="0" fontId="79" fillId="0" borderId="2" xfId="0" applyFont="1" applyBorder="1" applyAlignment="1">
      <alignment horizontal="left" vertical="center"/>
    </xf>
    <xf numFmtId="0" fontId="79" fillId="0" borderId="3" xfId="0" applyFont="1" applyBorder="1" applyAlignment="1">
      <alignment horizontal="left" vertical="center"/>
    </xf>
    <xf numFmtId="0" fontId="79" fillId="0" borderId="4" xfId="0" applyFont="1" applyBorder="1" applyAlignment="1">
      <alignment horizontal="left" vertical="center"/>
    </xf>
    <xf numFmtId="0" fontId="56" fillId="0" borderId="2" xfId="0" applyFont="1" applyBorder="1" applyAlignment="1">
      <alignment horizontal="left"/>
    </xf>
    <xf numFmtId="0" fontId="56" fillId="0" borderId="3" xfId="0" applyFont="1" applyBorder="1" applyAlignment="1">
      <alignment horizontal="left"/>
    </xf>
    <xf numFmtId="0" fontId="73" fillId="0" borderId="36" xfId="0" applyFont="1" applyBorder="1" applyAlignment="1">
      <alignment horizontal="left" wrapText="1"/>
    </xf>
    <xf numFmtId="0" fontId="73" fillId="0" borderId="0" xfId="0" applyFont="1" applyAlignment="1">
      <alignment horizontal="left" wrapText="1"/>
    </xf>
    <xf numFmtId="0" fontId="46" fillId="5" borderId="2" xfId="0" applyFont="1" applyFill="1" applyBorder="1" applyAlignment="1">
      <alignment horizontal="left" vertical="top" wrapText="1"/>
    </xf>
    <xf numFmtId="0" fontId="46" fillId="5" borderId="3" xfId="0" applyFont="1" applyFill="1" applyBorder="1" applyAlignment="1">
      <alignment horizontal="left" vertical="top" wrapText="1"/>
    </xf>
    <xf numFmtId="0" fontId="46" fillId="5" borderId="4" xfId="0" applyFont="1" applyFill="1" applyBorder="1" applyAlignment="1">
      <alignment horizontal="left" vertical="top" wrapText="1"/>
    </xf>
    <xf numFmtId="10" fontId="90" fillId="5" borderId="1" xfId="0" applyNumberFormat="1" applyFont="1" applyFill="1" applyBorder="1" applyAlignment="1">
      <alignment horizontal="center" vertical="top"/>
    </xf>
    <xf numFmtId="0" fontId="45" fillId="5" borderId="2" xfId="0" applyFont="1" applyFill="1" applyBorder="1" applyAlignment="1">
      <alignment horizontal="left" vertical="top" wrapText="1"/>
    </xf>
    <xf numFmtId="0" fontId="45" fillId="5" borderId="3" xfId="0" applyFont="1" applyFill="1" applyBorder="1" applyAlignment="1">
      <alignment horizontal="left" vertical="top" wrapText="1"/>
    </xf>
    <xf numFmtId="0" fontId="45" fillId="5" borderId="4" xfId="0" applyFont="1" applyFill="1" applyBorder="1" applyAlignment="1">
      <alignment horizontal="left" vertical="top" wrapText="1"/>
    </xf>
    <xf numFmtId="0" fontId="73" fillId="0" borderId="36" xfId="0" applyFont="1" applyBorder="1" applyAlignment="1">
      <alignment horizontal="left" vertical="center" wrapText="1"/>
    </xf>
    <xf numFmtId="10" fontId="88" fillId="5" borderId="1" xfId="0" applyNumberFormat="1" applyFont="1" applyFill="1" applyBorder="1" applyAlignment="1">
      <alignment horizontal="center" vertical="top"/>
    </xf>
    <xf numFmtId="0" fontId="68" fillId="0" borderId="30" xfId="0" applyFont="1" applyBorder="1" applyAlignment="1">
      <alignment horizontal="left" vertical="top" wrapText="1"/>
    </xf>
    <xf numFmtId="0" fontId="72" fillId="0" borderId="29" xfId="0" applyFont="1" applyBorder="1" applyAlignment="1">
      <alignment horizontal="left" vertical="center" wrapText="1"/>
    </xf>
    <xf numFmtId="0" fontId="72" fillId="0" borderId="30" xfId="0" applyFont="1" applyBorder="1" applyAlignment="1">
      <alignment horizontal="left" vertical="center" wrapText="1"/>
    </xf>
    <xf numFmtId="0" fontId="72" fillId="0" borderId="31" xfId="0" applyFont="1" applyBorder="1" applyAlignment="1">
      <alignment horizontal="left" vertical="center" wrapText="1"/>
    </xf>
    <xf numFmtId="0" fontId="72" fillId="0" borderId="36" xfId="0" applyFont="1" applyBorder="1" applyAlignment="1">
      <alignment horizontal="left" vertical="center" wrapText="1"/>
    </xf>
    <xf numFmtId="0" fontId="72" fillId="0" borderId="0" xfId="0" applyFont="1" applyAlignment="1">
      <alignment horizontal="left" vertical="center" wrapText="1"/>
    </xf>
    <xf numFmtId="0" fontId="72" fillId="0" borderId="47" xfId="0" applyFont="1" applyBorder="1" applyAlignment="1">
      <alignment horizontal="left" vertical="center" wrapText="1"/>
    </xf>
    <xf numFmtId="0" fontId="72" fillId="0" borderId="32" xfId="0" applyFont="1" applyBorder="1" applyAlignment="1">
      <alignment horizontal="left" vertical="center" wrapText="1"/>
    </xf>
    <xf numFmtId="0" fontId="72" fillId="0" borderId="33" xfId="0" applyFont="1" applyBorder="1" applyAlignment="1">
      <alignment horizontal="left" vertical="center" wrapText="1"/>
    </xf>
    <xf numFmtId="0" fontId="72" fillId="0" borderId="34" xfId="0" applyFont="1" applyBorder="1" applyAlignment="1">
      <alignment horizontal="left" vertical="center" wrapText="1"/>
    </xf>
    <xf numFmtId="0" fontId="41" fillId="0" borderId="2" xfId="0" applyFont="1" applyBorder="1" applyAlignment="1">
      <alignment horizontal="left" vertical="top" wrapText="1"/>
    </xf>
    <xf numFmtId="0" fontId="41" fillId="0" borderId="3" xfId="0" applyFont="1" applyBorder="1" applyAlignment="1">
      <alignment horizontal="left" vertical="top" wrapText="1"/>
    </xf>
    <xf numFmtId="0" fontId="41" fillId="0" borderId="4" xfId="0" applyFont="1" applyBorder="1" applyAlignment="1">
      <alignment horizontal="left" vertical="top" wrapText="1"/>
    </xf>
    <xf numFmtId="0" fontId="76" fillId="0" borderId="2" xfId="0" applyFont="1" applyBorder="1" applyAlignment="1">
      <alignment horizontal="left" vertical="top" wrapText="1"/>
    </xf>
    <xf numFmtId="0" fontId="76" fillId="0" borderId="3" xfId="0" applyFont="1" applyBorder="1" applyAlignment="1">
      <alignment horizontal="left" vertical="top" wrapText="1"/>
    </xf>
    <xf numFmtId="0" fontId="76" fillId="0" borderId="4" xfId="0" applyFont="1" applyBorder="1" applyAlignment="1">
      <alignment horizontal="left" vertical="top" wrapText="1"/>
    </xf>
    <xf numFmtId="0" fontId="44" fillId="0" borderId="0" xfId="0" applyFont="1" applyAlignment="1">
      <alignment horizontal="center" vertical="top"/>
    </xf>
    <xf numFmtId="0" fontId="46" fillId="0" borderId="2" xfId="0" applyFont="1" applyBorder="1" applyAlignment="1">
      <alignment horizontal="center" vertical="center"/>
    </xf>
    <xf numFmtId="0" fontId="46" fillId="0" borderId="3" xfId="0" applyFont="1" applyBorder="1" applyAlignment="1">
      <alignment horizontal="center" vertical="center"/>
    </xf>
    <xf numFmtId="0" fontId="46" fillId="0" borderId="4" xfId="0" applyFont="1" applyBorder="1" applyAlignment="1">
      <alignment horizontal="center" vertical="center"/>
    </xf>
    <xf numFmtId="0" fontId="46" fillId="0" borderId="2" xfId="0" applyFont="1" applyBorder="1" applyAlignment="1">
      <alignment horizontal="center" vertical="center" wrapText="1"/>
    </xf>
    <xf numFmtId="0" fontId="46" fillId="0" borderId="3" xfId="0" applyFont="1" applyBorder="1" applyAlignment="1">
      <alignment horizontal="center" vertical="center" wrapText="1"/>
    </xf>
    <xf numFmtId="0" fontId="46" fillId="0" borderId="4" xfId="0" applyFont="1" applyBorder="1" applyAlignment="1">
      <alignment horizontal="center" vertical="center" wrapText="1"/>
    </xf>
    <xf numFmtId="0" fontId="89" fillId="0" borderId="1" xfId="0" applyFont="1" applyBorder="1" applyAlignment="1">
      <alignment horizontal="center" vertical="center" wrapText="1"/>
    </xf>
    <xf numFmtId="0" fontId="90" fillId="5" borderId="1" xfId="0" applyFont="1" applyFill="1" applyBorder="1" applyAlignment="1">
      <alignment horizontal="center" vertical="top"/>
    </xf>
    <xf numFmtId="10" fontId="90" fillId="0" borderId="1" xfId="0" applyNumberFormat="1" applyFont="1" applyBorder="1" applyAlignment="1">
      <alignment horizontal="center" vertical="top"/>
    </xf>
    <xf numFmtId="10" fontId="90" fillId="0" borderId="1" xfId="0" applyNumberFormat="1" applyFont="1" applyBorder="1" applyAlignment="1">
      <alignment horizontal="center" vertical="top" wrapText="1"/>
    </xf>
    <xf numFmtId="2" fontId="90" fillId="0" borderId="1" xfId="0" applyNumberFormat="1" applyFont="1" applyBorder="1" applyAlignment="1">
      <alignment horizontal="center" vertical="top" wrapText="1"/>
    </xf>
    <xf numFmtId="0" fontId="90" fillId="0" borderId="1" xfId="0" applyFont="1" applyBorder="1" applyAlignment="1">
      <alignment horizontal="center" vertical="top"/>
    </xf>
    <xf numFmtId="10" fontId="90" fillId="5" borderId="1" xfId="0" applyNumberFormat="1" applyFont="1" applyFill="1" applyBorder="1" applyAlignment="1">
      <alignment horizontal="center" vertical="center"/>
    </xf>
    <xf numFmtId="10" fontId="88" fillId="0" borderId="1" xfId="0" applyNumberFormat="1" applyFont="1" applyBorder="1" applyAlignment="1">
      <alignment horizontal="center" vertical="top"/>
    </xf>
    <xf numFmtId="2" fontId="41" fillId="0" borderId="1" xfId="0" applyNumberFormat="1" applyFont="1" applyBorder="1" applyAlignment="1">
      <alignment horizontal="center" vertical="top" wrapText="1"/>
    </xf>
    <xf numFmtId="0" fontId="78" fillId="10" borderId="2" xfId="0" applyFont="1" applyFill="1" applyBorder="1" applyAlignment="1">
      <alignment horizontal="left" vertical="center"/>
    </xf>
    <xf numFmtId="0" fontId="78" fillId="10" borderId="3" xfId="0" applyFont="1" applyFill="1" applyBorder="1" applyAlignment="1">
      <alignment horizontal="left" vertical="center"/>
    </xf>
    <xf numFmtId="0" fontId="78" fillId="10" borderId="4" xfId="0" applyFont="1" applyFill="1" applyBorder="1" applyAlignment="1">
      <alignment horizontal="left" vertical="center"/>
    </xf>
    <xf numFmtId="0" fontId="78" fillId="10" borderId="2" xfId="0" applyFont="1" applyFill="1" applyBorder="1" applyAlignment="1">
      <alignment horizontal="left" vertical="center" wrapText="1"/>
    </xf>
    <xf numFmtId="0" fontId="78" fillId="10" borderId="3" xfId="0" applyFont="1" applyFill="1" applyBorder="1" applyAlignment="1">
      <alignment horizontal="left" vertical="center" wrapText="1"/>
    </xf>
    <xf numFmtId="0" fontId="78" fillId="10" borderId="4" xfId="0" applyFont="1" applyFill="1" applyBorder="1" applyAlignment="1">
      <alignment horizontal="left" vertical="center" wrapText="1"/>
    </xf>
    <xf numFmtId="0" fontId="77" fillId="0" borderId="2" xfId="0" applyFont="1" applyBorder="1" applyAlignment="1">
      <alignment horizontal="left" wrapText="1"/>
    </xf>
    <xf numFmtId="0" fontId="77" fillId="0" borderId="3" xfId="0" applyFont="1" applyBorder="1" applyAlignment="1">
      <alignment horizontal="left" wrapText="1"/>
    </xf>
    <xf numFmtId="0" fontId="77" fillId="0" borderId="4" xfId="0" applyFont="1" applyBorder="1" applyAlignment="1">
      <alignment horizontal="left" wrapText="1"/>
    </xf>
    <xf numFmtId="0" fontId="77" fillId="0" borderId="2" xfId="0" applyFont="1" applyBorder="1" applyAlignment="1">
      <alignment vertical="center" wrapText="1"/>
    </xf>
    <xf numFmtId="0" fontId="77" fillId="0" borderId="4" xfId="0" applyFont="1" applyBorder="1" applyAlignment="1">
      <alignment vertical="center" wrapText="1"/>
    </xf>
    <xf numFmtId="0" fontId="79" fillId="0" borderId="2" xfId="0" applyFont="1" applyBorder="1" applyAlignment="1">
      <alignment horizontal="left" vertical="top" wrapText="1"/>
    </xf>
    <xf numFmtId="0" fontId="79" fillId="0" borderId="4" xfId="0" applyFont="1" applyBorder="1" applyAlignment="1">
      <alignment horizontal="left" vertical="top" wrapText="1"/>
    </xf>
    <xf numFmtId="0" fontId="73" fillId="0" borderId="2" xfId="0" applyFont="1" applyBorder="1" applyAlignment="1">
      <alignment vertical="top" wrapText="1"/>
    </xf>
    <xf numFmtId="0" fontId="73" fillId="0" borderId="4" xfId="0" applyFont="1" applyBorder="1" applyAlignment="1">
      <alignment vertical="top" wrapText="1"/>
    </xf>
    <xf numFmtId="0" fontId="77" fillId="0" borderId="2" xfId="0" applyFont="1" applyBorder="1" applyAlignment="1">
      <alignment horizontal="left" vertical="center"/>
    </xf>
    <xf numFmtId="0" fontId="77" fillId="0" borderId="4" xfId="0" applyFont="1" applyBorder="1" applyAlignment="1">
      <alignment horizontal="left" vertical="center"/>
    </xf>
    <xf numFmtId="0" fontId="73" fillId="0" borderId="2" xfId="0" applyFont="1" applyBorder="1" applyAlignment="1">
      <alignment horizontal="left" vertical="top" wrapText="1"/>
    </xf>
    <xf numFmtId="0" fontId="73" fillId="0" borderId="4" xfId="0" applyFont="1" applyBorder="1" applyAlignment="1">
      <alignment horizontal="left" vertical="top" wrapText="1"/>
    </xf>
    <xf numFmtId="0" fontId="73" fillId="10" borderId="2" xfId="0" applyFont="1" applyFill="1" applyBorder="1" applyAlignment="1">
      <alignment horizontal="left" vertical="center"/>
    </xf>
    <xf numFmtId="0" fontId="73" fillId="10" borderId="3" xfId="0" applyFont="1" applyFill="1" applyBorder="1" applyAlignment="1">
      <alignment horizontal="left" vertical="center"/>
    </xf>
    <xf numFmtId="0" fontId="73" fillId="10" borderId="4" xfId="0" applyFont="1" applyFill="1" applyBorder="1" applyAlignment="1">
      <alignment horizontal="left" vertical="center"/>
    </xf>
    <xf numFmtId="0" fontId="80" fillId="0" borderId="0" xfId="0" applyFont="1" applyAlignment="1">
      <alignment horizont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7"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cellXfs>
  <cellStyles count="6">
    <cellStyle name="Comma" xfId="1" builtinId="3"/>
    <cellStyle name="Comma 2" xfId="4" xr:uid="{0FF04BB4-A9C7-4C47-92C8-1D06BF054367}"/>
    <cellStyle name="Hyperlink" xfId="5" builtinId="8"/>
    <cellStyle name="Normal" xfId="0" builtinId="0"/>
    <cellStyle name="Normal 2" xfId="3" xr:uid="{3D774358-893B-44E9-8191-1B74180A0A5B}"/>
    <cellStyle name="Percent" xfId="2" builtinId="5"/>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microsoft.com/office/2006/relationships/vbaProject" Target="vbaProject.bin"/><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380999</xdr:colOff>
      <xdr:row>42</xdr:row>
      <xdr:rowOff>81643</xdr:rowOff>
    </xdr:from>
    <xdr:to>
      <xdr:col>8</xdr:col>
      <xdr:colOff>687699</xdr:colOff>
      <xdr:row>45</xdr:row>
      <xdr:rowOff>121138</xdr:rowOff>
    </xdr:to>
    <xdr:grpSp>
      <xdr:nvGrpSpPr>
        <xdr:cNvPr id="2" name="Group 1">
          <a:extLst>
            <a:ext uri="{FF2B5EF4-FFF2-40B4-BE49-F238E27FC236}">
              <a16:creationId xmlns:a16="http://schemas.microsoft.com/office/drawing/2014/main" id="{B46CA55B-01F4-41B3-9525-A02701485087}"/>
            </a:ext>
          </a:extLst>
        </xdr:cNvPr>
        <xdr:cNvGrpSpPr/>
      </xdr:nvGrpSpPr>
      <xdr:grpSpPr>
        <a:xfrm>
          <a:off x="4844142" y="14423572"/>
          <a:ext cx="1218378" cy="610995"/>
          <a:chOff x="2588317" y="17604686"/>
          <a:chExt cx="1283803" cy="650184"/>
        </a:xfrm>
      </xdr:grpSpPr>
      <xdr:sp macro="" textlink="">
        <xdr:nvSpPr>
          <xdr:cNvPr id="3" name="TextBox 2">
            <a:extLst>
              <a:ext uri="{FF2B5EF4-FFF2-40B4-BE49-F238E27FC236}">
                <a16:creationId xmlns:a16="http://schemas.microsoft.com/office/drawing/2014/main" id="{9B126F71-F05C-2476-C472-25CC28C4BD5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1EEED6A0-549D-5751-0611-9FC1081E05F2}"/>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467BEC45-6D81-8C29-F78D-AC604EA73F4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3</xdr:col>
      <xdr:colOff>183697</xdr:colOff>
      <xdr:row>75</xdr:row>
      <xdr:rowOff>110894</xdr:rowOff>
    </xdr:from>
    <xdr:to>
      <xdr:col>17</xdr:col>
      <xdr:colOff>2722</xdr:colOff>
      <xdr:row>83</xdr:row>
      <xdr:rowOff>93886</xdr:rowOff>
    </xdr:to>
    <xdr:grpSp>
      <xdr:nvGrpSpPr>
        <xdr:cNvPr id="273" name="Group 5">
          <a:extLst>
            <a:ext uri="{FF2B5EF4-FFF2-40B4-BE49-F238E27FC236}">
              <a16:creationId xmlns:a16="http://schemas.microsoft.com/office/drawing/2014/main" id="{78AFF135-4D6E-4226-B1D2-F21611F12BA8}"/>
            </a:ext>
          </a:extLst>
        </xdr:cNvPr>
        <xdr:cNvGrpSpPr/>
      </xdr:nvGrpSpPr>
      <xdr:grpSpPr>
        <a:xfrm>
          <a:off x="1000126" y="20589644"/>
          <a:ext cx="14201775" cy="1506992"/>
          <a:chOff x="833438" y="361950"/>
          <a:chExt cx="11504524" cy="1142981"/>
        </a:xfrm>
      </xdr:grpSpPr>
      <xdr:sp macro="" textlink="">
        <xdr:nvSpPr>
          <xdr:cNvPr id="274" name="TextBox 6">
            <a:extLst>
              <a:ext uri="{FF2B5EF4-FFF2-40B4-BE49-F238E27FC236}">
                <a16:creationId xmlns:a16="http://schemas.microsoft.com/office/drawing/2014/main" id="{63503D75-CB95-4CC4-D75B-7F7484E33C3C}"/>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275" name="TextBox 7">
            <a:extLst>
              <a:ext uri="{FF2B5EF4-FFF2-40B4-BE49-F238E27FC236}">
                <a16:creationId xmlns:a16="http://schemas.microsoft.com/office/drawing/2014/main" id="{06F7002B-0ABE-8942-E4B1-AD6A66F2A260}"/>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276" name="TextBox 8">
            <a:extLst>
              <a:ext uri="{FF2B5EF4-FFF2-40B4-BE49-F238E27FC236}">
                <a16:creationId xmlns:a16="http://schemas.microsoft.com/office/drawing/2014/main" id="{5B38A146-1C20-AEBA-E7CF-9E93B367FFD8}"/>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a:t>
            </a:r>
            <a:r>
              <a:rPr lang="en-MY" sz="1100" b="1" baseline="0">
                <a:solidFill>
                  <a:sysClr val="windowText" lastClr="000000"/>
                </a:solidFill>
                <a:effectLst/>
                <a:latin typeface="+mn-lt"/>
                <a:ea typeface="+mn-ea"/>
                <a:cs typeface="+mn-cs"/>
              </a:rPr>
              <a:t>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3</xdr:col>
      <xdr:colOff>204107</xdr:colOff>
      <xdr:row>66</xdr:row>
      <xdr:rowOff>54424</xdr:rowOff>
    </xdr:from>
    <xdr:to>
      <xdr:col>11</xdr:col>
      <xdr:colOff>1596681</xdr:colOff>
      <xdr:row>69</xdr:row>
      <xdr:rowOff>186416</xdr:rowOff>
    </xdr:to>
    <xdr:grpSp>
      <xdr:nvGrpSpPr>
        <xdr:cNvPr id="19" name="Group 18">
          <a:extLst>
            <a:ext uri="{FF2B5EF4-FFF2-40B4-BE49-F238E27FC236}">
              <a16:creationId xmlns:a16="http://schemas.microsoft.com/office/drawing/2014/main" id="{4BA9F872-4E92-483B-B9A1-0702CAB49238}"/>
            </a:ext>
          </a:extLst>
        </xdr:cNvPr>
        <xdr:cNvGrpSpPr/>
      </xdr:nvGrpSpPr>
      <xdr:grpSpPr>
        <a:xfrm>
          <a:off x="1020536" y="19009174"/>
          <a:ext cx="8686002" cy="621849"/>
          <a:chOff x="1084464" y="16074116"/>
          <a:chExt cx="9175860" cy="628652"/>
        </a:xfrm>
      </xdr:grpSpPr>
      <xdr:grpSp>
        <xdr:nvGrpSpPr>
          <xdr:cNvPr id="20" name="Group 19">
            <a:extLst>
              <a:ext uri="{FF2B5EF4-FFF2-40B4-BE49-F238E27FC236}">
                <a16:creationId xmlns:a16="http://schemas.microsoft.com/office/drawing/2014/main" id="{6AC93BA5-F637-5BA8-D2DA-38A9C436FB75}"/>
              </a:ext>
            </a:extLst>
          </xdr:cNvPr>
          <xdr:cNvGrpSpPr/>
        </xdr:nvGrpSpPr>
        <xdr:grpSpPr>
          <a:xfrm>
            <a:off x="8831036" y="16078198"/>
            <a:ext cx="1429288" cy="624570"/>
            <a:chOff x="2588317" y="17604686"/>
            <a:chExt cx="1283803" cy="650184"/>
          </a:xfrm>
        </xdr:grpSpPr>
        <xdr:sp macro="" textlink="">
          <xdr:nvSpPr>
            <xdr:cNvPr id="25" name="TextBox 24">
              <a:extLst>
                <a:ext uri="{FF2B5EF4-FFF2-40B4-BE49-F238E27FC236}">
                  <a16:creationId xmlns:a16="http://schemas.microsoft.com/office/drawing/2014/main" id="{0674712B-CC17-8A40-B0C8-3C56FEE945F5}"/>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6" name="Rectangle 25">
              <a:extLst>
                <a:ext uri="{FF2B5EF4-FFF2-40B4-BE49-F238E27FC236}">
                  <a16:creationId xmlns:a16="http://schemas.microsoft.com/office/drawing/2014/main" id="{3271F66C-726F-0B73-6416-4FBC75DA122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7" name="Rectangle 26">
              <a:extLst>
                <a:ext uri="{FF2B5EF4-FFF2-40B4-BE49-F238E27FC236}">
                  <a16:creationId xmlns:a16="http://schemas.microsoft.com/office/drawing/2014/main" id="{FA82FA45-CF63-B16C-EF25-96C11EDC253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21" name="Group 20">
            <a:extLst>
              <a:ext uri="{FF2B5EF4-FFF2-40B4-BE49-F238E27FC236}">
                <a16:creationId xmlns:a16="http://schemas.microsoft.com/office/drawing/2014/main" id="{44B7C028-937C-4BD4-A836-8EE69C6527E5}"/>
              </a:ext>
            </a:extLst>
          </xdr:cNvPr>
          <xdr:cNvGrpSpPr/>
        </xdr:nvGrpSpPr>
        <xdr:grpSpPr>
          <a:xfrm>
            <a:off x="1084464" y="16074116"/>
            <a:ext cx="1429288" cy="624570"/>
            <a:chOff x="2588317" y="17604686"/>
            <a:chExt cx="1283803" cy="650184"/>
          </a:xfrm>
        </xdr:grpSpPr>
        <xdr:sp macro="" textlink="">
          <xdr:nvSpPr>
            <xdr:cNvPr id="22" name="TextBox 21">
              <a:extLst>
                <a:ext uri="{FF2B5EF4-FFF2-40B4-BE49-F238E27FC236}">
                  <a16:creationId xmlns:a16="http://schemas.microsoft.com/office/drawing/2014/main" id="{06101161-AEC1-2373-44D4-A2C618F3874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3" name="Rectangle 22">
              <a:extLst>
                <a:ext uri="{FF2B5EF4-FFF2-40B4-BE49-F238E27FC236}">
                  <a16:creationId xmlns:a16="http://schemas.microsoft.com/office/drawing/2014/main" id="{88C1BAF5-02D1-428B-63C6-B15DE1CF9197}"/>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4" name="Rectangle 23">
              <a:extLst>
                <a:ext uri="{FF2B5EF4-FFF2-40B4-BE49-F238E27FC236}">
                  <a16:creationId xmlns:a16="http://schemas.microsoft.com/office/drawing/2014/main" id="{D6CDCEF7-E41E-3A2C-93C5-2B76A34DA518}"/>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editAs="oneCell">
    <xdr:from>
      <xdr:col>14</xdr:col>
      <xdr:colOff>918883</xdr:colOff>
      <xdr:row>1</xdr:row>
      <xdr:rowOff>67234</xdr:rowOff>
    </xdr:from>
    <xdr:to>
      <xdr:col>16</xdr:col>
      <xdr:colOff>1631562</xdr:colOff>
      <xdr:row>3</xdr:row>
      <xdr:rowOff>164556</xdr:rowOff>
    </xdr:to>
    <xdr:pic>
      <xdr:nvPicPr>
        <xdr:cNvPr id="28" name="Picture 27">
          <a:extLst>
            <a:ext uri="{FF2B5EF4-FFF2-40B4-BE49-F238E27FC236}">
              <a16:creationId xmlns:a16="http://schemas.microsoft.com/office/drawing/2014/main" id="{EC7B1465-FA9E-4B78-B2C2-51D055F41544}"/>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12548908" y="257734"/>
          <a:ext cx="2525604" cy="579922"/>
        </a:xfrm>
        <a:prstGeom prst="rect">
          <a:avLst/>
        </a:prstGeom>
        <a:ln>
          <a:noFill/>
        </a:ln>
        <a:extLst>
          <a:ext uri="{53640926-AAD7-44D8-BBD7-CCE9431645EC}">
            <a14:shadowObscured xmlns:a14="http://schemas.microsoft.com/office/drawing/2010/main"/>
          </a:ext>
        </a:extLst>
      </xdr:spPr>
    </xdr:pic>
    <xdr:clientData/>
  </xdr:twoCellAnchor>
  <xdr:twoCellAnchor>
    <xdr:from>
      <xdr:col>3</xdr:col>
      <xdr:colOff>159657</xdr:colOff>
      <xdr:row>58</xdr:row>
      <xdr:rowOff>33106</xdr:rowOff>
    </xdr:from>
    <xdr:to>
      <xdr:col>11</xdr:col>
      <xdr:colOff>1552231</xdr:colOff>
      <xdr:row>59</xdr:row>
      <xdr:rowOff>229958</xdr:rowOff>
    </xdr:to>
    <xdr:grpSp>
      <xdr:nvGrpSpPr>
        <xdr:cNvPr id="6" name="Group 5">
          <a:extLst>
            <a:ext uri="{FF2B5EF4-FFF2-40B4-BE49-F238E27FC236}">
              <a16:creationId xmlns:a16="http://schemas.microsoft.com/office/drawing/2014/main" id="{6E446A37-747C-407F-9ADD-7DFC2ECB4D83}"/>
            </a:ext>
          </a:extLst>
        </xdr:cNvPr>
        <xdr:cNvGrpSpPr/>
      </xdr:nvGrpSpPr>
      <xdr:grpSpPr>
        <a:xfrm>
          <a:off x="976086" y="17341392"/>
          <a:ext cx="8686002" cy="580573"/>
          <a:chOff x="1084464" y="16074116"/>
          <a:chExt cx="9175860" cy="628652"/>
        </a:xfrm>
      </xdr:grpSpPr>
      <xdr:grpSp>
        <xdr:nvGrpSpPr>
          <xdr:cNvPr id="7" name="Group 6">
            <a:extLst>
              <a:ext uri="{FF2B5EF4-FFF2-40B4-BE49-F238E27FC236}">
                <a16:creationId xmlns:a16="http://schemas.microsoft.com/office/drawing/2014/main" id="{416F587D-5416-F9D7-9B25-15BA9252E301}"/>
              </a:ext>
            </a:extLst>
          </xdr:cNvPr>
          <xdr:cNvGrpSpPr/>
        </xdr:nvGrpSpPr>
        <xdr:grpSpPr>
          <a:xfrm>
            <a:off x="8831036" y="16078198"/>
            <a:ext cx="1429288" cy="624570"/>
            <a:chOff x="2588317" y="17604686"/>
            <a:chExt cx="1283803" cy="650184"/>
          </a:xfrm>
        </xdr:grpSpPr>
        <xdr:sp macro="" textlink="">
          <xdr:nvSpPr>
            <xdr:cNvPr id="31" name="TextBox 30">
              <a:extLst>
                <a:ext uri="{FF2B5EF4-FFF2-40B4-BE49-F238E27FC236}">
                  <a16:creationId xmlns:a16="http://schemas.microsoft.com/office/drawing/2014/main" id="{2F545B84-9F62-9F2A-E895-9599D975314A}"/>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32" name="Rectangle 31">
              <a:extLst>
                <a:ext uri="{FF2B5EF4-FFF2-40B4-BE49-F238E27FC236}">
                  <a16:creationId xmlns:a16="http://schemas.microsoft.com/office/drawing/2014/main" id="{F92EE148-9981-FC2A-7FE2-89A41B00012A}"/>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33" name="Rectangle 32">
              <a:extLst>
                <a:ext uri="{FF2B5EF4-FFF2-40B4-BE49-F238E27FC236}">
                  <a16:creationId xmlns:a16="http://schemas.microsoft.com/office/drawing/2014/main" id="{472AABBF-8268-9D54-84E4-C7EDA6328DE5}"/>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8" name="Group 7">
            <a:extLst>
              <a:ext uri="{FF2B5EF4-FFF2-40B4-BE49-F238E27FC236}">
                <a16:creationId xmlns:a16="http://schemas.microsoft.com/office/drawing/2014/main" id="{72B23995-163C-1340-798F-06215FF91B6D}"/>
              </a:ext>
            </a:extLst>
          </xdr:cNvPr>
          <xdr:cNvGrpSpPr/>
        </xdr:nvGrpSpPr>
        <xdr:grpSpPr>
          <a:xfrm>
            <a:off x="1084464" y="16074116"/>
            <a:ext cx="1429288" cy="624570"/>
            <a:chOff x="2588317" y="17604686"/>
            <a:chExt cx="1283803" cy="650184"/>
          </a:xfrm>
        </xdr:grpSpPr>
        <xdr:sp macro="" textlink="">
          <xdr:nvSpPr>
            <xdr:cNvPr id="9" name="TextBox 8">
              <a:extLst>
                <a:ext uri="{FF2B5EF4-FFF2-40B4-BE49-F238E27FC236}">
                  <a16:creationId xmlns:a16="http://schemas.microsoft.com/office/drawing/2014/main" id="{9E79DC85-BF8D-30EE-C81B-F86E3A2EF3B4}"/>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9" name="Rectangle 28">
              <a:extLst>
                <a:ext uri="{FF2B5EF4-FFF2-40B4-BE49-F238E27FC236}">
                  <a16:creationId xmlns:a16="http://schemas.microsoft.com/office/drawing/2014/main" id="{74BE9BA3-F569-3F83-92F8-1F5B40F07C2F}"/>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30" name="Rectangle 29">
              <a:extLst>
                <a:ext uri="{FF2B5EF4-FFF2-40B4-BE49-F238E27FC236}">
                  <a16:creationId xmlns:a16="http://schemas.microsoft.com/office/drawing/2014/main" id="{3227B906-1210-3E83-5FC7-A94557D5800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247650</xdr:colOff>
      <xdr:row>44</xdr:row>
      <xdr:rowOff>136070</xdr:rowOff>
    </xdr:from>
    <xdr:to>
      <xdr:col>9</xdr:col>
      <xdr:colOff>554351</xdr:colOff>
      <xdr:row>47</xdr:row>
      <xdr:rowOff>103447</xdr:rowOff>
    </xdr:to>
    <xdr:grpSp>
      <xdr:nvGrpSpPr>
        <xdr:cNvPr id="2" name="Group 1">
          <a:extLst>
            <a:ext uri="{FF2B5EF4-FFF2-40B4-BE49-F238E27FC236}">
              <a16:creationId xmlns:a16="http://schemas.microsoft.com/office/drawing/2014/main" id="{2057C6C3-029B-4D05-B114-FB6CC6383089}"/>
            </a:ext>
          </a:extLst>
        </xdr:cNvPr>
        <xdr:cNvGrpSpPr/>
      </xdr:nvGrpSpPr>
      <xdr:grpSpPr>
        <a:xfrm>
          <a:off x="6444503" y="14053776"/>
          <a:ext cx="1214377" cy="628524"/>
          <a:chOff x="2588317" y="17604686"/>
          <a:chExt cx="1283803" cy="650184"/>
        </a:xfrm>
      </xdr:grpSpPr>
      <xdr:sp macro="" textlink="">
        <xdr:nvSpPr>
          <xdr:cNvPr id="3" name="TextBox 2">
            <a:extLst>
              <a:ext uri="{FF2B5EF4-FFF2-40B4-BE49-F238E27FC236}">
                <a16:creationId xmlns:a16="http://schemas.microsoft.com/office/drawing/2014/main" id="{60DBDC21-776E-8F84-5E6A-271486E04311}"/>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BC8805FF-4E1E-E217-DB9A-DFF7929CD3EF}"/>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83429828-4754-7111-1B10-EFA62AF0C7BF}"/>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2</xdr:col>
      <xdr:colOff>0</xdr:colOff>
      <xdr:row>51</xdr:row>
      <xdr:rowOff>0</xdr:rowOff>
    </xdr:from>
    <xdr:to>
      <xdr:col>13</xdr:col>
      <xdr:colOff>81809</xdr:colOff>
      <xdr:row>57</xdr:row>
      <xdr:rowOff>22392</xdr:rowOff>
    </xdr:to>
    <xdr:grpSp>
      <xdr:nvGrpSpPr>
        <xdr:cNvPr id="6" name="Group 5">
          <a:extLst>
            <a:ext uri="{FF2B5EF4-FFF2-40B4-BE49-F238E27FC236}">
              <a16:creationId xmlns:a16="http://schemas.microsoft.com/office/drawing/2014/main" id="{42E855DB-57AA-4EAD-BF62-1AE9D6B9CE45}"/>
            </a:ext>
          </a:extLst>
        </xdr:cNvPr>
        <xdr:cNvGrpSpPr/>
      </xdr:nvGrpSpPr>
      <xdr:grpSpPr>
        <a:xfrm>
          <a:off x="750794" y="15340853"/>
          <a:ext cx="10929103" cy="1187804"/>
          <a:chOff x="833438" y="361950"/>
          <a:chExt cx="11504524" cy="1142981"/>
        </a:xfrm>
      </xdr:grpSpPr>
      <xdr:sp macro="" textlink="">
        <xdr:nvSpPr>
          <xdr:cNvPr id="7" name="TextBox 6">
            <a:extLst>
              <a:ext uri="{FF2B5EF4-FFF2-40B4-BE49-F238E27FC236}">
                <a16:creationId xmlns:a16="http://schemas.microsoft.com/office/drawing/2014/main" id="{A0685F73-F2AE-502B-C7C6-E21B8298A578}"/>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BE4140EB-838F-8950-4D09-9B81D94B2AC8}"/>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7D00775C-6ECD-281E-7F37-13D053527669}"/>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oneCellAnchor>
    <xdr:from>
      <xdr:col>10</xdr:col>
      <xdr:colOff>952500</xdr:colOff>
      <xdr:row>0</xdr:row>
      <xdr:rowOff>178594</xdr:rowOff>
    </xdr:from>
    <xdr:ext cx="2513697" cy="579056"/>
    <xdr:pic>
      <xdr:nvPicPr>
        <xdr:cNvPr id="10" name="Picture 9">
          <a:extLst>
            <a:ext uri="{FF2B5EF4-FFF2-40B4-BE49-F238E27FC236}">
              <a16:creationId xmlns:a16="http://schemas.microsoft.com/office/drawing/2014/main" id="{0CE54E12-6C1C-4F77-9D96-838820F2053E}"/>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6600825" y="178594"/>
          <a:ext cx="2513697" cy="579056"/>
        </a:xfrm>
        <a:prstGeom prst="rect">
          <a:avLst/>
        </a:prstGeom>
        <a:ln>
          <a:noFill/>
        </a:ln>
        <a:extLst>
          <a:ext uri="{53640926-AAD7-44D8-BBD7-CCE9431645EC}">
            <a14:shadowObscured xmlns:a14="http://schemas.microsoft.com/office/drawing/2010/main"/>
          </a:ext>
        </a:extLst>
      </xdr:spPr>
    </xdr:pic>
    <xdr:clientData/>
  </xdr:oneCellAnchor>
  <xdr:oneCellAnchor>
    <xdr:from>
      <xdr:col>2</xdr:col>
      <xdr:colOff>105654</xdr:colOff>
      <xdr:row>16</xdr:row>
      <xdr:rowOff>252420</xdr:rowOff>
    </xdr:from>
    <xdr:ext cx="2657557" cy="31803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𝑅𝑎𝑡𝑖𝑜</m:t>
                    </m:r>
                    <m:r>
                      <a:rPr lang="en-MY" sz="1100" i="1">
                        <a:latin typeface="Cambria Math" panose="02040503050406030204" pitchFamily="18" charset="0"/>
                      </a:rPr>
                      <m:t>=</m:t>
                    </m:r>
                    <m:f>
                      <m:fPr>
                        <m:ctrlPr>
                          <a:rPr lang="el-GR" sz="1100" i="1">
                            <a:latin typeface="Cambria Math" panose="02040503050406030204" pitchFamily="18" charset="0"/>
                          </a:rPr>
                        </m:ctrlPr>
                      </m:fPr>
                      <m:num>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𝐴𝑠𝑠𝑒𝑡𝑠</m:t>
                        </m:r>
                      </m:num>
                      <m:den>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 </m:t>
                        </m:r>
                      </m:den>
                    </m:f>
                  </m:oMath>
                </m:oMathPara>
              </a14:m>
              <a:endParaRPr lang="en-MY" sz="1100"/>
            </a:p>
          </xdr:txBody>
        </xdr:sp>
      </mc:Choice>
      <mc:Fallback xmlns="">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 𝐶𝑢𝑟𝑟𝑒𝑛𝑡 𝑅𝑎𝑡𝑖𝑜</a:t>
              </a:r>
              <a:r>
                <a:rPr lang="en-MY" sz="1100" i="0">
                  <a:latin typeface="Cambria Math" panose="02040503050406030204" pitchFamily="18" charset="0"/>
                </a:rPr>
                <a:t>=</a:t>
              </a:r>
              <a:r>
                <a:rPr lang="el-GR" sz="1100" i="0">
                  <a:latin typeface="Cambria Math" panose="02040503050406030204" pitchFamily="18" charset="0"/>
                </a:rPr>
                <a:t>(</a:t>
              </a:r>
              <a:r>
                <a:rPr lang="en-US" sz="1100" b="0" i="0">
                  <a:latin typeface="Cambria Math" panose="02040503050406030204" pitchFamily="18" charset="0"/>
                </a:rPr>
                <a:t>𝐶𝑢𝑟𝑟𝑒𝑛𝑡 𝐴𝑠𝑠𝑒𝑡𝑠</a:t>
              </a:r>
              <a:r>
                <a:rPr lang="el-GR" sz="1100" b="0" i="0">
                  <a:latin typeface="Cambria Math" panose="02040503050406030204" pitchFamily="18" charset="0"/>
                </a:rPr>
                <a:t>)/(</a:t>
              </a:r>
              <a:r>
                <a:rPr lang="en-US" sz="1100" b="0" i="0">
                  <a:latin typeface="Cambria Math" panose="02040503050406030204" pitchFamily="18" charset="0"/>
                </a:rPr>
                <a:t>𝐶𝑢𝑟𝑟𝑒𝑛𝑡 𝐿𝑖𝑎𝑏𝑖𝑙𝑖𝑡𝑖𝑒𝑠 </a:t>
              </a:r>
              <a:r>
                <a:rPr lang="el-GR" sz="1100" b="0" i="0">
                  <a:latin typeface="Cambria Math" panose="02040503050406030204" pitchFamily="18" charset="0"/>
                </a:rPr>
                <a:t>)</a:t>
              </a:r>
              <a:endParaRPr lang="en-MY" sz="1100"/>
            </a:p>
          </xdr:txBody>
        </xdr:sp>
      </mc:Fallback>
    </mc:AlternateContent>
    <xdr:clientData/>
  </xdr:oneCellAnchor>
  <xdr:oneCellAnchor>
    <xdr:from>
      <xdr:col>2</xdr:col>
      <xdr:colOff>130867</xdr:colOff>
      <xdr:row>19</xdr:row>
      <xdr:rowOff>289239</xdr:rowOff>
    </xdr:from>
    <xdr:ext cx="4366293" cy="351443"/>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𝐺𝑒𝑎𝑟𝑖𝑛𝑔</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𝑅𝑎𝑡𝑖𝑜</m:t>
                    </m:r>
                    <m:r>
                      <a:rPr lang="en-MY" sz="1100" i="1">
                        <a:solidFill>
                          <a:srgbClr val="C00000"/>
                        </a:solidFill>
                        <a:latin typeface="Cambria Math" panose="02040503050406030204" pitchFamily="18" charset="0"/>
                      </a:rPr>
                      <m:t>=</m:t>
                    </m:r>
                    <m:f>
                      <m:fPr>
                        <m:ctrlPr>
                          <a:rPr lang="el-GR" sz="1100" i="1">
                            <a:solidFill>
                              <a:srgbClr val="C00000"/>
                            </a:solidFill>
                            <a:latin typeface="Cambria Math" panose="02040503050406030204" pitchFamily="18" charset="0"/>
                          </a:rPr>
                        </m:ctrlPr>
                      </m:fPr>
                      <m:num>
                        <m:r>
                          <a:rPr lang="en-US" sz="1100" b="0" i="1">
                            <a:solidFill>
                              <a:srgbClr val="C00000"/>
                            </a:solidFill>
                            <a:latin typeface="Cambria Math" panose="02040503050406030204" pitchFamily="18" charset="0"/>
                          </a:rPr>
                          <m:t>𝑇𝑜𝑡𝑎𝑙</m:t>
                        </m:r>
                        <m:r>
                          <a:rPr lang="en-US" sz="1100" b="0" i="1">
                            <a:solidFill>
                              <a:srgbClr val="C00000"/>
                            </a:solidFill>
                            <a:latin typeface="Cambria Math" panose="02040503050406030204" pitchFamily="18" charset="0"/>
                          </a:rPr>
                          <m:t> </m:t>
                        </m:r>
                        <m:r>
                          <a:rPr lang="en-MY" sz="1100" b="0" i="1">
                            <a:solidFill>
                              <a:srgbClr val="C00000"/>
                            </a:solidFill>
                            <a:latin typeface="Cambria Math" panose="02040503050406030204" pitchFamily="18" charset="0"/>
                          </a:rPr>
                          <m:t>𝐵</m:t>
                        </m:r>
                        <m:r>
                          <a:rPr lang="en-US" sz="1100" b="0" i="1">
                            <a:solidFill>
                              <a:srgbClr val="C00000"/>
                            </a:solidFill>
                            <a:latin typeface="Cambria Math" panose="02040503050406030204" pitchFamily="18" charset="0"/>
                          </a:rPr>
                          <m:t>𝑜𝑟𝑟𝑜𝑤𝑖𝑛𝑔𝑠</m:t>
                        </m:r>
                      </m:num>
                      <m:den>
                        <m:r>
                          <a:rPr lang="en-US" sz="1100" b="0" i="1">
                            <a:solidFill>
                              <a:srgbClr val="C00000"/>
                            </a:solidFill>
                            <a:latin typeface="Cambria Math" panose="02040503050406030204" pitchFamily="18" charset="0"/>
                          </a:rPr>
                          <m:t>(</m:t>
                        </m:r>
                        <m:r>
                          <a:rPr lang="en-US" sz="1100" b="0" i="1">
                            <a:solidFill>
                              <a:srgbClr val="C00000"/>
                            </a:solidFill>
                            <a:latin typeface="Cambria Math" panose="02040503050406030204" pitchFamily="18" charset="0"/>
                          </a:rPr>
                          <m:t>𝑇𝑜𝑡𝑎𝑙</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𝑆h𝑎𝑟𝑒h𝑜𝑙𝑑𝑒𝑟</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𝐹𝑢𝑛𝑑𝑠</m:t>
                        </m:r>
                        <m:r>
                          <a:rPr lang="en-US" sz="1100" b="0" i="1">
                            <a:solidFill>
                              <a:srgbClr val="C00000"/>
                            </a:solidFill>
                            <a:latin typeface="Cambria Math" panose="02040503050406030204" pitchFamily="18" charset="0"/>
                          </a:rPr>
                          <m:t> − </m:t>
                        </m:r>
                        <m:r>
                          <a:rPr lang="en-US" sz="1100" b="0" i="1">
                            <a:solidFill>
                              <a:srgbClr val="C00000"/>
                            </a:solidFill>
                            <a:latin typeface="Cambria Math" panose="02040503050406030204" pitchFamily="18" charset="0"/>
                          </a:rPr>
                          <m:t>𝐼𝑛𝑡𝑎𝑛𝑔𝑖𝑏𝑙𝑒</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𝐴𝑠𝑠𝑒𝑡𝑠</m:t>
                        </m:r>
                        <m:r>
                          <a:rPr lang="en-US" sz="1100" b="0" i="1">
                            <a:solidFill>
                              <a:srgbClr val="C00000"/>
                            </a:solidFill>
                            <a:latin typeface="Cambria Math" panose="02040503050406030204" pitchFamily="18" charset="0"/>
                          </a:rPr>
                          <m:t>)</m:t>
                        </m:r>
                      </m:den>
                    </m:f>
                  </m:oMath>
                </m:oMathPara>
              </a14:m>
              <a:endParaRPr lang="en-MY" sz="1100">
                <a:solidFill>
                  <a:srgbClr val="C00000"/>
                </a:solidFill>
              </a:endParaRPr>
            </a:p>
          </xdr:txBody>
        </xdr:sp>
      </mc:Choice>
      <mc:Fallback xmlns="">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solidFill>
                    <a:srgbClr val="C00000"/>
                  </a:solidFill>
                  <a:latin typeface="Cambria Math" panose="02040503050406030204" pitchFamily="18" charset="0"/>
                </a:rPr>
                <a:t> 𝐺𝑒𝑎𝑟𝑖𝑛𝑔 𝑅𝑎𝑡𝑖𝑜</a:t>
              </a:r>
              <a:r>
                <a:rPr lang="en-MY" sz="1100" i="0">
                  <a:solidFill>
                    <a:srgbClr val="C00000"/>
                  </a:solidFill>
                  <a:latin typeface="Cambria Math" panose="02040503050406030204" pitchFamily="18" charset="0"/>
                </a:rPr>
                <a:t>=</a:t>
              </a:r>
              <a:r>
                <a:rPr lang="el-GR" sz="1100" i="0">
                  <a:solidFill>
                    <a:srgbClr val="C00000"/>
                  </a:solidFill>
                  <a:latin typeface="Cambria Math" panose="02040503050406030204" pitchFamily="18" charset="0"/>
                </a:rPr>
                <a:t>(</a:t>
              </a:r>
              <a:r>
                <a:rPr lang="en-US" sz="1100" b="0" i="0">
                  <a:solidFill>
                    <a:srgbClr val="C00000"/>
                  </a:solidFill>
                  <a:latin typeface="Cambria Math" panose="02040503050406030204" pitchFamily="18" charset="0"/>
                </a:rPr>
                <a:t>𝑇𝑜𝑡𝑎𝑙 </a:t>
              </a:r>
              <a:r>
                <a:rPr lang="en-MY" sz="1100" b="0" i="0">
                  <a:solidFill>
                    <a:srgbClr val="C00000"/>
                  </a:solidFill>
                  <a:latin typeface="Cambria Math" panose="02040503050406030204" pitchFamily="18" charset="0"/>
                </a:rPr>
                <a:t>𝐵</a:t>
              </a:r>
              <a:r>
                <a:rPr lang="en-US" sz="1100" b="0" i="0">
                  <a:solidFill>
                    <a:srgbClr val="C00000"/>
                  </a:solidFill>
                  <a:latin typeface="Cambria Math" panose="02040503050406030204" pitchFamily="18" charset="0"/>
                </a:rPr>
                <a:t>𝑜𝑟𝑟𝑜𝑤𝑖𝑛𝑔𝑠</a:t>
              </a:r>
              <a:r>
                <a:rPr lang="el-GR" sz="1100" b="0" i="0">
                  <a:solidFill>
                    <a:srgbClr val="C00000"/>
                  </a:solidFill>
                  <a:latin typeface="Cambria Math" panose="02040503050406030204" pitchFamily="18" charset="0"/>
                </a:rPr>
                <a:t>)/(</a:t>
              </a:r>
              <a:r>
                <a:rPr lang="en-US" sz="1100" b="0" i="0">
                  <a:solidFill>
                    <a:srgbClr val="C00000"/>
                  </a:solidFill>
                  <a:latin typeface="Cambria Math" panose="02040503050406030204" pitchFamily="18" charset="0"/>
                </a:rPr>
                <a:t>(𝑇𝑜𝑡𝑎𝑙 𝑆ℎ𝑎𝑟𝑒ℎ𝑜𝑙𝑑𝑒𝑟 𝐹𝑢𝑛𝑑𝑠 − 𝐼𝑛𝑡𝑎𝑛𝑔𝑖𝑏𝑙𝑒 𝐴𝑠𝑠𝑒𝑡𝑠)</a:t>
              </a:r>
              <a:r>
                <a:rPr lang="el-GR" sz="1100" b="0" i="0">
                  <a:solidFill>
                    <a:srgbClr val="C00000"/>
                  </a:solidFill>
                  <a:latin typeface="Cambria Math" panose="02040503050406030204" pitchFamily="18" charset="0"/>
                </a:rPr>
                <a:t>)</a:t>
              </a:r>
              <a:endParaRPr lang="en-MY" sz="1100">
                <a:solidFill>
                  <a:srgbClr val="C00000"/>
                </a:solidFill>
              </a:endParaRPr>
            </a:p>
          </xdr:txBody>
        </xdr:sp>
      </mc:Fallback>
    </mc:AlternateContent>
    <xdr:clientData/>
  </xdr:oneCellAnchor>
  <xdr:oneCellAnchor>
    <xdr:from>
      <xdr:col>2</xdr:col>
      <xdr:colOff>119261</xdr:colOff>
      <xdr:row>12</xdr:row>
      <xdr:rowOff>232007</xdr:rowOff>
    </xdr:from>
    <xdr:ext cx="2316417" cy="39392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14:m>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&gt; </m:t>
                  </m:r>
                </m:oMath>
              </a14:m>
              <a:r>
                <a:rPr lang="en-MY" sz="1100"/>
                <a:t>Total</a:t>
              </a:r>
              <a:r>
                <a:rPr lang="en-MY" sz="1100" baseline="0"/>
                <a:t> Assets</a:t>
              </a:r>
              <a:endParaRPr lang="en-MY" sz="1100"/>
            </a:p>
          </xdr:txBody>
        </xdr:sp>
      </mc:Choice>
      <mc:Fallback xmlns="">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en-US" sz="1100" b="0" i="0">
                  <a:latin typeface="Cambria Math" panose="02040503050406030204" pitchFamily="18" charset="0"/>
                </a:rPr>
                <a:t> 𝑇𝑜𝑡𝑎𝑙 𝐿𝑖𝑎𝑏𝑖𝑙𝑖𝑡𝑖𝑒𝑠&gt; </a:t>
              </a:r>
              <a:r>
                <a:rPr lang="en-MY" sz="1100"/>
                <a:t>Total</a:t>
              </a:r>
              <a:r>
                <a:rPr lang="en-MY" sz="1100" baseline="0"/>
                <a:t> Assets</a:t>
              </a:r>
              <a:endParaRPr lang="en-MY"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1</xdr:col>
      <xdr:colOff>0</xdr:colOff>
      <xdr:row>71</xdr:row>
      <xdr:rowOff>0</xdr:rowOff>
    </xdr:from>
    <xdr:to>
      <xdr:col>8</xdr:col>
      <xdr:colOff>4081</xdr:colOff>
      <xdr:row>78</xdr:row>
      <xdr:rowOff>81642</xdr:rowOff>
    </xdr:to>
    <xdr:grpSp>
      <xdr:nvGrpSpPr>
        <xdr:cNvPr id="2" name="Group 1">
          <a:extLst>
            <a:ext uri="{FF2B5EF4-FFF2-40B4-BE49-F238E27FC236}">
              <a16:creationId xmlns:a16="http://schemas.microsoft.com/office/drawing/2014/main" id="{DE5E8008-73F9-4C7B-B626-C409F3B32C80}"/>
            </a:ext>
          </a:extLst>
        </xdr:cNvPr>
        <xdr:cNvGrpSpPr/>
      </xdr:nvGrpSpPr>
      <xdr:grpSpPr>
        <a:xfrm>
          <a:off x="108857" y="35405786"/>
          <a:ext cx="13298260" cy="1415142"/>
          <a:chOff x="833438" y="361950"/>
          <a:chExt cx="11504524" cy="1142981"/>
        </a:xfrm>
      </xdr:grpSpPr>
      <xdr:sp macro="" textlink="">
        <xdr:nvSpPr>
          <xdr:cNvPr id="3" name="TextBox 2">
            <a:extLst>
              <a:ext uri="{FF2B5EF4-FFF2-40B4-BE49-F238E27FC236}">
                <a16:creationId xmlns:a16="http://schemas.microsoft.com/office/drawing/2014/main" id="{1A2A3AB9-AA16-614B-7AE4-FCE0590B25AE}"/>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 </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4" name="TextBox 3">
            <a:extLst>
              <a:ext uri="{FF2B5EF4-FFF2-40B4-BE49-F238E27FC236}">
                <a16:creationId xmlns:a16="http://schemas.microsoft.com/office/drawing/2014/main" id="{57A13D56-BE9F-D0CF-A75D-4D20E273B55B}"/>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5" name="TextBox 4">
            <a:extLst>
              <a:ext uri="{FF2B5EF4-FFF2-40B4-BE49-F238E27FC236}">
                <a16:creationId xmlns:a16="http://schemas.microsoft.com/office/drawing/2014/main" id="{6B912DD0-D0D5-C5C8-1E12-F9427F3EAC5A}"/>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u="sng">
              <a:solidFill>
                <a:sysClr val="windowText" lastClr="000000"/>
              </a:solidFill>
            </a:endParaRPr>
          </a:p>
          <a:p>
            <a:endParaRPr lang="en-MY" sz="1100" u="sng">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editAs="oneCell">
    <xdr:from>
      <xdr:col>7</xdr:col>
      <xdr:colOff>938892</xdr:colOff>
      <xdr:row>1</xdr:row>
      <xdr:rowOff>13607</xdr:rowOff>
    </xdr:from>
    <xdr:to>
      <xdr:col>7</xdr:col>
      <xdr:colOff>3464495</xdr:colOff>
      <xdr:row>3</xdr:row>
      <xdr:rowOff>102878</xdr:rowOff>
    </xdr:to>
    <xdr:pic>
      <xdr:nvPicPr>
        <xdr:cNvPr id="6" name="Picture 5">
          <a:extLst>
            <a:ext uri="{FF2B5EF4-FFF2-40B4-BE49-F238E27FC236}">
              <a16:creationId xmlns:a16="http://schemas.microsoft.com/office/drawing/2014/main" id="{E24D4C33-10FF-4030-9846-0467F990CF37}"/>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9930492" y="204107"/>
          <a:ext cx="2525603" cy="578221"/>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80543</xdr:colOff>
      <xdr:row>38</xdr:row>
      <xdr:rowOff>119764</xdr:rowOff>
    </xdr:from>
    <xdr:to>
      <xdr:col>3</xdr:col>
      <xdr:colOff>619564</xdr:colOff>
      <xdr:row>41</xdr:row>
      <xdr:rowOff>186472</xdr:rowOff>
    </xdr:to>
    <xdr:grpSp>
      <xdr:nvGrpSpPr>
        <xdr:cNvPr id="2" name="Group 1">
          <a:extLst>
            <a:ext uri="{FF2B5EF4-FFF2-40B4-BE49-F238E27FC236}">
              <a16:creationId xmlns:a16="http://schemas.microsoft.com/office/drawing/2014/main" id="{C1EA1EA6-0978-4C7D-A0B2-671372E23601}"/>
            </a:ext>
          </a:extLst>
        </xdr:cNvPr>
        <xdr:cNvGrpSpPr/>
      </xdr:nvGrpSpPr>
      <xdr:grpSpPr>
        <a:xfrm>
          <a:off x="298257" y="29933014"/>
          <a:ext cx="1314628" cy="638208"/>
          <a:chOff x="2588317" y="17604686"/>
          <a:chExt cx="1283803" cy="650184"/>
        </a:xfrm>
      </xdr:grpSpPr>
      <xdr:sp macro="" textlink="">
        <xdr:nvSpPr>
          <xdr:cNvPr id="3" name="TextBox 2">
            <a:extLst>
              <a:ext uri="{FF2B5EF4-FFF2-40B4-BE49-F238E27FC236}">
                <a16:creationId xmlns:a16="http://schemas.microsoft.com/office/drawing/2014/main" id="{45698F1B-FAD0-214A-28EA-8FBC8C3E7BA9}"/>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62D64853-F9C7-3C37-958A-E0DC78BF7B6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5" name="Rectangle 4">
            <a:extLst>
              <a:ext uri="{FF2B5EF4-FFF2-40B4-BE49-F238E27FC236}">
                <a16:creationId xmlns:a16="http://schemas.microsoft.com/office/drawing/2014/main" id="{4451C4AD-FE68-2D76-4046-9885FB97F7C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8</xdr:col>
      <xdr:colOff>110558</xdr:colOff>
      <xdr:row>38</xdr:row>
      <xdr:rowOff>146277</xdr:rowOff>
    </xdr:from>
    <xdr:to>
      <xdr:col>9</xdr:col>
      <xdr:colOff>273482</xdr:colOff>
      <xdr:row>42</xdr:row>
      <xdr:rowOff>0</xdr:rowOff>
    </xdr:to>
    <xdr:grpSp>
      <xdr:nvGrpSpPr>
        <xdr:cNvPr id="6" name="Group 5">
          <a:extLst>
            <a:ext uri="{FF2B5EF4-FFF2-40B4-BE49-F238E27FC236}">
              <a16:creationId xmlns:a16="http://schemas.microsoft.com/office/drawing/2014/main" id="{FF3F5CE5-EE22-4B0D-B16B-3774179D1015}"/>
            </a:ext>
          </a:extLst>
        </xdr:cNvPr>
        <xdr:cNvGrpSpPr/>
      </xdr:nvGrpSpPr>
      <xdr:grpSpPr>
        <a:xfrm>
          <a:off x="6274594" y="29959527"/>
          <a:ext cx="1455602" cy="629330"/>
          <a:chOff x="2588317" y="17604686"/>
          <a:chExt cx="1283803" cy="650184"/>
        </a:xfrm>
      </xdr:grpSpPr>
      <xdr:sp macro="" textlink="">
        <xdr:nvSpPr>
          <xdr:cNvPr id="7" name="TextBox 6">
            <a:extLst>
              <a:ext uri="{FF2B5EF4-FFF2-40B4-BE49-F238E27FC236}">
                <a16:creationId xmlns:a16="http://schemas.microsoft.com/office/drawing/2014/main" id="{9969E141-7ACC-3A96-B8D7-D81CC382705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8" name="Rectangle 7">
            <a:extLst>
              <a:ext uri="{FF2B5EF4-FFF2-40B4-BE49-F238E27FC236}">
                <a16:creationId xmlns:a16="http://schemas.microsoft.com/office/drawing/2014/main" id="{D65B183F-7851-9C51-619F-1E8015E0DAF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9" name="Rectangle 8">
            <a:extLst>
              <a:ext uri="{FF2B5EF4-FFF2-40B4-BE49-F238E27FC236}">
                <a16:creationId xmlns:a16="http://schemas.microsoft.com/office/drawing/2014/main" id="{40771410-FFE9-8DB3-FCA0-893B17335895}"/>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545884</xdr:colOff>
      <xdr:row>43</xdr:row>
      <xdr:rowOff>24494</xdr:rowOff>
    </xdr:from>
    <xdr:to>
      <xdr:col>11</xdr:col>
      <xdr:colOff>2645151</xdr:colOff>
      <xdr:row>49</xdr:row>
      <xdr:rowOff>125640</xdr:rowOff>
    </xdr:to>
    <xdr:grpSp>
      <xdr:nvGrpSpPr>
        <xdr:cNvPr id="10" name="Group 9">
          <a:extLst>
            <a:ext uri="{FF2B5EF4-FFF2-40B4-BE49-F238E27FC236}">
              <a16:creationId xmlns:a16="http://schemas.microsoft.com/office/drawing/2014/main" id="{84BE6599-F08E-4B9C-A1DE-879B142D7EC3}"/>
            </a:ext>
          </a:extLst>
        </xdr:cNvPr>
        <xdr:cNvGrpSpPr/>
      </xdr:nvGrpSpPr>
      <xdr:grpSpPr>
        <a:xfrm>
          <a:off x="763598" y="30817458"/>
          <a:ext cx="11406553" cy="1284968"/>
          <a:chOff x="833438" y="361950"/>
          <a:chExt cx="11504524" cy="1142981"/>
        </a:xfrm>
      </xdr:grpSpPr>
      <xdr:sp macro="" textlink="">
        <xdr:nvSpPr>
          <xdr:cNvPr id="11" name="TextBox 10">
            <a:extLst>
              <a:ext uri="{FF2B5EF4-FFF2-40B4-BE49-F238E27FC236}">
                <a16:creationId xmlns:a16="http://schemas.microsoft.com/office/drawing/2014/main" id="{BCC534F7-37D7-D446-16F3-85B9D4BD68DB}"/>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2" name="TextBox 11">
            <a:extLst>
              <a:ext uri="{FF2B5EF4-FFF2-40B4-BE49-F238E27FC236}">
                <a16:creationId xmlns:a16="http://schemas.microsoft.com/office/drawing/2014/main" id="{D385C3DB-6379-36AD-1A19-E7F0F79BC0CB}"/>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3" name="TextBox 12">
            <a:extLst>
              <a:ext uri="{FF2B5EF4-FFF2-40B4-BE49-F238E27FC236}">
                <a16:creationId xmlns:a16="http://schemas.microsoft.com/office/drawing/2014/main" id="{94C9FEF2-D182-852D-6BFC-ECF2F04AE451}"/>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2</xdr:col>
      <xdr:colOff>80543</xdr:colOff>
      <xdr:row>53</xdr:row>
      <xdr:rowOff>119764</xdr:rowOff>
    </xdr:from>
    <xdr:to>
      <xdr:col>3</xdr:col>
      <xdr:colOff>619564</xdr:colOff>
      <xdr:row>56</xdr:row>
      <xdr:rowOff>186472</xdr:rowOff>
    </xdr:to>
    <xdr:grpSp>
      <xdr:nvGrpSpPr>
        <xdr:cNvPr id="14" name="Group 13">
          <a:extLst>
            <a:ext uri="{FF2B5EF4-FFF2-40B4-BE49-F238E27FC236}">
              <a16:creationId xmlns:a16="http://schemas.microsoft.com/office/drawing/2014/main" id="{495F716D-E7DE-4E20-874B-9232B4F34EC5}"/>
            </a:ext>
          </a:extLst>
        </xdr:cNvPr>
        <xdr:cNvGrpSpPr/>
      </xdr:nvGrpSpPr>
      <xdr:grpSpPr>
        <a:xfrm>
          <a:off x="298257" y="32776907"/>
          <a:ext cx="1314628" cy="638208"/>
          <a:chOff x="2588317" y="17604686"/>
          <a:chExt cx="1283803" cy="650184"/>
        </a:xfrm>
      </xdr:grpSpPr>
      <xdr:sp macro="" textlink="">
        <xdr:nvSpPr>
          <xdr:cNvPr id="15" name="TextBox 14">
            <a:extLst>
              <a:ext uri="{FF2B5EF4-FFF2-40B4-BE49-F238E27FC236}">
                <a16:creationId xmlns:a16="http://schemas.microsoft.com/office/drawing/2014/main" id="{93E2B8A6-3BC4-ABEB-E38D-528784584AC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6" name="Rectangle 15">
            <a:extLst>
              <a:ext uri="{FF2B5EF4-FFF2-40B4-BE49-F238E27FC236}">
                <a16:creationId xmlns:a16="http://schemas.microsoft.com/office/drawing/2014/main" id="{953F8E12-2407-20D3-9CA0-B5D7895BFB08}"/>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17" name="Rectangle 16">
            <a:extLst>
              <a:ext uri="{FF2B5EF4-FFF2-40B4-BE49-F238E27FC236}">
                <a16:creationId xmlns:a16="http://schemas.microsoft.com/office/drawing/2014/main" id="{628CDF0F-71C5-E691-A4EB-A39339D314B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80543</xdr:colOff>
      <xdr:row>63</xdr:row>
      <xdr:rowOff>119764</xdr:rowOff>
    </xdr:from>
    <xdr:to>
      <xdr:col>3</xdr:col>
      <xdr:colOff>619564</xdr:colOff>
      <xdr:row>66</xdr:row>
      <xdr:rowOff>186472</xdr:rowOff>
    </xdr:to>
    <xdr:grpSp>
      <xdr:nvGrpSpPr>
        <xdr:cNvPr id="18" name="Group 17">
          <a:extLst>
            <a:ext uri="{FF2B5EF4-FFF2-40B4-BE49-F238E27FC236}">
              <a16:creationId xmlns:a16="http://schemas.microsoft.com/office/drawing/2014/main" id="{7B5446F1-E130-4A6F-B61C-D1562B6FEF83}"/>
            </a:ext>
          </a:extLst>
        </xdr:cNvPr>
        <xdr:cNvGrpSpPr/>
      </xdr:nvGrpSpPr>
      <xdr:grpSpPr>
        <a:xfrm>
          <a:off x="298257" y="34654693"/>
          <a:ext cx="1314628" cy="638208"/>
          <a:chOff x="2588317" y="17604686"/>
          <a:chExt cx="1283803" cy="650184"/>
        </a:xfrm>
      </xdr:grpSpPr>
      <xdr:sp macro="" textlink="">
        <xdr:nvSpPr>
          <xdr:cNvPr id="19" name="TextBox 18">
            <a:extLst>
              <a:ext uri="{FF2B5EF4-FFF2-40B4-BE49-F238E27FC236}">
                <a16:creationId xmlns:a16="http://schemas.microsoft.com/office/drawing/2014/main" id="{65F10A62-377B-4767-42AF-0E7A2DD145C8}"/>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0" name="Rectangle 19">
            <a:extLst>
              <a:ext uri="{FF2B5EF4-FFF2-40B4-BE49-F238E27FC236}">
                <a16:creationId xmlns:a16="http://schemas.microsoft.com/office/drawing/2014/main" id="{B83151A1-4BC7-3A2C-2492-2C4BB6AC09AA}"/>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1" name="Rectangle 20">
            <a:extLst>
              <a:ext uri="{FF2B5EF4-FFF2-40B4-BE49-F238E27FC236}">
                <a16:creationId xmlns:a16="http://schemas.microsoft.com/office/drawing/2014/main" id="{3D0C578F-0775-2E3A-39C8-27DDE067A68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oneCellAnchor>
    <xdr:from>
      <xdr:col>11</xdr:col>
      <xdr:colOff>358588</xdr:colOff>
      <xdr:row>1</xdr:row>
      <xdr:rowOff>0</xdr:rowOff>
    </xdr:from>
    <xdr:ext cx="2525603" cy="582303"/>
    <xdr:pic>
      <xdr:nvPicPr>
        <xdr:cNvPr id="22" name="Picture 21">
          <a:extLst>
            <a:ext uri="{FF2B5EF4-FFF2-40B4-BE49-F238E27FC236}">
              <a16:creationId xmlns:a16="http://schemas.microsoft.com/office/drawing/2014/main" id="{B16A44D9-F646-4CBF-97ED-295C4C44C605}"/>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9654988" y="190500"/>
          <a:ext cx="2525603" cy="582303"/>
        </a:xfrm>
        <a:prstGeom prst="rect">
          <a:avLst/>
        </a:prstGeom>
        <a:ln>
          <a:noFill/>
        </a:ln>
        <a:extLst>
          <a:ext uri="{53640926-AAD7-44D8-BBD7-CCE9431645EC}">
            <a14:shadowObscured xmlns:a14="http://schemas.microsoft.com/office/drawing/2010/main"/>
          </a:ext>
        </a:extLst>
      </xdr:spPr>
    </xdr:pic>
    <xdr:clientData/>
  </xdr:oneCellAnchor>
  <xdr:twoCellAnchor>
    <xdr:from>
      <xdr:col>8</xdr:col>
      <xdr:colOff>99785</xdr:colOff>
      <xdr:row>53</xdr:row>
      <xdr:rowOff>90714</xdr:rowOff>
    </xdr:from>
    <xdr:to>
      <xdr:col>9</xdr:col>
      <xdr:colOff>366664</xdr:colOff>
      <xdr:row>56</xdr:row>
      <xdr:rowOff>157422</xdr:rowOff>
    </xdr:to>
    <xdr:grpSp>
      <xdr:nvGrpSpPr>
        <xdr:cNvPr id="23" name="Group 22">
          <a:extLst>
            <a:ext uri="{FF2B5EF4-FFF2-40B4-BE49-F238E27FC236}">
              <a16:creationId xmlns:a16="http://schemas.microsoft.com/office/drawing/2014/main" id="{07D428BD-59B8-4161-B7B1-093AC3740F86}"/>
            </a:ext>
          </a:extLst>
        </xdr:cNvPr>
        <xdr:cNvGrpSpPr/>
      </xdr:nvGrpSpPr>
      <xdr:grpSpPr>
        <a:xfrm>
          <a:off x="6263821" y="32747857"/>
          <a:ext cx="1559557" cy="638208"/>
          <a:chOff x="2588317" y="17604686"/>
          <a:chExt cx="1283803" cy="650184"/>
        </a:xfrm>
      </xdr:grpSpPr>
      <xdr:sp macro="" textlink="">
        <xdr:nvSpPr>
          <xdr:cNvPr id="24" name="TextBox 23">
            <a:extLst>
              <a:ext uri="{FF2B5EF4-FFF2-40B4-BE49-F238E27FC236}">
                <a16:creationId xmlns:a16="http://schemas.microsoft.com/office/drawing/2014/main" id="{89584623-AD8A-618D-1D91-E2137408A85D}"/>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5" name="Rectangle 24">
            <a:extLst>
              <a:ext uri="{FF2B5EF4-FFF2-40B4-BE49-F238E27FC236}">
                <a16:creationId xmlns:a16="http://schemas.microsoft.com/office/drawing/2014/main" id="{A5D862C8-7C62-7C34-39E1-3239CB16106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26" name="Rectangle 25">
            <a:extLst>
              <a:ext uri="{FF2B5EF4-FFF2-40B4-BE49-F238E27FC236}">
                <a16:creationId xmlns:a16="http://schemas.microsoft.com/office/drawing/2014/main" id="{01B817C1-0879-2B31-351E-703C32190F3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editAs="oneCell">
    <xdr:from>
      <xdr:col>3</xdr:col>
      <xdr:colOff>87993</xdr:colOff>
      <xdr:row>20</xdr:row>
      <xdr:rowOff>1823358</xdr:rowOff>
    </xdr:from>
    <xdr:to>
      <xdr:col>7</xdr:col>
      <xdr:colOff>886091</xdr:colOff>
      <xdr:row>20</xdr:row>
      <xdr:rowOff>3990069</xdr:rowOff>
    </xdr:to>
    <xdr:pic>
      <xdr:nvPicPr>
        <xdr:cNvPr id="27" name="Picture 26">
          <a:extLst>
            <a:ext uri="{FF2B5EF4-FFF2-40B4-BE49-F238E27FC236}">
              <a16:creationId xmlns:a16="http://schemas.microsoft.com/office/drawing/2014/main" id="{81DA40B0-E729-305A-5D58-30F780F37527}"/>
            </a:ext>
          </a:extLst>
        </xdr:cNvPr>
        <xdr:cNvPicPr>
          <a:picLocks noChangeAspect="1"/>
        </xdr:cNvPicPr>
      </xdr:nvPicPr>
      <xdr:blipFill>
        <a:blip xmlns:r="http://schemas.openxmlformats.org/officeDocument/2006/relationships" r:embed="rId2"/>
        <a:stretch>
          <a:fillRect/>
        </a:stretch>
      </xdr:blipFill>
      <xdr:spPr>
        <a:xfrm>
          <a:off x="1122136" y="14818179"/>
          <a:ext cx="5149209" cy="2163536"/>
        </a:xfrm>
        <a:prstGeom prst="rect">
          <a:avLst/>
        </a:prstGeom>
      </xdr:spPr>
    </xdr:pic>
    <xdr:clientData/>
  </xdr:twoCellAnchor>
  <xdr:twoCellAnchor editAs="oneCell">
    <xdr:from>
      <xdr:col>3</xdr:col>
      <xdr:colOff>99787</xdr:colOff>
      <xdr:row>20</xdr:row>
      <xdr:rowOff>4073071</xdr:rowOff>
    </xdr:from>
    <xdr:to>
      <xdr:col>7</xdr:col>
      <xdr:colOff>898071</xdr:colOff>
      <xdr:row>20</xdr:row>
      <xdr:rowOff>5143500</xdr:rowOff>
    </xdr:to>
    <xdr:pic>
      <xdr:nvPicPr>
        <xdr:cNvPr id="28" name="Picture 27">
          <a:extLst>
            <a:ext uri="{FF2B5EF4-FFF2-40B4-BE49-F238E27FC236}">
              <a16:creationId xmlns:a16="http://schemas.microsoft.com/office/drawing/2014/main" id="{D2D3867B-5E5F-661B-64BC-2AB5F4B60017}"/>
            </a:ext>
          </a:extLst>
        </xdr:cNvPr>
        <xdr:cNvPicPr>
          <a:picLocks noChangeAspect="1"/>
        </xdr:cNvPicPr>
      </xdr:nvPicPr>
      <xdr:blipFill>
        <a:blip xmlns:r="http://schemas.openxmlformats.org/officeDocument/2006/relationships" r:embed="rId3"/>
        <a:stretch>
          <a:fillRect/>
        </a:stretch>
      </xdr:blipFill>
      <xdr:spPr>
        <a:xfrm>
          <a:off x="1133930" y="16827500"/>
          <a:ext cx="5152570" cy="10704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25</xdr:col>
      <xdr:colOff>415458</xdr:colOff>
      <xdr:row>21</xdr:row>
      <xdr:rowOff>72086</xdr:rowOff>
    </xdr:to>
    <xdr:pic>
      <xdr:nvPicPr>
        <xdr:cNvPr id="4" name="Picture 3">
          <a:extLst>
            <a:ext uri="{FF2B5EF4-FFF2-40B4-BE49-F238E27FC236}">
              <a16:creationId xmlns:a16="http://schemas.microsoft.com/office/drawing/2014/main" id="{6D740D12-E63A-9C11-1056-B0CE6D18663D}"/>
            </a:ext>
          </a:extLst>
        </xdr:cNvPr>
        <xdr:cNvPicPr>
          <a:picLocks noChangeAspect="1"/>
        </xdr:cNvPicPr>
      </xdr:nvPicPr>
      <xdr:blipFill>
        <a:blip xmlns:r="http://schemas.openxmlformats.org/officeDocument/2006/relationships" r:embed="rId1"/>
        <a:stretch>
          <a:fillRect/>
        </a:stretch>
      </xdr:blipFill>
      <xdr:spPr>
        <a:xfrm>
          <a:off x="14212957" y="331304"/>
          <a:ext cx="6544588" cy="61349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47625</xdr:colOff>
      <xdr:row>1</xdr:row>
      <xdr:rowOff>19050</xdr:rowOff>
    </xdr:from>
    <xdr:to>
      <xdr:col>12</xdr:col>
      <xdr:colOff>273798</xdr:colOff>
      <xdr:row>11</xdr:row>
      <xdr:rowOff>180116</xdr:rowOff>
    </xdr:to>
    <xdr:pic>
      <xdr:nvPicPr>
        <xdr:cNvPr id="2" name="Picture 1">
          <a:extLst>
            <a:ext uri="{FF2B5EF4-FFF2-40B4-BE49-F238E27FC236}">
              <a16:creationId xmlns:a16="http://schemas.microsoft.com/office/drawing/2014/main" id="{89675EB4-9902-4AB6-ADAF-7CAA0B8AEC48}"/>
            </a:ext>
          </a:extLst>
        </xdr:cNvPr>
        <xdr:cNvPicPr>
          <a:picLocks noChangeAspect="1"/>
        </xdr:cNvPicPr>
      </xdr:nvPicPr>
      <xdr:blipFill>
        <a:blip xmlns:r="http://schemas.openxmlformats.org/officeDocument/2006/relationships" r:embed="rId1"/>
        <a:stretch>
          <a:fillRect/>
        </a:stretch>
      </xdr:blipFill>
      <xdr:spPr>
        <a:xfrm>
          <a:off x="6619875" y="209550"/>
          <a:ext cx="3274173" cy="219941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oe/Desktop/Moneysave%20Capital/Project%20F/Copy%20of%20RSME%20Calculator.xls" TargetMode="External"/><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https://www.mordorintelligence.com/industry-reports/malaysia-automotive-engine-oils-market"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1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4.bin"/><Relationship Id="rId4" Type="http://schemas.microsoft.com/office/2017/10/relationships/threadedComment" Target="../threadedComments/threadedComment3.x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40625" defaultRowHeight="12.75" x14ac:dyDescent="0.25"/>
  <cols>
    <col min="1" max="1" width="9.140625" style="2"/>
    <col min="2" max="2" width="3.28515625" style="2" bestFit="1" customWidth="1"/>
    <col min="3" max="3" width="45.28515625" style="2" bestFit="1" customWidth="1"/>
    <col min="4" max="4" width="28.85546875" style="2" customWidth="1"/>
    <col min="5" max="5" width="17.5703125" style="91" customWidth="1"/>
    <col min="6" max="16384" width="9.140625" style="2"/>
  </cols>
  <sheetData>
    <row r="2" spans="2:5" x14ac:dyDescent="0.25">
      <c r="C2" s="2" t="s">
        <v>0</v>
      </c>
    </row>
    <row r="3" spans="2:5" x14ac:dyDescent="0.25">
      <c r="C3" s="2" t="s">
        <v>1</v>
      </c>
      <c r="D3" s="92" t="s">
        <v>2</v>
      </c>
    </row>
    <row r="4" spans="2:5" x14ac:dyDescent="0.25">
      <c r="C4" s="2" t="s">
        <v>3</v>
      </c>
      <c r="D4" s="92" t="s">
        <v>4</v>
      </c>
    </row>
    <row r="6" spans="2:5" s="91" customFormat="1" ht="25.5" x14ac:dyDescent="0.25">
      <c r="B6" s="93" t="s">
        <v>5</v>
      </c>
      <c r="C6" s="93" t="s">
        <v>6</v>
      </c>
      <c r="D6" s="93" t="s">
        <v>7</v>
      </c>
      <c r="E6" s="93" t="s">
        <v>8</v>
      </c>
    </row>
    <row r="7" spans="2:5" x14ac:dyDescent="0.25">
      <c r="B7" s="5">
        <v>1</v>
      </c>
      <c r="C7" s="5" t="s">
        <v>9</v>
      </c>
      <c r="D7" s="52" t="s">
        <v>10</v>
      </c>
      <c r="E7" s="52" t="s">
        <v>1</v>
      </c>
    </row>
    <row r="8" spans="2:5" x14ac:dyDescent="0.25">
      <c r="B8" s="5">
        <f>B7+1</f>
        <v>2</v>
      </c>
      <c r="C8" s="5" t="s">
        <v>11</v>
      </c>
      <c r="D8" s="52" t="s">
        <v>12</v>
      </c>
      <c r="E8" s="52" t="s">
        <v>13</v>
      </c>
    </row>
    <row r="9" spans="2:5" x14ac:dyDescent="0.25">
      <c r="B9" s="5">
        <f t="shared" ref="B9:B15" si="0">B8+1</f>
        <v>3</v>
      </c>
      <c r="C9" s="5" t="s">
        <v>14</v>
      </c>
      <c r="D9" s="52" t="s">
        <v>10</v>
      </c>
      <c r="E9" s="52" t="s">
        <v>1</v>
      </c>
    </row>
    <row r="10" spans="2:5" x14ac:dyDescent="0.25">
      <c r="B10" s="5">
        <f t="shared" si="0"/>
        <v>4</v>
      </c>
      <c r="C10" s="5" t="s">
        <v>15</v>
      </c>
      <c r="D10" s="52" t="s">
        <v>10</v>
      </c>
      <c r="E10" s="52" t="s">
        <v>1</v>
      </c>
    </row>
    <row r="11" spans="2:5" x14ac:dyDescent="0.25">
      <c r="B11" s="5">
        <f t="shared" si="0"/>
        <v>5</v>
      </c>
      <c r="C11" s="5" t="s">
        <v>16</v>
      </c>
      <c r="D11" s="52" t="s">
        <v>12</v>
      </c>
      <c r="E11" s="52" t="s">
        <v>13</v>
      </c>
    </row>
    <row r="12" spans="2:5" x14ac:dyDescent="0.25">
      <c r="B12" s="5">
        <f t="shared" si="0"/>
        <v>6</v>
      </c>
      <c r="C12" s="5" t="s">
        <v>17</v>
      </c>
      <c r="D12" s="52" t="s">
        <v>12</v>
      </c>
      <c r="E12" s="52" t="s">
        <v>13</v>
      </c>
    </row>
    <row r="13" spans="2:5" x14ac:dyDescent="0.25">
      <c r="B13" s="5">
        <f t="shared" si="0"/>
        <v>7</v>
      </c>
      <c r="C13" s="5" t="s">
        <v>18</v>
      </c>
      <c r="D13" s="52" t="s">
        <v>10</v>
      </c>
      <c r="E13" s="52" t="s">
        <v>3</v>
      </c>
    </row>
    <row r="14" spans="2:5" x14ac:dyDescent="0.25">
      <c r="B14" s="5">
        <f t="shared" si="0"/>
        <v>8</v>
      </c>
      <c r="C14" s="5" t="s">
        <v>19</v>
      </c>
      <c r="D14" s="52" t="s">
        <v>12</v>
      </c>
      <c r="E14" s="52" t="s">
        <v>13</v>
      </c>
    </row>
    <row r="15" spans="2:5" x14ac:dyDescent="0.25">
      <c r="B15" s="5">
        <f t="shared" si="0"/>
        <v>9</v>
      </c>
      <c r="C15" s="5" t="s">
        <v>20</v>
      </c>
      <c r="D15" s="52" t="s">
        <v>10</v>
      </c>
      <c r="E15" s="52" t="s">
        <v>1</v>
      </c>
    </row>
    <row r="17" spans="5:5" x14ac:dyDescent="0.2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40625" defaultRowHeight="12.75" x14ac:dyDescent="0.25"/>
  <cols>
    <col min="1" max="1" width="9.140625" style="2"/>
    <col min="2" max="2" width="18" style="2" bestFit="1" customWidth="1"/>
    <col min="3" max="3" width="53.28515625" style="2" bestFit="1" customWidth="1"/>
    <col min="4" max="16384" width="9.140625" style="2"/>
  </cols>
  <sheetData>
    <row r="2" spans="2:3" x14ac:dyDescent="0.25">
      <c r="B2" s="63" t="s">
        <v>21</v>
      </c>
    </row>
    <row r="4" spans="2:3" x14ac:dyDescent="0.25">
      <c r="B4" s="65" t="s">
        <v>22</v>
      </c>
      <c r="C4" s="65" t="s">
        <v>23</v>
      </c>
    </row>
    <row r="5" spans="2:3" x14ac:dyDescent="0.25">
      <c r="B5" s="5" t="s">
        <v>24</v>
      </c>
      <c r="C5" s="52" t="s">
        <v>25</v>
      </c>
    </row>
    <row r="6" spans="2:3" x14ac:dyDescent="0.25">
      <c r="B6" s="5" t="s">
        <v>26</v>
      </c>
      <c r="C6" s="5" t="s">
        <v>27</v>
      </c>
    </row>
    <row r="7" spans="2:3" x14ac:dyDescent="0.25">
      <c r="B7" s="5" t="s">
        <v>28</v>
      </c>
      <c r="C7" s="5" t="s">
        <v>29</v>
      </c>
    </row>
    <row r="8" spans="2:3" x14ac:dyDescent="0.25">
      <c r="B8" s="5" t="s">
        <v>30</v>
      </c>
      <c r="C8" s="52" t="s">
        <v>31</v>
      </c>
    </row>
    <row r="9" spans="2:3" x14ac:dyDescent="0.25">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5" x14ac:dyDescent="0.25"/>
  <cols>
    <col min="2" max="2" width="12.7109375" style="43" bestFit="1" customWidth="1"/>
    <col min="3" max="3" width="132.42578125" bestFit="1" customWidth="1"/>
  </cols>
  <sheetData>
    <row r="2" spans="2:3" s="47" customFormat="1" x14ac:dyDescent="0.25">
      <c r="B2" s="48" t="s">
        <v>34</v>
      </c>
    </row>
    <row r="3" spans="2:3" x14ac:dyDescent="0.25">
      <c r="B3" s="42">
        <v>1</v>
      </c>
      <c r="C3" s="14" t="s">
        <v>35</v>
      </c>
    </row>
    <row r="4" spans="2:3" x14ac:dyDescent="0.25">
      <c r="B4" s="42">
        <v>2</v>
      </c>
      <c r="C4" s="14" t="s">
        <v>36</v>
      </c>
    </row>
    <row r="5" spans="2:3" x14ac:dyDescent="0.25">
      <c r="B5" s="42">
        <v>3</v>
      </c>
      <c r="C5" s="14" t="s">
        <v>37</v>
      </c>
    </row>
    <row r="6" spans="2:3" x14ac:dyDescent="0.25">
      <c r="B6" s="42">
        <v>4</v>
      </c>
      <c r="C6" s="14" t="s">
        <v>38</v>
      </c>
    </row>
    <row r="7" spans="2:3" x14ac:dyDescent="0.25">
      <c r="B7" s="42">
        <v>5</v>
      </c>
      <c r="C7" s="14" t="s">
        <v>39</v>
      </c>
    </row>
    <row r="8" spans="2:3" x14ac:dyDescent="0.25">
      <c r="B8" s="42">
        <v>6</v>
      </c>
      <c r="C8" s="14" t="s">
        <v>40</v>
      </c>
    </row>
    <row r="9" spans="2:3" x14ac:dyDescent="0.25">
      <c r="B9" s="42">
        <v>7</v>
      </c>
      <c r="C9" s="14" t="s">
        <v>41</v>
      </c>
    </row>
    <row r="10" spans="2:3" x14ac:dyDescent="0.25">
      <c r="B10" s="42">
        <v>8</v>
      </c>
      <c r="C10" s="14" t="s">
        <v>42</v>
      </c>
    </row>
    <row r="12" spans="2:3" s="47" customFormat="1" x14ac:dyDescent="0.25">
      <c r="B12" s="46" t="s">
        <v>43</v>
      </c>
      <c r="C12" s="16" t="s">
        <v>44</v>
      </c>
    </row>
    <row r="13" spans="2:3" x14ac:dyDescent="0.25">
      <c r="B13" s="44"/>
      <c r="C13" s="15" t="s">
        <v>45</v>
      </c>
    </row>
    <row r="14" spans="2:3" x14ac:dyDescent="0.25">
      <c r="B14" s="49"/>
      <c r="C14" s="15" t="s">
        <v>46</v>
      </c>
    </row>
    <row r="15" spans="2:3" x14ac:dyDescent="0.25">
      <c r="B15" s="76"/>
      <c r="C15" s="15" t="s">
        <v>47</v>
      </c>
    </row>
    <row r="16" spans="2:3" x14ac:dyDescent="0.25">
      <c r="B16" s="45"/>
      <c r="C16" s="15" t="s">
        <v>48</v>
      </c>
    </row>
    <row r="17" spans="2:3" x14ac:dyDescent="0.25">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5" x14ac:dyDescent="0.25"/>
  <cols>
    <col min="2" max="2" width="23.42578125" bestFit="1" customWidth="1"/>
    <col min="3" max="3" width="10.5703125" bestFit="1" customWidth="1"/>
  </cols>
  <sheetData>
    <row r="2" spans="2:3" x14ac:dyDescent="0.25">
      <c r="B2" s="15" t="s">
        <v>52</v>
      </c>
      <c r="C2" s="250">
        <v>75000</v>
      </c>
    </row>
    <row r="3" spans="2:3" x14ac:dyDescent="0.25">
      <c r="B3" s="15" t="s">
        <v>53</v>
      </c>
      <c r="C3" s="251">
        <v>2</v>
      </c>
    </row>
    <row r="4" spans="2:3" x14ac:dyDescent="0.25">
      <c r="B4" s="15" t="s">
        <v>54</v>
      </c>
      <c r="C4" s="252">
        <v>0.14000000000000001</v>
      </c>
    </row>
    <row r="7" spans="2:3" x14ac:dyDescent="0.25">
      <c r="B7" s="15" t="s">
        <v>55</v>
      </c>
      <c r="C7" s="253">
        <f>C2/C3</f>
        <v>37500</v>
      </c>
    </row>
    <row r="8" spans="2:3" x14ac:dyDescent="0.25">
      <c r="B8" s="15" t="s">
        <v>56</v>
      </c>
      <c r="C8" s="253">
        <f>C2*C4*C3/12/C3</f>
        <v>875.00000000000011</v>
      </c>
    </row>
    <row r="9" spans="2:3" x14ac:dyDescent="0.25">
      <c r="B9" s="15" t="s">
        <v>57</v>
      </c>
      <c r="C9" s="254">
        <f>SUM(C7:C8)</f>
        <v>38375</v>
      </c>
    </row>
    <row r="11" spans="2:3" x14ac:dyDescent="0.25">
      <c r="B11" s="15" t="s">
        <v>58</v>
      </c>
      <c r="C11" s="255">
        <f>RATE(C3,C9,-C2,0,0)*12</f>
        <v>0.18618889668268404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30BAC-1657-4379-9F21-041BF38A291D}">
  <sheetPr>
    <tabColor theme="9" tint="0.79998168889431442"/>
    <pageSetUpPr fitToPage="1"/>
  </sheetPr>
  <dimension ref="C3:Y82"/>
  <sheetViews>
    <sheetView showGridLines="0" view="pageBreakPreview" topLeftCell="A6" zoomScale="70" zoomScaleNormal="100" zoomScaleSheetLayoutView="70" workbookViewId="0">
      <selection activeCell="M25" sqref="M25"/>
    </sheetView>
  </sheetViews>
  <sheetFormatPr defaultColWidth="9" defaultRowHeight="15" x14ac:dyDescent="0.25"/>
  <cols>
    <col min="1" max="1" width="9" style="556"/>
    <col min="2" max="3" width="1.5703125" style="556" customWidth="1"/>
    <col min="4" max="11" width="13.5703125" style="562" customWidth="1"/>
    <col min="12" max="12" width="26.5703125" style="557" customWidth="1"/>
    <col min="13" max="13" width="25.5703125" style="558" customWidth="1"/>
    <col min="14" max="14" width="1.5703125" style="558" customWidth="1"/>
    <col min="15" max="15" width="25.5703125" style="558" customWidth="1"/>
    <col min="16" max="16" width="1.5703125" style="558" customWidth="1"/>
    <col min="17" max="17" width="25.5703125" style="558" customWidth="1"/>
    <col min="18" max="19" width="1.5703125" style="556" customWidth="1"/>
    <col min="20" max="20" width="28.5703125" style="556" bestFit="1" customWidth="1"/>
    <col min="21" max="21" width="9" style="556"/>
    <col min="22" max="22" width="51" style="556" customWidth="1"/>
    <col min="23" max="23" width="9" style="556"/>
    <col min="24" max="24" width="13.7109375" style="556" bestFit="1" customWidth="1"/>
    <col min="25" max="16384" width="9" style="556"/>
  </cols>
  <sheetData>
    <row r="3" spans="4:25" ht="23.25" x14ac:dyDescent="0.25">
      <c r="D3" s="773" t="s">
        <v>729</v>
      </c>
      <c r="E3" s="773"/>
      <c r="F3" s="773"/>
      <c r="G3" s="773"/>
      <c r="H3" s="773"/>
      <c r="I3" s="773"/>
      <c r="J3" s="773"/>
      <c r="K3" s="773"/>
      <c r="L3" s="773"/>
      <c r="M3" s="773"/>
      <c r="N3" s="773"/>
      <c r="O3" s="773"/>
      <c r="P3" s="773"/>
      <c r="Q3" s="773"/>
    </row>
    <row r="4" spans="4:25" s="492" customFormat="1" ht="17.25" x14ac:dyDescent="0.3">
      <c r="F4" s="495"/>
      <c r="G4" s="495"/>
      <c r="H4" s="495"/>
      <c r="I4" s="495"/>
      <c r="J4" s="495"/>
      <c r="K4" s="495"/>
      <c r="L4" s="496"/>
      <c r="M4" s="497"/>
      <c r="N4" s="497"/>
      <c r="O4" s="497"/>
      <c r="P4" s="497"/>
      <c r="Q4" s="497"/>
    </row>
    <row r="5" spans="4:25" s="492" customFormat="1" ht="17.25" x14ac:dyDescent="0.3">
      <c r="F5" s="495"/>
      <c r="G5" s="495"/>
      <c r="H5" s="495"/>
      <c r="I5" s="495"/>
      <c r="J5" s="495"/>
      <c r="K5" s="495"/>
      <c r="L5" s="496"/>
      <c r="M5" s="497"/>
      <c r="N5" s="497"/>
      <c r="O5" s="497"/>
      <c r="P5" s="497"/>
      <c r="Q5" s="497"/>
    </row>
    <row r="6" spans="4:25" s="492" customFormat="1" ht="36.6" customHeight="1" x14ac:dyDescent="0.3">
      <c r="D6" s="494" t="s">
        <v>710</v>
      </c>
      <c r="E6" s="495" t="s">
        <v>920</v>
      </c>
      <c r="F6" s="498"/>
      <c r="G6" s="498"/>
      <c r="H6" s="777" t="s">
        <v>678</v>
      </c>
      <c r="I6" s="777"/>
      <c r="J6" s="495" t="s">
        <v>986</v>
      </c>
      <c r="K6" s="498"/>
      <c r="L6" s="496"/>
      <c r="M6" s="499" t="s">
        <v>84</v>
      </c>
      <c r="N6" s="497"/>
      <c r="O6" s="499" t="s">
        <v>800</v>
      </c>
      <c r="P6" s="497"/>
      <c r="Q6" s="499" t="s">
        <v>736</v>
      </c>
    </row>
    <row r="7" spans="4:25" s="492" customFormat="1" ht="33.75" customHeight="1" x14ac:dyDescent="0.3">
      <c r="D7" s="494" t="s">
        <v>711</v>
      </c>
      <c r="E7" s="495" t="s">
        <v>1005</v>
      </c>
      <c r="F7" s="498"/>
      <c r="G7" s="498"/>
      <c r="H7" s="777" t="s">
        <v>679</v>
      </c>
      <c r="I7" s="777"/>
      <c r="J7" s="728">
        <v>46106</v>
      </c>
      <c r="K7" s="498"/>
      <c r="L7" s="500" t="s">
        <v>401</v>
      </c>
      <c r="M7" s="713" t="s">
        <v>937</v>
      </c>
      <c r="N7" s="497"/>
      <c r="O7" s="501" t="s">
        <v>935</v>
      </c>
      <c r="P7" s="497"/>
      <c r="Q7" s="501" t="s">
        <v>936</v>
      </c>
    </row>
    <row r="8" spans="4:25" s="492" customFormat="1" ht="17.25" x14ac:dyDescent="0.3">
      <c r="D8" s="494" t="s">
        <v>712</v>
      </c>
      <c r="E8" s="727" t="s">
        <v>1006</v>
      </c>
      <c r="F8" s="498"/>
      <c r="G8" s="498"/>
      <c r="H8" s="498"/>
      <c r="I8" s="498"/>
      <c r="J8" s="498"/>
      <c r="K8" s="498"/>
      <c r="L8" s="700" t="s">
        <v>679</v>
      </c>
      <c r="M8" s="703">
        <f>J7</f>
        <v>46106</v>
      </c>
      <c r="N8" s="497"/>
      <c r="O8" s="703">
        <f>J7</f>
        <v>46106</v>
      </c>
      <c r="P8" s="497"/>
      <c r="Q8" s="703">
        <f>J7</f>
        <v>46106</v>
      </c>
      <c r="R8" s="498"/>
      <c r="S8" s="498"/>
    </row>
    <row r="9" spans="4:25" s="492" customFormat="1" ht="17.25" x14ac:dyDescent="0.3">
      <c r="D9" s="498"/>
      <c r="E9" s="498"/>
      <c r="F9" s="498"/>
      <c r="G9" s="498"/>
      <c r="H9" s="498"/>
      <c r="I9" s="498"/>
      <c r="J9" s="498"/>
      <c r="K9" s="498"/>
      <c r="L9" s="502" t="s">
        <v>731</v>
      </c>
      <c r="M9" s="503"/>
      <c r="N9" s="497"/>
      <c r="O9" s="503"/>
      <c r="P9" s="497"/>
      <c r="Q9" s="503"/>
    </row>
    <row r="10" spans="4:25" s="492" customFormat="1" ht="28.5" customHeight="1" x14ac:dyDescent="0.3">
      <c r="D10" s="755" t="s">
        <v>732</v>
      </c>
      <c r="E10" s="756"/>
      <c r="F10" s="756"/>
      <c r="G10" s="756"/>
      <c r="H10" s="756"/>
      <c r="I10" s="756"/>
      <c r="J10" s="756"/>
      <c r="K10" s="756"/>
      <c r="L10" s="504" t="s">
        <v>90</v>
      </c>
      <c r="M10" s="503"/>
      <c r="N10" s="497"/>
      <c r="O10" s="503"/>
      <c r="P10" s="497"/>
      <c r="Q10" s="503"/>
    </row>
    <row r="11" spans="4:25" s="492" customFormat="1" ht="20.100000000000001" customHeight="1" x14ac:dyDescent="0.3">
      <c r="D11" s="770" t="s">
        <v>733</v>
      </c>
      <c r="E11" s="771"/>
      <c r="F11" s="771"/>
      <c r="G11" s="771"/>
      <c r="H11" s="771"/>
      <c r="I11" s="771"/>
      <c r="J11" s="771"/>
      <c r="K11" s="771"/>
      <c r="L11" s="505"/>
      <c r="M11" s="506">
        <v>638</v>
      </c>
      <c r="N11" s="497"/>
      <c r="O11" s="506">
        <v>458</v>
      </c>
      <c r="P11" s="497"/>
      <c r="Q11" s="506">
        <v>599</v>
      </c>
      <c r="V11" s="603" t="s">
        <v>84</v>
      </c>
      <c r="X11" s="696">
        <v>42781</v>
      </c>
      <c r="Y11" s="492">
        <f>DATEDIF(X11,X12,"Y")</f>
        <v>8</v>
      </c>
    </row>
    <row r="12" spans="4:25" s="492" customFormat="1" ht="20.100000000000001" customHeight="1" x14ac:dyDescent="0.3">
      <c r="D12" s="786" t="s">
        <v>734</v>
      </c>
      <c r="E12" s="787"/>
      <c r="F12" s="787"/>
      <c r="G12" s="787"/>
      <c r="H12" s="787"/>
      <c r="I12" s="787"/>
      <c r="J12" s="787"/>
      <c r="K12" s="788"/>
      <c r="L12" s="604" t="s">
        <v>801</v>
      </c>
      <c r="M12" s="506" t="s">
        <v>63</v>
      </c>
      <c r="N12" s="497"/>
      <c r="O12" s="712" t="s">
        <v>66</v>
      </c>
      <c r="P12" s="497"/>
      <c r="Q12" s="506" t="s">
        <v>64</v>
      </c>
      <c r="V12" s="603" t="s">
        <v>730</v>
      </c>
      <c r="X12" s="696">
        <v>45854</v>
      </c>
    </row>
    <row r="13" spans="4:25" s="492" customFormat="1" ht="34.5" x14ac:dyDescent="0.3">
      <c r="D13" s="770" t="s">
        <v>802</v>
      </c>
      <c r="E13" s="771"/>
      <c r="F13" s="771"/>
      <c r="G13" s="771"/>
      <c r="H13" s="771"/>
      <c r="I13" s="771"/>
      <c r="J13" s="771"/>
      <c r="K13" s="772"/>
      <c r="L13" s="605" t="s">
        <v>803</v>
      </c>
      <c r="M13" s="507" t="s">
        <v>51</v>
      </c>
      <c r="N13" s="497"/>
      <c r="O13" s="508" t="s">
        <v>13</v>
      </c>
      <c r="P13" s="497"/>
      <c r="Q13" s="508" t="s">
        <v>13</v>
      </c>
      <c r="V13" s="603" t="s">
        <v>736</v>
      </c>
    </row>
    <row r="14" spans="4:25" s="492" customFormat="1" ht="17.25" x14ac:dyDescent="0.3">
      <c r="D14" s="770" t="s">
        <v>804</v>
      </c>
      <c r="E14" s="771"/>
      <c r="F14" s="771"/>
      <c r="G14" s="771"/>
      <c r="H14" s="771"/>
      <c r="I14" s="771"/>
      <c r="J14" s="771"/>
      <c r="K14" s="772"/>
      <c r="L14" s="605" t="s">
        <v>5</v>
      </c>
      <c r="M14" s="508" t="s">
        <v>13</v>
      </c>
      <c r="N14" s="497"/>
      <c r="O14" s="507" t="s">
        <v>51</v>
      </c>
      <c r="P14" s="497"/>
      <c r="Q14" s="508" t="s">
        <v>13</v>
      </c>
      <c r="V14" s="603" t="s">
        <v>85</v>
      </c>
    </row>
    <row r="15" spans="4:25" s="492" customFormat="1" ht="20.100000000000001" customHeight="1" x14ac:dyDescent="0.3">
      <c r="D15" s="770" t="s">
        <v>735</v>
      </c>
      <c r="E15" s="771"/>
      <c r="F15" s="771"/>
      <c r="G15" s="771"/>
      <c r="H15" s="771"/>
      <c r="I15" s="771"/>
      <c r="J15" s="771"/>
      <c r="K15" s="771"/>
      <c r="L15" s="505" t="s">
        <v>805</v>
      </c>
      <c r="M15" s="506" t="s">
        <v>911</v>
      </c>
      <c r="N15" s="497"/>
      <c r="O15" s="508" t="s">
        <v>13</v>
      </c>
      <c r="P15" s="497"/>
      <c r="Q15" s="508" t="s">
        <v>13</v>
      </c>
      <c r="V15" s="606" t="s">
        <v>890</v>
      </c>
    </row>
    <row r="16" spans="4:25" s="492" customFormat="1" ht="20.100000000000001" customHeight="1" x14ac:dyDescent="0.3">
      <c r="D16" s="770" t="s">
        <v>92</v>
      </c>
      <c r="E16" s="771"/>
      <c r="F16" s="771"/>
      <c r="G16" s="771"/>
      <c r="H16" s="771"/>
      <c r="I16" s="771"/>
      <c r="J16" s="771"/>
      <c r="K16" s="771"/>
      <c r="L16" s="505" t="s">
        <v>51</v>
      </c>
      <c r="M16" s="506" t="s">
        <v>5</v>
      </c>
      <c r="N16" s="497"/>
      <c r="O16" s="508" t="s">
        <v>13</v>
      </c>
      <c r="P16" s="497"/>
      <c r="Q16" s="508" t="s">
        <v>13</v>
      </c>
    </row>
    <row r="17" spans="4:17" s="492" customFormat="1" ht="20.100000000000001" customHeight="1" x14ac:dyDescent="0.3">
      <c r="D17" s="770" t="s">
        <v>93</v>
      </c>
      <c r="E17" s="771"/>
      <c r="F17" s="771"/>
      <c r="G17" s="771"/>
      <c r="H17" s="771"/>
      <c r="I17" s="771"/>
      <c r="J17" s="771"/>
      <c r="K17" s="771"/>
      <c r="L17" s="607" t="s">
        <v>806</v>
      </c>
      <c r="M17" s="506">
        <v>0</v>
      </c>
      <c r="N17" s="497"/>
      <c r="O17" s="506">
        <v>0</v>
      </c>
      <c r="P17" s="497"/>
      <c r="Q17" s="506">
        <v>0</v>
      </c>
    </row>
    <row r="18" spans="4:17" s="492" customFormat="1" ht="17.25" x14ac:dyDescent="0.3">
      <c r="D18" s="770" t="s">
        <v>807</v>
      </c>
      <c r="E18" s="771"/>
      <c r="F18" s="771"/>
      <c r="G18" s="771"/>
      <c r="H18" s="771"/>
      <c r="I18" s="771"/>
      <c r="J18" s="771"/>
      <c r="K18" s="772"/>
      <c r="L18" s="505" t="s">
        <v>808</v>
      </c>
      <c r="M18" s="506">
        <v>2</v>
      </c>
      <c r="N18" s="497"/>
      <c r="O18" s="506">
        <v>0</v>
      </c>
      <c r="P18" s="497"/>
      <c r="Q18" s="506">
        <v>0</v>
      </c>
    </row>
    <row r="19" spans="4:17" s="492" customFormat="1" ht="34.5" x14ac:dyDescent="0.3">
      <c r="D19" s="770" t="s">
        <v>809</v>
      </c>
      <c r="E19" s="771"/>
      <c r="F19" s="771"/>
      <c r="G19" s="771"/>
      <c r="H19" s="771"/>
      <c r="I19" s="771"/>
      <c r="J19" s="771"/>
      <c r="K19" s="772"/>
      <c r="L19" s="505" t="s">
        <v>810</v>
      </c>
      <c r="M19" s="506">
        <v>1</v>
      </c>
      <c r="N19" s="497"/>
      <c r="O19" s="506">
        <v>0</v>
      </c>
      <c r="P19" s="497"/>
      <c r="Q19" s="506">
        <v>0</v>
      </c>
    </row>
    <row r="20" spans="4:17" s="492" customFormat="1" ht="17.25" x14ac:dyDescent="0.3">
      <c r="D20" s="770" t="s">
        <v>811</v>
      </c>
      <c r="E20" s="771"/>
      <c r="F20" s="771"/>
      <c r="G20" s="771"/>
      <c r="H20" s="771"/>
      <c r="I20" s="771"/>
      <c r="J20" s="771"/>
      <c r="K20" s="771"/>
      <c r="L20" s="607" t="s">
        <v>806</v>
      </c>
      <c r="M20" s="506">
        <v>0</v>
      </c>
      <c r="N20" s="497"/>
      <c r="O20" s="506">
        <v>0</v>
      </c>
      <c r="P20" s="497"/>
      <c r="Q20" s="506">
        <v>0</v>
      </c>
    </row>
    <row r="21" spans="4:17" s="492" customFormat="1" ht="17.25" x14ac:dyDescent="0.3">
      <c r="D21" s="770" t="s">
        <v>812</v>
      </c>
      <c r="E21" s="771"/>
      <c r="F21" s="771"/>
      <c r="G21" s="771"/>
      <c r="H21" s="771"/>
      <c r="I21" s="771"/>
      <c r="J21" s="771"/>
      <c r="K21" s="771"/>
      <c r="L21" s="505" t="s">
        <v>808</v>
      </c>
      <c r="M21" s="506">
        <v>7</v>
      </c>
      <c r="N21" s="497"/>
      <c r="O21" s="506">
        <v>14</v>
      </c>
      <c r="P21" s="497"/>
      <c r="Q21" s="506">
        <v>9</v>
      </c>
    </row>
    <row r="22" spans="4:17" s="492" customFormat="1" ht="17.25" x14ac:dyDescent="0.3">
      <c r="D22" s="770" t="s">
        <v>813</v>
      </c>
      <c r="E22" s="771"/>
      <c r="F22" s="771"/>
      <c r="G22" s="771"/>
      <c r="H22" s="771"/>
      <c r="I22" s="771"/>
      <c r="J22" s="771"/>
      <c r="K22" s="771"/>
      <c r="L22" s="607" t="s">
        <v>806</v>
      </c>
      <c r="M22" s="506">
        <v>0</v>
      </c>
      <c r="N22" s="497"/>
      <c r="O22" s="506">
        <v>0</v>
      </c>
      <c r="P22" s="497"/>
      <c r="Q22" s="506">
        <v>0</v>
      </c>
    </row>
    <row r="23" spans="4:17" s="492" customFormat="1" ht="51.75" x14ac:dyDescent="0.3">
      <c r="D23" s="770" t="s">
        <v>741</v>
      </c>
      <c r="E23" s="771"/>
      <c r="F23" s="771"/>
      <c r="G23" s="771"/>
      <c r="H23" s="771"/>
      <c r="I23" s="771"/>
      <c r="J23" s="771"/>
      <c r="K23" s="771"/>
      <c r="L23" s="505" t="s">
        <v>814</v>
      </c>
      <c r="M23" s="510">
        <v>0</v>
      </c>
      <c r="N23" s="497"/>
      <c r="O23" s="510">
        <v>0</v>
      </c>
      <c r="P23" s="497"/>
      <c r="Q23" s="510">
        <v>0</v>
      </c>
    </row>
    <row r="24" spans="4:17" s="492" customFormat="1" ht="34.5" x14ac:dyDescent="0.3">
      <c r="D24" s="770" t="s">
        <v>815</v>
      </c>
      <c r="E24" s="771"/>
      <c r="F24" s="771"/>
      <c r="G24" s="771"/>
      <c r="H24" s="771"/>
      <c r="I24" s="771"/>
      <c r="J24" s="771"/>
      <c r="K24" s="771"/>
      <c r="L24" s="607" t="s">
        <v>740</v>
      </c>
      <c r="M24" s="506">
        <v>0</v>
      </c>
      <c r="N24" s="497"/>
      <c r="O24" s="506">
        <v>0</v>
      </c>
      <c r="P24" s="497"/>
      <c r="Q24" s="506">
        <v>0</v>
      </c>
    </row>
    <row r="25" spans="4:17" s="492" customFormat="1" ht="17.25" x14ac:dyDescent="0.3">
      <c r="D25" s="770" t="s">
        <v>903</v>
      </c>
      <c r="E25" s="771"/>
      <c r="F25" s="771"/>
      <c r="G25" s="771"/>
      <c r="H25" s="771"/>
      <c r="I25" s="771"/>
      <c r="J25" s="771"/>
      <c r="K25" s="771"/>
      <c r="L25" s="505" t="s">
        <v>745</v>
      </c>
      <c r="M25" s="506">
        <v>3</v>
      </c>
      <c r="N25" s="497"/>
      <c r="O25" s="506">
        <v>4</v>
      </c>
      <c r="P25" s="497"/>
      <c r="Q25" s="506">
        <v>0</v>
      </c>
    </row>
    <row r="26" spans="4:17" s="492" customFormat="1" ht="20.100000000000001" customHeight="1" x14ac:dyDescent="0.3">
      <c r="D26" s="770" t="s">
        <v>737</v>
      </c>
      <c r="E26" s="771"/>
      <c r="F26" s="771"/>
      <c r="G26" s="771"/>
      <c r="H26" s="771"/>
      <c r="I26" s="771"/>
      <c r="J26" s="771"/>
      <c r="K26" s="771"/>
      <c r="L26" s="607" t="s">
        <v>806</v>
      </c>
      <c r="M26" s="506">
        <v>0</v>
      </c>
      <c r="N26" s="497"/>
      <c r="O26" s="506">
        <v>0</v>
      </c>
      <c r="P26" s="497"/>
      <c r="Q26" s="506">
        <v>0</v>
      </c>
    </row>
    <row r="27" spans="4:17" s="492" customFormat="1" ht="20.100000000000001" customHeight="1" x14ac:dyDescent="0.3">
      <c r="D27" s="770" t="s">
        <v>738</v>
      </c>
      <c r="E27" s="771"/>
      <c r="F27" s="771"/>
      <c r="G27" s="771"/>
      <c r="H27" s="771"/>
      <c r="I27" s="771"/>
      <c r="J27" s="771"/>
      <c r="K27" s="771"/>
      <c r="L27" s="505" t="s">
        <v>808</v>
      </c>
      <c r="M27" s="509">
        <v>1829942</v>
      </c>
      <c r="N27" s="497"/>
      <c r="O27" s="509">
        <v>3152601</v>
      </c>
      <c r="P27" s="497"/>
      <c r="Q27" s="509">
        <v>381966</v>
      </c>
    </row>
    <row r="28" spans="4:17" s="492" customFormat="1" ht="20.100000000000001" customHeight="1" x14ac:dyDescent="0.3">
      <c r="D28" s="770" t="s">
        <v>739</v>
      </c>
      <c r="E28" s="771"/>
      <c r="F28" s="771"/>
      <c r="G28" s="771"/>
      <c r="H28" s="771"/>
      <c r="I28" s="771"/>
      <c r="J28" s="771"/>
      <c r="K28" s="771"/>
      <c r="L28" s="505" t="s">
        <v>808</v>
      </c>
      <c r="M28" s="509">
        <v>2600000</v>
      </c>
      <c r="N28" s="497"/>
      <c r="O28" s="509">
        <v>3415180</v>
      </c>
      <c r="P28" s="497"/>
      <c r="Q28" s="509">
        <v>729000</v>
      </c>
    </row>
    <row r="29" spans="4:17" s="492" customFormat="1" ht="34.5" customHeight="1" x14ac:dyDescent="0.3">
      <c r="D29" s="770" t="s">
        <v>816</v>
      </c>
      <c r="E29" s="771"/>
      <c r="F29" s="771"/>
      <c r="G29" s="771"/>
      <c r="H29" s="771"/>
      <c r="I29" s="771"/>
      <c r="J29" s="771"/>
      <c r="K29" s="771"/>
      <c r="L29" s="505" t="s">
        <v>5</v>
      </c>
      <c r="M29" s="506" t="s">
        <v>13</v>
      </c>
      <c r="N29" s="497"/>
      <c r="O29" s="508" t="s">
        <v>13</v>
      </c>
      <c r="P29" s="497"/>
      <c r="Q29" s="508" t="s">
        <v>13</v>
      </c>
    </row>
    <row r="30" spans="4:17" s="492" customFormat="1" ht="42" customHeight="1" x14ac:dyDescent="0.3">
      <c r="D30" s="770" t="s">
        <v>817</v>
      </c>
      <c r="E30" s="771"/>
      <c r="F30" s="771"/>
      <c r="G30" s="771"/>
      <c r="H30" s="771"/>
      <c r="I30" s="771"/>
      <c r="J30" s="771"/>
      <c r="K30" s="771"/>
      <c r="L30" s="505" t="s">
        <v>5</v>
      </c>
      <c r="M30" s="506" t="s">
        <v>13</v>
      </c>
      <c r="N30" s="497"/>
      <c r="O30" s="508" t="s">
        <v>13</v>
      </c>
      <c r="P30" s="497"/>
      <c r="Q30" s="508" t="s">
        <v>13</v>
      </c>
    </row>
    <row r="31" spans="4:17" s="492" customFormat="1" ht="86.25" customHeight="1" x14ac:dyDescent="0.3">
      <c r="D31" s="770" t="s">
        <v>742</v>
      </c>
      <c r="E31" s="771"/>
      <c r="F31" s="771"/>
      <c r="G31" s="771"/>
      <c r="H31" s="771"/>
      <c r="I31" s="771"/>
      <c r="J31" s="771"/>
      <c r="K31" s="771"/>
      <c r="L31" s="505" t="s">
        <v>818</v>
      </c>
      <c r="M31" s="510" t="s">
        <v>999</v>
      </c>
      <c r="N31" s="497"/>
      <c r="O31" s="510" t="s">
        <v>1000</v>
      </c>
      <c r="P31" s="497"/>
      <c r="Q31" s="510" t="s">
        <v>1007</v>
      </c>
    </row>
    <row r="32" spans="4:17" s="492" customFormat="1" ht="20.100000000000001" customHeight="1" x14ac:dyDescent="0.3">
      <c r="D32" s="770" t="s">
        <v>743</v>
      </c>
      <c r="E32" s="771"/>
      <c r="F32" s="771"/>
      <c r="G32" s="771"/>
      <c r="H32" s="771"/>
      <c r="I32" s="771"/>
      <c r="J32" s="771"/>
      <c r="K32" s="771"/>
      <c r="L32" s="505" t="s">
        <v>744</v>
      </c>
      <c r="M32" s="506" t="s">
        <v>13</v>
      </c>
      <c r="N32" s="497"/>
      <c r="O32" s="506" t="s">
        <v>13</v>
      </c>
      <c r="P32" s="497"/>
      <c r="Q32" s="506" t="s">
        <v>13</v>
      </c>
    </row>
    <row r="33" spans="4:17" s="492" customFormat="1" ht="42" customHeight="1" x14ac:dyDescent="0.3">
      <c r="D33" s="770" t="s">
        <v>819</v>
      </c>
      <c r="E33" s="771"/>
      <c r="F33" s="771"/>
      <c r="G33" s="771"/>
      <c r="H33" s="771"/>
      <c r="I33" s="771"/>
      <c r="J33" s="771"/>
      <c r="K33" s="771"/>
      <c r="L33" s="505" t="s">
        <v>5</v>
      </c>
      <c r="M33" s="506" t="s">
        <v>13</v>
      </c>
      <c r="N33" s="497"/>
      <c r="O33" s="508" t="s">
        <v>13</v>
      </c>
      <c r="P33" s="497"/>
      <c r="Q33" s="508" t="s">
        <v>13</v>
      </c>
    </row>
    <row r="34" spans="4:17" s="492" customFormat="1" ht="69" customHeight="1" x14ac:dyDescent="0.3">
      <c r="D34" s="770" t="s">
        <v>820</v>
      </c>
      <c r="E34" s="771"/>
      <c r="F34" s="771"/>
      <c r="G34" s="771"/>
      <c r="H34" s="771"/>
      <c r="I34" s="771"/>
      <c r="J34" s="771"/>
      <c r="K34" s="771"/>
      <c r="L34" s="505" t="s">
        <v>818</v>
      </c>
      <c r="M34" s="506" t="s">
        <v>13</v>
      </c>
      <c r="N34" s="497"/>
      <c r="O34" s="506" t="s">
        <v>13</v>
      </c>
      <c r="P34" s="497"/>
      <c r="Q34" s="506" t="s">
        <v>13</v>
      </c>
    </row>
    <row r="35" spans="4:17" s="492" customFormat="1" ht="20.100000000000001" customHeight="1" x14ac:dyDescent="0.3">
      <c r="D35" s="770" t="s">
        <v>821</v>
      </c>
      <c r="E35" s="771"/>
      <c r="F35" s="771"/>
      <c r="G35" s="771"/>
      <c r="H35" s="771"/>
      <c r="I35" s="771"/>
      <c r="J35" s="771"/>
      <c r="K35" s="771"/>
      <c r="L35" s="505" t="s">
        <v>744</v>
      </c>
      <c r="M35" s="506" t="s">
        <v>13</v>
      </c>
      <c r="N35" s="497"/>
      <c r="O35" s="506" t="s">
        <v>13</v>
      </c>
      <c r="P35" s="497"/>
      <c r="Q35" s="506" t="s">
        <v>13</v>
      </c>
    </row>
    <row r="36" spans="4:17" s="492" customFormat="1" ht="34.5" x14ac:dyDescent="0.3">
      <c r="D36" s="770" t="s">
        <v>822</v>
      </c>
      <c r="E36" s="771"/>
      <c r="F36" s="771"/>
      <c r="G36" s="771"/>
      <c r="H36" s="771"/>
      <c r="I36" s="771"/>
      <c r="J36" s="771"/>
      <c r="K36" s="772"/>
      <c r="L36" s="505" t="s">
        <v>823</v>
      </c>
      <c r="M36" s="506" t="s">
        <v>51</v>
      </c>
      <c r="N36" s="497"/>
      <c r="O36" s="508" t="s">
        <v>13</v>
      </c>
      <c r="P36" s="497"/>
      <c r="Q36" s="508" t="s">
        <v>13</v>
      </c>
    </row>
    <row r="37" spans="4:17" s="492" customFormat="1" ht="36.75" customHeight="1" x14ac:dyDescent="0.3">
      <c r="D37" s="770" t="s">
        <v>824</v>
      </c>
      <c r="E37" s="771"/>
      <c r="F37" s="771"/>
      <c r="G37" s="771"/>
      <c r="H37" s="771"/>
      <c r="I37" s="771"/>
      <c r="J37" s="771"/>
      <c r="K37" s="772"/>
      <c r="L37" s="505" t="s">
        <v>825</v>
      </c>
      <c r="M37" s="510" t="s">
        <v>51</v>
      </c>
      <c r="N37" s="497"/>
      <c r="O37" s="508" t="s">
        <v>13</v>
      </c>
      <c r="P37" s="497"/>
      <c r="Q37" s="508" t="s">
        <v>13</v>
      </c>
    </row>
    <row r="38" spans="4:17" s="492" customFormat="1" ht="32.450000000000003" customHeight="1" x14ac:dyDescent="0.3">
      <c r="D38" s="770" t="s">
        <v>746</v>
      </c>
      <c r="E38" s="771"/>
      <c r="F38" s="771"/>
      <c r="G38" s="771"/>
      <c r="H38" s="771"/>
      <c r="I38" s="771"/>
      <c r="J38" s="771"/>
      <c r="K38" s="771"/>
      <c r="L38" s="505" t="s">
        <v>826</v>
      </c>
      <c r="M38" s="506" t="s">
        <v>913</v>
      </c>
      <c r="N38" s="497"/>
      <c r="O38" s="506" t="s">
        <v>913</v>
      </c>
      <c r="P38" s="497"/>
      <c r="Q38" s="506" t="s">
        <v>913</v>
      </c>
    </row>
    <row r="39" spans="4:17" s="492" customFormat="1" ht="32.450000000000003" customHeight="1" x14ac:dyDescent="0.3">
      <c r="D39" s="770" t="s">
        <v>747</v>
      </c>
      <c r="E39" s="771"/>
      <c r="F39" s="771"/>
      <c r="G39" s="771"/>
      <c r="H39" s="771"/>
      <c r="I39" s="771"/>
      <c r="J39" s="771"/>
      <c r="K39" s="771"/>
      <c r="L39" s="505" t="s">
        <v>826</v>
      </c>
      <c r="M39" s="506" t="s">
        <v>913</v>
      </c>
      <c r="N39" s="497"/>
      <c r="O39" s="506" t="s">
        <v>913</v>
      </c>
      <c r="P39" s="497"/>
      <c r="Q39" s="506" t="s">
        <v>913</v>
      </c>
    </row>
    <row r="40" spans="4:17" s="492" customFormat="1" ht="17.25" x14ac:dyDescent="0.3">
      <c r="D40" s="770" t="s">
        <v>827</v>
      </c>
      <c r="E40" s="771"/>
      <c r="F40" s="771"/>
      <c r="G40" s="771"/>
      <c r="H40" s="771"/>
      <c r="I40" s="771"/>
      <c r="J40" s="771"/>
      <c r="K40" s="771"/>
      <c r="L40" s="505" t="s">
        <v>5</v>
      </c>
      <c r="M40" s="506" t="s">
        <v>51</v>
      </c>
      <c r="N40" s="497"/>
      <c r="O40" s="508" t="s">
        <v>13</v>
      </c>
      <c r="P40" s="497"/>
      <c r="Q40" s="508" t="s">
        <v>13</v>
      </c>
    </row>
    <row r="41" spans="4:17" s="492" customFormat="1" ht="17.25" x14ac:dyDescent="0.3">
      <c r="D41" s="770" t="s">
        <v>828</v>
      </c>
      <c r="E41" s="771"/>
      <c r="F41" s="771"/>
      <c r="G41" s="771"/>
      <c r="H41" s="771"/>
      <c r="I41" s="771"/>
      <c r="J41" s="771"/>
      <c r="K41" s="771"/>
      <c r="L41" s="505" t="s">
        <v>829</v>
      </c>
      <c r="M41" s="506" t="s">
        <v>912</v>
      </c>
      <c r="N41" s="497"/>
      <c r="O41" s="508" t="s">
        <v>13</v>
      </c>
      <c r="P41" s="497"/>
      <c r="Q41" s="508" t="s">
        <v>13</v>
      </c>
    </row>
    <row r="42" spans="4:17" x14ac:dyDescent="0.25">
      <c r="D42" s="557"/>
      <c r="E42" s="557"/>
      <c r="F42" s="557"/>
      <c r="G42" s="557"/>
      <c r="H42" s="557"/>
      <c r="I42" s="557"/>
      <c r="J42" s="557"/>
      <c r="K42" s="557"/>
    </row>
    <row r="43" spans="4:17" x14ac:dyDescent="0.25">
      <c r="D43" s="559"/>
      <c r="E43" s="560"/>
      <c r="F43" s="560"/>
      <c r="G43" s="560"/>
      <c r="H43" s="560"/>
      <c r="I43" s="561"/>
      <c r="J43" s="557"/>
      <c r="K43" s="557"/>
    </row>
    <row r="44" spans="4:17" ht="15" customHeight="1" x14ac:dyDescent="0.25">
      <c r="D44" s="791" t="s">
        <v>748</v>
      </c>
      <c r="E44" s="792"/>
      <c r="F44" s="792"/>
      <c r="G44" s="792"/>
      <c r="H44" s="475"/>
      <c r="I44" s="511"/>
      <c r="J44" s="475"/>
      <c r="L44" s="562"/>
    </row>
    <row r="45" spans="4:17" x14ac:dyDescent="0.25">
      <c r="D45" s="791"/>
      <c r="E45" s="792"/>
      <c r="F45" s="792"/>
      <c r="G45" s="792"/>
      <c r="H45" s="475"/>
      <c r="I45" s="511"/>
      <c r="J45" s="475"/>
    </row>
    <row r="46" spans="4:17" x14ac:dyDescent="0.25">
      <c r="D46" s="512"/>
      <c r="E46" s="513"/>
      <c r="F46" s="513"/>
      <c r="G46" s="513"/>
      <c r="H46" s="513"/>
      <c r="I46" s="514"/>
      <c r="J46" s="475"/>
      <c r="K46" s="475"/>
    </row>
    <row r="47" spans="4:17" ht="5.0999999999999996" customHeight="1" x14ac:dyDescent="0.25">
      <c r="D47" s="475"/>
      <c r="E47" s="475"/>
      <c r="F47" s="475"/>
      <c r="G47" s="475"/>
      <c r="H47" s="475"/>
      <c r="I47" s="475"/>
      <c r="J47" s="475"/>
      <c r="K47" s="475"/>
    </row>
    <row r="48" spans="4:17" ht="19.5" thickBot="1" x14ac:dyDescent="0.35">
      <c r="D48" s="515" t="s">
        <v>749</v>
      </c>
      <c r="E48" s="516"/>
      <c r="F48" s="516"/>
      <c r="G48" s="516"/>
      <c r="H48" s="516"/>
      <c r="I48" s="516"/>
      <c r="J48" s="516"/>
      <c r="K48" s="516"/>
      <c r="L48" s="434"/>
      <c r="M48" s="491"/>
      <c r="N48" s="491"/>
      <c r="O48" s="491"/>
      <c r="P48" s="491"/>
      <c r="Q48" s="491"/>
    </row>
    <row r="49" spans="3:20" ht="8.25" customHeight="1" x14ac:dyDescent="0.3">
      <c r="C49" s="563"/>
      <c r="D49" s="517"/>
      <c r="E49" s="518"/>
      <c r="F49" s="518"/>
      <c r="G49" s="518"/>
      <c r="H49" s="518"/>
      <c r="I49" s="518"/>
      <c r="J49" s="518"/>
      <c r="K49" s="518"/>
      <c r="L49" s="519"/>
      <c r="M49" s="520"/>
      <c r="N49" s="520"/>
      <c r="O49" s="520"/>
      <c r="P49" s="520"/>
      <c r="Q49" s="520"/>
      <c r="R49" s="564"/>
    </row>
    <row r="50" spans="3:20" s="492" customFormat="1" ht="34.5" x14ac:dyDescent="0.3">
      <c r="C50" s="521"/>
      <c r="D50" s="784" t="s">
        <v>750</v>
      </c>
      <c r="E50" s="785"/>
      <c r="F50" s="785"/>
      <c r="G50" s="785"/>
      <c r="H50" s="785"/>
      <c r="I50" s="785"/>
      <c r="J50" s="785"/>
      <c r="K50" s="785"/>
      <c r="L50" s="502" t="s">
        <v>731</v>
      </c>
      <c r="M50" s="522" t="str">
        <f>M$6</f>
        <v>Issuer</v>
      </c>
      <c r="N50" s="523"/>
      <c r="O50" s="522" t="str">
        <f>O$6</f>
        <v>Director / Key Person / Guarantor- Individual</v>
      </c>
      <c r="P50" s="523"/>
      <c r="Q50" s="522" t="str">
        <f>Q$6</f>
        <v>Third Party Guarantor-Individual</v>
      </c>
      <c r="R50" s="524"/>
    </row>
    <row r="51" spans="3:20" ht="20.100000000000001" customHeight="1" x14ac:dyDescent="0.3">
      <c r="C51" s="565"/>
      <c r="D51" s="786" t="s">
        <v>734</v>
      </c>
      <c r="E51" s="787"/>
      <c r="F51" s="787"/>
      <c r="G51" s="787"/>
      <c r="H51" s="787"/>
      <c r="I51" s="787"/>
      <c r="J51" s="787"/>
      <c r="K51" s="788"/>
      <c r="L51" s="604" t="s">
        <v>801</v>
      </c>
      <c r="M51" s="506"/>
      <c r="N51" s="497"/>
      <c r="O51" s="712" t="s">
        <v>66</v>
      </c>
      <c r="P51" s="491"/>
      <c r="Q51" s="525"/>
      <c r="R51" s="566"/>
    </row>
    <row r="52" spans="3:20" s="562" customFormat="1" ht="20.100000000000001" customHeight="1" x14ac:dyDescent="0.25">
      <c r="C52" s="567"/>
      <c r="D52" s="770"/>
      <c r="E52" s="771"/>
      <c r="F52" s="771"/>
      <c r="G52" s="771"/>
      <c r="H52" s="771"/>
      <c r="I52" s="771"/>
      <c r="J52" s="771"/>
      <c r="K52" s="771"/>
      <c r="L52" s="607"/>
      <c r="M52" s="712"/>
      <c r="N52" s="491"/>
      <c r="O52" s="525"/>
      <c r="P52" s="491"/>
      <c r="Q52" s="525"/>
      <c r="R52" s="566"/>
      <c r="S52" s="556"/>
      <c r="T52" s="556"/>
    </row>
    <row r="53" spans="3:20" s="562" customFormat="1" ht="20.100000000000001" customHeight="1" x14ac:dyDescent="0.25">
      <c r="C53" s="567"/>
      <c r="D53" s="789"/>
      <c r="E53" s="790"/>
      <c r="F53" s="790"/>
      <c r="G53" s="790"/>
      <c r="H53" s="790"/>
      <c r="I53" s="790"/>
      <c r="J53" s="790"/>
      <c r="K53" s="790"/>
      <c r="L53" s="526"/>
      <c r="M53" s="525"/>
      <c r="N53" s="491"/>
      <c r="O53" s="525"/>
      <c r="P53" s="491"/>
      <c r="Q53" s="525"/>
      <c r="R53" s="566"/>
      <c r="S53" s="556"/>
      <c r="T53" s="556"/>
    </row>
    <row r="54" spans="3:20" s="562" customFormat="1" ht="5.0999999999999996" customHeight="1" x14ac:dyDescent="0.25">
      <c r="C54" s="567"/>
      <c r="D54" s="469"/>
      <c r="E54" s="469"/>
      <c r="F54" s="469"/>
      <c r="G54" s="469"/>
      <c r="H54" s="469"/>
      <c r="I54" s="469"/>
      <c r="J54" s="469"/>
      <c r="K54" s="469"/>
      <c r="L54" s="434"/>
      <c r="M54" s="491"/>
      <c r="N54" s="491"/>
      <c r="O54" s="491"/>
      <c r="P54" s="491"/>
      <c r="Q54" s="491"/>
      <c r="R54" s="566"/>
      <c r="S54" s="556"/>
      <c r="T54" s="556"/>
    </row>
    <row r="55" spans="3:20" s="562" customFormat="1" ht="18.75" x14ac:dyDescent="0.3">
      <c r="C55" s="567"/>
      <c r="D55" s="470" t="s">
        <v>751</v>
      </c>
      <c r="E55" s="469"/>
      <c r="F55" s="469"/>
      <c r="G55" s="469"/>
      <c r="H55" s="469"/>
      <c r="I55" s="469"/>
      <c r="J55" s="469"/>
      <c r="K55" s="469"/>
      <c r="L55" s="434"/>
      <c r="M55" s="491"/>
      <c r="N55" s="491"/>
      <c r="O55" s="491"/>
      <c r="P55" s="491"/>
      <c r="Q55" s="491"/>
      <c r="R55" s="566"/>
      <c r="S55" s="556"/>
      <c r="T55" s="556"/>
    </row>
    <row r="56" spans="3:20" s="562" customFormat="1" ht="5.0999999999999996" customHeight="1" x14ac:dyDescent="0.25">
      <c r="C56" s="567"/>
      <c r="D56" s="469"/>
      <c r="E56" s="469"/>
      <c r="F56" s="469"/>
      <c r="G56" s="469"/>
      <c r="H56" s="469"/>
      <c r="I56" s="469"/>
      <c r="J56" s="469"/>
      <c r="K56" s="469"/>
      <c r="L56" s="434"/>
      <c r="M56" s="491"/>
      <c r="N56" s="491"/>
      <c r="O56" s="491"/>
      <c r="P56" s="491"/>
      <c r="Q56" s="491"/>
      <c r="R56" s="566"/>
      <c r="S56" s="556"/>
      <c r="T56" s="556"/>
    </row>
    <row r="57" spans="3:20" s="562" customFormat="1" ht="17.25" x14ac:dyDescent="0.25">
      <c r="C57" s="567"/>
      <c r="D57" s="774" t="s">
        <v>699</v>
      </c>
      <c r="E57" s="776"/>
      <c r="F57" s="774" t="s">
        <v>752</v>
      </c>
      <c r="G57" s="775"/>
      <c r="H57" s="775"/>
      <c r="I57" s="775"/>
      <c r="J57" s="775"/>
      <c r="K57" s="776"/>
      <c r="L57" s="527" t="s">
        <v>701</v>
      </c>
      <c r="M57" s="774" t="s">
        <v>752</v>
      </c>
      <c r="N57" s="775"/>
      <c r="O57" s="775"/>
      <c r="P57" s="775"/>
      <c r="Q57" s="776"/>
      <c r="R57" s="566"/>
      <c r="S57" s="556"/>
    </row>
    <row r="58" spans="3:20" s="562" customFormat="1" ht="5.0999999999999996" customHeight="1" x14ac:dyDescent="0.25">
      <c r="C58" s="567"/>
      <c r="D58" s="483"/>
      <c r="E58" s="485"/>
      <c r="F58" s="480"/>
      <c r="G58" s="479"/>
      <c r="H58" s="479"/>
      <c r="I58" s="479"/>
      <c r="J58" s="479"/>
      <c r="K58" s="484"/>
      <c r="L58" s="528"/>
      <c r="M58" s="480"/>
      <c r="N58" s="479"/>
      <c r="O58" s="479"/>
      <c r="P58" s="479"/>
      <c r="Q58" s="484"/>
      <c r="R58" s="566"/>
      <c r="S58" s="556"/>
      <c r="T58" s="556"/>
    </row>
    <row r="59" spans="3:20" s="562" customFormat="1" ht="33.6" customHeight="1" x14ac:dyDescent="0.25">
      <c r="C59" s="567"/>
      <c r="D59" s="483"/>
      <c r="E59" s="485"/>
      <c r="F59" s="385" t="s">
        <v>938</v>
      </c>
      <c r="G59" s="778" t="s">
        <v>1001</v>
      </c>
      <c r="H59" s="778"/>
      <c r="I59" s="778"/>
      <c r="J59" s="778"/>
      <c r="K59" s="779"/>
      <c r="L59" s="528"/>
      <c r="M59" s="480"/>
      <c r="N59" s="479"/>
      <c r="O59" s="479"/>
      <c r="P59" s="479"/>
      <c r="Q59" s="484"/>
      <c r="R59" s="566"/>
      <c r="S59" s="556"/>
      <c r="T59" s="556"/>
    </row>
    <row r="60" spans="3:20" s="562" customFormat="1" x14ac:dyDescent="0.25">
      <c r="C60" s="567"/>
      <c r="D60" s="478"/>
      <c r="E60" s="484"/>
      <c r="F60" s="480"/>
      <c r="G60" s="780"/>
      <c r="H60" s="780"/>
      <c r="I60" s="780"/>
      <c r="J60" s="780"/>
      <c r="K60" s="781"/>
      <c r="L60" s="529"/>
      <c r="M60" s="480"/>
      <c r="N60" s="479"/>
      <c r="O60" s="479"/>
      <c r="P60" s="479"/>
      <c r="Q60" s="484"/>
      <c r="R60" s="566"/>
      <c r="S60" s="556"/>
      <c r="T60" s="556"/>
    </row>
    <row r="61" spans="3:20" s="562" customFormat="1" ht="29.1" customHeight="1" x14ac:dyDescent="0.25">
      <c r="C61" s="567"/>
      <c r="D61" s="478"/>
      <c r="E61" s="484"/>
      <c r="F61" s="480"/>
      <c r="G61" s="782"/>
      <c r="H61" s="782"/>
      <c r="I61" s="782"/>
      <c r="J61" s="782"/>
      <c r="K61" s="783"/>
      <c r="L61" s="529"/>
      <c r="M61" s="480"/>
      <c r="N61" s="479"/>
      <c r="O61" s="479"/>
      <c r="P61" s="479"/>
      <c r="Q61" s="484"/>
      <c r="R61" s="566"/>
      <c r="S61" s="556"/>
      <c r="T61" s="556"/>
    </row>
    <row r="62" spans="3:20" s="562" customFormat="1" ht="13.15" customHeight="1" x14ac:dyDescent="0.25">
      <c r="C62" s="567"/>
      <c r="D62" s="486"/>
      <c r="E62" s="489"/>
      <c r="F62" s="487"/>
      <c r="G62" s="488"/>
      <c r="H62" s="488"/>
      <c r="I62" s="488"/>
      <c r="J62" s="488"/>
      <c r="K62" s="489"/>
      <c r="L62" s="530"/>
      <c r="M62" s="487"/>
      <c r="N62" s="488"/>
      <c r="O62" s="488"/>
      <c r="P62" s="488"/>
      <c r="Q62" s="489"/>
      <c r="R62" s="566"/>
      <c r="S62" s="556"/>
      <c r="T62" s="556"/>
    </row>
    <row r="63" spans="3:20" s="562" customFormat="1" ht="5.0999999999999996" customHeight="1" x14ac:dyDescent="0.25">
      <c r="C63" s="567"/>
      <c r="D63" s="469"/>
      <c r="E63" s="469"/>
      <c r="F63" s="469"/>
      <c r="G63" s="469"/>
      <c r="H63" s="469"/>
      <c r="I63" s="469"/>
      <c r="J63" s="469"/>
      <c r="K63" s="469"/>
      <c r="L63" s="434"/>
      <c r="M63" s="491"/>
      <c r="N63" s="491"/>
      <c r="O63" s="491"/>
      <c r="P63" s="491"/>
      <c r="Q63" s="491"/>
      <c r="R63" s="566"/>
      <c r="S63" s="556"/>
      <c r="T63" s="556"/>
    </row>
    <row r="64" spans="3:20" ht="17.25" x14ac:dyDescent="0.25">
      <c r="C64" s="565"/>
      <c r="D64" s="777" t="s">
        <v>753</v>
      </c>
      <c r="E64" s="777"/>
      <c r="F64" s="777"/>
      <c r="G64" s="777"/>
      <c r="H64" s="777"/>
      <c r="I64" s="777"/>
      <c r="J64" s="777"/>
      <c r="K64" s="777"/>
      <c r="L64" s="777"/>
      <c r="M64" s="777"/>
      <c r="N64" s="777"/>
      <c r="O64" s="777"/>
      <c r="P64" s="777"/>
      <c r="Q64" s="777"/>
      <c r="R64" s="531"/>
      <c r="S64" s="498"/>
    </row>
    <row r="65" spans="3:22" s="562" customFormat="1" ht="5.0999999999999996" customHeight="1" x14ac:dyDescent="0.25">
      <c r="C65" s="567"/>
      <c r="D65" s="469"/>
      <c r="E65" s="469"/>
      <c r="F65" s="469"/>
      <c r="G65" s="469"/>
      <c r="H65" s="469"/>
      <c r="I65" s="469"/>
      <c r="J65" s="469"/>
      <c r="K65" s="469"/>
      <c r="L65" s="434"/>
      <c r="M65" s="491"/>
      <c r="N65" s="491"/>
      <c r="O65" s="491"/>
      <c r="P65" s="491"/>
      <c r="Q65" s="491"/>
      <c r="R65" s="566"/>
      <c r="S65" s="556"/>
      <c r="T65" s="556"/>
    </row>
    <row r="66" spans="3:22" s="562" customFormat="1" ht="14.25" customHeight="1" x14ac:dyDescent="0.25">
      <c r="C66" s="567"/>
      <c r="D66" s="774" t="s">
        <v>703</v>
      </c>
      <c r="E66" s="776"/>
      <c r="F66" s="774" t="s">
        <v>752</v>
      </c>
      <c r="G66" s="775"/>
      <c r="H66" s="775"/>
      <c r="I66" s="775"/>
      <c r="J66" s="775"/>
      <c r="K66" s="776"/>
      <c r="L66" s="532" t="s">
        <v>704</v>
      </c>
      <c r="M66" s="774" t="s">
        <v>752</v>
      </c>
      <c r="N66" s="775"/>
      <c r="O66" s="775"/>
      <c r="P66" s="775"/>
      <c r="Q66" s="776"/>
      <c r="R66" s="566"/>
      <c r="S66" s="556"/>
    </row>
    <row r="67" spans="3:22" s="562" customFormat="1" ht="5.0999999999999996" customHeight="1" x14ac:dyDescent="0.25">
      <c r="C67" s="567"/>
      <c r="D67" s="476"/>
      <c r="E67" s="481"/>
      <c r="F67" s="480"/>
      <c r="G67" s="479"/>
      <c r="H67" s="479"/>
      <c r="I67" s="479"/>
      <c r="J67" s="479"/>
      <c r="K67" s="484"/>
      <c r="L67" s="533"/>
      <c r="M67" s="476"/>
      <c r="N67" s="477"/>
      <c r="O67" s="479"/>
      <c r="P67" s="479"/>
      <c r="Q67" s="484"/>
      <c r="R67" s="566"/>
      <c r="S67" s="556"/>
      <c r="T67" s="556"/>
    </row>
    <row r="68" spans="3:22" s="562" customFormat="1" ht="17.25" x14ac:dyDescent="0.25">
      <c r="C68" s="567"/>
      <c r="D68" s="476"/>
      <c r="E68" s="481"/>
      <c r="F68" s="480"/>
      <c r="G68" s="479"/>
      <c r="H68" s="479"/>
      <c r="I68" s="479"/>
      <c r="J68" s="479"/>
      <c r="K68" s="484"/>
      <c r="L68" s="533"/>
      <c r="M68" s="476"/>
      <c r="N68" s="477"/>
      <c r="O68" s="479"/>
      <c r="P68" s="479"/>
      <c r="Q68" s="484"/>
      <c r="R68" s="566"/>
      <c r="S68" s="556"/>
      <c r="T68" s="556"/>
    </row>
    <row r="69" spans="3:22" s="562" customFormat="1" ht="17.25" x14ac:dyDescent="0.25">
      <c r="C69" s="567"/>
      <c r="D69" s="476"/>
      <c r="E69" s="481"/>
      <c r="F69" s="480"/>
      <c r="G69" s="479"/>
      <c r="H69" s="479"/>
      <c r="I69" s="479"/>
      <c r="J69" s="479"/>
      <c r="K69" s="484"/>
      <c r="L69" s="533"/>
      <c r="M69" s="476"/>
      <c r="N69" s="477"/>
      <c r="O69" s="479"/>
      <c r="P69" s="479"/>
      <c r="Q69" s="484"/>
      <c r="R69" s="566"/>
      <c r="S69" s="556"/>
      <c r="T69" s="556"/>
    </row>
    <row r="70" spans="3:22" s="562" customFormat="1" ht="17.25" x14ac:dyDescent="0.25">
      <c r="C70" s="567"/>
      <c r="D70" s="476"/>
      <c r="E70" s="481"/>
      <c r="F70" s="480"/>
      <c r="G70" s="479"/>
      <c r="H70" s="479"/>
      <c r="I70" s="479"/>
      <c r="J70" s="479"/>
      <c r="K70" s="484"/>
      <c r="L70" s="533"/>
      <c r="M70" s="476"/>
      <c r="N70" s="477"/>
      <c r="O70" s="479"/>
      <c r="P70" s="479"/>
      <c r="Q70" s="484"/>
      <c r="R70" s="566"/>
      <c r="S70" s="556"/>
      <c r="T70" s="556"/>
    </row>
    <row r="71" spans="3:22" s="562" customFormat="1" ht="13.15" customHeight="1" x14ac:dyDescent="0.25">
      <c r="C71" s="567"/>
      <c r="D71" s="534"/>
      <c r="E71" s="535"/>
      <c r="F71" s="487"/>
      <c r="G71" s="488"/>
      <c r="H71" s="488"/>
      <c r="I71" s="488"/>
      <c r="J71" s="488"/>
      <c r="K71" s="489"/>
      <c r="L71" s="536"/>
      <c r="M71" s="534"/>
      <c r="N71" s="537"/>
      <c r="O71" s="488"/>
      <c r="P71" s="488"/>
      <c r="Q71" s="489"/>
      <c r="R71" s="566"/>
      <c r="S71" s="556"/>
      <c r="T71" s="556"/>
    </row>
    <row r="72" spans="3:22" s="493" customFormat="1" ht="15.75" x14ac:dyDescent="0.25">
      <c r="C72" s="538"/>
      <c r="D72" s="418" t="s">
        <v>705</v>
      </c>
      <c r="E72" s="539"/>
      <c r="F72" s="418" t="s">
        <v>706</v>
      </c>
      <c r="G72" s="540"/>
      <c r="H72" s="540"/>
      <c r="I72" s="349" t="s">
        <v>673</v>
      </c>
      <c r="J72" s="540"/>
      <c r="K72" s="541"/>
      <c r="L72" s="542" t="s">
        <v>705</v>
      </c>
      <c r="M72" s="543" t="s">
        <v>754</v>
      </c>
      <c r="N72" s="540"/>
      <c r="O72" s="544" t="s">
        <v>707</v>
      </c>
      <c r="P72" s="540"/>
      <c r="Q72" s="541"/>
      <c r="R72" s="545"/>
      <c r="S72" s="546"/>
      <c r="T72" s="546"/>
    </row>
    <row r="73" spans="3:22" s="493" customFormat="1" ht="15.75" x14ac:dyDescent="0.25">
      <c r="C73" s="538"/>
      <c r="D73" s="729" t="s">
        <v>983</v>
      </c>
      <c r="E73" s="539"/>
      <c r="F73" s="418"/>
      <c r="G73" s="540"/>
      <c r="H73" s="540"/>
      <c r="I73" s="349"/>
      <c r="J73" s="540"/>
      <c r="K73" s="541"/>
      <c r="L73" s="418" t="s">
        <v>984</v>
      </c>
      <c r="M73" s="543"/>
      <c r="N73" s="540"/>
      <c r="O73" s="547"/>
      <c r="P73" s="540"/>
      <c r="Q73" s="541"/>
      <c r="R73" s="545"/>
      <c r="S73" s="546"/>
      <c r="T73" s="546"/>
    </row>
    <row r="74" spans="3:22" s="562" customFormat="1" x14ac:dyDescent="0.25">
      <c r="C74" s="567"/>
      <c r="D74" s="548"/>
      <c r="E74" s="489"/>
      <c r="F74" s="548"/>
      <c r="G74" s="488"/>
      <c r="H74" s="488"/>
      <c r="I74" s="488"/>
      <c r="J74" s="488"/>
      <c r="K74" s="489"/>
      <c r="L74" s="548"/>
      <c r="M74" s="487"/>
      <c r="N74" s="488"/>
      <c r="O74" s="488"/>
      <c r="P74" s="488"/>
      <c r="Q74" s="489"/>
      <c r="R74" s="566"/>
      <c r="S74" s="556"/>
      <c r="T74" s="556"/>
    </row>
    <row r="75" spans="3:22" ht="5.0999999999999996" customHeight="1" thickBot="1" x14ac:dyDescent="0.3">
      <c r="C75" s="568"/>
      <c r="D75" s="549"/>
      <c r="E75" s="549"/>
      <c r="F75" s="549"/>
      <c r="G75" s="549"/>
      <c r="H75" s="549"/>
      <c r="I75" s="549"/>
      <c r="J75" s="549"/>
      <c r="K75" s="549"/>
      <c r="L75" s="550"/>
      <c r="M75" s="551"/>
      <c r="N75" s="551"/>
      <c r="O75" s="551"/>
      <c r="P75" s="551"/>
      <c r="Q75" s="551"/>
      <c r="R75" s="569"/>
    </row>
    <row r="76" spans="3:22" x14ac:dyDescent="0.25">
      <c r="D76" s="406"/>
      <c r="E76" s="406"/>
      <c r="F76" s="406"/>
      <c r="G76" s="406"/>
      <c r="H76" s="406"/>
      <c r="I76" s="406"/>
      <c r="J76" s="406"/>
      <c r="K76" s="406"/>
      <c r="L76" s="434"/>
      <c r="M76" s="491"/>
      <c r="N76" s="491"/>
      <c r="O76" s="491"/>
      <c r="P76" s="491"/>
      <c r="Q76" s="491"/>
    </row>
    <row r="77" spans="3:22" x14ac:dyDescent="0.25">
      <c r="D77" s="406"/>
      <c r="E77" s="406"/>
      <c r="F77" s="406"/>
      <c r="G77" s="406"/>
      <c r="H77" s="406"/>
      <c r="I77" s="406"/>
      <c r="J77" s="406"/>
      <c r="K77" s="406"/>
      <c r="L77" s="434"/>
      <c r="M77" s="491"/>
      <c r="N77" s="491"/>
      <c r="O77" s="491"/>
      <c r="P77" s="491"/>
      <c r="Q77" s="491"/>
    </row>
    <row r="78" spans="3:22" x14ac:dyDescent="0.25">
      <c r="D78" s="406"/>
      <c r="E78" s="406"/>
      <c r="F78" s="406"/>
      <c r="G78" s="406"/>
      <c r="H78" s="406"/>
      <c r="I78" s="406"/>
      <c r="J78" s="406"/>
      <c r="K78" s="406"/>
      <c r="L78" s="434"/>
      <c r="M78" s="491"/>
      <c r="N78" s="491"/>
      <c r="O78" s="491"/>
      <c r="P78" s="491"/>
      <c r="Q78" s="491"/>
    </row>
    <row r="79" spans="3:22" x14ac:dyDescent="0.25">
      <c r="D79" s="406"/>
      <c r="E79" s="406"/>
      <c r="F79" s="406"/>
      <c r="G79" s="406"/>
      <c r="H79" s="406"/>
      <c r="I79" s="406"/>
      <c r="J79" s="406"/>
      <c r="K79" s="406"/>
      <c r="L79" s="434"/>
      <c r="M79" s="491"/>
      <c r="N79" s="491"/>
      <c r="O79" s="491"/>
      <c r="P79" s="491"/>
      <c r="Q79" s="491"/>
    </row>
    <row r="80" spans="3:22" s="558" customFormat="1" x14ac:dyDescent="0.25">
      <c r="D80" s="405"/>
      <c r="E80" s="405"/>
      <c r="F80" s="405"/>
      <c r="G80" s="405"/>
      <c r="H80" s="405"/>
      <c r="I80" s="405"/>
      <c r="J80" s="405"/>
      <c r="K80" s="405"/>
      <c r="L80" s="434"/>
      <c r="M80" s="491"/>
      <c r="N80" s="491"/>
      <c r="O80" s="491"/>
      <c r="P80" s="491"/>
      <c r="Q80" s="491"/>
      <c r="R80" s="556"/>
      <c r="S80" s="556"/>
      <c r="T80" s="556"/>
      <c r="U80" s="556"/>
      <c r="V80" s="556"/>
    </row>
    <row r="81" spans="4:17" x14ac:dyDescent="0.25">
      <c r="D81" s="406"/>
      <c r="E81" s="406"/>
      <c r="F81" s="406"/>
      <c r="G81" s="406"/>
      <c r="H81" s="406"/>
      <c r="I81" s="406"/>
      <c r="J81" s="406"/>
      <c r="K81" s="406"/>
      <c r="L81" s="434"/>
      <c r="M81" s="491"/>
      <c r="N81" s="491"/>
      <c r="O81" s="491"/>
      <c r="P81" s="491"/>
      <c r="Q81" s="491"/>
    </row>
    <row r="82" spans="4:17" x14ac:dyDescent="0.25">
      <c r="D82" s="406"/>
      <c r="E82" s="406"/>
      <c r="F82" s="406"/>
      <c r="G82" s="406"/>
      <c r="H82" s="406"/>
      <c r="I82" s="406"/>
      <c r="J82" s="406"/>
      <c r="K82" s="406"/>
      <c r="L82" s="434"/>
      <c r="M82" s="491"/>
      <c r="N82" s="491"/>
      <c r="O82" s="491"/>
      <c r="P82" s="491"/>
      <c r="Q82" s="491"/>
    </row>
  </sheetData>
  <mergeCells count="50">
    <mergeCell ref="D18:K18"/>
    <mergeCell ref="D3:Q3"/>
    <mergeCell ref="H6:I6"/>
    <mergeCell ref="H7:I7"/>
    <mergeCell ref="D10:K10"/>
    <mergeCell ref="D11:K11"/>
    <mergeCell ref="D12:K12"/>
    <mergeCell ref="D13:K13"/>
    <mergeCell ref="D14:K14"/>
    <mergeCell ref="D15:K15"/>
    <mergeCell ref="D16:K16"/>
    <mergeCell ref="D17:K17"/>
    <mergeCell ref="D41:K41"/>
    <mergeCell ref="D30:K30"/>
    <mergeCell ref="D19:K19"/>
    <mergeCell ref="D20:K20"/>
    <mergeCell ref="D21:K21"/>
    <mergeCell ref="D22:K22"/>
    <mergeCell ref="D23:K23"/>
    <mergeCell ref="D24:K24"/>
    <mergeCell ref="D25:K25"/>
    <mergeCell ref="D26:K26"/>
    <mergeCell ref="D27:K27"/>
    <mergeCell ref="D28:K28"/>
    <mergeCell ref="D29:K29"/>
    <mergeCell ref="D36:K36"/>
    <mergeCell ref="D37:K37"/>
    <mergeCell ref="D38:K38"/>
    <mergeCell ref="D39:K39"/>
    <mergeCell ref="D40:K40"/>
    <mergeCell ref="D31:K31"/>
    <mergeCell ref="D32:K32"/>
    <mergeCell ref="D33:K33"/>
    <mergeCell ref="D34:K34"/>
    <mergeCell ref="D35:K35"/>
    <mergeCell ref="D50:K50"/>
    <mergeCell ref="D51:K51"/>
    <mergeCell ref="D52:K52"/>
    <mergeCell ref="D53:K53"/>
    <mergeCell ref="D44:G45"/>
    <mergeCell ref="M57:Q57"/>
    <mergeCell ref="D64:Q64"/>
    <mergeCell ref="D66:E66"/>
    <mergeCell ref="F66:K66"/>
    <mergeCell ref="M66:Q66"/>
    <mergeCell ref="D57:E57"/>
    <mergeCell ref="F57:K57"/>
    <mergeCell ref="G59:K59"/>
    <mergeCell ref="G60:K60"/>
    <mergeCell ref="G61:K61"/>
  </mergeCells>
  <dataValidations count="1">
    <dataValidation type="list" allowBlank="1" showInputMessage="1" showErrorMessage="1" sqref="M6 O6 Q6" xr:uid="{FDC09FF5-218F-486D-B509-06F56AFBB1DD}">
      <formula1>$V$11:$V$15</formula1>
    </dataValidation>
  </dataValidations>
  <printOptions horizontalCentered="1"/>
  <pageMargins left="0.23622047244094491" right="0.23622047244094491" top="0.19685039370078741" bottom="0" header="0.31496062992125984" footer="0.31496062992125984"/>
  <pageSetup paperSize="8" scale="64"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7F792-7330-46AF-A2FF-5E2E995C364E}">
  <sheetPr>
    <tabColor theme="9" tint="0.79998168889431442"/>
    <pageSetUpPr fitToPage="1"/>
  </sheetPr>
  <dimension ref="C3:AJ70"/>
  <sheetViews>
    <sheetView showGridLines="0" view="pageBreakPreview" topLeftCell="A37" zoomScale="85" zoomScaleNormal="100" zoomScaleSheetLayoutView="85" workbookViewId="0">
      <selection activeCell="Q7" sqref="Q7"/>
    </sheetView>
  </sheetViews>
  <sheetFormatPr defaultColWidth="9" defaultRowHeight="15" x14ac:dyDescent="0.25"/>
  <cols>
    <col min="1" max="1" width="9" style="448"/>
    <col min="2" max="2" width="2.140625" style="448" customWidth="1"/>
    <col min="3" max="7" width="13.5703125" style="450" customWidth="1"/>
    <col min="8" max="10" width="13.5703125" style="449" customWidth="1"/>
    <col min="11" max="11" width="26.5703125" style="451" customWidth="1"/>
    <col min="12" max="13" width="13.5703125" style="452" customWidth="1"/>
    <col min="14" max="14" width="2.140625" style="452" customWidth="1"/>
    <col min="15" max="15" width="9" style="556"/>
    <col min="16" max="16" width="13.140625" style="448" bestFit="1" customWidth="1"/>
    <col min="17" max="17" width="11.28515625" style="448" bestFit="1" customWidth="1"/>
    <col min="18" max="18" width="9" style="448"/>
    <col min="19" max="19" width="13.140625" style="448" customWidth="1"/>
    <col min="20" max="20" width="11.28515625" style="448" customWidth="1"/>
    <col min="21" max="21" width="11" style="448" customWidth="1"/>
    <col min="22" max="22" width="9.42578125" style="448" customWidth="1"/>
    <col min="23" max="23" width="9" style="448" customWidth="1"/>
    <col min="24" max="16384" width="9" style="448"/>
  </cols>
  <sheetData>
    <row r="3" spans="3:23" ht="23.25" x14ac:dyDescent="0.25">
      <c r="C3" s="818" t="s">
        <v>709</v>
      </c>
      <c r="D3" s="818"/>
      <c r="E3" s="818"/>
      <c r="F3" s="818"/>
      <c r="G3" s="818"/>
      <c r="H3" s="818"/>
      <c r="I3" s="818"/>
      <c r="J3" s="818"/>
      <c r="K3" s="818"/>
      <c r="L3" s="818"/>
      <c r="M3" s="453"/>
      <c r="N3" s="454"/>
    </row>
    <row r="4" spans="3:23" s="659" customFormat="1" ht="25.5" customHeight="1" x14ac:dyDescent="0.3">
      <c r="C4" s="494" t="s">
        <v>710</v>
      </c>
      <c r="D4" s="495" t="s">
        <v>920</v>
      </c>
      <c r="E4" s="495"/>
      <c r="F4" s="495"/>
      <c r="G4" s="495"/>
      <c r="H4" s="663"/>
      <c r="I4" s="663"/>
      <c r="J4" s="662"/>
      <c r="K4" s="661"/>
      <c r="L4" s="660"/>
      <c r="M4" s="660"/>
      <c r="N4" s="660"/>
      <c r="O4" s="492"/>
    </row>
    <row r="5" spans="3:23" s="659" customFormat="1" ht="25.5" customHeight="1" x14ac:dyDescent="0.3">
      <c r="C5" s="494" t="s">
        <v>711</v>
      </c>
      <c r="D5" s="495" t="s">
        <v>1005</v>
      </c>
      <c r="E5" s="495"/>
      <c r="F5" s="495"/>
      <c r="G5" s="664" t="s">
        <v>707</v>
      </c>
      <c r="H5" s="728">
        <v>46120</v>
      </c>
      <c r="I5" s="663"/>
      <c r="J5" s="662"/>
      <c r="K5" s="661"/>
      <c r="L5" s="660"/>
      <c r="M5" s="660"/>
      <c r="N5" s="660"/>
      <c r="O5" s="492"/>
    </row>
    <row r="6" spans="3:23" s="659" customFormat="1" ht="29.45" customHeight="1" x14ac:dyDescent="0.3">
      <c r="C6" s="494" t="s">
        <v>712</v>
      </c>
      <c r="D6" s="727" t="s">
        <v>1006</v>
      </c>
      <c r="E6" s="495"/>
      <c r="F6" s="495"/>
      <c r="G6" s="495"/>
      <c r="H6" s="663"/>
      <c r="I6" s="663"/>
      <c r="J6" s="662"/>
      <c r="K6" s="661"/>
      <c r="L6" s="660"/>
      <c r="M6" s="660"/>
      <c r="N6" s="660"/>
      <c r="O6" s="492"/>
    </row>
    <row r="7" spans="3:23" s="618" customFormat="1" ht="31.5" x14ac:dyDescent="0.25">
      <c r="C7" s="645"/>
      <c r="D7" s="645"/>
      <c r="E7" s="645"/>
      <c r="F7" s="645"/>
      <c r="G7" s="645"/>
      <c r="H7" s="819" t="s">
        <v>68</v>
      </c>
      <c r="I7" s="820"/>
      <c r="J7" s="821"/>
      <c r="K7" s="658" t="s">
        <v>69</v>
      </c>
      <c r="L7" s="654" t="s">
        <v>713</v>
      </c>
      <c r="M7" s="654" t="s">
        <v>672</v>
      </c>
      <c r="N7" s="657"/>
      <c r="O7" s="345"/>
    </row>
    <row r="8" spans="3:23" s="651" customFormat="1" ht="63" x14ac:dyDescent="0.25">
      <c r="C8" s="822" t="s">
        <v>70</v>
      </c>
      <c r="D8" s="823"/>
      <c r="E8" s="823"/>
      <c r="F8" s="823"/>
      <c r="G8" s="824"/>
      <c r="H8" s="825" t="s">
        <v>71</v>
      </c>
      <c r="I8" s="825"/>
      <c r="J8" s="656" t="s">
        <v>714</v>
      </c>
      <c r="K8" s="655" t="str">
        <f>'Summary of Information'!F5</f>
        <v>Mgmt Acc-30/11/2025</v>
      </c>
      <c r="L8" s="654" t="s">
        <v>72</v>
      </c>
      <c r="M8" s="654" t="s">
        <v>72</v>
      </c>
      <c r="N8" s="653"/>
      <c r="P8" s="618"/>
      <c r="Q8" s="652"/>
      <c r="R8" s="652"/>
      <c r="S8" s="652"/>
    </row>
    <row r="9" spans="3:23" s="618" customFormat="1" ht="15.75" x14ac:dyDescent="0.25">
      <c r="C9" s="797" t="s">
        <v>715</v>
      </c>
      <c r="D9" s="798"/>
      <c r="E9" s="798"/>
      <c r="F9" s="798"/>
      <c r="G9" s="799"/>
      <c r="H9" s="826"/>
      <c r="I9" s="826"/>
      <c r="J9" s="625">
        <v>5.0000000000000001E-3</v>
      </c>
      <c r="K9" s="650">
        <f>'Debt Service - Company'!F4</f>
        <v>0.65986868376354124</v>
      </c>
      <c r="L9" s="623">
        <v>5.0000000000000001E-3</v>
      </c>
      <c r="M9" s="623">
        <v>5.0000000000000001E-3</v>
      </c>
      <c r="N9" s="647"/>
      <c r="O9" s="345"/>
      <c r="P9" s="649" t="s">
        <v>716</v>
      </c>
      <c r="Q9" s="647"/>
      <c r="R9" s="648"/>
      <c r="S9" s="647"/>
    </row>
    <row r="10" spans="3:23" s="618" customFormat="1" ht="15.75" customHeight="1" x14ac:dyDescent="0.25">
      <c r="C10" s="815" t="s">
        <v>73</v>
      </c>
      <c r="D10" s="816"/>
      <c r="E10" s="816"/>
      <c r="F10" s="816"/>
      <c r="G10" s="817"/>
      <c r="H10" s="827">
        <v>5.0000000000000001E-3</v>
      </c>
      <c r="I10" s="827"/>
      <c r="J10" s="642"/>
      <c r="K10" s="644"/>
      <c r="L10" s="628"/>
      <c r="M10" s="628"/>
      <c r="N10" s="619"/>
      <c r="O10" s="345"/>
    </row>
    <row r="11" spans="3:23" s="618" customFormat="1" ht="15.75" customHeight="1" x14ac:dyDescent="0.25">
      <c r="C11" s="815" t="s">
        <v>841</v>
      </c>
      <c r="D11" s="816"/>
      <c r="E11" s="816"/>
      <c r="F11" s="816"/>
      <c r="G11" s="817"/>
      <c r="H11" s="827">
        <v>2.5000000000000001E-3</v>
      </c>
      <c r="I11" s="827"/>
      <c r="J11" s="642"/>
      <c r="K11" s="644"/>
      <c r="L11" s="628"/>
      <c r="M11" s="628"/>
      <c r="N11" s="619"/>
      <c r="O11" s="345"/>
    </row>
    <row r="12" spans="3:23" s="618" customFormat="1" ht="15.75" customHeight="1" x14ac:dyDescent="0.25">
      <c r="C12" s="815" t="s">
        <v>840</v>
      </c>
      <c r="D12" s="816"/>
      <c r="E12" s="816"/>
      <c r="F12" s="816"/>
      <c r="G12" s="817"/>
      <c r="H12" s="827">
        <v>0</v>
      </c>
      <c r="I12" s="827"/>
      <c r="J12" s="642"/>
      <c r="K12" s="644"/>
      <c r="L12" s="628"/>
      <c r="M12" s="628"/>
      <c r="N12" s="619"/>
      <c r="O12" s="345"/>
    </row>
    <row r="13" spans="3:23" s="618" customFormat="1" ht="55.15" customHeight="1" x14ac:dyDescent="0.25">
      <c r="C13" s="793" t="s">
        <v>839</v>
      </c>
      <c r="D13" s="794"/>
      <c r="E13" s="794"/>
      <c r="F13" s="794"/>
      <c r="G13" s="795"/>
      <c r="H13" s="826"/>
      <c r="I13" s="826"/>
      <c r="J13" s="625">
        <v>1.4999999999999999E-2</v>
      </c>
      <c r="K13" s="646"/>
      <c r="L13" s="623">
        <v>0</v>
      </c>
      <c r="M13" s="623">
        <v>0</v>
      </c>
      <c r="N13" s="619"/>
      <c r="O13" s="345"/>
      <c r="S13" s="697" t="s">
        <v>904</v>
      </c>
      <c r="T13" s="697" t="s">
        <v>905</v>
      </c>
      <c r="U13" s="697" t="s">
        <v>906</v>
      </c>
      <c r="V13" s="697" t="s">
        <v>907</v>
      </c>
      <c r="W13" s="697" t="s">
        <v>908</v>
      </c>
    </row>
    <row r="14" spans="3:23" s="618" customFormat="1" ht="15.75" x14ac:dyDescent="0.25">
      <c r="C14" s="812" t="s">
        <v>717</v>
      </c>
      <c r="D14" s="813"/>
      <c r="E14" s="813"/>
      <c r="F14" s="813"/>
      <c r="G14" s="814"/>
      <c r="H14" s="828">
        <v>1.4999999999999999E-2</v>
      </c>
      <c r="I14" s="828"/>
      <c r="J14" s="642"/>
      <c r="K14" s="644"/>
      <c r="L14" s="628"/>
      <c r="M14" s="628"/>
      <c r="N14" s="619"/>
      <c r="P14" s="345"/>
      <c r="S14" s="698" t="s">
        <v>718</v>
      </c>
      <c r="T14" s="698" t="s">
        <v>718</v>
      </c>
      <c r="U14" s="698" t="s">
        <v>718</v>
      </c>
      <c r="V14" s="698" t="s">
        <v>718</v>
      </c>
      <c r="W14" s="699">
        <v>0</v>
      </c>
    </row>
    <row r="15" spans="3:23" s="618" customFormat="1" ht="15.75" x14ac:dyDescent="0.25">
      <c r="C15" s="812" t="s">
        <v>74</v>
      </c>
      <c r="D15" s="813"/>
      <c r="E15" s="813"/>
      <c r="F15" s="813"/>
      <c r="G15" s="814"/>
      <c r="H15" s="827">
        <v>0.01</v>
      </c>
      <c r="I15" s="827"/>
      <c r="J15" s="642"/>
      <c r="K15" s="644"/>
      <c r="L15" s="628"/>
      <c r="M15" s="628"/>
      <c r="N15" s="619"/>
      <c r="O15" s="345"/>
      <c r="S15" s="698" t="s">
        <v>718</v>
      </c>
      <c r="T15" s="698" t="s">
        <v>718</v>
      </c>
      <c r="U15" s="698" t="s">
        <v>719</v>
      </c>
      <c r="V15" s="698" t="s">
        <v>718</v>
      </c>
      <c r="W15" s="699">
        <v>5.0000000000000001E-3</v>
      </c>
    </row>
    <row r="16" spans="3:23" s="618" customFormat="1" ht="15.75" x14ac:dyDescent="0.25">
      <c r="C16" s="812" t="s">
        <v>75</v>
      </c>
      <c r="D16" s="813"/>
      <c r="E16" s="813"/>
      <c r="F16" s="813"/>
      <c r="G16" s="814"/>
      <c r="H16" s="827">
        <v>5.0000000000000001E-3</v>
      </c>
      <c r="I16" s="827"/>
      <c r="J16" s="642"/>
      <c r="K16" s="644"/>
      <c r="L16" s="628"/>
      <c r="M16" s="628"/>
      <c r="N16" s="619"/>
      <c r="S16" s="698" t="s">
        <v>718</v>
      </c>
      <c r="T16" s="698" t="s">
        <v>719</v>
      </c>
      <c r="U16" s="698" t="s">
        <v>718</v>
      </c>
      <c r="V16" s="698" t="s">
        <v>718</v>
      </c>
      <c r="W16" s="699">
        <v>0</v>
      </c>
    </row>
    <row r="17" spans="3:23" s="618" customFormat="1" ht="55.15" customHeight="1" x14ac:dyDescent="0.25">
      <c r="C17" s="793" t="s">
        <v>838</v>
      </c>
      <c r="D17" s="794"/>
      <c r="E17" s="794"/>
      <c r="F17" s="794"/>
      <c r="G17" s="795"/>
      <c r="H17" s="796">
        <v>2.5000000000000001E-3</v>
      </c>
      <c r="I17" s="796"/>
      <c r="J17" s="625">
        <v>2.5000000000000001E-3</v>
      </c>
      <c r="K17" s="643">
        <f>'Summary of Information'!M9</f>
        <v>1.4017479528805921</v>
      </c>
      <c r="L17" s="623">
        <v>2.5000000000000001E-3</v>
      </c>
      <c r="M17" s="623">
        <v>2.5000000000000001E-3</v>
      </c>
      <c r="N17" s="619"/>
      <c r="O17" s="618" t="s">
        <v>964</v>
      </c>
      <c r="S17" s="698" t="s">
        <v>718</v>
      </c>
      <c r="T17" s="698" t="s">
        <v>719</v>
      </c>
      <c r="U17" s="698" t="s">
        <v>719</v>
      </c>
      <c r="V17" s="698" t="s">
        <v>718</v>
      </c>
      <c r="W17" s="699">
        <v>0.01</v>
      </c>
    </row>
    <row r="18" spans="3:23" s="618" customFormat="1" ht="15.75" x14ac:dyDescent="0.25">
      <c r="C18" s="812" t="s">
        <v>76</v>
      </c>
      <c r="D18" s="813"/>
      <c r="E18" s="813"/>
      <c r="F18" s="813"/>
      <c r="G18" s="814"/>
      <c r="H18" s="830"/>
      <c r="I18" s="830"/>
      <c r="J18" s="642"/>
      <c r="K18" s="641"/>
      <c r="L18" s="628"/>
      <c r="M18" s="628"/>
      <c r="N18" s="619"/>
      <c r="S18" s="698" t="s">
        <v>719</v>
      </c>
      <c r="T18" s="698" t="s">
        <v>718</v>
      </c>
      <c r="U18" s="698" t="s">
        <v>718</v>
      </c>
      <c r="V18" s="698" t="s">
        <v>718</v>
      </c>
      <c r="W18" s="699">
        <v>0</v>
      </c>
    </row>
    <row r="19" spans="3:23" s="618" customFormat="1" ht="15.75" x14ac:dyDescent="0.25">
      <c r="C19" s="812" t="s">
        <v>77</v>
      </c>
      <c r="D19" s="813"/>
      <c r="E19" s="813"/>
      <c r="F19" s="813"/>
      <c r="G19" s="814"/>
      <c r="H19" s="830"/>
      <c r="I19" s="830"/>
      <c r="J19" s="642"/>
      <c r="K19" s="641"/>
      <c r="L19" s="628"/>
      <c r="M19" s="628"/>
      <c r="N19" s="619"/>
      <c r="S19" s="698" t="s">
        <v>719</v>
      </c>
      <c r="T19" s="698" t="s">
        <v>718</v>
      </c>
      <c r="U19" s="698" t="s">
        <v>719</v>
      </c>
      <c r="V19" s="698" t="s">
        <v>718</v>
      </c>
      <c r="W19" s="699">
        <v>5.0000000000000001E-3</v>
      </c>
    </row>
    <row r="20" spans="3:23" s="618" customFormat="1" ht="55.15" customHeight="1" x14ac:dyDescent="0.25">
      <c r="C20" s="793" t="s">
        <v>78</v>
      </c>
      <c r="D20" s="794"/>
      <c r="E20" s="794"/>
      <c r="F20" s="794"/>
      <c r="G20" s="795"/>
      <c r="H20" s="831">
        <v>2.5000000000000001E-3</v>
      </c>
      <c r="I20" s="831"/>
      <c r="J20" s="640">
        <v>2.5000000000000001E-3</v>
      </c>
      <c r="K20" s="639">
        <f>'Summary of Information'!M11</f>
        <v>3.2689785019055684</v>
      </c>
      <c r="L20" s="623">
        <v>0</v>
      </c>
      <c r="M20" s="623">
        <v>0</v>
      </c>
      <c r="N20" s="634"/>
      <c r="O20" s="618" t="s">
        <v>964</v>
      </c>
      <c r="S20" s="698" t="s">
        <v>719</v>
      </c>
      <c r="T20" s="698" t="s">
        <v>719</v>
      </c>
      <c r="U20" s="698" t="s">
        <v>718</v>
      </c>
      <c r="V20" s="698" t="s">
        <v>718</v>
      </c>
      <c r="W20" s="699">
        <v>0</v>
      </c>
    </row>
    <row r="21" spans="3:23" s="618" customFormat="1" ht="15.75" x14ac:dyDescent="0.25">
      <c r="C21" s="815" t="s">
        <v>79</v>
      </c>
      <c r="D21" s="816"/>
      <c r="E21" s="816"/>
      <c r="F21" s="816"/>
      <c r="G21" s="817"/>
      <c r="H21" s="832" t="s">
        <v>80</v>
      </c>
      <c r="I21" s="832"/>
      <c r="J21" s="638"/>
      <c r="K21" s="637"/>
      <c r="L21" s="631"/>
      <c r="M21" s="631"/>
      <c r="N21" s="634"/>
      <c r="S21" s="698" t="s">
        <v>719</v>
      </c>
      <c r="T21" s="698" t="s">
        <v>719</v>
      </c>
      <c r="U21" s="698" t="s">
        <v>719</v>
      </c>
      <c r="V21" s="698" t="s">
        <v>718</v>
      </c>
      <c r="W21" s="699">
        <v>1.4999999999999999E-2</v>
      </c>
    </row>
    <row r="22" spans="3:23" s="618" customFormat="1" ht="15.75" x14ac:dyDescent="0.25">
      <c r="C22" s="812" t="s">
        <v>81</v>
      </c>
      <c r="D22" s="813"/>
      <c r="E22" s="813"/>
      <c r="F22" s="813"/>
      <c r="G22" s="814"/>
      <c r="H22" s="833">
        <v>3.5</v>
      </c>
      <c r="I22" s="833"/>
      <c r="J22" s="636"/>
      <c r="K22" s="635"/>
      <c r="L22" s="631"/>
      <c r="M22" s="631"/>
      <c r="N22" s="634"/>
      <c r="T22" s="633"/>
      <c r="W22" s="632"/>
    </row>
    <row r="23" spans="3:23" s="618" customFormat="1" ht="15.75" x14ac:dyDescent="0.25">
      <c r="C23" s="812" t="s">
        <v>837</v>
      </c>
      <c r="D23" s="813"/>
      <c r="E23" s="813"/>
      <c r="F23" s="813"/>
      <c r="G23" s="814"/>
      <c r="H23" s="833">
        <v>2.5</v>
      </c>
      <c r="I23" s="833"/>
      <c r="J23" s="636"/>
      <c r="K23" s="635"/>
      <c r="L23" s="631"/>
      <c r="M23" s="631"/>
      <c r="N23" s="634"/>
      <c r="T23" s="633"/>
      <c r="W23" s="632"/>
    </row>
    <row r="24" spans="3:23" s="618" customFormat="1" ht="15.75" x14ac:dyDescent="0.25">
      <c r="C24" s="812" t="s">
        <v>836</v>
      </c>
      <c r="D24" s="813"/>
      <c r="E24" s="813"/>
      <c r="F24" s="813"/>
      <c r="G24" s="814"/>
      <c r="H24" s="833">
        <v>2</v>
      </c>
      <c r="I24" s="833"/>
      <c r="J24" s="636"/>
      <c r="K24" s="635"/>
      <c r="L24" s="631"/>
      <c r="M24" s="631"/>
      <c r="N24" s="634"/>
      <c r="T24" s="633"/>
      <c r="W24" s="632"/>
    </row>
    <row r="25" spans="3:23" s="618" customFormat="1" ht="15.75" x14ac:dyDescent="0.25">
      <c r="C25" s="812" t="s">
        <v>483</v>
      </c>
      <c r="D25" s="813"/>
      <c r="E25" s="813"/>
      <c r="F25" s="813"/>
      <c r="G25" s="814"/>
      <c r="H25" s="833">
        <v>2</v>
      </c>
      <c r="I25" s="833"/>
      <c r="J25" s="630"/>
      <c r="K25" s="629"/>
      <c r="L25" s="631"/>
      <c r="M25" s="631"/>
      <c r="N25" s="619"/>
      <c r="O25" s="345"/>
    </row>
    <row r="26" spans="3:23" s="618" customFormat="1" ht="15.75" x14ac:dyDescent="0.25">
      <c r="C26" s="812" t="s">
        <v>835</v>
      </c>
      <c r="D26" s="813"/>
      <c r="E26" s="813"/>
      <c r="F26" s="813"/>
      <c r="G26" s="814"/>
      <c r="H26" s="829" t="s">
        <v>834</v>
      </c>
      <c r="I26" s="829"/>
      <c r="J26" s="630"/>
      <c r="K26" s="629"/>
      <c r="L26" s="628"/>
      <c r="M26" s="628"/>
      <c r="N26" s="619"/>
      <c r="O26" s="345"/>
    </row>
    <row r="27" spans="3:23" s="618" customFormat="1" ht="15.75" x14ac:dyDescent="0.25">
      <c r="C27" s="793" t="s">
        <v>833</v>
      </c>
      <c r="D27" s="794"/>
      <c r="E27" s="794"/>
      <c r="F27" s="794"/>
      <c r="G27" s="795"/>
      <c r="H27" s="796">
        <v>2.5000000000000001E-3</v>
      </c>
      <c r="I27" s="796"/>
      <c r="J27" s="625">
        <v>2.5000000000000001E-3</v>
      </c>
      <c r="K27" s="627"/>
      <c r="L27" s="623">
        <v>0</v>
      </c>
      <c r="M27" s="623">
        <v>0</v>
      </c>
      <c r="N27" s="619"/>
      <c r="O27" s="345"/>
    </row>
    <row r="28" spans="3:23" s="618" customFormat="1" ht="46.15" customHeight="1" x14ac:dyDescent="0.25">
      <c r="C28" s="793" t="s">
        <v>832</v>
      </c>
      <c r="D28" s="794"/>
      <c r="E28" s="794"/>
      <c r="F28" s="794"/>
      <c r="G28" s="795"/>
      <c r="H28" s="796">
        <v>2.5000000000000001E-3</v>
      </c>
      <c r="I28" s="796"/>
      <c r="J28" s="625">
        <v>2.5000000000000001E-3</v>
      </c>
      <c r="K28" s="626"/>
      <c r="L28" s="623">
        <v>0</v>
      </c>
      <c r="M28" s="623">
        <v>0</v>
      </c>
      <c r="N28" s="619"/>
      <c r="O28" s="345"/>
    </row>
    <row r="29" spans="3:23" s="618" customFormat="1" ht="15.75" x14ac:dyDescent="0.25">
      <c r="C29" s="793" t="s">
        <v>82</v>
      </c>
      <c r="D29" s="794"/>
      <c r="E29" s="794"/>
      <c r="F29" s="794"/>
      <c r="G29" s="795"/>
      <c r="H29" s="796">
        <v>2.5000000000000001E-3</v>
      </c>
      <c r="I29" s="796"/>
      <c r="J29" s="625">
        <v>2.5000000000000001E-3</v>
      </c>
      <c r="K29" s="624"/>
      <c r="L29" s="623">
        <v>0</v>
      </c>
      <c r="M29" s="623">
        <v>0</v>
      </c>
      <c r="N29" s="619"/>
      <c r="O29" s="345"/>
    </row>
    <row r="30" spans="3:23" s="618" customFormat="1" ht="33.75" customHeight="1" x14ac:dyDescent="0.25">
      <c r="C30" s="793" t="s">
        <v>831</v>
      </c>
      <c r="D30" s="794"/>
      <c r="E30" s="794"/>
      <c r="F30" s="794"/>
      <c r="G30" s="795"/>
      <c r="H30" s="796">
        <v>0.01</v>
      </c>
      <c r="I30" s="796"/>
      <c r="J30" s="625">
        <v>0.01</v>
      </c>
      <c r="K30" s="624"/>
      <c r="L30" s="623">
        <v>0</v>
      </c>
      <c r="M30" s="623">
        <v>0</v>
      </c>
      <c r="N30" s="619"/>
      <c r="O30" s="345"/>
    </row>
    <row r="31" spans="3:23" s="618" customFormat="1" ht="50.45" customHeight="1" x14ac:dyDescent="0.25">
      <c r="C31" s="797" t="s">
        <v>830</v>
      </c>
      <c r="D31" s="798"/>
      <c r="E31" s="798"/>
      <c r="F31" s="798"/>
      <c r="G31" s="799"/>
      <c r="H31" s="801">
        <v>-0.01</v>
      </c>
      <c r="I31" s="801"/>
      <c r="J31" s="622">
        <v>-0.01</v>
      </c>
      <c r="K31" s="621"/>
      <c r="L31" s="620">
        <v>0</v>
      </c>
      <c r="M31" s="620">
        <v>0</v>
      </c>
      <c r="N31" s="619"/>
      <c r="O31" s="345"/>
    </row>
    <row r="32" spans="3:23" ht="31.15" customHeight="1" x14ac:dyDescent="0.25">
      <c r="C32" s="802" t="s">
        <v>720</v>
      </c>
      <c r="D32" s="802"/>
      <c r="E32" s="802"/>
      <c r="F32" s="802"/>
      <c r="G32" s="802"/>
      <c r="H32" s="802"/>
      <c r="I32" s="802"/>
      <c r="J32" s="456"/>
      <c r="K32" s="457" t="s">
        <v>721</v>
      </c>
      <c r="L32" s="458">
        <f>SUM(L9:L31)</f>
        <v>7.4999999999999997E-3</v>
      </c>
      <c r="M32" s="458">
        <f>SUM(M9:M31)</f>
        <v>7.4999999999999997E-3</v>
      </c>
      <c r="N32" s="574"/>
      <c r="P32" s="571"/>
    </row>
    <row r="33" spans="3:21" s="571" customFormat="1" x14ac:dyDescent="0.25">
      <c r="C33" s="616"/>
      <c r="D33" s="616"/>
      <c r="E33" s="616"/>
      <c r="F33" s="616"/>
      <c r="G33" s="570"/>
      <c r="H33" s="617" t="s">
        <v>722</v>
      </c>
      <c r="I33" s="616"/>
      <c r="J33" s="616"/>
      <c r="K33" s="459"/>
      <c r="L33" s="575"/>
      <c r="M33" s="575"/>
      <c r="N33" s="573"/>
      <c r="O33" s="556"/>
    </row>
    <row r="34" spans="3:21" s="571" customFormat="1" ht="75" x14ac:dyDescent="0.25">
      <c r="C34" s="615"/>
      <c r="D34" s="614"/>
      <c r="E34" s="614"/>
      <c r="F34" s="610"/>
      <c r="G34" s="570"/>
      <c r="H34" s="461" t="s">
        <v>723</v>
      </c>
      <c r="I34" s="461" t="s">
        <v>989</v>
      </c>
      <c r="J34" s="610"/>
      <c r="K34" s="609"/>
      <c r="L34" s="608"/>
      <c r="M34" s="608"/>
      <c r="N34" s="572"/>
      <c r="O34" s="556"/>
    </row>
    <row r="35" spans="3:21" s="571" customFormat="1" x14ac:dyDescent="0.25">
      <c r="C35" s="615"/>
      <c r="D35" s="614"/>
      <c r="E35" s="614"/>
      <c r="F35" s="610"/>
      <c r="G35" s="570"/>
      <c r="H35" s="612" t="s">
        <v>62</v>
      </c>
      <c r="I35" s="611">
        <v>0.1225</v>
      </c>
      <c r="J35" s="610"/>
      <c r="K35" s="464" t="s">
        <v>723</v>
      </c>
      <c r="L35" s="465" t="s">
        <v>63</v>
      </c>
      <c r="M35" s="466"/>
      <c r="N35" s="572"/>
      <c r="O35" s="556"/>
    </row>
    <row r="36" spans="3:21" s="571" customFormat="1" x14ac:dyDescent="0.25">
      <c r="C36" s="615"/>
      <c r="D36" s="614"/>
      <c r="E36" s="614"/>
      <c r="F36" s="615"/>
      <c r="G36" s="570"/>
      <c r="H36" s="612" t="s">
        <v>63</v>
      </c>
      <c r="I36" s="611">
        <f>I35+0.25%</f>
        <v>0.125</v>
      </c>
      <c r="J36" s="610"/>
      <c r="K36" s="467" t="s">
        <v>724</v>
      </c>
      <c r="L36" s="468">
        <f>VLOOKUP(L35,H35:I40,2,0)</f>
        <v>0.125</v>
      </c>
      <c r="M36" s="576"/>
      <c r="N36" s="455"/>
      <c r="O36" s="556"/>
    </row>
    <row r="37" spans="3:21" s="571" customFormat="1" x14ac:dyDescent="0.25">
      <c r="C37" s="614"/>
      <c r="D37" s="614"/>
      <c r="E37" s="614"/>
      <c r="F37" s="614"/>
      <c r="G37" s="570"/>
      <c r="H37" s="612" t="s">
        <v>64</v>
      </c>
      <c r="I37" s="611">
        <f>I36+0.25%</f>
        <v>0.1275</v>
      </c>
      <c r="J37" s="610"/>
      <c r="K37" s="467" t="s">
        <v>725</v>
      </c>
      <c r="L37" s="468">
        <f>L32</f>
        <v>7.4999999999999997E-3</v>
      </c>
      <c r="M37" s="576"/>
      <c r="N37" s="455"/>
      <c r="O37" s="556"/>
    </row>
    <row r="38" spans="3:21" s="571" customFormat="1" x14ac:dyDescent="0.25">
      <c r="C38" s="614"/>
      <c r="D38" s="614"/>
      <c r="E38" s="614"/>
      <c r="F38" s="613"/>
      <c r="G38" s="570"/>
      <c r="H38" s="612" t="s">
        <v>65</v>
      </c>
      <c r="I38" s="731">
        <v>0.14000000000000001</v>
      </c>
      <c r="J38" s="610"/>
      <c r="K38" s="467" t="s">
        <v>83</v>
      </c>
      <c r="L38" s="468">
        <f>L32+L36</f>
        <v>0.13250000000000001</v>
      </c>
      <c r="M38" s="576"/>
      <c r="N38" s="455"/>
      <c r="O38" s="556"/>
    </row>
    <row r="39" spans="3:21" s="571" customFormat="1" x14ac:dyDescent="0.25">
      <c r="C39" s="614"/>
      <c r="D39" s="614"/>
      <c r="E39" s="614"/>
      <c r="F39" s="613"/>
      <c r="G39" s="570"/>
      <c r="H39" s="612" t="s">
        <v>66</v>
      </c>
      <c r="I39" s="731">
        <v>0.15</v>
      </c>
      <c r="J39" s="610"/>
      <c r="K39" s="609"/>
      <c r="L39" s="608"/>
      <c r="M39" s="608"/>
      <c r="N39" s="455"/>
      <c r="O39" s="556"/>
    </row>
    <row r="40" spans="3:21" s="571" customFormat="1" x14ac:dyDescent="0.25">
      <c r="C40" s="614"/>
      <c r="D40" s="614"/>
      <c r="E40" s="614"/>
      <c r="F40" s="613"/>
      <c r="G40" s="570"/>
      <c r="H40" s="612" t="s">
        <v>67</v>
      </c>
      <c r="I40" s="731">
        <v>0.16</v>
      </c>
      <c r="J40" s="610"/>
      <c r="K40" s="609"/>
      <c r="L40" s="608"/>
      <c r="M40" s="608"/>
      <c r="N40" s="455"/>
      <c r="O40" s="556"/>
    </row>
    <row r="41" spans="3:21" s="562" customFormat="1" x14ac:dyDescent="0.25">
      <c r="C41" s="406"/>
      <c r="D41" s="406"/>
      <c r="E41" s="469"/>
      <c r="F41" s="469"/>
      <c r="G41" s="469"/>
      <c r="H41" s="469"/>
      <c r="I41" s="469"/>
      <c r="J41" s="469"/>
      <c r="K41" s="469"/>
      <c r="L41" s="434"/>
      <c r="M41" s="434"/>
      <c r="N41" s="558"/>
      <c r="O41" s="558"/>
      <c r="Q41" s="558"/>
      <c r="R41" s="558"/>
      <c r="S41" s="556"/>
      <c r="T41" s="556"/>
      <c r="U41" s="556"/>
    </row>
    <row r="42" spans="3:21" s="562" customFormat="1" ht="18.75" x14ac:dyDescent="0.3">
      <c r="C42" s="470" t="s">
        <v>726</v>
      </c>
      <c r="D42" s="469"/>
      <c r="E42" s="469"/>
      <c r="F42" s="469"/>
      <c r="G42" s="469"/>
      <c r="H42" s="469"/>
      <c r="I42" s="469"/>
      <c r="J42" s="469"/>
      <c r="K42" s="469"/>
      <c r="L42" s="434"/>
      <c r="M42" s="434"/>
      <c r="N42" s="558"/>
      <c r="O42" s="558"/>
      <c r="P42" s="471"/>
      <c r="Q42" s="558"/>
      <c r="R42" s="558"/>
      <c r="S42" s="556"/>
      <c r="T42" s="556"/>
      <c r="U42" s="556"/>
    </row>
    <row r="43" spans="3:21" s="562" customFormat="1" ht="45.6" customHeight="1" x14ac:dyDescent="0.25">
      <c r="C43" s="774" t="s">
        <v>727</v>
      </c>
      <c r="D43" s="775"/>
      <c r="E43" s="803"/>
      <c r="F43" s="804"/>
      <c r="G43" s="804"/>
      <c r="H43" s="805"/>
      <c r="I43" s="774" t="s">
        <v>728</v>
      </c>
      <c r="J43" s="775"/>
      <c r="K43" s="472"/>
      <c r="L43" s="775"/>
      <c r="M43" s="473"/>
      <c r="N43" s="474"/>
      <c r="O43" s="474"/>
      <c r="P43" s="474"/>
      <c r="Q43" s="474"/>
      <c r="R43" s="475"/>
      <c r="S43" s="556"/>
      <c r="T43" s="556"/>
    </row>
    <row r="44" spans="3:21" s="562" customFormat="1" ht="15" customHeight="1" x14ac:dyDescent="0.25">
      <c r="C44" s="800"/>
      <c r="D44" s="777"/>
      <c r="E44" s="806"/>
      <c r="F44" s="807"/>
      <c r="G44" s="807"/>
      <c r="H44" s="808"/>
      <c r="I44" s="800"/>
      <c r="J44" s="777"/>
      <c r="K44" s="480"/>
      <c r="L44" s="777"/>
      <c r="M44" s="481"/>
      <c r="N44" s="474"/>
      <c r="O44" s="474"/>
      <c r="P44" s="474"/>
      <c r="Q44" s="474"/>
      <c r="R44" s="474"/>
      <c r="S44" s="556"/>
      <c r="T44" s="556"/>
      <c r="U44" s="556"/>
    </row>
    <row r="45" spans="3:21" s="562" customFormat="1" ht="18.75" x14ac:dyDescent="0.25">
      <c r="C45" s="478"/>
      <c r="D45" s="482"/>
      <c r="E45" s="806"/>
      <c r="F45" s="807"/>
      <c r="G45" s="807"/>
      <c r="H45" s="808"/>
      <c r="I45" s="480"/>
      <c r="J45" s="479"/>
      <c r="K45" s="480"/>
      <c r="L45" s="482"/>
      <c r="M45" s="485"/>
      <c r="N45" s="474"/>
      <c r="O45" s="474"/>
      <c r="P45" s="474"/>
      <c r="Q45" s="474"/>
      <c r="R45" s="474"/>
      <c r="S45" s="556"/>
      <c r="T45" s="556"/>
      <c r="U45" s="556"/>
    </row>
    <row r="46" spans="3:21" s="562" customFormat="1" ht="18.75" x14ac:dyDescent="0.25">
      <c r="C46" s="478"/>
      <c r="D46" s="482"/>
      <c r="E46" s="806"/>
      <c r="F46" s="807"/>
      <c r="G46" s="807"/>
      <c r="H46" s="808"/>
      <c r="I46" s="480"/>
      <c r="J46" s="479"/>
      <c r="K46" s="480"/>
      <c r="L46" s="482"/>
      <c r="M46" s="485"/>
      <c r="N46" s="474"/>
      <c r="O46" s="474"/>
      <c r="P46" s="474"/>
      <c r="Q46" s="474"/>
      <c r="R46" s="474"/>
      <c r="S46" s="556"/>
      <c r="T46" s="556"/>
      <c r="U46" s="556"/>
    </row>
    <row r="47" spans="3:21" s="562" customFormat="1" x14ac:dyDescent="0.25">
      <c r="C47" s="478"/>
      <c r="D47" s="406"/>
      <c r="E47" s="806"/>
      <c r="F47" s="807"/>
      <c r="G47" s="807"/>
      <c r="H47" s="808"/>
      <c r="I47" s="480"/>
      <c r="J47" s="479"/>
      <c r="K47" s="480"/>
      <c r="L47" s="479"/>
      <c r="M47" s="484"/>
      <c r="N47" s="474"/>
      <c r="O47" s="474"/>
      <c r="P47" s="474"/>
      <c r="Q47" s="474"/>
      <c r="R47" s="474"/>
      <c r="S47" s="556"/>
      <c r="T47" s="556"/>
      <c r="U47" s="556"/>
    </row>
    <row r="48" spans="3:21" s="562" customFormat="1" x14ac:dyDescent="0.25">
      <c r="C48" s="478"/>
      <c r="D48" s="406"/>
      <c r="E48" s="806"/>
      <c r="F48" s="807"/>
      <c r="G48" s="807"/>
      <c r="H48" s="808"/>
      <c r="I48" s="480"/>
      <c r="J48" s="479"/>
      <c r="K48" s="480"/>
      <c r="L48" s="479"/>
      <c r="M48" s="484"/>
      <c r="N48" s="474"/>
      <c r="O48" s="474"/>
      <c r="P48" s="474"/>
      <c r="Q48" s="474"/>
      <c r="R48" s="474"/>
      <c r="S48" s="556"/>
      <c r="T48" s="556"/>
      <c r="U48" s="556"/>
    </row>
    <row r="49" spans="3:36" s="562" customFormat="1" x14ac:dyDescent="0.25">
      <c r="C49" s="478"/>
      <c r="D49" s="406"/>
      <c r="E49" s="806"/>
      <c r="F49" s="807"/>
      <c r="G49" s="807"/>
      <c r="H49" s="808"/>
      <c r="I49" s="480"/>
      <c r="J49" s="479"/>
      <c r="K49" s="480"/>
      <c r="L49" s="479"/>
      <c r="M49" s="484"/>
      <c r="N49" s="474"/>
      <c r="O49" s="474"/>
      <c r="P49" s="474"/>
      <c r="Q49" s="474"/>
      <c r="R49" s="474"/>
      <c r="S49" s="556"/>
      <c r="T49" s="556"/>
      <c r="U49" s="556"/>
    </row>
    <row r="50" spans="3:36" s="562" customFormat="1" x14ac:dyDescent="0.25">
      <c r="C50" s="486"/>
      <c r="D50" s="408"/>
      <c r="E50" s="809"/>
      <c r="F50" s="810"/>
      <c r="G50" s="810"/>
      <c r="H50" s="811"/>
      <c r="I50" s="487"/>
      <c r="J50" s="488"/>
      <c r="K50" s="487"/>
      <c r="L50" s="488"/>
      <c r="M50" s="489"/>
      <c r="N50" s="474"/>
      <c r="O50" s="474"/>
      <c r="P50" s="474"/>
      <c r="Q50" s="474"/>
      <c r="R50" s="474"/>
      <c r="S50" s="556"/>
      <c r="T50" s="556"/>
      <c r="U50" s="556"/>
    </row>
    <row r="51" spans="3:36" x14ac:dyDescent="0.25">
      <c r="C51" s="460"/>
      <c r="D51" s="460"/>
      <c r="E51" s="460"/>
      <c r="F51" s="460"/>
      <c r="G51" s="460"/>
      <c r="H51" s="456"/>
      <c r="I51" s="456"/>
      <c r="J51" s="456"/>
      <c r="K51" s="462"/>
      <c r="L51" s="463"/>
      <c r="M51" s="463"/>
    </row>
    <row r="52" spans="3:36" s="556" customFormat="1" ht="15.75" x14ac:dyDescent="0.25">
      <c r="C52" s="490"/>
      <c r="D52" s="490"/>
      <c r="E52" s="490"/>
      <c r="F52" s="490"/>
      <c r="G52" s="490"/>
      <c r="H52" s="479"/>
      <c r="I52" s="491"/>
      <c r="J52" s="491"/>
      <c r="K52" s="491"/>
      <c r="L52" s="434"/>
      <c r="M52" s="434"/>
      <c r="N52" s="557"/>
      <c r="O52" s="557"/>
      <c r="P52" s="557"/>
      <c r="Q52" s="558"/>
      <c r="R52" s="577"/>
      <c r="S52" s="577"/>
      <c r="T52" s="557"/>
      <c r="U52" s="577"/>
      <c r="V52" s="558"/>
      <c r="W52" s="557"/>
      <c r="X52" s="557"/>
      <c r="Y52" s="557"/>
      <c r="Z52" s="557"/>
      <c r="AA52" s="558"/>
      <c r="AB52" s="577"/>
      <c r="AC52" s="577"/>
      <c r="AD52" s="577"/>
      <c r="AE52" s="577"/>
      <c r="AF52" s="562"/>
      <c r="AG52" s="562"/>
      <c r="AH52" s="562"/>
      <c r="AI52" s="562"/>
      <c r="AJ52" s="558"/>
    </row>
    <row r="53" spans="3:36" s="556" customFormat="1" ht="15.75" x14ac:dyDescent="0.25">
      <c r="C53" s="490"/>
      <c r="D53" s="490"/>
      <c r="E53" s="490"/>
      <c r="F53" s="490"/>
      <c r="G53" s="490"/>
      <c r="H53" s="479"/>
      <c r="I53" s="491"/>
      <c r="J53" s="491"/>
      <c r="K53" s="491"/>
      <c r="L53" s="434"/>
      <c r="M53" s="434"/>
      <c r="N53" s="557"/>
      <c r="O53" s="557"/>
      <c r="P53" s="557"/>
      <c r="Q53" s="558"/>
      <c r="R53" s="577"/>
      <c r="S53" s="577"/>
      <c r="T53" s="557"/>
      <c r="U53" s="577"/>
      <c r="V53" s="558"/>
      <c r="W53" s="557"/>
      <c r="X53" s="557"/>
      <c r="Y53" s="557"/>
      <c r="Z53" s="557"/>
      <c r="AA53" s="558"/>
      <c r="AB53" s="577"/>
      <c r="AC53" s="577"/>
      <c r="AD53" s="577"/>
      <c r="AE53" s="577"/>
      <c r="AF53" s="562"/>
      <c r="AG53" s="562"/>
      <c r="AH53" s="562"/>
      <c r="AI53" s="562"/>
      <c r="AJ53" s="558"/>
    </row>
    <row r="54" spans="3:36" s="556" customFormat="1" x14ac:dyDescent="0.25">
      <c r="C54" s="406"/>
      <c r="D54" s="406"/>
      <c r="E54" s="406"/>
      <c r="F54" s="406"/>
      <c r="G54" s="406"/>
      <c r="H54" s="434"/>
      <c r="I54" s="491"/>
      <c r="J54" s="491"/>
      <c r="K54" s="491"/>
      <c r="L54" s="434"/>
      <c r="M54" s="434"/>
      <c r="N54" s="557"/>
      <c r="O54" s="557"/>
      <c r="P54" s="557"/>
      <c r="Q54" s="558"/>
      <c r="R54" s="577"/>
      <c r="S54" s="577"/>
      <c r="T54" s="557"/>
      <c r="U54" s="577"/>
      <c r="V54" s="558"/>
      <c r="W54" s="557"/>
      <c r="X54" s="557"/>
      <c r="Y54" s="557"/>
      <c r="Z54" s="557"/>
      <c r="AA54" s="558"/>
      <c r="AB54" s="577"/>
      <c r="AC54" s="577"/>
      <c r="AD54" s="577"/>
      <c r="AE54" s="577"/>
      <c r="AF54" s="562"/>
      <c r="AG54" s="562"/>
      <c r="AH54" s="562"/>
      <c r="AI54" s="562"/>
      <c r="AJ54" s="558"/>
    </row>
    <row r="55" spans="3:36" s="556" customFormat="1" x14ac:dyDescent="0.25">
      <c r="C55" s="406"/>
      <c r="D55" s="406"/>
      <c r="E55" s="406"/>
      <c r="F55" s="406"/>
      <c r="G55" s="406"/>
      <c r="H55" s="434"/>
      <c r="I55" s="491"/>
      <c r="J55" s="491"/>
      <c r="K55" s="491"/>
      <c r="L55" s="434"/>
      <c r="M55" s="434"/>
      <c r="N55" s="557"/>
      <c r="O55" s="557"/>
      <c r="P55" s="557"/>
      <c r="Q55" s="558"/>
      <c r="R55" s="577"/>
      <c r="S55" s="577"/>
      <c r="T55" s="557"/>
      <c r="U55" s="577"/>
      <c r="V55" s="558"/>
      <c r="W55" s="557"/>
      <c r="X55" s="557"/>
      <c r="Y55" s="557"/>
      <c r="Z55" s="557"/>
      <c r="AA55" s="558"/>
      <c r="AB55" s="577"/>
      <c r="AC55" s="577"/>
      <c r="AD55" s="577"/>
      <c r="AE55" s="577"/>
      <c r="AF55" s="562"/>
      <c r="AG55" s="562"/>
      <c r="AH55" s="562"/>
      <c r="AI55" s="562"/>
      <c r="AJ55" s="558"/>
    </row>
    <row r="56" spans="3:36" s="556" customFormat="1" x14ac:dyDescent="0.25">
      <c r="C56" s="406"/>
      <c r="D56" s="406"/>
      <c r="E56" s="406"/>
      <c r="F56" s="406"/>
      <c r="G56" s="406"/>
      <c r="H56" s="434"/>
      <c r="I56" s="491"/>
      <c r="J56" s="491"/>
      <c r="K56" s="491"/>
      <c r="L56" s="434"/>
      <c r="M56" s="434"/>
      <c r="N56" s="557"/>
      <c r="O56" s="557"/>
      <c r="P56" s="557"/>
      <c r="Q56" s="558"/>
      <c r="R56" s="577"/>
      <c r="S56" s="577"/>
      <c r="T56" s="557"/>
      <c r="U56" s="577"/>
      <c r="V56" s="558"/>
      <c r="W56" s="557"/>
      <c r="X56" s="557"/>
      <c r="Y56" s="557"/>
      <c r="Z56" s="557"/>
      <c r="AA56" s="558"/>
      <c r="AB56" s="577"/>
      <c r="AC56" s="577"/>
      <c r="AD56" s="577"/>
      <c r="AE56" s="577"/>
      <c r="AF56" s="562"/>
      <c r="AG56" s="562"/>
      <c r="AH56" s="562"/>
      <c r="AI56" s="562"/>
      <c r="AJ56" s="558"/>
    </row>
    <row r="57" spans="3:36" s="556" customFormat="1" x14ac:dyDescent="0.25">
      <c r="C57" s="406"/>
      <c r="D57" s="406"/>
      <c r="E57" s="406"/>
      <c r="F57" s="406"/>
      <c r="G57" s="406"/>
      <c r="H57" s="434"/>
      <c r="I57" s="491"/>
      <c r="J57" s="491"/>
      <c r="K57" s="491"/>
      <c r="L57" s="434"/>
      <c r="M57" s="434"/>
      <c r="N57" s="557"/>
      <c r="O57" s="557"/>
      <c r="P57" s="557"/>
      <c r="Q57" s="558"/>
      <c r="R57" s="577"/>
      <c r="S57" s="577"/>
      <c r="T57" s="557"/>
      <c r="U57" s="577"/>
      <c r="V57" s="558"/>
      <c r="W57" s="557"/>
      <c r="X57" s="557"/>
      <c r="Y57" s="557"/>
      <c r="Z57" s="557"/>
      <c r="AA57" s="558"/>
      <c r="AB57" s="577"/>
      <c r="AC57" s="577"/>
      <c r="AD57" s="577"/>
      <c r="AE57" s="577"/>
      <c r="AF57" s="562"/>
      <c r="AG57" s="562"/>
      <c r="AH57" s="562"/>
      <c r="AI57" s="562"/>
      <c r="AJ57" s="558"/>
    </row>
    <row r="58" spans="3:36" s="556" customFormat="1" x14ac:dyDescent="0.25">
      <c r="C58" s="562"/>
      <c r="D58" s="562"/>
      <c r="E58" s="562"/>
      <c r="F58" s="562"/>
      <c r="G58" s="562"/>
      <c r="H58" s="557"/>
      <c r="I58" s="558"/>
      <c r="J58" s="558"/>
      <c r="K58" s="558"/>
      <c r="L58" s="557"/>
      <c r="M58" s="557"/>
      <c r="N58" s="557"/>
      <c r="O58" s="557"/>
      <c r="P58" s="557"/>
      <c r="Q58" s="558"/>
      <c r="R58" s="577"/>
      <c r="S58" s="577"/>
      <c r="T58" s="557"/>
      <c r="U58" s="577"/>
      <c r="V58" s="558"/>
      <c r="W58" s="557"/>
      <c r="X58" s="557"/>
      <c r="Y58" s="557"/>
      <c r="Z58" s="557"/>
      <c r="AA58" s="558"/>
      <c r="AB58" s="577"/>
      <c r="AC58" s="577"/>
      <c r="AD58" s="577"/>
      <c r="AE58" s="577"/>
      <c r="AF58" s="562"/>
      <c r="AG58" s="562"/>
      <c r="AH58" s="562"/>
      <c r="AI58" s="562"/>
      <c r="AJ58" s="558"/>
    </row>
    <row r="62" spans="3:36" x14ac:dyDescent="0.25">
      <c r="H62" s="450"/>
      <c r="I62" s="450"/>
    </row>
    <row r="63" spans="3:36" x14ac:dyDescent="0.25">
      <c r="H63" s="450"/>
      <c r="I63" s="450"/>
    </row>
    <row r="64" spans="3:36" x14ac:dyDescent="0.25">
      <c r="H64" s="450"/>
      <c r="I64" s="450"/>
    </row>
    <row r="65" spans="8:9" x14ac:dyDescent="0.25">
      <c r="H65" s="450"/>
      <c r="I65" s="450"/>
    </row>
    <row r="66" spans="8:9" x14ac:dyDescent="0.25">
      <c r="H66" s="450"/>
      <c r="I66" s="450"/>
    </row>
    <row r="67" spans="8:9" x14ac:dyDescent="0.25">
      <c r="H67" s="450"/>
      <c r="I67" s="450"/>
    </row>
    <row r="68" spans="8:9" x14ac:dyDescent="0.25">
      <c r="H68" s="450"/>
      <c r="I68" s="450"/>
    </row>
    <row r="69" spans="8:9" x14ac:dyDescent="0.25">
      <c r="H69" s="450"/>
      <c r="I69" s="450"/>
    </row>
    <row r="70" spans="8:9" x14ac:dyDescent="0.25">
      <c r="H70" s="450"/>
      <c r="I70" s="450"/>
    </row>
  </sheetData>
  <mergeCells count="55">
    <mergeCell ref="H26:I26"/>
    <mergeCell ref="H16:I16"/>
    <mergeCell ref="H17:I17"/>
    <mergeCell ref="H18:I18"/>
    <mergeCell ref="H19:I19"/>
    <mergeCell ref="H20:I20"/>
    <mergeCell ref="H21:I21"/>
    <mergeCell ref="H22:I22"/>
    <mergeCell ref="H23:I23"/>
    <mergeCell ref="H24:I24"/>
    <mergeCell ref="H25:I25"/>
    <mergeCell ref="H13:I13"/>
    <mergeCell ref="H14:I14"/>
    <mergeCell ref="H15:I15"/>
    <mergeCell ref="C11:G11"/>
    <mergeCell ref="C12:G12"/>
    <mergeCell ref="H11:I11"/>
    <mergeCell ref="H12:I12"/>
    <mergeCell ref="C17:G17"/>
    <mergeCell ref="C13:G13"/>
    <mergeCell ref="C14:G14"/>
    <mergeCell ref="C15:G15"/>
    <mergeCell ref="C16:G16"/>
    <mergeCell ref="C3:L3"/>
    <mergeCell ref="H7:J7"/>
    <mergeCell ref="C8:G8"/>
    <mergeCell ref="C9:G9"/>
    <mergeCell ref="C10:G10"/>
    <mergeCell ref="H8:I8"/>
    <mergeCell ref="H9:I9"/>
    <mergeCell ref="H10:I10"/>
    <mergeCell ref="C26:G26"/>
    <mergeCell ref="C18:G18"/>
    <mergeCell ref="C19:G19"/>
    <mergeCell ref="C20:G20"/>
    <mergeCell ref="C21:G21"/>
    <mergeCell ref="C22:G22"/>
    <mergeCell ref="C23:G23"/>
    <mergeCell ref="C24:G24"/>
    <mergeCell ref="C25:G25"/>
    <mergeCell ref="L43:L44"/>
    <mergeCell ref="C29:G29"/>
    <mergeCell ref="C30:G30"/>
    <mergeCell ref="C31:G31"/>
    <mergeCell ref="C43:D44"/>
    <mergeCell ref="I43:J44"/>
    <mergeCell ref="H31:I31"/>
    <mergeCell ref="C32:I32"/>
    <mergeCell ref="E43:H50"/>
    <mergeCell ref="C28:G28"/>
    <mergeCell ref="H27:I27"/>
    <mergeCell ref="H28:I28"/>
    <mergeCell ref="H29:I29"/>
    <mergeCell ref="H30:I30"/>
    <mergeCell ref="C27:G27"/>
  </mergeCells>
  <dataValidations count="1">
    <dataValidation type="list" allowBlank="1" showInputMessage="1" showErrorMessage="1" sqref="L35:M35" xr:uid="{B3E1FC43-A6F0-458D-A0E7-0FA19A621A1E}">
      <formula1>$H$35:$H$40</formula1>
    </dataValidation>
  </dataValidations>
  <pageMargins left="0.25" right="0.25" top="0.75" bottom="0.75" header="0.3" footer="0.3"/>
  <pageSetup paperSize="8" scale="84"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99EAD-C379-4C0F-BBAD-B5676EC4F51A}">
  <dimension ref="A1:D13"/>
  <sheetViews>
    <sheetView workbookViewId="0">
      <selection activeCell="F7" sqref="F7"/>
    </sheetView>
  </sheetViews>
  <sheetFormatPr defaultRowHeight="15" x14ac:dyDescent="0.25"/>
  <cols>
    <col min="2" max="2" width="89.5703125" customWidth="1"/>
    <col min="3" max="3" width="15" customWidth="1"/>
    <col min="4" max="4" width="28.42578125" customWidth="1"/>
  </cols>
  <sheetData>
    <row r="1" spans="1:4" ht="30" customHeight="1" x14ac:dyDescent="0.25">
      <c r="A1" s="722" t="s">
        <v>5</v>
      </c>
      <c r="B1" s="723" t="s">
        <v>891</v>
      </c>
      <c r="C1" s="722" t="s">
        <v>939</v>
      </c>
      <c r="D1" s="722" t="s">
        <v>61</v>
      </c>
    </row>
    <row r="2" spans="1:4" ht="30" customHeight="1" x14ac:dyDescent="0.25">
      <c r="A2" s="719">
        <v>1</v>
      </c>
      <c r="B2" s="720" t="s">
        <v>945</v>
      </c>
      <c r="C2" s="721" t="b">
        <v>1</v>
      </c>
      <c r="D2" s="15"/>
    </row>
    <row r="3" spans="1:4" ht="30" customHeight="1" x14ac:dyDescent="0.25">
      <c r="A3" s="719">
        <v>2</v>
      </c>
      <c r="B3" s="720" t="s">
        <v>960</v>
      </c>
      <c r="C3" s="721" t="b">
        <v>1</v>
      </c>
      <c r="D3" s="720" t="s">
        <v>962</v>
      </c>
    </row>
    <row r="4" spans="1:4" ht="30" customHeight="1" x14ac:dyDescent="0.25">
      <c r="A4" s="719">
        <v>3</v>
      </c>
      <c r="B4" s="720" t="s">
        <v>961</v>
      </c>
      <c r="C4" s="721" t="b">
        <v>1</v>
      </c>
      <c r="D4" s="720" t="s">
        <v>963</v>
      </c>
    </row>
    <row r="5" spans="1:4" ht="30" customHeight="1" x14ac:dyDescent="0.25">
      <c r="A5" s="719">
        <v>4</v>
      </c>
      <c r="B5" s="720" t="s">
        <v>946</v>
      </c>
      <c r="C5" s="721" t="b">
        <v>1</v>
      </c>
      <c r="D5" s="15"/>
    </row>
    <row r="6" spans="1:4" ht="30" customHeight="1" x14ac:dyDescent="0.25">
      <c r="A6" s="719">
        <v>5</v>
      </c>
      <c r="B6" s="720" t="s">
        <v>947</v>
      </c>
      <c r="C6" s="721" t="b">
        <v>1</v>
      </c>
      <c r="D6" s="15"/>
    </row>
    <row r="7" spans="1:4" ht="30" customHeight="1" x14ac:dyDescent="0.25">
      <c r="A7" s="719">
        <v>6</v>
      </c>
      <c r="B7" s="720" t="s">
        <v>948</v>
      </c>
      <c r="C7" s="721" t="b">
        <v>1</v>
      </c>
      <c r="D7" s="15"/>
    </row>
    <row r="8" spans="1:4" ht="30" customHeight="1" x14ac:dyDescent="0.25">
      <c r="A8" s="719">
        <v>7</v>
      </c>
      <c r="B8" s="720" t="s">
        <v>940</v>
      </c>
      <c r="C8" s="721" t="b">
        <v>1</v>
      </c>
      <c r="D8" s="15"/>
    </row>
    <row r="9" spans="1:4" ht="30" customHeight="1" x14ac:dyDescent="0.25">
      <c r="A9" s="719">
        <v>8</v>
      </c>
      <c r="B9" s="720" t="s">
        <v>949</v>
      </c>
      <c r="C9" s="721" t="b">
        <v>1</v>
      </c>
      <c r="D9" s="15"/>
    </row>
    <row r="10" spans="1:4" ht="30" customHeight="1" x14ac:dyDescent="0.25">
      <c r="A10" s="719">
        <v>9</v>
      </c>
      <c r="B10" s="720" t="s">
        <v>941</v>
      </c>
      <c r="C10" s="721" t="b">
        <v>1</v>
      </c>
      <c r="D10" s="15"/>
    </row>
    <row r="11" spans="1:4" ht="30" customHeight="1" x14ac:dyDescent="0.25">
      <c r="A11" s="719">
        <v>10</v>
      </c>
      <c r="B11" s="720" t="s">
        <v>942</v>
      </c>
      <c r="C11" s="721" t="b">
        <v>1</v>
      </c>
      <c r="D11" s="15"/>
    </row>
    <row r="12" spans="1:4" ht="30" customHeight="1" x14ac:dyDescent="0.25">
      <c r="A12" s="719">
        <v>11</v>
      </c>
      <c r="B12" s="720" t="s">
        <v>943</v>
      </c>
      <c r="C12" s="721" t="b">
        <v>1</v>
      </c>
      <c r="D12" s="15"/>
    </row>
    <row r="13" spans="1:4" ht="30" customHeight="1" x14ac:dyDescent="0.25">
      <c r="A13" s="719">
        <v>12</v>
      </c>
      <c r="B13" s="720" t="s">
        <v>944</v>
      </c>
      <c r="C13" s="721" t="b">
        <v>1</v>
      </c>
      <c r="D13" s="15"/>
    </row>
  </sheetData>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843C-D482-4E3B-A50A-98111BD578BA}">
  <sheetPr>
    <tabColor theme="9" tint="0.79998168889431442"/>
    <pageSetUpPr fitToPage="1"/>
  </sheetPr>
  <dimension ref="B3:K70"/>
  <sheetViews>
    <sheetView showGridLines="0" topLeftCell="A41" zoomScale="70" zoomScaleNormal="70" zoomScaleSheetLayoutView="85" workbookViewId="0">
      <selection activeCell="M23" sqref="M23"/>
    </sheetView>
  </sheetViews>
  <sheetFormatPr defaultColWidth="9" defaultRowHeight="15" x14ac:dyDescent="0.25"/>
  <cols>
    <col min="1" max="1" width="1.5703125" style="556" customWidth="1"/>
    <col min="2" max="2" width="7.42578125" style="556" customWidth="1"/>
    <col min="3" max="3" width="96.42578125" style="556" customWidth="1"/>
    <col min="4" max="4" width="49.42578125" style="556" hidden="1" customWidth="1"/>
    <col min="5" max="5" width="9" style="556"/>
    <col min="6" max="6" width="11.42578125" style="556" bestFit="1" customWidth="1"/>
    <col min="7" max="7" width="9" style="556"/>
    <col min="8" max="8" width="66.140625" style="556" customWidth="1"/>
    <col min="9" max="9" width="1.5703125" style="556" customWidth="1"/>
    <col min="10" max="16384" width="9" style="556"/>
  </cols>
  <sheetData>
    <row r="3" spans="2:11" ht="23.25" x14ac:dyDescent="0.35">
      <c r="B3" s="856" t="s">
        <v>687</v>
      </c>
      <c r="C3" s="856"/>
      <c r="D3" s="856"/>
      <c r="E3" s="856"/>
      <c r="F3" s="856"/>
      <c r="G3" s="856"/>
      <c r="H3" s="856"/>
    </row>
    <row r="4" spans="2:11" ht="15" customHeight="1" x14ac:dyDescent="0.35">
      <c r="B4" s="552"/>
      <c r="C4" s="552"/>
      <c r="D4" s="552"/>
      <c r="E4" s="552"/>
      <c r="F4" s="552"/>
      <c r="G4" s="552"/>
      <c r="H4" s="552"/>
    </row>
    <row r="5" spans="2:11" ht="18.75" x14ac:dyDescent="0.25">
      <c r="B5" s="553" t="s">
        <v>921</v>
      </c>
      <c r="C5" s="384"/>
      <c r="D5" s="384"/>
      <c r="E5" s="494" t="s">
        <v>707</v>
      </c>
      <c r="F5" s="728">
        <v>46119</v>
      </c>
    </row>
    <row r="6" spans="2:11" x14ac:dyDescent="0.25">
      <c r="E6" s="554"/>
      <c r="F6" s="554"/>
      <c r="G6" s="554"/>
    </row>
    <row r="7" spans="2:11" s="350" customFormat="1" ht="31.9" customHeight="1" x14ac:dyDescent="0.25">
      <c r="B7" s="679" t="s">
        <v>59</v>
      </c>
      <c r="C7" s="680" t="s">
        <v>859</v>
      </c>
      <c r="D7" s="680" t="s">
        <v>860</v>
      </c>
      <c r="E7" s="679" t="s">
        <v>51</v>
      </c>
      <c r="F7" s="679" t="s">
        <v>5</v>
      </c>
      <c r="G7" s="679" t="s">
        <v>755</v>
      </c>
      <c r="H7" s="679" t="s">
        <v>61</v>
      </c>
      <c r="K7" s="345"/>
    </row>
    <row r="8" spans="2:11" s="345" customFormat="1" ht="17.25" x14ac:dyDescent="0.25">
      <c r="B8" s="681" t="s">
        <v>62</v>
      </c>
      <c r="C8" s="853" t="s">
        <v>756</v>
      </c>
      <c r="D8" s="854"/>
      <c r="E8" s="854"/>
      <c r="F8" s="854"/>
      <c r="G8" s="854"/>
      <c r="H8" s="855"/>
    </row>
    <row r="9" spans="2:11" s="345" customFormat="1" ht="124.9" customHeight="1" x14ac:dyDescent="0.25">
      <c r="B9" s="682">
        <v>1</v>
      </c>
      <c r="C9" s="683" t="s">
        <v>861</v>
      </c>
      <c r="D9" s="690" t="s">
        <v>879</v>
      </c>
      <c r="E9" s="684" t="b">
        <v>1</v>
      </c>
      <c r="F9" s="684" t="b">
        <v>0</v>
      </c>
      <c r="G9" s="684" t="b">
        <v>0</v>
      </c>
      <c r="H9" s="716" t="s">
        <v>976</v>
      </c>
    </row>
    <row r="10" spans="2:11" s="345" customFormat="1" ht="81.400000000000006" customHeight="1" x14ac:dyDescent="0.25">
      <c r="B10" s="682">
        <v>2</v>
      </c>
      <c r="C10" s="683" t="s">
        <v>757</v>
      </c>
      <c r="D10" s="690" t="s">
        <v>880</v>
      </c>
      <c r="E10" s="684" t="b">
        <v>1</v>
      </c>
      <c r="F10" s="684" t="b">
        <v>0</v>
      </c>
      <c r="G10" s="685" t="b">
        <v>0</v>
      </c>
      <c r="H10" s="683" t="s">
        <v>950</v>
      </c>
    </row>
    <row r="11" spans="2:11" s="345" customFormat="1" ht="17.25" x14ac:dyDescent="0.25">
      <c r="B11" s="682">
        <v>3</v>
      </c>
      <c r="C11" s="770" t="s">
        <v>758</v>
      </c>
      <c r="D11" s="772"/>
      <c r="E11" s="684" t="b">
        <v>1</v>
      </c>
      <c r="F11" s="684" t="b">
        <v>0</v>
      </c>
      <c r="G11" s="684" t="b">
        <v>0</v>
      </c>
      <c r="H11" s="682"/>
    </row>
    <row r="12" spans="2:11" s="345" customFormat="1" ht="17.25" x14ac:dyDescent="0.25">
      <c r="B12" s="682"/>
      <c r="C12" s="683"/>
      <c r="D12" s="683"/>
      <c r="E12" s="682"/>
      <c r="F12" s="682"/>
      <c r="G12" s="682"/>
      <c r="H12" s="682"/>
    </row>
    <row r="13" spans="2:11" s="345" customFormat="1" ht="18" customHeight="1" x14ac:dyDescent="0.25">
      <c r="B13" s="681" t="s">
        <v>63</v>
      </c>
      <c r="C13" s="853" t="s">
        <v>759</v>
      </c>
      <c r="D13" s="854"/>
      <c r="E13" s="854"/>
      <c r="F13" s="854"/>
      <c r="G13" s="854"/>
      <c r="H13" s="855"/>
    </row>
    <row r="14" spans="2:11" s="345" customFormat="1" ht="153" customHeight="1" x14ac:dyDescent="0.25">
      <c r="B14" s="682">
        <v>1</v>
      </c>
      <c r="C14" s="761" t="s">
        <v>881</v>
      </c>
      <c r="D14" s="763"/>
      <c r="E14" s="684" t="b">
        <v>1</v>
      </c>
      <c r="F14" s="684" t="b">
        <v>0</v>
      </c>
      <c r="G14" s="684" t="b">
        <v>0</v>
      </c>
      <c r="H14" s="683"/>
    </row>
    <row r="15" spans="2:11" s="345" customFormat="1" ht="50.1" customHeight="1" x14ac:dyDescent="0.25">
      <c r="B15" s="682">
        <v>2</v>
      </c>
      <c r="C15" s="761" t="s">
        <v>882</v>
      </c>
      <c r="D15" s="763"/>
      <c r="E15" s="684" t="b">
        <v>1</v>
      </c>
      <c r="F15" s="684" t="b">
        <v>0</v>
      </c>
      <c r="G15" s="684" t="b">
        <v>0</v>
      </c>
      <c r="H15" s="682"/>
      <c r="K15" s="555"/>
    </row>
    <row r="16" spans="2:11" s="345" customFormat="1" ht="66" customHeight="1" x14ac:dyDescent="0.25">
      <c r="B16" s="682">
        <v>3</v>
      </c>
      <c r="C16" s="761" t="s">
        <v>883</v>
      </c>
      <c r="D16" s="763"/>
      <c r="E16" s="684" t="b">
        <v>1</v>
      </c>
      <c r="F16" s="684" t="b">
        <v>0</v>
      </c>
      <c r="G16" s="684" t="b">
        <v>0</v>
      </c>
      <c r="H16" s="682"/>
      <c r="K16" s="555"/>
    </row>
    <row r="17" spans="2:11" s="345" customFormat="1" ht="70.5" customHeight="1" x14ac:dyDescent="0.25">
      <c r="B17" s="682">
        <v>4</v>
      </c>
      <c r="C17" s="761" t="s">
        <v>884</v>
      </c>
      <c r="D17" s="763"/>
      <c r="E17" s="684" t="b">
        <v>1</v>
      </c>
      <c r="F17" s="684" t="b">
        <v>0</v>
      </c>
      <c r="G17" s="684" t="b">
        <v>0</v>
      </c>
      <c r="H17" s="682"/>
      <c r="K17" s="555"/>
    </row>
    <row r="18" spans="2:11" s="345" customFormat="1" ht="18" customHeight="1" x14ac:dyDescent="0.25">
      <c r="B18" s="682">
        <v>5</v>
      </c>
      <c r="C18" s="849" t="s">
        <v>862</v>
      </c>
      <c r="D18" s="850"/>
      <c r="E18" s="684" t="b">
        <v>1</v>
      </c>
      <c r="F18" s="684" t="b">
        <v>0</v>
      </c>
      <c r="G18" s="684" t="b">
        <v>0</v>
      </c>
      <c r="H18" s="682"/>
    </row>
    <row r="19" spans="2:11" s="345" customFormat="1" ht="18" customHeight="1" x14ac:dyDescent="0.25">
      <c r="B19" s="682">
        <v>6</v>
      </c>
      <c r="C19" s="786" t="s">
        <v>760</v>
      </c>
      <c r="D19" s="788"/>
      <c r="E19" s="684" t="b">
        <v>1</v>
      </c>
      <c r="F19" s="684" t="b">
        <v>0</v>
      </c>
      <c r="G19" s="684" t="b">
        <v>0</v>
      </c>
      <c r="H19" s="682"/>
    </row>
    <row r="20" spans="2:11" s="345" customFormat="1" ht="64.900000000000006" customHeight="1" x14ac:dyDescent="0.25">
      <c r="B20" s="682">
        <v>7</v>
      </c>
      <c r="C20" s="761" t="s">
        <v>885</v>
      </c>
      <c r="D20" s="763"/>
      <c r="E20" s="684" t="b">
        <v>1</v>
      </c>
      <c r="F20" s="684" t="b">
        <v>0</v>
      </c>
      <c r="G20" s="684" t="b">
        <v>0</v>
      </c>
      <c r="H20" s="682"/>
    </row>
    <row r="21" spans="2:11" s="345" customFormat="1" ht="112.9" customHeight="1" x14ac:dyDescent="0.25">
      <c r="B21" s="682">
        <v>8</v>
      </c>
      <c r="C21" s="761" t="s">
        <v>863</v>
      </c>
      <c r="D21" s="763"/>
      <c r="E21" s="684" t="b">
        <v>1</v>
      </c>
      <c r="F21" s="684" t="b">
        <v>0</v>
      </c>
      <c r="G21" s="684" t="b">
        <v>0</v>
      </c>
      <c r="H21" s="716" t="s">
        <v>1011</v>
      </c>
    </row>
    <row r="22" spans="2:11" s="345" customFormat="1" ht="17.25" x14ac:dyDescent="0.25">
      <c r="B22" s="682">
        <v>9</v>
      </c>
      <c r="C22" s="761" t="s">
        <v>864</v>
      </c>
      <c r="D22" s="763"/>
      <c r="E22" s="684" t="b">
        <v>1</v>
      </c>
      <c r="F22" s="684" t="b">
        <v>0</v>
      </c>
      <c r="G22" s="684" t="b">
        <v>0</v>
      </c>
      <c r="H22" s="682"/>
    </row>
    <row r="23" spans="2:11" s="345" customFormat="1" ht="110.25" customHeight="1" x14ac:dyDescent="0.25">
      <c r="B23" s="682">
        <v>10</v>
      </c>
      <c r="C23" s="761" t="s">
        <v>865</v>
      </c>
      <c r="D23" s="763"/>
      <c r="E23" s="684" t="b">
        <v>1</v>
      </c>
      <c r="F23" s="684" t="b">
        <v>0</v>
      </c>
      <c r="G23" s="684" t="b">
        <v>0</v>
      </c>
      <c r="H23" s="716" t="s">
        <v>1012</v>
      </c>
    </row>
    <row r="24" spans="2:11" s="345" customFormat="1" ht="50.1" customHeight="1" x14ac:dyDescent="0.25">
      <c r="B24" s="682">
        <v>11</v>
      </c>
      <c r="C24" s="761" t="s">
        <v>866</v>
      </c>
      <c r="D24" s="763"/>
      <c r="E24" s="684" t="b">
        <v>1</v>
      </c>
      <c r="F24" s="684" t="b">
        <v>0</v>
      </c>
      <c r="G24" s="684" t="b">
        <v>0</v>
      </c>
      <c r="H24" s="716" t="s">
        <v>1013</v>
      </c>
    </row>
    <row r="25" spans="2:11" s="345" customFormat="1" ht="50.1" customHeight="1" x14ac:dyDescent="0.25">
      <c r="B25" s="682">
        <v>12</v>
      </c>
      <c r="C25" s="761" t="s">
        <v>867</v>
      </c>
      <c r="D25" s="763"/>
      <c r="E25" s="684" t="b">
        <v>1</v>
      </c>
      <c r="F25" s="684" t="b">
        <v>0</v>
      </c>
      <c r="G25" s="684" t="b">
        <v>0</v>
      </c>
      <c r="H25" s="716" t="s">
        <v>1014</v>
      </c>
    </row>
    <row r="26" spans="2:11" s="345" customFormat="1" ht="18" customHeight="1" x14ac:dyDescent="0.25">
      <c r="B26" s="682"/>
      <c r="C26" s="682"/>
      <c r="D26" s="682"/>
      <c r="E26" s="682"/>
      <c r="F26" s="686"/>
      <c r="G26" s="682"/>
      <c r="H26" s="682"/>
    </row>
    <row r="27" spans="2:11" s="345" customFormat="1" ht="18" customHeight="1" x14ac:dyDescent="0.25">
      <c r="B27" s="681" t="s">
        <v>64</v>
      </c>
      <c r="C27" s="853" t="s">
        <v>761</v>
      </c>
      <c r="D27" s="854"/>
      <c r="E27" s="854"/>
      <c r="F27" s="854"/>
      <c r="G27" s="854"/>
      <c r="H27" s="855"/>
    </row>
    <row r="28" spans="2:11" s="345" customFormat="1" ht="18" customHeight="1" x14ac:dyDescent="0.25">
      <c r="B28" s="682">
        <v>1</v>
      </c>
      <c r="C28" s="786" t="s">
        <v>868</v>
      </c>
      <c r="D28" s="788"/>
      <c r="E28" s="684" t="b">
        <v>0</v>
      </c>
      <c r="F28" s="684" t="b">
        <v>0</v>
      </c>
      <c r="G28" s="684" t="b">
        <v>1</v>
      </c>
      <c r="H28" s="682"/>
      <c r="K28" s="555"/>
    </row>
    <row r="29" spans="2:11" s="345" customFormat="1" ht="18" customHeight="1" x14ac:dyDescent="0.25">
      <c r="B29" s="682">
        <v>2</v>
      </c>
      <c r="C29" s="786" t="s">
        <v>762</v>
      </c>
      <c r="D29" s="788"/>
      <c r="E29" s="684" t="b">
        <v>1</v>
      </c>
      <c r="F29" s="684" t="b">
        <v>0</v>
      </c>
      <c r="G29" s="684" t="b">
        <v>0</v>
      </c>
      <c r="H29" s="682"/>
      <c r="K29" s="555"/>
    </row>
    <row r="30" spans="2:11" s="345" customFormat="1" ht="18" customHeight="1" x14ac:dyDescent="0.25">
      <c r="B30" s="687" t="s">
        <v>763</v>
      </c>
      <c r="C30" s="770" t="s">
        <v>951</v>
      </c>
      <c r="D30" s="772"/>
      <c r="E30" s="686"/>
      <c r="F30" s="686"/>
      <c r="G30" s="682"/>
      <c r="H30" s="682"/>
      <c r="K30" s="555"/>
    </row>
    <row r="31" spans="2:11" s="345" customFormat="1" ht="56.45" customHeight="1" x14ac:dyDescent="0.25">
      <c r="B31" s="687" t="s">
        <v>764</v>
      </c>
      <c r="C31" s="770" t="s">
        <v>952</v>
      </c>
      <c r="D31" s="772"/>
      <c r="E31" s="686"/>
      <c r="F31" s="686"/>
      <c r="G31" s="682"/>
      <c r="H31" s="717" t="s">
        <v>953</v>
      </c>
      <c r="K31" s="555"/>
    </row>
    <row r="32" spans="2:11" s="345" customFormat="1" ht="18" customHeight="1" x14ac:dyDescent="0.25">
      <c r="B32" s="682"/>
      <c r="C32" s="682"/>
      <c r="D32" s="682"/>
      <c r="E32" s="682"/>
      <c r="F32" s="682"/>
      <c r="G32" s="682"/>
      <c r="H32" s="682"/>
    </row>
    <row r="33" spans="2:8" s="345" customFormat="1" ht="18" customHeight="1" x14ac:dyDescent="0.25">
      <c r="B33" s="681" t="s">
        <v>65</v>
      </c>
      <c r="C33" s="853" t="s">
        <v>765</v>
      </c>
      <c r="D33" s="854"/>
      <c r="E33" s="854"/>
      <c r="F33" s="854"/>
      <c r="G33" s="854"/>
      <c r="H33" s="855"/>
    </row>
    <row r="34" spans="2:8" s="345" customFormat="1" ht="47.65" customHeight="1" x14ac:dyDescent="0.25">
      <c r="B34" s="682">
        <v>1</v>
      </c>
      <c r="C34" s="761" t="s">
        <v>886</v>
      </c>
      <c r="D34" s="850"/>
      <c r="E34" s="686"/>
      <c r="F34" s="682"/>
      <c r="G34" s="682"/>
      <c r="H34" s="682"/>
    </row>
    <row r="35" spans="2:8" s="345" customFormat="1" ht="18" customHeight="1" x14ac:dyDescent="0.25">
      <c r="B35" s="682">
        <v>1.1000000000000001</v>
      </c>
      <c r="C35" s="851" t="s">
        <v>781</v>
      </c>
      <c r="D35" s="852"/>
      <c r="E35" s="686"/>
      <c r="F35" s="682"/>
      <c r="G35" s="682"/>
      <c r="H35" s="682"/>
    </row>
    <row r="36" spans="2:8" s="345" customFormat="1" ht="18" customHeight="1" x14ac:dyDescent="0.25">
      <c r="B36" s="687" t="s">
        <v>782</v>
      </c>
      <c r="C36" s="845" t="s">
        <v>783</v>
      </c>
      <c r="D36" s="846"/>
      <c r="E36" s="684" t="b">
        <v>1</v>
      </c>
      <c r="F36" s="684" t="b">
        <v>0</v>
      </c>
      <c r="G36" s="684" t="b">
        <v>0</v>
      </c>
      <c r="H36" s="682"/>
    </row>
    <row r="37" spans="2:8" s="345" customFormat="1" ht="74.099999999999994" customHeight="1" x14ac:dyDescent="0.25">
      <c r="B37" s="687" t="s">
        <v>784</v>
      </c>
      <c r="C37" s="770" t="s">
        <v>785</v>
      </c>
      <c r="D37" s="772"/>
      <c r="E37" s="684" t="b">
        <v>1</v>
      </c>
      <c r="F37" s="684" t="b">
        <v>0</v>
      </c>
      <c r="G37" s="684" t="b">
        <v>0</v>
      </c>
      <c r="H37" s="718" t="s">
        <v>965</v>
      </c>
    </row>
    <row r="38" spans="2:8" s="345" customFormat="1" ht="18" customHeight="1" x14ac:dyDescent="0.25">
      <c r="B38" s="687" t="s">
        <v>786</v>
      </c>
      <c r="C38" s="845" t="s">
        <v>869</v>
      </c>
      <c r="D38" s="846"/>
      <c r="E38" s="684" t="b">
        <v>0</v>
      </c>
      <c r="F38" s="684" t="b">
        <v>0</v>
      </c>
      <c r="G38" s="684" t="b">
        <v>1</v>
      </c>
      <c r="H38" s="682"/>
    </row>
    <row r="39" spans="2:8" s="345" customFormat="1" ht="18" customHeight="1" x14ac:dyDescent="0.25">
      <c r="B39" s="687"/>
      <c r="C39" s="688"/>
      <c r="D39" s="688"/>
      <c r="E39" s="686"/>
      <c r="F39" s="682"/>
      <c r="G39" s="682"/>
      <c r="H39" s="682"/>
    </row>
    <row r="40" spans="2:8" s="345" customFormat="1" ht="18" customHeight="1" x14ac:dyDescent="0.25">
      <c r="B40" s="682">
        <v>1.2</v>
      </c>
      <c r="C40" s="847" t="s">
        <v>787</v>
      </c>
      <c r="D40" s="848"/>
      <c r="E40" s="686"/>
      <c r="F40" s="682"/>
      <c r="G40" s="682"/>
      <c r="H40" s="682"/>
    </row>
    <row r="41" spans="2:8" s="345" customFormat="1" ht="69" customHeight="1" x14ac:dyDescent="0.25">
      <c r="B41" s="687" t="s">
        <v>788</v>
      </c>
      <c r="C41" s="764" t="s">
        <v>870</v>
      </c>
      <c r="D41" s="766"/>
      <c r="E41" s="691" t="b">
        <v>1</v>
      </c>
      <c r="F41" s="691" t="b">
        <v>0</v>
      </c>
      <c r="G41" s="691" t="b">
        <v>0</v>
      </c>
      <c r="H41" s="718" t="s">
        <v>954</v>
      </c>
    </row>
    <row r="42" spans="2:8" s="345" customFormat="1" ht="33" customHeight="1" x14ac:dyDescent="0.25">
      <c r="B42" s="687" t="s">
        <v>789</v>
      </c>
      <c r="C42" s="764" t="s">
        <v>887</v>
      </c>
      <c r="D42" s="766"/>
      <c r="E42" s="691" t="b">
        <v>1</v>
      </c>
      <c r="F42" s="691" t="b">
        <v>0</v>
      </c>
      <c r="G42" s="691" t="b">
        <v>0</v>
      </c>
      <c r="H42" s="692"/>
    </row>
    <row r="43" spans="2:8" s="345" customFormat="1" ht="66.599999999999994" customHeight="1" x14ac:dyDescent="0.25">
      <c r="B43" s="687" t="s">
        <v>790</v>
      </c>
      <c r="C43" s="764" t="s">
        <v>888</v>
      </c>
      <c r="D43" s="766"/>
      <c r="E43" s="691" t="b">
        <v>0</v>
      </c>
      <c r="F43" s="691" t="b">
        <v>0</v>
      </c>
      <c r="G43" s="691" t="b">
        <v>0</v>
      </c>
      <c r="H43" s="718" t="s">
        <v>957</v>
      </c>
    </row>
    <row r="44" spans="2:8" s="345" customFormat="1" ht="51" customHeight="1" x14ac:dyDescent="0.25">
      <c r="B44" s="687" t="s">
        <v>871</v>
      </c>
      <c r="C44" s="761" t="s">
        <v>889</v>
      </c>
      <c r="D44" s="763"/>
      <c r="E44" s="691" t="b">
        <v>0</v>
      </c>
      <c r="F44" s="691" t="b">
        <v>1</v>
      </c>
      <c r="G44" s="691" t="b">
        <v>0</v>
      </c>
      <c r="H44" s="718" t="s">
        <v>956</v>
      </c>
    </row>
    <row r="45" spans="2:8" s="345" customFormat="1" ht="18" customHeight="1" x14ac:dyDescent="0.25">
      <c r="B45" s="687" t="s">
        <v>872</v>
      </c>
      <c r="C45" s="849" t="s">
        <v>766</v>
      </c>
      <c r="D45" s="850"/>
      <c r="E45" s="691" t="b">
        <v>1</v>
      </c>
      <c r="F45" s="691" t="b">
        <v>0</v>
      </c>
      <c r="G45" s="691" t="b">
        <v>0</v>
      </c>
      <c r="H45" s="692"/>
    </row>
    <row r="46" spans="2:8" s="345" customFormat="1" ht="50.1" customHeight="1" x14ac:dyDescent="0.25">
      <c r="B46" s="687" t="s">
        <v>873</v>
      </c>
      <c r="C46" s="761" t="s">
        <v>874</v>
      </c>
      <c r="D46" s="763"/>
      <c r="E46" s="691" t="b">
        <v>1</v>
      </c>
      <c r="F46" s="691" t="b">
        <v>0</v>
      </c>
      <c r="G46" s="691" t="b">
        <v>0</v>
      </c>
      <c r="H46" s="718" t="s">
        <v>955</v>
      </c>
    </row>
    <row r="47" spans="2:8" s="345" customFormat="1" ht="18" customHeight="1" x14ac:dyDescent="0.25">
      <c r="B47" s="682"/>
      <c r="C47" s="692"/>
      <c r="D47" s="692"/>
      <c r="E47" s="692"/>
      <c r="F47" s="692"/>
      <c r="G47" s="692"/>
      <c r="H47" s="692"/>
    </row>
    <row r="48" spans="2:8" s="345" customFormat="1" ht="18" customHeight="1" x14ac:dyDescent="0.25">
      <c r="B48" s="681" t="s">
        <v>66</v>
      </c>
      <c r="C48" s="834" t="s">
        <v>767</v>
      </c>
      <c r="D48" s="835"/>
      <c r="E48" s="835"/>
      <c r="F48" s="835"/>
      <c r="G48" s="835"/>
      <c r="H48" s="836"/>
    </row>
    <row r="49" spans="2:11" s="345" customFormat="1" ht="44.45" customHeight="1" x14ac:dyDescent="0.25">
      <c r="B49" s="682">
        <v>1</v>
      </c>
      <c r="C49" s="843" t="s">
        <v>804</v>
      </c>
      <c r="D49" s="844"/>
      <c r="E49" s="691" t="b">
        <v>1</v>
      </c>
      <c r="F49" s="691" t="b">
        <v>0</v>
      </c>
      <c r="G49" s="691" t="b">
        <v>0</v>
      </c>
      <c r="H49" s="692"/>
    </row>
    <row r="50" spans="2:11" s="345" customFormat="1" ht="132.6" customHeight="1" x14ac:dyDescent="0.25">
      <c r="B50" s="682">
        <v>2</v>
      </c>
      <c r="C50" s="764" t="s">
        <v>972</v>
      </c>
      <c r="D50" s="766"/>
      <c r="E50" s="691" t="b">
        <v>0</v>
      </c>
      <c r="F50" s="691" t="b">
        <v>0</v>
      </c>
      <c r="G50" s="691" t="b">
        <v>1</v>
      </c>
      <c r="H50" s="692"/>
    </row>
    <row r="51" spans="2:11" s="345" customFormat="1" ht="18" customHeight="1" x14ac:dyDescent="0.25">
      <c r="B51" s="682"/>
      <c r="C51" s="692"/>
      <c r="D51" s="692"/>
      <c r="E51" s="506"/>
      <c r="F51" s="506"/>
      <c r="G51" s="692"/>
      <c r="H51" s="692"/>
    </row>
    <row r="52" spans="2:11" s="345" customFormat="1" ht="17.25" x14ac:dyDescent="0.25">
      <c r="B52" s="681" t="s">
        <v>67</v>
      </c>
      <c r="C52" s="837" t="s">
        <v>769</v>
      </c>
      <c r="D52" s="838"/>
      <c r="E52" s="838"/>
      <c r="F52" s="838"/>
      <c r="G52" s="838"/>
      <c r="H52" s="839"/>
      <c r="K52" s="555"/>
    </row>
    <row r="53" spans="2:11" s="345" customFormat="1" ht="36" customHeight="1" x14ac:dyDescent="0.3">
      <c r="B53" s="682">
        <v>1</v>
      </c>
      <c r="C53" s="840" t="s">
        <v>770</v>
      </c>
      <c r="D53" s="841"/>
      <c r="E53" s="691" t="b">
        <v>0</v>
      </c>
      <c r="F53" s="691" t="b">
        <v>0</v>
      </c>
      <c r="G53" s="691" t="b">
        <v>1</v>
      </c>
      <c r="H53" s="692"/>
    </row>
    <row r="54" spans="2:11" s="345" customFormat="1" ht="36.950000000000003" customHeight="1" x14ac:dyDescent="0.3">
      <c r="B54" s="682">
        <v>2</v>
      </c>
      <c r="C54" s="840" t="s">
        <v>875</v>
      </c>
      <c r="D54" s="842"/>
      <c r="E54" s="691" t="b">
        <v>0</v>
      </c>
      <c r="F54" s="691" t="b">
        <v>0</v>
      </c>
      <c r="G54" s="691" t="b">
        <v>1</v>
      </c>
      <c r="H54" s="692"/>
    </row>
    <row r="55" spans="2:11" s="345" customFormat="1" ht="38.1" customHeight="1" x14ac:dyDescent="0.25">
      <c r="B55" s="682">
        <v>3</v>
      </c>
      <c r="C55" s="761" t="s">
        <v>876</v>
      </c>
      <c r="D55" s="763"/>
      <c r="E55" s="691" t="b">
        <v>0</v>
      </c>
      <c r="F55" s="691" t="b">
        <v>0</v>
      </c>
      <c r="G55" s="691" t="b">
        <v>1</v>
      </c>
      <c r="H55" s="692"/>
    </row>
    <row r="56" spans="2:11" s="345" customFormat="1" ht="38.1" customHeight="1" x14ac:dyDescent="0.25">
      <c r="B56" s="682">
        <v>4</v>
      </c>
      <c r="C56" s="761" t="s">
        <v>877</v>
      </c>
      <c r="D56" s="763"/>
      <c r="E56" s="691" t="b">
        <v>0</v>
      </c>
      <c r="F56" s="691" t="b">
        <v>0</v>
      </c>
      <c r="G56" s="691" t="b">
        <v>1</v>
      </c>
      <c r="H56" s="692"/>
      <c r="K56" s="555"/>
    </row>
    <row r="57" spans="2:11" s="345" customFormat="1" ht="18" customHeight="1" x14ac:dyDescent="0.25">
      <c r="B57" s="682"/>
      <c r="C57" s="692"/>
      <c r="D57" s="692"/>
      <c r="E57" s="692"/>
      <c r="F57" s="692"/>
      <c r="G57" s="692"/>
      <c r="H57" s="692"/>
    </row>
    <row r="58" spans="2:11" s="345" customFormat="1" ht="18" customHeight="1" x14ac:dyDescent="0.25">
      <c r="B58" s="681" t="s">
        <v>768</v>
      </c>
      <c r="C58" s="834" t="s">
        <v>772</v>
      </c>
      <c r="D58" s="835"/>
      <c r="E58" s="835"/>
      <c r="F58" s="835"/>
      <c r="G58" s="835"/>
      <c r="H58" s="836"/>
    </row>
    <row r="59" spans="2:11" s="345" customFormat="1" ht="38.450000000000003" customHeight="1" x14ac:dyDescent="0.25">
      <c r="B59" s="682">
        <v>1</v>
      </c>
      <c r="C59" s="761" t="s">
        <v>773</v>
      </c>
      <c r="D59" s="763"/>
      <c r="E59" s="691" t="b">
        <v>0</v>
      </c>
      <c r="F59" s="691" t="b">
        <v>0</v>
      </c>
      <c r="G59" s="691" t="b">
        <v>1</v>
      </c>
      <c r="H59" s="692"/>
    </row>
    <row r="60" spans="2:11" s="345" customFormat="1" ht="36.6" customHeight="1" x14ac:dyDescent="0.25">
      <c r="B60" s="682">
        <v>2</v>
      </c>
      <c r="C60" s="761" t="s">
        <v>774</v>
      </c>
      <c r="D60" s="763"/>
      <c r="E60" s="691" t="b">
        <v>1</v>
      </c>
      <c r="F60" s="691" t="b">
        <v>0</v>
      </c>
      <c r="G60" s="691" t="b">
        <v>0</v>
      </c>
      <c r="H60" s="718" t="s">
        <v>974</v>
      </c>
    </row>
    <row r="61" spans="2:11" s="345" customFormat="1" ht="215.1" customHeight="1" x14ac:dyDescent="0.25">
      <c r="B61" s="682">
        <v>3</v>
      </c>
      <c r="C61" s="761" t="s">
        <v>775</v>
      </c>
      <c r="D61" s="763"/>
      <c r="E61" s="691" t="b">
        <v>0</v>
      </c>
      <c r="F61" s="691" t="b">
        <v>1</v>
      </c>
      <c r="G61" s="691" t="b">
        <v>0</v>
      </c>
      <c r="H61" s="716" t="s">
        <v>973</v>
      </c>
    </row>
    <row r="62" spans="2:11" s="345" customFormat="1" ht="18" customHeight="1" x14ac:dyDescent="0.25">
      <c r="B62" s="682">
        <v>4</v>
      </c>
      <c r="C62" s="843" t="s">
        <v>878</v>
      </c>
      <c r="D62" s="844"/>
      <c r="E62" s="691" t="b">
        <v>0</v>
      </c>
      <c r="F62" s="691" t="b">
        <v>0</v>
      </c>
      <c r="G62" s="691" t="b">
        <v>1</v>
      </c>
      <c r="H62" s="692"/>
    </row>
    <row r="63" spans="2:11" s="345" customFormat="1" ht="18" customHeight="1" x14ac:dyDescent="0.25">
      <c r="B63" s="682"/>
      <c r="C63" s="692"/>
      <c r="D63" s="692"/>
      <c r="E63" s="692"/>
      <c r="F63" s="692"/>
      <c r="G63" s="692"/>
      <c r="H63" s="692"/>
    </row>
    <row r="64" spans="2:11" s="345" customFormat="1" ht="18" customHeight="1" x14ac:dyDescent="0.25">
      <c r="B64" s="681" t="s">
        <v>771</v>
      </c>
      <c r="C64" s="834" t="s">
        <v>776</v>
      </c>
      <c r="D64" s="835"/>
      <c r="E64" s="835"/>
      <c r="F64" s="835"/>
      <c r="G64" s="835"/>
      <c r="H64" s="836"/>
    </row>
    <row r="65" spans="2:8" s="345" customFormat="1" ht="17.25" x14ac:dyDescent="0.25">
      <c r="B65" s="682">
        <v>1</v>
      </c>
      <c r="C65" s="761" t="s">
        <v>777</v>
      </c>
      <c r="D65" s="763"/>
      <c r="E65" s="691" t="b">
        <v>1</v>
      </c>
      <c r="F65" s="691" t="b">
        <v>0</v>
      </c>
      <c r="G65" s="691" t="b">
        <v>0</v>
      </c>
      <c r="H65" s="716" t="s">
        <v>975</v>
      </c>
    </row>
    <row r="66" spans="2:8" s="345" customFormat="1" ht="17.25" x14ac:dyDescent="0.25">
      <c r="B66" s="682">
        <v>2</v>
      </c>
      <c r="C66" s="761" t="s">
        <v>778</v>
      </c>
      <c r="D66" s="763"/>
      <c r="E66" s="691" t="b">
        <v>0</v>
      </c>
      <c r="F66" s="691" t="b">
        <v>0</v>
      </c>
      <c r="G66" s="691" t="b">
        <v>1</v>
      </c>
      <c r="H66" s="692"/>
    </row>
    <row r="67" spans="2:8" s="345" customFormat="1" ht="17.25" x14ac:dyDescent="0.25">
      <c r="B67" s="682">
        <v>3</v>
      </c>
      <c r="C67" s="761" t="s">
        <v>779</v>
      </c>
      <c r="D67" s="762"/>
      <c r="E67" s="691" t="b">
        <v>0</v>
      </c>
      <c r="F67" s="691" t="b">
        <v>0</v>
      </c>
      <c r="G67" s="691" t="b">
        <v>1</v>
      </c>
      <c r="H67" s="692"/>
    </row>
    <row r="68" spans="2:8" s="345" customFormat="1" ht="18" customHeight="1" x14ac:dyDescent="0.25">
      <c r="B68" s="689"/>
      <c r="C68" s="693"/>
      <c r="D68" s="693"/>
      <c r="E68" s="506"/>
      <c r="F68" s="506"/>
      <c r="G68" s="692"/>
      <c r="H68" s="690"/>
    </row>
    <row r="69" spans="2:8" s="345" customFormat="1" ht="17.25" x14ac:dyDescent="0.25">
      <c r="B69" s="681" t="s">
        <v>147</v>
      </c>
      <c r="C69" s="834" t="s">
        <v>225</v>
      </c>
      <c r="D69" s="835"/>
      <c r="E69" s="835"/>
      <c r="F69" s="835"/>
      <c r="G69" s="835"/>
      <c r="H69" s="836"/>
    </row>
    <row r="70" spans="2:8" s="345" customFormat="1" ht="39" customHeight="1" x14ac:dyDescent="0.25">
      <c r="B70" s="683">
        <v>1</v>
      </c>
      <c r="C70" s="764" t="s">
        <v>958</v>
      </c>
      <c r="D70" s="766"/>
      <c r="E70" s="691" t="b">
        <v>1</v>
      </c>
      <c r="F70" s="691" t="b">
        <v>0</v>
      </c>
      <c r="G70" s="691" t="b">
        <v>0</v>
      </c>
      <c r="H70" s="692" t="s">
        <v>959</v>
      </c>
    </row>
  </sheetData>
  <mergeCells count="53">
    <mergeCell ref="C21:D21"/>
    <mergeCell ref="B3:H3"/>
    <mergeCell ref="C8:H8"/>
    <mergeCell ref="C11:D11"/>
    <mergeCell ref="C13:H13"/>
    <mergeCell ref="C14:D14"/>
    <mergeCell ref="C15:D15"/>
    <mergeCell ref="C16:D16"/>
    <mergeCell ref="C17:D17"/>
    <mergeCell ref="C18:D18"/>
    <mergeCell ref="C19:D19"/>
    <mergeCell ref="C20:D20"/>
    <mergeCell ref="C35:D35"/>
    <mergeCell ref="C22:D22"/>
    <mergeCell ref="C23:D23"/>
    <mergeCell ref="C24:D24"/>
    <mergeCell ref="C25:D25"/>
    <mergeCell ref="C27:H27"/>
    <mergeCell ref="C28:D28"/>
    <mergeCell ref="C29:D29"/>
    <mergeCell ref="C30:D30"/>
    <mergeCell ref="C31:D31"/>
    <mergeCell ref="C33:H33"/>
    <mergeCell ref="C34:D34"/>
    <mergeCell ref="C49:D49"/>
    <mergeCell ref="C36:D36"/>
    <mergeCell ref="C37:D37"/>
    <mergeCell ref="C38:D38"/>
    <mergeCell ref="C40:D40"/>
    <mergeCell ref="C41:D41"/>
    <mergeCell ref="C42:D42"/>
    <mergeCell ref="C43:D43"/>
    <mergeCell ref="C44:D44"/>
    <mergeCell ref="C45:D45"/>
    <mergeCell ref="C46:D46"/>
    <mergeCell ref="C48:H48"/>
    <mergeCell ref="C64:H64"/>
    <mergeCell ref="C50:D50"/>
    <mergeCell ref="C52:H52"/>
    <mergeCell ref="C53:D53"/>
    <mergeCell ref="C54:D54"/>
    <mergeCell ref="C55:D55"/>
    <mergeCell ref="C56:D56"/>
    <mergeCell ref="C58:H58"/>
    <mergeCell ref="C59:D59"/>
    <mergeCell ref="C60:D60"/>
    <mergeCell ref="C61:D61"/>
    <mergeCell ref="C62:D62"/>
    <mergeCell ref="C65:D65"/>
    <mergeCell ref="C66:D66"/>
    <mergeCell ref="C67:D67"/>
    <mergeCell ref="C69:H69"/>
    <mergeCell ref="C70:D70"/>
  </mergeCells>
  <hyperlinks>
    <hyperlink ref="H31" r:id="rId1" xr:uid="{9B979F5E-47B9-403A-A14B-1C8622FC564F}"/>
  </hyperlinks>
  <printOptions horizontalCentered="1"/>
  <pageMargins left="0" right="0.23622047244094491" top="0" bottom="0" header="0" footer="0"/>
  <pageSetup paperSize="8" scale="70"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B15AC-4443-4F85-B820-67E39C1ED329}">
  <sheetPr>
    <tabColor theme="9" tint="0.79998168889431442"/>
    <pageSetUpPr fitToPage="1"/>
  </sheetPr>
  <dimension ref="B2:Z94"/>
  <sheetViews>
    <sheetView showGridLines="0" view="pageBreakPreview" topLeftCell="A84" zoomScale="70" zoomScaleNormal="70" zoomScaleSheetLayoutView="70" workbookViewId="0">
      <selection activeCell="U31" sqref="U31"/>
    </sheetView>
  </sheetViews>
  <sheetFormatPr defaultColWidth="9" defaultRowHeight="15" x14ac:dyDescent="0.25"/>
  <cols>
    <col min="1" max="2" width="1.5703125" style="556" customWidth="1"/>
    <col min="3" max="3" width="11.7109375" style="578" customWidth="1"/>
    <col min="4" max="8" width="15.5703125" style="578" customWidth="1"/>
    <col min="9" max="9" width="19.42578125" style="578" customWidth="1"/>
    <col min="10" max="11" width="15.5703125" style="578" customWidth="1"/>
    <col min="12" max="12" width="52.5703125" style="562" customWidth="1"/>
    <col min="13" max="14" width="1.5703125" style="578" customWidth="1"/>
    <col min="15" max="15" width="3.85546875" style="578" customWidth="1"/>
    <col min="16" max="25" width="9" style="578"/>
    <col min="26" max="26" width="38.85546875" style="556" bestFit="1" customWidth="1"/>
    <col min="27" max="16384" width="9" style="556"/>
  </cols>
  <sheetData>
    <row r="2" spans="3:26" ht="23.25" x14ac:dyDescent="0.25">
      <c r="C2" s="773" t="s">
        <v>675</v>
      </c>
      <c r="D2" s="773"/>
      <c r="E2" s="773"/>
      <c r="F2" s="773"/>
      <c r="G2" s="773"/>
      <c r="H2" s="773"/>
      <c r="I2" s="773"/>
      <c r="J2" s="773"/>
      <c r="K2" s="773"/>
      <c r="L2" s="773"/>
    </row>
    <row r="3" spans="3:26" s="345" customFormat="1" ht="15.75" x14ac:dyDescent="0.25">
      <c r="C3" s="349" t="s">
        <v>676</v>
      </c>
      <c r="D3" s="350"/>
      <c r="E3" s="727" t="s">
        <v>920</v>
      </c>
      <c r="F3" s="350"/>
      <c r="G3" s="350"/>
      <c r="H3" s="350"/>
      <c r="I3" s="351"/>
      <c r="J3" s="350"/>
      <c r="K3" s="352"/>
      <c r="M3" s="350"/>
      <c r="N3" s="350"/>
      <c r="O3" s="350"/>
      <c r="P3" s="353"/>
      <c r="Q3" s="350"/>
      <c r="R3" s="350"/>
      <c r="S3" s="350"/>
      <c r="T3" s="350"/>
      <c r="U3" s="350"/>
      <c r="V3" s="350"/>
      <c r="W3" s="350"/>
      <c r="X3" s="350"/>
      <c r="Y3" s="350"/>
    </row>
    <row r="4" spans="3:26" s="345" customFormat="1" ht="15.75" x14ac:dyDescent="0.25">
      <c r="C4" s="349" t="s">
        <v>677</v>
      </c>
      <c r="D4" s="350"/>
      <c r="E4" s="727" t="s">
        <v>1006</v>
      </c>
      <c r="F4" s="350"/>
      <c r="G4" s="350"/>
      <c r="H4" s="350"/>
      <c r="I4" s="351"/>
      <c r="J4" s="350"/>
      <c r="K4" s="352"/>
      <c r="M4" s="350"/>
      <c r="N4" s="350"/>
      <c r="O4" s="350"/>
      <c r="P4" s="353"/>
      <c r="Q4" s="350"/>
      <c r="R4" s="350"/>
      <c r="S4" s="350"/>
      <c r="T4" s="350"/>
      <c r="U4" s="350"/>
      <c r="V4" s="350"/>
      <c r="W4" s="350"/>
      <c r="X4" s="350"/>
      <c r="Y4" s="350"/>
    </row>
    <row r="5" spans="3:26" s="345" customFormat="1" ht="3" customHeight="1" x14ac:dyDescent="0.25">
      <c r="C5" s="349"/>
      <c r="D5" s="350"/>
      <c r="E5" s="354"/>
      <c r="F5" s="350"/>
      <c r="G5" s="350"/>
      <c r="H5" s="350"/>
      <c r="I5" s="350"/>
      <c r="J5" s="350"/>
      <c r="K5" s="350"/>
      <c r="L5" s="350"/>
      <c r="M5" s="350"/>
      <c r="N5" s="350"/>
      <c r="O5" s="350"/>
      <c r="P5" s="353"/>
      <c r="Q5" s="350"/>
      <c r="R5" s="350"/>
      <c r="S5" s="350"/>
      <c r="T5" s="350"/>
      <c r="U5" s="350"/>
      <c r="V5" s="350"/>
      <c r="W5" s="350"/>
      <c r="X5" s="350"/>
      <c r="Y5" s="350"/>
    </row>
    <row r="6" spans="3:26" s="345" customFormat="1" ht="15.75" customHeight="1" x14ac:dyDescent="0.25">
      <c r="C6" s="355"/>
      <c r="D6" s="356"/>
      <c r="E6" s="357"/>
      <c r="F6" s="358"/>
      <c r="G6" s="350"/>
      <c r="H6" s="350"/>
      <c r="I6" s="350"/>
      <c r="J6" s="350"/>
      <c r="K6" s="350"/>
      <c r="L6" s="350"/>
      <c r="M6" s="350"/>
      <c r="N6" s="350"/>
      <c r="O6" s="350"/>
      <c r="P6" s="353"/>
      <c r="Q6" s="350"/>
      <c r="R6" s="350"/>
      <c r="S6" s="350"/>
      <c r="T6" s="350"/>
      <c r="U6" s="350"/>
      <c r="V6" s="350"/>
      <c r="W6" s="350"/>
      <c r="X6" s="350"/>
      <c r="Y6" s="350"/>
    </row>
    <row r="7" spans="3:26" s="345" customFormat="1" ht="15.75" customHeight="1" x14ac:dyDescent="0.25">
      <c r="C7" s="360" t="s">
        <v>673</v>
      </c>
      <c r="D7" s="361"/>
      <c r="E7" s="732">
        <v>46120</v>
      </c>
      <c r="F7" s="362"/>
      <c r="G7" s="350"/>
      <c r="H7" s="350"/>
      <c r="I7" s="350"/>
      <c r="J7" s="350"/>
      <c r="K7" s="350"/>
      <c r="L7" s="350"/>
      <c r="M7" s="350"/>
      <c r="N7" s="350"/>
      <c r="O7" s="350"/>
      <c r="P7" s="350"/>
      <c r="Q7" s="350"/>
      <c r="R7" s="350"/>
      <c r="S7" s="350"/>
      <c r="T7" s="350"/>
      <c r="U7" s="350"/>
      <c r="V7" s="350"/>
      <c r="W7" s="350"/>
      <c r="X7" s="350"/>
      <c r="Y7" s="350"/>
    </row>
    <row r="8" spans="3:26" ht="3" customHeight="1" x14ac:dyDescent="0.25">
      <c r="C8" s="364"/>
      <c r="D8" s="365"/>
      <c r="E8" s="365"/>
      <c r="F8" s="365"/>
      <c r="G8" s="365"/>
      <c r="H8" s="365"/>
      <c r="I8" s="366"/>
      <c r="J8" s="367"/>
    </row>
    <row r="9" spans="3:26" s="578" customFormat="1" ht="34.5" x14ac:dyDescent="0.25">
      <c r="C9" s="504" t="s">
        <v>59</v>
      </c>
      <c r="D9" s="755" t="s">
        <v>60</v>
      </c>
      <c r="E9" s="756"/>
      <c r="F9" s="756"/>
      <c r="G9" s="756"/>
      <c r="H9" s="757"/>
      <c r="I9" s="504" t="s">
        <v>680</v>
      </c>
      <c r="J9" s="504" t="s">
        <v>681</v>
      </c>
      <c r="K9" s="504" t="s">
        <v>682</v>
      </c>
      <c r="L9" s="504" t="s">
        <v>683</v>
      </c>
      <c r="M9" s="368"/>
      <c r="N9" s="368"/>
      <c r="O9" s="353"/>
      <c r="Z9" s="556"/>
    </row>
    <row r="10" spans="3:26" s="578" customFormat="1" ht="360.4" customHeight="1" x14ac:dyDescent="0.25">
      <c r="C10" s="665">
        <v>1</v>
      </c>
      <c r="D10" s="752" t="s">
        <v>1008</v>
      </c>
      <c r="E10" s="753"/>
      <c r="F10" s="753"/>
      <c r="G10" s="753"/>
      <c r="H10" s="754"/>
      <c r="I10" s="508" t="s">
        <v>51</v>
      </c>
      <c r="J10" s="666"/>
      <c r="K10" s="666"/>
      <c r="L10" s="724" t="s">
        <v>1009</v>
      </c>
      <c r="M10" s="562"/>
      <c r="N10" s="562"/>
      <c r="O10" s="353"/>
      <c r="Z10" s="556"/>
    </row>
    <row r="11" spans="3:26" s="578" customFormat="1" ht="36.950000000000003" customHeight="1" x14ac:dyDescent="0.25">
      <c r="C11" s="665">
        <v>2</v>
      </c>
      <c r="D11" s="761" t="s">
        <v>970</v>
      </c>
      <c r="E11" s="762"/>
      <c r="F11" s="762"/>
      <c r="G11" s="762"/>
      <c r="H11" s="763"/>
      <c r="I11" s="508" t="s">
        <v>51</v>
      </c>
      <c r="J11" s="666"/>
      <c r="K11" s="666"/>
      <c r="L11" s="667" t="s">
        <v>684</v>
      </c>
      <c r="M11" s="562"/>
      <c r="N11" s="562"/>
      <c r="O11" s="353"/>
      <c r="Z11" s="556"/>
    </row>
    <row r="12" spans="3:26" s="578" customFormat="1" ht="34.5" customHeight="1" x14ac:dyDescent="0.25">
      <c r="C12" s="665">
        <v>3</v>
      </c>
      <c r="D12" s="761" t="s">
        <v>971</v>
      </c>
      <c r="E12" s="762"/>
      <c r="F12" s="762"/>
      <c r="G12" s="762"/>
      <c r="H12" s="763"/>
      <c r="I12" s="508" t="s">
        <v>51</v>
      </c>
      <c r="J12" s="666"/>
      <c r="K12" s="666"/>
      <c r="L12" s="667" t="s">
        <v>684</v>
      </c>
      <c r="M12" s="562"/>
      <c r="N12" s="562"/>
      <c r="O12" s="353"/>
      <c r="Z12" s="556"/>
    </row>
    <row r="13" spans="3:26" s="578" customFormat="1" ht="33" customHeight="1" x14ac:dyDescent="0.25">
      <c r="C13" s="665">
        <v>4</v>
      </c>
      <c r="D13" s="761" t="s">
        <v>997</v>
      </c>
      <c r="E13" s="762"/>
      <c r="F13" s="762"/>
      <c r="G13" s="762"/>
      <c r="H13" s="763"/>
      <c r="I13" s="508" t="s">
        <v>51</v>
      </c>
      <c r="J13" s="666"/>
      <c r="K13" s="666"/>
      <c r="L13" s="667" t="s">
        <v>685</v>
      </c>
      <c r="M13" s="562"/>
      <c r="N13" s="562"/>
      <c r="O13" s="353"/>
      <c r="Z13" s="556"/>
    </row>
    <row r="14" spans="3:26" s="578" customFormat="1" ht="37.5" customHeight="1" x14ac:dyDescent="0.25">
      <c r="C14" s="665">
        <v>5</v>
      </c>
      <c r="D14" s="770" t="s">
        <v>967</v>
      </c>
      <c r="E14" s="771"/>
      <c r="F14" s="771"/>
      <c r="G14" s="771"/>
      <c r="H14" s="772"/>
      <c r="I14" s="508" t="s">
        <v>1002</v>
      </c>
      <c r="J14" s="666"/>
      <c r="K14" s="666"/>
      <c r="L14" s="730"/>
      <c r="O14" s="353"/>
      <c r="Q14" s="578" t="s">
        <v>842</v>
      </c>
      <c r="R14" s="369"/>
      <c r="Z14" s="556"/>
    </row>
    <row r="15" spans="3:26" s="578" customFormat="1" ht="34.5" customHeight="1" x14ac:dyDescent="0.25">
      <c r="C15" s="665">
        <v>6</v>
      </c>
      <c r="D15" s="770" t="s">
        <v>998</v>
      </c>
      <c r="E15" s="771"/>
      <c r="F15" s="771"/>
      <c r="G15" s="771"/>
      <c r="H15" s="772"/>
      <c r="I15" s="508" t="s">
        <v>1002</v>
      </c>
      <c r="J15" s="666"/>
      <c r="K15" s="666"/>
      <c r="L15" s="668"/>
      <c r="O15" s="353"/>
      <c r="R15" s="369"/>
      <c r="Z15" s="556"/>
    </row>
    <row r="16" spans="3:26" s="578" customFormat="1" ht="22.5" customHeight="1" x14ac:dyDescent="0.25">
      <c r="C16" s="665">
        <v>7</v>
      </c>
      <c r="D16" s="770" t="s">
        <v>686</v>
      </c>
      <c r="E16" s="771"/>
      <c r="F16" s="771"/>
      <c r="G16" s="771"/>
      <c r="H16" s="772"/>
      <c r="I16" s="508" t="s">
        <v>51</v>
      </c>
      <c r="J16" s="666"/>
      <c r="K16" s="666"/>
      <c r="L16" s="668"/>
      <c r="O16" s="353"/>
      <c r="R16" s="369"/>
      <c r="Z16" s="556"/>
    </row>
    <row r="17" spans="3:26" s="578" customFormat="1" ht="30" customHeight="1" x14ac:dyDescent="0.25">
      <c r="C17" s="665">
        <v>8</v>
      </c>
      <c r="D17" s="770" t="s">
        <v>968</v>
      </c>
      <c r="E17" s="771"/>
      <c r="F17" s="771"/>
      <c r="G17" s="771"/>
      <c r="H17" s="772"/>
      <c r="I17" s="508" t="s">
        <v>1002</v>
      </c>
      <c r="J17" s="666"/>
      <c r="K17" s="666"/>
      <c r="L17" s="667"/>
      <c r="O17" s="353"/>
      <c r="R17" s="369"/>
      <c r="Z17" s="556"/>
    </row>
    <row r="18" spans="3:26" s="578" customFormat="1" ht="30" customHeight="1" x14ac:dyDescent="0.25">
      <c r="C18" s="665">
        <v>9</v>
      </c>
      <c r="D18" s="770" t="s">
        <v>969</v>
      </c>
      <c r="E18" s="771"/>
      <c r="F18" s="771"/>
      <c r="G18" s="771"/>
      <c r="H18" s="772"/>
      <c r="I18" s="508" t="s">
        <v>1002</v>
      </c>
      <c r="J18" s="666"/>
      <c r="K18" s="666"/>
      <c r="L18" s="667"/>
      <c r="O18" s="353"/>
      <c r="R18" s="369"/>
      <c r="Z18" s="556"/>
    </row>
    <row r="19" spans="3:26" s="578" customFormat="1" ht="17.25" x14ac:dyDescent="0.25">
      <c r="C19" s="665">
        <v>10</v>
      </c>
      <c r="D19" s="770" t="s">
        <v>688</v>
      </c>
      <c r="E19" s="771"/>
      <c r="F19" s="771"/>
      <c r="G19" s="771"/>
      <c r="H19" s="772"/>
      <c r="I19" s="508" t="s">
        <v>51</v>
      </c>
      <c r="J19" s="666"/>
      <c r="K19" s="666"/>
      <c r="L19" s="716" t="s">
        <v>1010</v>
      </c>
      <c r="O19" s="353"/>
      <c r="Z19" s="556"/>
    </row>
    <row r="20" spans="3:26" s="578" customFormat="1" ht="17.25" x14ac:dyDescent="0.25">
      <c r="C20" s="758">
        <v>11</v>
      </c>
      <c r="D20" s="761" t="s">
        <v>843</v>
      </c>
      <c r="E20" s="762"/>
      <c r="F20" s="762"/>
      <c r="G20" s="762"/>
      <c r="H20" s="763"/>
      <c r="I20" s="508" t="s">
        <v>51</v>
      </c>
      <c r="J20" s="666"/>
      <c r="K20" s="666"/>
      <c r="L20" s="667"/>
      <c r="O20" s="353"/>
      <c r="Z20" s="556"/>
    </row>
    <row r="21" spans="3:26" s="578" customFormat="1" ht="408.95" customHeight="1" x14ac:dyDescent="0.25">
      <c r="C21" s="759"/>
      <c r="D21" s="764" t="s">
        <v>977</v>
      </c>
      <c r="E21" s="765"/>
      <c r="F21" s="765"/>
      <c r="G21" s="765"/>
      <c r="H21" s="766"/>
      <c r="I21" s="508" t="s">
        <v>51</v>
      </c>
      <c r="J21" s="666"/>
      <c r="K21" s="666"/>
      <c r="L21" s="690" t="s">
        <v>992</v>
      </c>
      <c r="O21" s="353"/>
      <c r="Z21" s="556"/>
    </row>
    <row r="22" spans="3:26" s="578" customFormat="1" ht="161.44999999999999" customHeight="1" x14ac:dyDescent="0.25">
      <c r="C22" s="759"/>
      <c r="D22" s="764" t="s">
        <v>978</v>
      </c>
      <c r="E22" s="765"/>
      <c r="F22" s="765"/>
      <c r="G22" s="765"/>
      <c r="H22" s="766"/>
      <c r="I22" s="508" t="s">
        <v>51</v>
      </c>
      <c r="J22" s="666"/>
      <c r="K22" s="666"/>
      <c r="L22" s="718" t="s">
        <v>996</v>
      </c>
      <c r="O22" s="353"/>
      <c r="Z22" s="556"/>
    </row>
    <row r="23" spans="3:26" s="578" customFormat="1" ht="56.1" customHeight="1" x14ac:dyDescent="0.25">
      <c r="C23" s="759"/>
      <c r="D23" s="764" t="s">
        <v>979</v>
      </c>
      <c r="E23" s="765"/>
      <c r="F23" s="765"/>
      <c r="G23" s="765"/>
      <c r="H23" s="766"/>
      <c r="I23" s="508" t="s">
        <v>51</v>
      </c>
      <c r="J23" s="666"/>
      <c r="K23" s="666"/>
      <c r="L23" s="667"/>
      <c r="O23" s="353"/>
      <c r="Z23" s="556"/>
    </row>
    <row r="24" spans="3:26" s="578" customFormat="1" ht="297.60000000000002" customHeight="1" x14ac:dyDescent="0.25">
      <c r="C24" s="759"/>
      <c r="D24" s="764" t="s">
        <v>980</v>
      </c>
      <c r="E24" s="765"/>
      <c r="F24" s="765"/>
      <c r="G24" s="765"/>
      <c r="H24" s="766"/>
      <c r="I24" s="508" t="s">
        <v>51</v>
      </c>
      <c r="J24" s="666"/>
      <c r="K24" s="666"/>
      <c r="L24" s="667"/>
      <c r="O24" s="353"/>
      <c r="Z24" s="556"/>
    </row>
    <row r="25" spans="3:26" s="578" customFormat="1" ht="36.950000000000003" customHeight="1" x14ac:dyDescent="0.25">
      <c r="C25" s="759"/>
      <c r="D25" s="764" t="s">
        <v>987</v>
      </c>
      <c r="E25" s="765"/>
      <c r="F25" s="765"/>
      <c r="G25" s="765"/>
      <c r="H25" s="766"/>
      <c r="I25" s="508" t="s">
        <v>51</v>
      </c>
      <c r="J25" s="666"/>
      <c r="K25" s="666"/>
      <c r="L25" s="690" t="s">
        <v>991</v>
      </c>
      <c r="O25" s="353"/>
      <c r="Z25" s="556"/>
    </row>
    <row r="26" spans="3:26" s="578" customFormat="1" ht="35.1" customHeight="1" x14ac:dyDescent="0.25">
      <c r="C26" s="759"/>
      <c r="D26" s="764" t="s">
        <v>988</v>
      </c>
      <c r="E26" s="765"/>
      <c r="F26" s="765"/>
      <c r="G26" s="765"/>
      <c r="H26" s="766"/>
      <c r="I26" s="508" t="s">
        <v>51</v>
      </c>
      <c r="J26" s="666"/>
      <c r="K26" s="666"/>
      <c r="L26" s="690" t="s">
        <v>990</v>
      </c>
      <c r="O26" s="353"/>
      <c r="Z26" s="556"/>
    </row>
    <row r="27" spans="3:26" s="578" customFormat="1" ht="282.60000000000002" customHeight="1" x14ac:dyDescent="0.25">
      <c r="C27" s="760"/>
      <c r="D27" s="764" t="s">
        <v>981</v>
      </c>
      <c r="E27" s="765"/>
      <c r="F27" s="765"/>
      <c r="G27" s="765"/>
      <c r="H27" s="766"/>
      <c r="I27" s="508" t="s">
        <v>51</v>
      </c>
      <c r="J27" s="666"/>
      <c r="K27" s="666"/>
      <c r="L27" s="690"/>
      <c r="O27" s="353"/>
      <c r="Z27" s="556"/>
    </row>
    <row r="29" spans="3:26" ht="17.25" x14ac:dyDescent="0.25">
      <c r="C29" s="495" t="s">
        <v>689</v>
      </c>
      <c r="D29" s="495"/>
      <c r="E29" s="495"/>
      <c r="F29" s="495"/>
      <c r="G29" s="495"/>
      <c r="H29" s="495"/>
      <c r="I29" s="669"/>
      <c r="J29" s="669"/>
      <c r="K29" s="669"/>
      <c r="L29" s="670"/>
      <c r="O29" s="353"/>
    </row>
    <row r="30" spans="3:26" ht="34.5" x14ac:dyDescent="0.25">
      <c r="C30" s="504" t="s">
        <v>690</v>
      </c>
      <c r="D30" s="755" t="s">
        <v>691</v>
      </c>
      <c r="E30" s="756"/>
      <c r="F30" s="756"/>
      <c r="G30" s="756"/>
      <c r="H30" s="757"/>
      <c r="I30" s="504" t="s">
        <v>680</v>
      </c>
      <c r="J30" s="504" t="s">
        <v>681</v>
      </c>
      <c r="K30" s="504" t="s">
        <v>682</v>
      </c>
      <c r="L30" s="504" t="s">
        <v>61</v>
      </c>
      <c r="O30" s="353"/>
      <c r="Q30" s="369"/>
    </row>
    <row r="31" spans="3:26" ht="67.5" customHeight="1" x14ac:dyDescent="0.25">
      <c r="C31" s="725" t="s">
        <v>692</v>
      </c>
      <c r="D31" s="767" t="s">
        <v>1015</v>
      </c>
      <c r="E31" s="768"/>
      <c r="F31" s="768"/>
      <c r="G31" s="768"/>
      <c r="H31" s="769"/>
      <c r="I31" s="508" t="s">
        <v>51</v>
      </c>
      <c r="J31" s="666"/>
      <c r="K31" s="666"/>
      <c r="L31" s="672"/>
      <c r="O31" s="353"/>
    </row>
    <row r="32" spans="3:26" s="579" customFormat="1" ht="23.1" customHeight="1" x14ac:dyDescent="0.25">
      <c r="C32" s="725" t="s">
        <v>693</v>
      </c>
      <c r="D32" s="752"/>
      <c r="E32" s="753"/>
      <c r="F32" s="753"/>
      <c r="G32" s="753"/>
      <c r="H32" s="754"/>
      <c r="I32" s="671"/>
      <c r="J32" s="666"/>
      <c r="K32" s="666"/>
      <c r="L32" s="672"/>
      <c r="M32" s="578"/>
      <c r="N32" s="578"/>
      <c r="O32" s="353"/>
      <c r="P32" s="578"/>
      <c r="Q32" s="578"/>
      <c r="R32" s="578"/>
      <c r="S32" s="578"/>
      <c r="T32" s="578"/>
      <c r="U32" s="578"/>
      <c r="V32" s="578"/>
      <c r="W32" s="578"/>
      <c r="X32" s="578"/>
      <c r="Y32" s="578"/>
    </row>
    <row r="33" spans="2:25" s="579" customFormat="1" ht="23.1" customHeight="1" x14ac:dyDescent="0.25">
      <c r="C33" s="725" t="s">
        <v>694</v>
      </c>
      <c r="D33" s="752"/>
      <c r="E33" s="753"/>
      <c r="F33" s="753"/>
      <c r="G33" s="753"/>
      <c r="H33" s="754"/>
      <c r="I33" s="671"/>
      <c r="J33" s="666"/>
      <c r="K33" s="666"/>
      <c r="L33" s="672"/>
      <c r="M33" s="578"/>
      <c r="N33" s="578"/>
      <c r="O33" s="353"/>
      <c r="P33" s="578"/>
      <c r="Q33" s="578"/>
      <c r="R33" s="578"/>
      <c r="S33" s="578"/>
      <c r="T33" s="578"/>
      <c r="U33" s="578"/>
      <c r="V33" s="578"/>
      <c r="W33" s="578"/>
      <c r="X33" s="578"/>
      <c r="Y33" s="578"/>
    </row>
    <row r="34" spans="2:25" s="579" customFormat="1" ht="23.1" customHeight="1" x14ac:dyDescent="0.25">
      <c r="C34" s="725" t="s">
        <v>695</v>
      </c>
      <c r="D34" s="752"/>
      <c r="E34" s="753"/>
      <c r="F34" s="753"/>
      <c r="G34" s="753"/>
      <c r="H34" s="754"/>
      <c r="I34" s="671"/>
      <c r="J34" s="666"/>
      <c r="K34" s="666"/>
      <c r="L34" s="672"/>
      <c r="M34" s="578"/>
      <c r="N34" s="578"/>
      <c r="O34" s="353"/>
      <c r="P34" s="578"/>
      <c r="Q34" s="578"/>
      <c r="R34" s="578"/>
      <c r="S34" s="578"/>
      <c r="T34" s="578"/>
      <c r="U34" s="578"/>
      <c r="V34" s="578"/>
      <c r="W34" s="578"/>
      <c r="X34" s="578"/>
      <c r="Y34" s="578"/>
    </row>
    <row r="35" spans="2:25" s="579" customFormat="1" ht="23.1" customHeight="1" x14ac:dyDescent="0.25">
      <c r="C35" s="725" t="s">
        <v>696</v>
      </c>
      <c r="D35" s="752"/>
      <c r="E35" s="753"/>
      <c r="F35" s="753"/>
      <c r="G35" s="753"/>
      <c r="H35" s="754"/>
      <c r="I35" s="671"/>
      <c r="J35" s="666"/>
      <c r="K35" s="666"/>
      <c r="L35" s="672"/>
      <c r="M35" s="578"/>
      <c r="N35" s="578"/>
      <c r="O35" s="353"/>
      <c r="P35" s="578"/>
      <c r="Q35" s="578"/>
      <c r="R35" s="578"/>
      <c r="S35" s="578"/>
      <c r="T35" s="578"/>
      <c r="U35" s="578"/>
      <c r="V35" s="578"/>
      <c r="W35" s="578"/>
      <c r="X35" s="578"/>
      <c r="Y35" s="578"/>
    </row>
    <row r="36" spans="2:25" ht="15.75" x14ac:dyDescent="0.25">
      <c r="O36" s="353"/>
      <c r="P36" s="370" t="s">
        <v>697</v>
      </c>
    </row>
    <row r="37" spans="2:25" s="579" customFormat="1" ht="18.75" x14ac:dyDescent="0.3">
      <c r="B37" s="580"/>
      <c r="C37" s="371" t="s">
        <v>698</v>
      </c>
      <c r="D37" s="372"/>
      <c r="E37" s="372"/>
      <c r="F37" s="372"/>
      <c r="G37" s="372"/>
      <c r="H37" s="372"/>
      <c r="I37" s="373"/>
      <c r="J37" s="373"/>
      <c r="K37" s="374"/>
      <c r="L37" s="375"/>
      <c r="M37" s="581"/>
      <c r="N37" s="578"/>
      <c r="O37" s="353"/>
      <c r="P37" s="578"/>
      <c r="Q37" s="578"/>
      <c r="R37" s="578"/>
      <c r="S37" s="578"/>
      <c r="T37" s="578"/>
      <c r="U37" s="578"/>
      <c r="V37" s="578"/>
      <c r="W37" s="578"/>
      <c r="X37" s="578"/>
      <c r="Y37" s="578"/>
    </row>
    <row r="38" spans="2:25" s="346" customFormat="1" ht="15.75" x14ac:dyDescent="0.25">
      <c r="B38" s="376"/>
      <c r="C38" s="377" t="s">
        <v>699</v>
      </c>
      <c r="D38" s="378"/>
      <c r="E38" s="379" t="s">
        <v>700</v>
      </c>
      <c r="F38" s="380"/>
      <c r="G38" s="380"/>
      <c r="H38" s="380"/>
      <c r="I38" s="377" t="s">
        <v>701</v>
      </c>
      <c r="J38" s="381"/>
      <c r="K38" s="379" t="s">
        <v>700</v>
      </c>
      <c r="L38" s="382"/>
      <c r="M38" s="383"/>
      <c r="N38" s="384"/>
      <c r="O38" s="353"/>
      <c r="P38" s="384"/>
      <c r="Q38" s="384"/>
      <c r="R38" s="384"/>
      <c r="S38" s="384"/>
      <c r="T38" s="384"/>
      <c r="U38" s="384"/>
      <c r="V38" s="384"/>
      <c r="W38" s="384"/>
      <c r="X38" s="384"/>
      <c r="Y38" s="384"/>
    </row>
    <row r="39" spans="2:25" s="579" customFormat="1" ht="15" customHeight="1" x14ac:dyDescent="0.25">
      <c r="B39" s="582"/>
      <c r="C39" s="385"/>
      <c r="D39" s="386"/>
      <c r="E39" s="387"/>
      <c r="F39" s="388"/>
      <c r="G39" s="388"/>
      <c r="H39" s="388"/>
      <c r="I39" s="389"/>
      <c r="J39" s="390"/>
      <c r="K39" s="391"/>
      <c r="L39" s="392"/>
      <c r="M39" s="583"/>
      <c r="N39" s="578"/>
      <c r="O39" s="353"/>
      <c r="P39" s="578"/>
      <c r="Q39" s="578"/>
      <c r="R39" s="578"/>
      <c r="S39" s="578"/>
      <c r="T39" s="578"/>
      <c r="U39" s="578"/>
      <c r="V39" s="578"/>
      <c r="W39" s="578"/>
      <c r="X39" s="578"/>
      <c r="Y39" s="578"/>
    </row>
    <row r="40" spans="2:25" s="579" customFormat="1" ht="15" customHeight="1" x14ac:dyDescent="0.25">
      <c r="B40" s="582"/>
      <c r="C40" s="393"/>
      <c r="D40" s="386"/>
      <c r="E40" s="387"/>
      <c r="F40" s="388"/>
      <c r="G40" s="388"/>
      <c r="H40" s="388"/>
      <c r="I40" s="389"/>
      <c r="J40" s="390"/>
      <c r="K40" s="391"/>
      <c r="L40" s="392"/>
      <c r="M40" s="583"/>
      <c r="N40" s="578"/>
      <c r="O40" s="353"/>
      <c r="P40" s="578"/>
      <c r="Q40" s="578"/>
      <c r="R40" s="578"/>
      <c r="S40" s="578"/>
      <c r="T40" s="578"/>
      <c r="U40" s="578"/>
      <c r="V40" s="578"/>
      <c r="W40" s="578"/>
      <c r="X40" s="578"/>
      <c r="Y40" s="578"/>
    </row>
    <row r="41" spans="2:25" s="579" customFormat="1" ht="15" customHeight="1" x14ac:dyDescent="0.25">
      <c r="B41" s="582"/>
      <c r="C41" s="394"/>
      <c r="D41" s="386"/>
      <c r="E41" s="387"/>
      <c r="F41" s="388"/>
      <c r="G41" s="388"/>
      <c r="H41" s="388"/>
      <c r="I41" s="394"/>
      <c r="J41" s="390"/>
      <c r="K41" s="391"/>
      <c r="L41" s="392"/>
      <c r="M41" s="583"/>
      <c r="N41" s="578"/>
      <c r="O41" s="353"/>
      <c r="P41" s="578"/>
      <c r="Q41" s="578"/>
      <c r="R41" s="578"/>
      <c r="S41" s="578"/>
      <c r="T41" s="578"/>
      <c r="U41" s="578"/>
      <c r="V41" s="578"/>
      <c r="W41" s="578"/>
      <c r="X41" s="578"/>
      <c r="Y41" s="578"/>
    </row>
    <row r="42" spans="2:25" s="579" customFormat="1" ht="15.75" x14ac:dyDescent="0.25">
      <c r="B42" s="582"/>
      <c r="C42" s="395"/>
      <c r="D42" s="386"/>
      <c r="E42" s="387"/>
      <c r="F42" s="388"/>
      <c r="G42" s="388"/>
      <c r="H42" s="388"/>
      <c r="I42" s="396"/>
      <c r="J42" s="390"/>
      <c r="K42" s="391"/>
      <c r="L42" s="392"/>
      <c r="M42" s="583"/>
      <c r="N42" s="578"/>
      <c r="O42" s="353"/>
      <c r="P42" s="578"/>
      <c r="Q42" s="578"/>
      <c r="R42" s="578"/>
      <c r="S42" s="578"/>
      <c r="T42" s="578"/>
      <c r="U42" s="578"/>
      <c r="V42" s="578"/>
      <c r="W42" s="578"/>
      <c r="X42" s="578"/>
      <c r="Y42" s="578"/>
    </row>
    <row r="43" spans="2:25" s="579" customFormat="1" ht="15.75" x14ac:dyDescent="0.25">
      <c r="B43" s="582"/>
      <c r="C43" s="397"/>
      <c r="D43" s="398"/>
      <c r="E43" s="399"/>
      <c r="F43" s="400"/>
      <c r="G43" s="400"/>
      <c r="H43" s="400"/>
      <c r="I43" s="401"/>
      <c r="J43" s="402"/>
      <c r="K43" s="403"/>
      <c r="L43" s="404"/>
      <c r="M43" s="583"/>
      <c r="N43" s="578"/>
      <c r="O43" s="353"/>
      <c r="P43" s="578"/>
      <c r="Q43" s="578"/>
      <c r="R43" s="578"/>
      <c r="S43" s="578"/>
      <c r="T43" s="578"/>
      <c r="U43" s="578"/>
      <c r="V43" s="578"/>
      <c r="W43" s="578"/>
      <c r="X43" s="578"/>
      <c r="Y43" s="578"/>
    </row>
    <row r="44" spans="2:25" x14ac:dyDescent="0.25">
      <c r="B44" s="584"/>
      <c r="C44" s="405"/>
      <c r="D44" s="405"/>
      <c r="E44" s="405"/>
      <c r="F44" s="405"/>
      <c r="G44" s="405"/>
      <c r="H44" s="405"/>
      <c r="I44" s="405"/>
      <c r="J44" s="405"/>
      <c r="K44" s="405"/>
      <c r="L44" s="406"/>
      <c r="M44" s="583"/>
    </row>
    <row r="45" spans="2:25" ht="15.75" x14ac:dyDescent="0.25">
      <c r="B45" s="584"/>
      <c r="C45" s="405"/>
      <c r="D45" s="405"/>
      <c r="E45" s="405"/>
      <c r="F45" s="405"/>
      <c r="G45" s="405"/>
      <c r="H45" s="405"/>
      <c r="I45" s="405"/>
      <c r="J45" s="405"/>
      <c r="K45" s="405"/>
      <c r="L45" s="406"/>
      <c r="M45" s="583"/>
      <c r="O45" s="353"/>
    </row>
    <row r="46" spans="2:25" ht="15.75" x14ac:dyDescent="0.25">
      <c r="B46" s="584"/>
      <c r="C46" s="405"/>
      <c r="D46" s="405"/>
      <c r="E46" s="405"/>
      <c r="F46" s="405"/>
      <c r="G46" s="405"/>
      <c r="H46" s="405"/>
      <c r="I46" s="405"/>
      <c r="J46" s="405"/>
      <c r="K46" s="405"/>
      <c r="L46" s="406"/>
      <c r="M46" s="583"/>
      <c r="O46" s="353"/>
    </row>
    <row r="47" spans="2:25" ht="15.75" x14ac:dyDescent="0.25">
      <c r="B47" s="584"/>
      <c r="C47" s="405"/>
      <c r="D47" s="405"/>
      <c r="E47" s="405"/>
      <c r="F47" s="405"/>
      <c r="G47" s="405"/>
      <c r="H47" s="405"/>
      <c r="I47" s="405"/>
      <c r="J47" s="405"/>
      <c r="K47" s="405"/>
      <c r="L47" s="406"/>
      <c r="M47" s="583"/>
      <c r="O47" s="353"/>
    </row>
    <row r="48" spans="2:25" x14ac:dyDescent="0.25">
      <c r="B48" s="584"/>
      <c r="C48" s="405"/>
      <c r="D48" s="405"/>
      <c r="E48" s="405"/>
      <c r="F48" s="405"/>
      <c r="G48" s="405"/>
      <c r="H48" s="405"/>
      <c r="I48" s="405"/>
      <c r="J48" s="405"/>
      <c r="K48" s="405"/>
      <c r="L48" s="406"/>
      <c r="M48" s="583"/>
    </row>
    <row r="49" spans="2:25" x14ac:dyDescent="0.25">
      <c r="B49" s="584"/>
      <c r="C49" s="405"/>
      <c r="D49" s="405"/>
      <c r="E49" s="405"/>
      <c r="F49" s="405"/>
      <c r="G49" s="405"/>
      <c r="H49" s="405"/>
      <c r="I49" s="405"/>
      <c r="J49" s="405"/>
      <c r="K49" s="405"/>
      <c r="L49" s="406"/>
      <c r="M49" s="583"/>
    </row>
    <row r="50" spans="2:25" x14ac:dyDescent="0.25">
      <c r="B50" s="585"/>
      <c r="C50" s="407"/>
      <c r="D50" s="407"/>
      <c r="E50" s="407"/>
      <c r="F50" s="407"/>
      <c r="G50" s="407"/>
      <c r="H50" s="407"/>
      <c r="I50" s="407"/>
      <c r="J50" s="407"/>
      <c r="K50" s="407"/>
      <c r="L50" s="408"/>
      <c r="M50" s="586"/>
    </row>
    <row r="51" spans="2:25" s="347" customFormat="1" ht="6" x14ac:dyDescent="0.15">
      <c r="C51" s="409"/>
      <c r="D51" s="409"/>
      <c r="E51" s="409"/>
      <c r="F51" s="409"/>
      <c r="G51" s="409"/>
      <c r="H51" s="409"/>
      <c r="I51" s="409"/>
      <c r="J51" s="409"/>
      <c r="K51" s="409"/>
      <c r="L51" s="410"/>
      <c r="M51" s="411"/>
      <c r="N51" s="411"/>
      <c r="O51" s="411"/>
      <c r="P51" s="411"/>
      <c r="Q51" s="411"/>
      <c r="R51" s="411"/>
      <c r="S51" s="411"/>
      <c r="T51" s="411"/>
      <c r="U51" s="411"/>
      <c r="V51" s="411"/>
      <c r="W51" s="411"/>
      <c r="X51" s="411"/>
      <c r="Y51" s="411"/>
    </row>
    <row r="52" spans="2:25" s="579" customFormat="1" ht="15.75" x14ac:dyDescent="0.25">
      <c r="B52" s="580"/>
      <c r="C52" s="412" t="s">
        <v>702</v>
      </c>
      <c r="D52" s="413"/>
      <c r="E52" s="413"/>
      <c r="F52" s="413"/>
      <c r="G52" s="413"/>
      <c r="H52" s="413"/>
      <c r="I52" s="374"/>
      <c r="J52" s="373"/>
      <c r="K52" s="374"/>
      <c r="L52" s="375"/>
      <c r="M52" s="581"/>
      <c r="N52" s="578"/>
      <c r="O52" s="353"/>
      <c r="P52" s="578"/>
      <c r="Q52" s="578"/>
      <c r="R52" s="578"/>
      <c r="S52" s="578"/>
      <c r="T52" s="578"/>
      <c r="U52" s="578"/>
      <c r="V52" s="578"/>
      <c r="W52" s="578"/>
      <c r="X52" s="578"/>
      <c r="Y52" s="578"/>
    </row>
    <row r="53" spans="2:25" s="346" customFormat="1" ht="15.75" x14ac:dyDescent="0.25">
      <c r="B53" s="376"/>
      <c r="C53" s="377" t="s">
        <v>703</v>
      </c>
      <c r="D53" s="378"/>
      <c r="E53" s="379" t="s">
        <v>700</v>
      </c>
      <c r="F53" s="380"/>
      <c r="G53" s="380"/>
      <c r="H53" s="380"/>
      <c r="I53" s="377" t="s">
        <v>704</v>
      </c>
      <c r="J53" s="381"/>
      <c r="K53" s="379" t="s">
        <v>700</v>
      </c>
      <c r="L53" s="382"/>
      <c r="M53" s="383"/>
      <c r="N53" s="384"/>
      <c r="O53" s="353"/>
      <c r="P53" s="384"/>
      <c r="Q53" s="384"/>
      <c r="R53" s="384"/>
      <c r="S53" s="384"/>
      <c r="T53" s="384"/>
      <c r="U53" s="384"/>
      <c r="V53" s="384"/>
      <c r="W53" s="384"/>
      <c r="X53" s="384"/>
      <c r="Y53" s="384"/>
    </row>
    <row r="54" spans="2:25" s="579" customFormat="1" ht="15" customHeight="1" x14ac:dyDescent="0.25">
      <c r="B54" s="582"/>
      <c r="C54" s="385"/>
      <c r="D54" s="386"/>
      <c r="E54" s="387"/>
      <c r="F54" s="388"/>
      <c r="G54" s="388"/>
      <c r="H54" s="388"/>
      <c r="I54" s="389"/>
      <c r="J54" s="390"/>
      <c r="K54" s="391"/>
      <c r="L54" s="392"/>
      <c r="M54" s="583"/>
      <c r="N54" s="578"/>
      <c r="O54" s="353"/>
      <c r="P54" s="578"/>
      <c r="Q54" s="578"/>
      <c r="R54" s="578"/>
      <c r="S54" s="578"/>
      <c r="T54" s="578"/>
      <c r="U54" s="578"/>
      <c r="V54" s="578"/>
      <c r="W54" s="578"/>
      <c r="X54" s="578"/>
      <c r="Y54" s="578"/>
    </row>
    <row r="55" spans="2:25" s="579" customFormat="1" ht="15" customHeight="1" x14ac:dyDescent="0.25">
      <c r="B55" s="582"/>
      <c r="C55" s="393"/>
      <c r="D55" s="386"/>
      <c r="E55" s="387"/>
      <c r="F55" s="388"/>
      <c r="G55" s="388"/>
      <c r="H55" s="388"/>
      <c r="I55" s="389"/>
      <c r="J55" s="390"/>
      <c r="K55" s="391"/>
      <c r="L55" s="392"/>
      <c r="M55" s="583"/>
      <c r="N55" s="578"/>
      <c r="O55" s="353"/>
      <c r="P55" s="578"/>
      <c r="Q55" s="578"/>
      <c r="R55" s="578"/>
      <c r="S55" s="578"/>
      <c r="T55" s="578"/>
      <c r="U55" s="578"/>
      <c r="V55" s="578"/>
      <c r="W55" s="578"/>
      <c r="X55" s="578"/>
      <c r="Y55" s="578"/>
    </row>
    <row r="56" spans="2:25" s="579" customFormat="1" ht="15" customHeight="1" x14ac:dyDescent="0.25">
      <c r="B56" s="582"/>
      <c r="C56" s="394"/>
      <c r="D56" s="386"/>
      <c r="E56" s="387"/>
      <c r="F56" s="388"/>
      <c r="G56" s="388"/>
      <c r="H56" s="388"/>
      <c r="I56" s="394"/>
      <c r="J56" s="390"/>
      <c r="K56" s="391"/>
      <c r="L56" s="392"/>
      <c r="M56" s="583"/>
      <c r="N56" s="578"/>
      <c r="O56" s="353"/>
      <c r="P56" s="578"/>
      <c r="Q56" s="578"/>
      <c r="R56" s="578"/>
      <c r="S56" s="578"/>
      <c r="T56" s="578"/>
      <c r="U56" s="578"/>
      <c r="V56" s="578"/>
      <c r="W56" s="578"/>
      <c r="X56" s="578"/>
      <c r="Y56" s="578"/>
    </row>
    <row r="57" spans="2:25" s="579" customFormat="1" ht="15.75" x14ac:dyDescent="0.25">
      <c r="B57" s="582"/>
      <c r="C57" s="395"/>
      <c r="D57" s="386"/>
      <c r="E57" s="387"/>
      <c r="F57" s="388"/>
      <c r="G57" s="388"/>
      <c r="H57" s="388"/>
      <c r="I57" s="396"/>
      <c r="J57" s="390"/>
      <c r="K57" s="391"/>
      <c r="L57" s="392"/>
      <c r="M57" s="583"/>
      <c r="N57" s="578"/>
      <c r="O57" s="353"/>
      <c r="P57" s="578"/>
      <c r="Q57" s="578"/>
      <c r="R57" s="578"/>
      <c r="S57" s="578"/>
      <c r="T57" s="578"/>
      <c r="U57" s="578"/>
      <c r="V57" s="578"/>
      <c r="W57" s="578"/>
      <c r="X57" s="578"/>
      <c r="Y57" s="578"/>
    </row>
    <row r="58" spans="2:25" s="579" customFormat="1" ht="15.75" x14ac:dyDescent="0.25">
      <c r="B58" s="582"/>
      <c r="C58" s="397"/>
      <c r="D58" s="398"/>
      <c r="E58" s="399"/>
      <c r="F58" s="400"/>
      <c r="G58" s="400"/>
      <c r="H58" s="400"/>
      <c r="I58" s="401"/>
      <c r="J58" s="402"/>
      <c r="K58" s="403"/>
      <c r="L58" s="404"/>
      <c r="M58" s="583"/>
      <c r="N58" s="578"/>
      <c r="O58" s="353"/>
      <c r="P58" s="578"/>
      <c r="Q58" s="578"/>
      <c r="R58" s="578"/>
      <c r="S58" s="578"/>
      <c r="T58" s="578"/>
      <c r="U58" s="578"/>
      <c r="V58" s="578"/>
      <c r="W58" s="578"/>
      <c r="X58" s="578"/>
      <c r="Y58" s="578"/>
    </row>
    <row r="59" spans="2:25" s="579" customFormat="1" ht="15.75" x14ac:dyDescent="0.25">
      <c r="B59" s="582"/>
      <c r="C59" s="359" t="s">
        <v>705</v>
      </c>
      <c r="D59" s="414"/>
      <c r="E59" s="379" t="s">
        <v>706</v>
      </c>
      <c r="F59" s="372"/>
      <c r="G59" s="380" t="s">
        <v>707</v>
      </c>
      <c r="H59" s="414"/>
      <c r="I59" s="359" t="s">
        <v>705</v>
      </c>
      <c r="J59" s="415"/>
      <c r="K59" s="416" t="s">
        <v>706</v>
      </c>
      <c r="L59" s="417" t="s">
        <v>707</v>
      </c>
      <c r="M59" s="583"/>
      <c r="N59" s="578"/>
      <c r="O59" s="353"/>
      <c r="P59" s="578"/>
      <c r="Q59" s="578"/>
      <c r="R59" s="578"/>
      <c r="S59" s="578"/>
      <c r="T59" s="578"/>
      <c r="U59" s="578"/>
      <c r="V59" s="578"/>
      <c r="W59" s="578"/>
      <c r="X59" s="578"/>
      <c r="Y59" s="578"/>
    </row>
    <row r="60" spans="2:25" s="579" customFormat="1" ht="15.75" x14ac:dyDescent="0.25">
      <c r="B60" s="582"/>
      <c r="C60" s="726" t="s">
        <v>982</v>
      </c>
      <c r="D60" s="386"/>
      <c r="E60" s="419"/>
      <c r="F60" s="388"/>
      <c r="G60" s="388"/>
      <c r="H60" s="386"/>
      <c r="I60" s="726" t="s">
        <v>983</v>
      </c>
      <c r="J60" s="390"/>
      <c r="K60" s="387"/>
      <c r="L60" s="386"/>
      <c r="M60" s="583"/>
      <c r="N60" s="578"/>
      <c r="O60" s="353"/>
      <c r="P60" s="578"/>
      <c r="Q60" s="578"/>
      <c r="R60" s="578"/>
      <c r="S60" s="578"/>
      <c r="T60" s="578"/>
      <c r="U60" s="578"/>
      <c r="V60" s="578"/>
      <c r="W60" s="578"/>
      <c r="X60" s="578"/>
      <c r="Y60" s="578"/>
    </row>
    <row r="61" spans="2:25" s="579" customFormat="1" ht="15.75" x14ac:dyDescent="0.25">
      <c r="B61" s="582"/>
      <c r="C61" s="363"/>
      <c r="D61" s="398"/>
      <c r="E61" s="420"/>
      <c r="F61" s="400"/>
      <c r="G61" s="400"/>
      <c r="H61" s="398"/>
      <c r="I61" s="401"/>
      <c r="J61" s="402"/>
      <c r="K61" s="399"/>
      <c r="L61" s="398"/>
      <c r="M61" s="583"/>
      <c r="N61" s="578"/>
      <c r="O61" s="353"/>
      <c r="P61" s="578"/>
      <c r="Q61" s="578"/>
      <c r="R61" s="578"/>
      <c r="S61" s="578"/>
      <c r="T61" s="578"/>
      <c r="U61" s="578"/>
      <c r="V61" s="578"/>
      <c r="W61" s="578"/>
      <c r="X61" s="578"/>
      <c r="Y61" s="578"/>
    </row>
    <row r="62" spans="2:25" s="348" customFormat="1" ht="6" x14ac:dyDescent="0.15">
      <c r="B62" s="421"/>
      <c r="C62" s="422"/>
      <c r="D62" s="423"/>
      <c r="E62" s="422"/>
      <c r="F62" s="423"/>
      <c r="G62" s="423"/>
      <c r="H62" s="423"/>
      <c r="I62" s="424"/>
      <c r="J62" s="425"/>
      <c r="K62" s="423"/>
      <c r="L62" s="423"/>
      <c r="M62" s="426"/>
      <c r="N62" s="411"/>
      <c r="O62" s="427"/>
      <c r="P62" s="411"/>
      <c r="Q62" s="411"/>
      <c r="R62" s="411"/>
      <c r="S62" s="411"/>
      <c r="T62" s="411"/>
      <c r="U62" s="411"/>
      <c r="V62" s="411"/>
      <c r="W62" s="411"/>
      <c r="X62" s="411"/>
      <c r="Y62" s="411"/>
    </row>
    <row r="63" spans="2:25" s="346" customFormat="1" ht="15.75" x14ac:dyDescent="0.25">
      <c r="B63" s="376"/>
      <c r="C63" s="377" t="s">
        <v>708</v>
      </c>
      <c r="D63" s="378"/>
      <c r="E63" s="379" t="s">
        <v>700</v>
      </c>
      <c r="F63" s="380"/>
      <c r="G63" s="380"/>
      <c r="H63" s="378"/>
      <c r="I63" s="428"/>
      <c r="J63" s="429"/>
      <c r="K63" s="430"/>
      <c r="L63" s="431"/>
      <c r="M63" s="383"/>
      <c r="N63" s="384"/>
      <c r="O63" s="353"/>
      <c r="P63" s="384"/>
      <c r="Q63" s="384"/>
      <c r="R63" s="384"/>
      <c r="S63" s="384"/>
      <c r="T63" s="384"/>
      <c r="U63" s="384"/>
      <c r="V63" s="384"/>
      <c r="W63" s="384"/>
      <c r="X63" s="384"/>
      <c r="Y63" s="384"/>
    </row>
    <row r="64" spans="2:25" s="579" customFormat="1" ht="15" customHeight="1" x14ac:dyDescent="0.25">
      <c r="B64" s="582"/>
      <c r="C64" s="385"/>
      <c r="D64" s="386"/>
      <c r="E64" s="387"/>
      <c r="F64" s="388"/>
      <c r="G64" s="388"/>
      <c r="H64" s="386"/>
      <c r="I64" s="432"/>
      <c r="J64" s="432"/>
      <c r="K64" s="391"/>
      <c r="L64" s="406"/>
      <c r="M64" s="583"/>
      <c r="N64" s="578"/>
      <c r="O64" s="353"/>
      <c r="P64" s="578"/>
      <c r="Q64" s="578"/>
      <c r="R64" s="578"/>
      <c r="S64" s="578"/>
      <c r="T64" s="578"/>
      <c r="U64" s="578"/>
      <c r="V64" s="578"/>
      <c r="W64" s="578"/>
      <c r="X64" s="578"/>
      <c r="Y64" s="578"/>
    </row>
    <row r="65" spans="2:26" s="579" customFormat="1" ht="15" customHeight="1" x14ac:dyDescent="0.25">
      <c r="B65" s="582"/>
      <c r="C65" s="393"/>
      <c r="D65" s="386"/>
      <c r="E65" s="387"/>
      <c r="F65" s="388"/>
      <c r="G65" s="388"/>
      <c r="H65" s="386"/>
      <c r="I65" s="432"/>
      <c r="J65" s="432"/>
      <c r="K65" s="391"/>
      <c r="L65" s="406"/>
      <c r="M65" s="583"/>
      <c r="N65" s="578"/>
      <c r="O65" s="353"/>
      <c r="P65" s="578"/>
      <c r="Q65" s="578"/>
      <c r="R65" s="578"/>
      <c r="S65" s="578"/>
      <c r="T65" s="578"/>
      <c r="U65" s="578"/>
      <c r="V65" s="578"/>
      <c r="W65" s="578"/>
      <c r="X65" s="578"/>
      <c r="Y65" s="578"/>
    </row>
    <row r="66" spans="2:26" s="579" customFormat="1" ht="15" customHeight="1" x14ac:dyDescent="0.25">
      <c r="B66" s="582"/>
      <c r="C66" s="394"/>
      <c r="D66" s="386"/>
      <c r="E66" s="387"/>
      <c r="F66" s="388"/>
      <c r="G66" s="388"/>
      <c r="H66" s="386"/>
      <c r="I66" s="433"/>
      <c r="J66" s="432"/>
      <c r="K66" s="391"/>
      <c r="L66" s="406"/>
      <c r="M66" s="583"/>
      <c r="N66" s="578"/>
      <c r="O66" s="353"/>
      <c r="P66" s="578"/>
      <c r="Q66" s="578"/>
      <c r="R66" s="578"/>
      <c r="S66" s="578"/>
      <c r="T66" s="578"/>
      <c r="U66" s="578"/>
      <c r="V66" s="578"/>
      <c r="W66" s="578"/>
      <c r="X66" s="578"/>
      <c r="Y66" s="578"/>
    </row>
    <row r="67" spans="2:26" s="579" customFormat="1" ht="15.75" x14ac:dyDescent="0.25">
      <c r="B67" s="582"/>
      <c r="C67" s="395"/>
      <c r="D67" s="386"/>
      <c r="E67" s="387"/>
      <c r="F67" s="388"/>
      <c r="G67" s="388"/>
      <c r="H67" s="386"/>
      <c r="I67" s="391"/>
      <c r="J67" s="432"/>
      <c r="K67" s="391"/>
      <c r="L67" s="406"/>
      <c r="M67" s="583"/>
      <c r="N67" s="578"/>
      <c r="O67" s="353"/>
      <c r="P67" s="578"/>
      <c r="Q67" s="578"/>
      <c r="R67" s="578"/>
      <c r="S67" s="578"/>
      <c r="T67" s="578"/>
      <c r="U67" s="578"/>
      <c r="V67" s="578"/>
      <c r="W67" s="578"/>
      <c r="X67" s="578"/>
      <c r="Y67" s="578"/>
    </row>
    <row r="68" spans="2:26" s="579" customFormat="1" ht="15.75" x14ac:dyDescent="0.25">
      <c r="B68" s="582"/>
      <c r="C68" s="397"/>
      <c r="D68" s="398"/>
      <c r="E68" s="399"/>
      <c r="F68" s="400"/>
      <c r="G68" s="400"/>
      <c r="H68" s="398"/>
      <c r="I68" s="391"/>
      <c r="J68" s="432"/>
      <c r="K68" s="391"/>
      <c r="L68" s="406"/>
      <c r="M68" s="583"/>
      <c r="N68" s="578"/>
      <c r="O68" s="353"/>
      <c r="P68" s="578"/>
      <c r="Q68" s="578"/>
      <c r="R68" s="578"/>
      <c r="S68" s="578"/>
      <c r="T68" s="578"/>
      <c r="U68" s="578"/>
      <c r="V68" s="578"/>
      <c r="W68" s="578"/>
      <c r="X68" s="578"/>
      <c r="Y68" s="578"/>
    </row>
    <row r="69" spans="2:26" s="579" customFormat="1" ht="15.75" x14ac:dyDescent="0.25">
      <c r="B69" s="582"/>
      <c r="C69" s="359" t="s">
        <v>705</v>
      </c>
      <c r="D69" s="414"/>
      <c r="E69" s="379" t="s">
        <v>706</v>
      </c>
      <c r="F69" s="372"/>
      <c r="G69" s="372" t="s">
        <v>707</v>
      </c>
      <c r="H69" s="414"/>
      <c r="I69" s="391"/>
      <c r="J69" s="432"/>
      <c r="K69" s="388"/>
      <c r="L69" s="434"/>
      <c r="M69" s="583"/>
      <c r="N69" s="578"/>
      <c r="O69" s="353"/>
      <c r="P69" s="578"/>
      <c r="Q69" s="578"/>
      <c r="R69" s="578"/>
      <c r="S69" s="578"/>
      <c r="T69" s="578"/>
      <c r="U69" s="578"/>
      <c r="V69" s="578"/>
      <c r="W69" s="578"/>
      <c r="X69" s="578"/>
      <c r="Y69" s="578"/>
    </row>
    <row r="70" spans="2:26" s="579" customFormat="1" ht="15.75" x14ac:dyDescent="0.25">
      <c r="B70" s="582"/>
      <c r="C70" s="726" t="s">
        <v>984</v>
      </c>
      <c r="D70" s="435"/>
      <c r="E70" s="436"/>
      <c r="F70" s="437"/>
      <c r="G70" s="437"/>
      <c r="H70" s="435"/>
      <c r="I70" s="438"/>
      <c r="J70" s="439"/>
      <c r="K70" s="437"/>
      <c r="L70" s="437"/>
      <c r="M70" s="583"/>
      <c r="N70" s="578"/>
      <c r="O70" s="353"/>
      <c r="P70" s="578"/>
      <c r="Q70" s="578"/>
      <c r="R70" s="578"/>
      <c r="S70" s="578"/>
      <c r="T70" s="578"/>
      <c r="U70" s="578"/>
      <c r="V70" s="578"/>
      <c r="W70" s="578"/>
      <c r="X70" s="578"/>
      <c r="Y70" s="578"/>
    </row>
    <row r="71" spans="2:26" s="579" customFormat="1" ht="15.75" x14ac:dyDescent="0.25">
      <c r="B71" s="582"/>
      <c r="C71" s="440"/>
      <c r="D71" s="441"/>
      <c r="E71" s="442"/>
      <c r="F71" s="443"/>
      <c r="G71" s="443"/>
      <c r="H71" s="441"/>
      <c r="I71" s="438"/>
      <c r="J71" s="439"/>
      <c r="K71" s="437"/>
      <c r="L71" s="437"/>
      <c r="M71" s="583"/>
      <c r="N71" s="578"/>
      <c r="O71" s="353"/>
      <c r="P71" s="578"/>
      <c r="Q71" s="578"/>
      <c r="R71" s="578"/>
      <c r="S71" s="578"/>
      <c r="T71" s="578"/>
      <c r="U71" s="578"/>
      <c r="V71" s="578"/>
      <c r="W71" s="578"/>
      <c r="X71" s="578"/>
      <c r="Y71" s="578"/>
    </row>
    <row r="72" spans="2:26" s="347" customFormat="1" ht="6" x14ac:dyDescent="0.15">
      <c r="B72" s="444"/>
      <c r="C72" s="445"/>
      <c r="D72" s="445" t="s">
        <v>400</v>
      </c>
      <c r="E72" s="445"/>
      <c r="F72" s="445"/>
      <c r="G72" s="445"/>
      <c r="H72" s="445"/>
      <c r="I72" s="445"/>
      <c r="J72" s="445"/>
      <c r="K72" s="445"/>
      <c r="L72" s="446"/>
      <c r="M72" s="447"/>
      <c r="N72" s="411"/>
      <c r="O72" s="427"/>
      <c r="P72" s="411"/>
      <c r="Q72" s="411"/>
      <c r="R72" s="411"/>
      <c r="S72" s="411"/>
      <c r="T72" s="411"/>
      <c r="U72" s="411"/>
      <c r="V72" s="411"/>
      <c r="W72" s="411"/>
      <c r="X72" s="411"/>
      <c r="Y72" s="411"/>
    </row>
    <row r="74" spans="2:26" ht="18.75" x14ac:dyDescent="0.25">
      <c r="C74" s="384"/>
      <c r="L74" s="673" t="s">
        <v>844</v>
      </c>
    </row>
    <row r="76" spans="2:26" s="578" customFormat="1" ht="34.5" x14ac:dyDescent="0.25">
      <c r="C76" s="504" t="s">
        <v>59</v>
      </c>
      <c r="D76" s="755" t="s">
        <v>985</v>
      </c>
      <c r="E76" s="756"/>
      <c r="F76" s="756"/>
      <c r="G76" s="756"/>
      <c r="H76" s="757"/>
      <c r="I76" s="504" t="s">
        <v>680</v>
      </c>
      <c r="J76" s="504" t="s">
        <v>681</v>
      </c>
      <c r="K76" s="504" t="s">
        <v>682</v>
      </c>
      <c r="L76" s="504" t="s">
        <v>683</v>
      </c>
      <c r="M76" s="368"/>
      <c r="N76" s="368"/>
      <c r="O76" s="353"/>
      <c r="U76" s="578" t="s">
        <v>51</v>
      </c>
      <c r="Z76" s="556"/>
    </row>
    <row r="77" spans="2:26" s="345" customFormat="1" ht="17.25" x14ac:dyDescent="0.25">
      <c r="C77" s="674"/>
      <c r="D77" s="748" t="s">
        <v>845</v>
      </c>
      <c r="E77" s="749"/>
      <c r="F77" s="749"/>
      <c r="G77" s="749"/>
      <c r="H77" s="749"/>
      <c r="I77" s="744" t="s">
        <v>51</v>
      </c>
      <c r="J77" s="745"/>
      <c r="K77" s="745"/>
      <c r="L77" s="746"/>
      <c r="M77" s="350"/>
      <c r="N77" s="350"/>
      <c r="O77" s="353"/>
      <c r="P77" s="675"/>
      <c r="Q77" s="350"/>
      <c r="R77" s="350"/>
      <c r="S77" s="350"/>
      <c r="T77" s="350"/>
      <c r="U77" s="578" t="s">
        <v>5</v>
      </c>
      <c r="V77" s="350"/>
      <c r="W77" s="350"/>
      <c r="X77" s="350"/>
      <c r="Y77" s="350"/>
    </row>
    <row r="78" spans="2:26" s="345" customFormat="1" ht="65.099999999999994" customHeight="1" x14ac:dyDescent="0.25">
      <c r="C78" s="665">
        <v>1</v>
      </c>
      <c r="D78" s="733" t="s">
        <v>846</v>
      </c>
      <c r="E78" s="734"/>
      <c r="F78" s="734"/>
      <c r="G78" s="676">
        <v>4.0000000000000001E-3</v>
      </c>
      <c r="H78" s="656" t="s">
        <v>5</v>
      </c>
      <c r="I78" s="744"/>
      <c r="J78" s="745"/>
      <c r="K78" s="745"/>
      <c r="L78" s="746"/>
      <c r="M78" s="350"/>
      <c r="N78" s="350"/>
      <c r="O78" s="353"/>
      <c r="P78" s="675"/>
      <c r="Q78" s="350"/>
      <c r="R78" s="350"/>
      <c r="S78" s="350"/>
      <c r="T78" s="350"/>
      <c r="U78" s="350"/>
      <c r="V78" s="350"/>
      <c r="W78" s="350"/>
      <c r="X78" s="350"/>
      <c r="Y78" s="350"/>
    </row>
    <row r="79" spans="2:26" s="345" customFormat="1" ht="59.85" customHeight="1" x14ac:dyDescent="0.25">
      <c r="C79" s="665">
        <v>2</v>
      </c>
      <c r="D79" s="733" t="s">
        <v>847</v>
      </c>
      <c r="E79" s="734"/>
      <c r="F79" s="747"/>
      <c r="G79" s="676">
        <v>2E-3</v>
      </c>
      <c r="H79" s="656" t="s">
        <v>5</v>
      </c>
      <c r="I79" s="744"/>
      <c r="J79" s="745"/>
      <c r="K79" s="745"/>
      <c r="L79" s="746"/>
      <c r="M79" s="350"/>
      <c r="N79" s="350"/>
      <c r="O79" s="353"/>
      <c r="P79" s="675"/>
      <c r="Q79" s="350"/>
      <c r="R79" s="350"/>
      <c r="S79" s="350"/>
      <c r="T79" s="350"/>
      <c r="U79" s="350"/>
      <c r="V79" s="350"/>
      <c r="W79" s="350"/>
      <c r="X79" s="350"/>
      <c r="Y79" s="350"/>
    </row>
    <row r="80" spans="2:26" s="345" customFormat="1" ht="59.85" customHeight="1" x14ac:dyDescent="0.25">
      <c r="C80" s="665">
        <v>3</v>
      </c>
      <c r="D80" s="733" t="s">
        <v>848</v>
      </c>
      <c r="E80" s="734"/>
      <c r="F80" s="747"/>
      <c r="G80" s="676">
        <v>1E-3</v>
      </c>
      <c r="H80" s="656" t="s">
        <v>5</v>
      </c>
      <c r="I80" s="744"/>
      <c r="J80" s="745"/>
      <c r="K80" s="745"/>
      <c r="L80" s="746"/>
      <c r="M80" s="350"/>
      <c r="N80" s="350"/>
      <c r="O80" s="353"/>
      <c r="P80" s="675"/>
      <c r="Q80" s="350"/>
      <c r="R80" s="350"/>
      <c r="S80" s="350"/>
      <c r="T80" s="350"/>
      <c r="U80" s="350"/>
      <c r="V80" s="350"/>
      <c r="W80" s="350"/>
      <c r="X80" s="350"/>
      <c r="Y80" s="350"/>
    </row>
    <row r="81" spans="3:25" s="345" customFormat="1" ht="17.25" x14ac:dyDescent="0.25">
      <c r="C81" s="674"/>
      <c r="D81" s="741" t="s">
        <v>849</v>
      </c>
      <c r="E81" s="742"/>
      <c r="F81" s="742"/>
      <c r="G81" s="742"/>
      <c r="H81" s="743"/>
      <c r="I81" s="744"/>
      <c r="J81" s="745"/>
      <c r="K81" s="745"/>
      <c r="L81" s="746"/>
      <c r="M81" s="350"/>
      <c r="N81" s="350"/>
      <c r="O81" s="353"/>
      <c r="P81" s="675"/>
      <c r="Q81" s="350"/>
      <c r="R81" s="350"/>
      <c r="S81" s="350"/>
      <c r="T81" s="350"/>
      <c r="U81" s="350"/>
      <c r="V81" s="350"/>
      <c r="W81" s="350"/>
      <c r="X81" s="350"/>
      <c r="Y81" s="350"/>
    </row>
    <row r="82" spans="3:25" s="345" customFormat="1" ht="97.9" customHeight="1" x14ac:dyDescent="0.25">
      <c r="C82" s="665">
        <v>4</v>
      </c>
      <c r="D82" s="733" t="s">
        <v>850</v>
      </c>
      <c r="E82" s="734"/>
      <c r="F82" s="747"/>
      <c r="G82" s="676">
        <v>4.0000000000000001E-3</v>
      </c>
      <c r="H82" s="656" t="s">
        <v>5</v>
      </c>
      <c r="I82" s="744"/>
      <c r="J82" s="745"/>
      <c r="K82" s="745"/>
      <c r="L82" s="746"/>
      <c r="M82" s="350"/>
      <c r="N82" s="350"/>
      <c r="O82" s="353"/>
      <c r="P82" s="675"/>
      <c r="Q82" s="350"/>
      <c r="R82" s="350"/>
      <c r="S82" s="350"/>
      <c r="T82" s="350"/>
      <c r="U82" s="350"/>
      <c r="V82" s="350"/>
      <c r="W82" s="350"/>
      <c r="X82" s="350"/>
      <c r="Y82" s="350"/>
    </row>
    <row r="83" spans="3:25" s="345" customFormat="1" ht="97.9" customHeight="1" x14ac:dyDescent="0.25">
      <c r="C83" s="665">
        <v>5</v>
      </c>
      <c r="D83" s="733" t="s">
        <v>851</v>
      </c>
      <c r="E83" s="734"/>
      <c r="F83" s="747"/>
      <c r="G83" s="676">
        <v>2E-3</v>
      </c>
      <c r="H83" s="656" t="s">
        <v>5</v>
      </c>
      <c r="I83" s="744"/>
      <c r="J83" s="745"/>
      <c r="K83" s="745"/>
      <c r="L83" s="746"/>
      <c r="M83" s="350"/>
      <c r="N83" s="350"/>
      <c r="O83" s="353"/>
      <c r="P83" s="675"/>
      <c r="Q83" s="350"/>
      <c r="R83" s="350"/>
      <c r="S83" s="350"/>
      <c r="T83" s="350"/>
      <c r="U83" s="350"/>
      <c r="V83" s="350"/>
      <c r="W83" s="350"/>
      <c r="X83" s="350"/>
      <c r="Y83" s="350"/>
    </row>
    <row r="84" spans="3:25" s="345" customFormat="1" ht="97.9" customHeight="1" x14ac:dyDescent="0.25">
      <c r="C84" s="665">
        <v>6</v>
      </c>
      <c r="D84" s="733" t="s">
        <v>852</v>
      </c>
      <c r="E84" s="734"/>
      <c r="F84" s="747"/>
      <c r="G84" s="676">
        <v>1E-3</v>
      </c>
      <c r="H84" s="656" t="s">
        <v>5</v>
      </c>
      <c r="I84" s="744"/>
      <c r="J84" s="745"/>
      <c r="K84" s="745"/>
      <c r="L84" s="746"/>
      <c r="M84" s="350"/>
      <c r="N84" s="350"/>
      <c r="O84" s="353"/>
      <c r="P84" s="675"/>
      <c r="Q84" s="350"/>
      <c r="R84" s="350"/>
      <c r="S84" s="350"/>
      <c r="T84" s="350"/>
      <c r="U84" s="350"/>
      <c r="V84" s="350"/>
      <c r="W84" s="350"/>
      <c r="X84" s="350"/>
      <c r="Y84" s="350"/>
    </row>
    <row r="85" spans="3:25" s="345" customFormat="1" ht="17.25" x14ac:dyDescent="0.25">
      <c r="C85" s="677"/>
      <c r="D85" s="741" t="s">
        <v>853</v>
      </c>
      <c r="E85" s="742"/>
      <c r="F85" s="742"/>
      <c r="G85" s="742"/>
      <c r="H85" s="743"/>
      <c r="I85" s="744"/>
      <c r="J85" s="745"/>
      <c r="K85" s="745"/>
      <c r="L85" s="746"/>
      <c r="M85" s="350"/>
      <c r="N85" s="350"/>
      <c r="O85" s="353"/>
      <c r="P85" s="675"/>
      <c r="Q85" s="350"/>
      <c r="R85" s="350"/>
      <c r="S85" s="350"/>
      <c r="T85" s="350"/>
      <c r="U85" s="350"/>
      <c r="V85" s="350"/>
      <c r="W85" s="350"/>
      <c r="X85" s="350"/>
      <c r="Y85" s="350"/>
    </row>
    <row r="86" spans="3:25" s="345" customFormat="1" ht="112.5" customHeight="1" x14ac:dyDescent="0.25">
      <c r="C86" s="665">
        <v>7</v>
      </c>
      <c r="D86" s="733" t="s">
        <v>854</v>
      </c>
      <c r="E86" s="734"/>
      <c r="F86" s="734"/>
      <c r="G86" s="676">
        <v>4.0000000000000001E-3</v>
      </c>
      <c r="H86" s="656" t="s">
        <v>5</v>
      </c>
      <c r="I86" s="744"/>
      <c r="J86" s="745"/>
      <c r="K86" s="745"/>
      <c r="L86" s="746"/>
      <c r="M86" s="350"/>
      <c r="N86" s="350"/>
      <c r="O86" s="353"/>
      <c r="P86" s="675"/>
      <c r="Q86" s="350"/>
      <c r="R86" s="350"/>
      <c r="S86" s="350"/>
      <c r="T86" s="350"/>
      <c r="U86" s="350"/>
      <c r="V86" s="350"/>
      <c r="W86" s="350"/>
      <c r="X86" s="350"/>
      <c r="Y86" s="350"/>
    </row>
    <row r="87" spans="3:25" s="345" customFormat="1" ht="134.1" customHeight="1" x14ac:dyDescent="0.25">
      <c r="C87" s="665">
        <v>8</v>
      </c>
      <c r="D87" s="750" t="s">
        <v>855</v>
      </c>
      <c r="E87" s="751"/>
      <c r="F87" s="751"/>
      <c r="G87" s="676">
        <v>2E-3</v>
      </c>
      <c r="H87" s="656" t="s">
        <v>5</v>
      </c>
      <c r="I87" s="744"/>
      <c r="J87" s="745"/>
      <c r="K87" s="745"/>
      <c r="L87" s="746"/>
      <c r="M87" s="350"/>
      <c r="N87" s="350"/>
      <c r="O87" s="353"/>
      <c r="P87" s="675"/>
      <c r="Q87" s="350"/>
      <c r="R87" s="350"/>
      <c r="S87" s="350"/>
      <c r="T87" s="350"/>
      <c r="U87" s="350"/>
      <c r="V87" s="350"/>
      <c r="W87" s="350"/>
      <c r="X87" s="350"/>
      <c r="Y87" s="350"/>
    </row>
    <row r="88" spans="3:25" s="345" customFormat="1" ht="126.95" customHeight="1" x14ac:dyDescent="0.25">
      <c r="C88" s="665">
        <v>9</v>
      </c>
      <c r="D88" s="733" t="s">
        <v>856</v>
      </c>
      <c r="E88" s="734"/>
      <c r="F88" s="734"/>
      <c r="G88" s="676">
        <v>1E-3</v>
      </c>
      <c r="H88" s="656" t="s">
        <v>5</v>
      </c>
      <c r="I88" s="744"/>
      <c r="J88" s="745"/>
      <c r="K88" s="745"/>
      <c r="L88" s="746"/>
      <c r="M88" s="350"/>
      <c r="N88" s="350"/>
      <c r="O88" s="353"/>
      <c r="P88" s="675"/>
      <c r="Q88" s="350"/>
      <c r="R88" s="350"/>
      <c r="S88" s="350"/>
      <c r="T88" s="350"/>
      <c r="U88" s="350"/>
      <c r="V88" s="350"/>
      <c r="W88" s="350"/>
      <c r="X88" s="350"/>
      <c r="Y88" s="350"/>
    </row>
    <row r="89" spans="3:25" ht="17.25" x14ac:dyDescent="0.25">
      <c r="C89" s="677"/>
      <c r="D89" s="741" t="s">
        <v>798</v>
      </c>
      <c r="E89" s="742"/>
      <c r="F89" s="742"/>
      <c r="G89" s="742"/>
      <c r="H89" s="743"/>
      <c r="I89" s="744"/>
      <c r="J89" s="745"/>
      <c r="K89" s="745"/>
      <c r="L89" s="746"/>
      <c r="O89" s="353"/>
      <c r="P89" s="370"/>
    </row>
    <row r="90" spans="3:25" ht="17.25" x14ac:dyDescent="0.25">
      <c r="C90" s="665">
        <v>10</v>
      </c>
      <c r="D90" s="735" t="s">
        <v>780</v>
      </c>
      <c r="E90" s="736"/>
      <c r="F90" s="737"/>
      <c r="G90" s="678">
        <v>2E-3</v>
      </c>
      <c r="H90" s="656" t="s">
        <v>51</v>
      </c>
      <c r="I90" s="744"/>
      <c r="J90" s="745"/>
      <c r="K90" s="745"/>
      <c r="L90" s="746"/>
      <c r="O90" s="353"/>
      <c r="P90" s="370"/>
    </row>
    <row r="91" spans="3:25" ht="93.95" customHeight="1" x14ac:dyDescent="0.25">
      <c r="C91" s="665">
        <v>11</v>
      </c>
      <c r="D91" s="738" t="s">
        <v>909</v>
      </c>
      <c r="E91" s="739"/>
      <c r="F91" s="740"/>
      <c r="G91" s="678">
        <v>5.0000000000000001E-3</v>
      </c>
      <c r="H91" s="656" t="s">
        <v>51</v>
      </c>
      <c r="I91" s="744"/>
      <c r="J91" s="745"/>
      <c r="K91" s="745"/>
      <c r="L91" s="746"/>
      <c r="O91" s="353"/>
      <c r="P91" s="370"/>
    </row>
    <row r="92" spans="3:25" ht="30" customHeight="1" x14ac:dyDescent="0.25">
      <c r="C92" s="665">
        <v>12</v>
      </c>
      <c r="D92" s="738" t="s">
        <v>857</v>
      </c>
      <c r="E92" s="739"/>
      <c r="F92" s="740"/>
      <c r="G92" s="678">
        <v>4.0000000000000001E-3</v>
      </c>
      <c r="H92" s="656" t="s">
        <v>5</v>
      </c>
      <c r="I92" s="744"/>
      <c r="J92" s="745"/>
      <c r="K92" s="745"/>
      <c r="L92" s="746"/>
      <c r="O92" s="353"/>
      <c r="P92" s="370"/>
    </row>
    <row r="93" spans="3:25" ht="17.25" x14ac:dyDescent="0.25">
      <c r="C93" s="665">
        <v>13</v>
      </c>
      <c r="D93" s="735" t="s">
        <v>799</v>
      </c>
      <c r="E93" s="736"/>
      <c r="F93" s="737"/>
      <c r="G93" s="678">
        <v>0.01</v>
      </c>
      <c r="H93" s="656" t="s">
        <v>5</v>
      </c>
      <c r="I93" s="744"/>
      <c r="J93" s="745"/>
      <c r="K93" s="745"/>
      <c r="L93" s="746"/>
      <c r="O93" s="353"/>
      <c r="P93" s="370"/>
    </row>
    <row r="94" spans="3:25" ht="17.25" x14ac:dyDescent="0.25">
      <c r="C94" s="665">
        <v>14</v>
      </c>
      <c r="D94" s="738" t="s">
        <v>858</v>
      </c>
      <c r="E94" s="739"/>
      <c r="F94" s="740"/>
      <c r="G94" s="678">
        <v>0.01</v>
      </c>
      <c r="H94" s="656" t="s">
        <v>5</v>
      </c>
      <c r="I94" s="744"/>
      <c r="J94" s="745"/>
      <c r="K94" s="745"/>
      <c r="L94" s="746"/>
      <c r="O94" s="353"/>
      <c r="P94" s="370"/>
    </row>
  </sheetData>
  <mergeCells count="50">
    <mergeCell ref="D13:H13"/>
    <mergeCell ref="C2:L2"/>
    <mergeCell ref="D9:H9"/>
    <mergeCell ref="D10:H10"/>
    <mergeCell ref="D11:H11"/>
    <mergeCell ref="D12:H12"/>
    <mergeCell ref="D31:H31"/>
    <mergeCell ref="D14:H14"/>
    <mergeCell ref="D15:H15"/>
    <mergeCell ref="D16:H16"/>
    <mergeCell ref="D17:H17"/>
    <mergeCell ref="D18:H18"/>
    <mergeCell ref="D19:H19"/>
    <mergeCell ref="D25:H25"/>
    <mergeCell ref="D26:H26"/>
    <mergeCell ref="C20:C27"/>
    <mergeCell ref="D20:H20"/>
    <mergeCell ref="D21:H21"/>
    <mergeCell ref="D30:H30"/>
    <mergeCell ref="D22:H22"/>
    <mergeCell ref="D23:H23"/>
    <mergeCell ref="D24:H24"/>
    <mergeCell ref="D27:H27"/>
    <mergeCell ref="D32:H32"/>
    <mergeCell ref="D33:H33"/>
    <mergeCell ref="D34:H34"/>
    <mergeCell ref="D35:H35"/>
    <mergeCell ref="D76:H76"/>
    <mergeCell ref="I77:I94"/>
    <mergeCell ref="J77:J94"/>
    <mergeCell ref="K77:K94"/>
    <mergeCell ref="L77:L94"/>
    <mergeCell ref="D78:F78"/>
    <mergeCell ref="D79:F79"/>
    <mergeCell ref="D80:F80"/>
    <mergeCell ref="D81:H81"/>
    <mergeCell ref="D82:F82"/>
    <mergeCell ref="D83:F83"/>
    <mergeCell ref="D77:H77"/>
    <mergeCell ref="D84:F84"/>
    <mergeCell ref="D85:H85"/>
    <mergeCell ref="D86:F86"/>
    <mergeCell ref="D87:F87"/>
    <mergeCell ref="D94:F94"/>
    <mergeCell ref="D88:F88"/>
    <mergeCell ref="D90:F90"/>
    <mergeCell ref="D91:F91"/>
    <mergeCell ref="D92:F92"/>
    <mergeCell ref="D93:F93"/>
    <mergeCell ref="D89:H89"/>
  </mergeCells>
  <dataValidations count="2">
    <dataValidation type="list" allowBlank="1" showInputMessage="1" showErrorMessage="1" sqref="I32:I35 L31:L35" xr:uid="{3F82B797-6162-4409-8416-D122223CDEF8}">
      <formula1>#REF!</formula1>
    </dataValidation>
    <dataValidation type="list" allowBlank="1" showInputMessage="1" showErrorMessage="1" sqref="H78:H80 H90:H94 H86:H88 H82:H84" xr:uid="{A8A97FF8-BE5D-4CD7-AB52-0836469B7509}">
      <formula1>$U$76:$U$77</formula1>
    </dataValidation>
  </dataValidations>
  <printOptions horizontalCentered="1"/>
  <pageMargins left="0" right="0" top="0" bottom="0" header="0" footer="0"/>
  <pageSetup paperSize="8" scale="75" fitToHeight="0" orientation="portrait" r:id="rId1"/>
  <rowBreaks count="2" manualBreakCount="2">
    <brk id="22" max="12" man="1"/>
    <brk id="73" max="12" man="1"/>
  </rowBreaks>
  <colBreaks count="1" manualBreakCount="1">
    <brk id="2" max="92"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T38"/>
  <sheetViews>
    <sheetView tabSelected="1" zoomScaleNormal="100" workbookViewId="0">
      <selection activeCell="I33" sqref="I33"/>
    </sheetView>
  </sheetViews>
  <sheetFormatPr defaultColWidth="9" defaultRowHeight="12.75" x14ac:dyDescent="0.25"/>
  <cols>
    <col min="1" max="1" width="9" style="2"/>
    <col min="2" max="2" width="13" style="2" customWidth="1"/>
    <col min="3" max="3" width="10.7109375" style="2" customWidth="1"/>
    <col min="4" max="9" width="11" style="2" customWidth="1"/>
    <col min="10" max="10" width="2" style="2" customWidth="1"/>
    <col min="11" max="11" width="8.28515625" style="233" bestFit="1" customWidth="1"/>
    <col min="12" max="12" width="2" style="2" customWidth="1"/>
    <col min="13" max="13" width="12.7109375" style="2" customWidth="1"/>
    <col min="14" max="15" width="13.42578125" style="2" customWidth="1"/>
    <col min="16" max="19" width="11" style="2" customWidth="1"/>
    <col min="20" max="16384" width="9" style="2"/>
  </cols>
  <sheetData>
    <row r="2" spans="2:19" x14ac:dyDescent="0.25">
      <c r="M2" s="857" t="s">
        <v>96</v>
      </c>
      <c r="N2" s="858"/>
      <c r="O2" s="858"/>
      <c r="P2" s="858"/>
      <c r="Q2" s="858"/>
      <c r="R2" s="858"/>
      <c r="S2" s="859"/>
    </row>
    <row r="3" spans="2:19" x14ac:dyDescent="0.25">
      <c r="H3" s="2" t="s">
        <v>97</v>
      </c>
      <c r="K3" s="231" t="s">
        <v>98</v>
      </c>
      <c r="R3" s="2" t="s">
        <v>97</v>
      </c>
    </row>
    <row r="4" spans="2:19" s="229" customFormat="1" ht="38.25" x14ac:dyDescent="0.25">
      <c r="B4" s="228" t="s">
        <v>917</v>
      </c>
      <c r="C4" s="3" t="s">
        <v>98</v>
      </c>
      <c r="D4" s="3" t="s">
        <v>99</v>
      </c>
      <c r="E4" s="3" t="s">
        <v>100</v>
      </c>
      <c r="F4" s="3" t="s">
        <v>101</v>
      </c>
      <c r="G4" s="3" t="s">
        <v>102</v>
      </c>
      <c r="H4" s="3" t="s">
        <v>103</v>
      </c>
      <c r="I4" s="3" t="s">
        <v>104</v>
      </c>
      <c r="K4" s="230"/>
      <c r="M4" s="228" t="str">
        <f t="shared" ref="M4:M10" si="0">$B4</f>
        <v>ALLIANCE - 7856</v>
      </c>
      <c r="N4" s="3" t="s">
        <v>99</v>
      </c>
      <c r="O4" s="3" t="s">
        <v>100</v>
      </c>
      <c r="P4" s="3" t="s">
        <v>105</v>
      </c>
      <c r="Q4" s="3" t="s">
        <v>102</v>
      </c>
      <c r="R4" s="3" t="s">
        <v>106</v>
      </c>
      <c r="S4" s="3" t="s">
        <v>104</v>
      </c>
    </row>
    <row r="5" spans="2:19" x14ac:dyDescent="0.25">
      <c r="B5" s="704" t="s">
        <v>993</v>
      </c>
      <c r="C5" s="704" t="s">
        <v>96</v>
      </c>
      <c r="D5" s="705">
        <v>421402.28</v>
      </c>
      <c r="E5" s="705">
        <v>430290</v>
      </c>
      <c r="F5" s="706">
        <v>3204.03</v>
      </c>
      <c r="G5" s="232"/>
      <c r="H5" s="6"/>
      <c r="I5" s="232"/>
      <c r="J5" s="241"/>
      <c r="K5" s="233">
        <v>1</v>
      </c>
      <c r="L5" s="241"/>
      <c r="M5" s="5" t="str">
        <f t="shared" si="0"/>
        <v>2025-10</v>
      </c>
      <c r="N5" s="6">
        <f t="shared" ref="N5:P10" si="1">D5*$K5</f>
        <v>421402.28</v>
      </c>
      <c r="O5" s="6">
        <f t="shared" si="1"/>
        <v>430290</v>
      </c>
      <c r="P5" s="245">
        <f t="shared" si="1"/>
        <v>3204.03</v>
      </c>
      <c r="Q5" s="232"/>
      <c r="R5" s="6">
        <f t="shared" ref="R5:R10" si="2">H5*$K5</f>
        <v>0</v>
      </c>
      <c r="S5" s="232"/>
    </row>
    <row r="6" spans="2:19" x14ac:dyDescent="0.25">
      <c r="B6" s="704" t="s">
        <v>994</v>
      </c>
      <c r="C6" s="704" t="s">
        <v>96</v>
      </c>
      <c r="D6" s="705">
        <v>520058.97</v>
      </c>
      <c r="E6" s="705">
        <v>519896.34</v>
      </c>
      <c r="F6" s="706">
        <v>3366.66</v>
      </c>
      <c r="G6" s="232"/>
      <c r="H6" s="6"/>
      <c r="I6" s="232"/>
      <c r="J6" s="241"/>
      <c r="K6" s="233">
        <v>1</v>
      </c>
      <c r="L6" s="241"/>
      <c r="M6" s="5" t="str">
        <f t="shared" si="0"/>
        <v>2025-11</v>
      </c>
      <c r="N6" s="6">
        <f t="shared" si="1"/>
        <v>520058.97</v>
      </c>
      <c r="O6" s="6">
        <f t="shared" si="1"/>
        <v>519896.34</v>
      </c>
      <c r="P6" s="245">
        <f t="shared" si="1"/>
        <v>3366.66</v>
      </c>
      <c r="Q6" s="232"/>
      <c r="R6" s="6">
        <f t="shared" si="2"/>
        <v>0</v>
      </c>
      <c r="S6" s="232"/>
    </row>
    <row r="7" spans="2:19" x14ac:dyDescent="0.25">
      <c r="B7" s="704" t="s">
        <v>995</v>
      </c>
      <c r="C7" s="704" t="s">
        <v>96</v>
      </c>
      <c r="D7" s="705">
        <v>681866.99</v>
      </c>
      <c r="E7" s="705">
        <v>627045.1</v>
      </c>
      <c r="F7" s="706">
        <v>58188.55</v>
      </c>
      <c r="G7" s="232"/>
      <c r="H7" s="6"/>
      <c r="I7" s="232"/>
      <c r="J7" s="241"/>
      <c r="K7" s="233">
        <v>1</v>
      </c>
      <c r="L7" s="241"/>
      <c r="M7" s="5" t="str">
        <f t="shared" si="0"/>
        <v>2025-12</v>
      </c>
      <c r="N7" s="6">
        <f t="shared" si="1"/>
        <v>681866.99</v>
      </c>
      <c r="O7" s="6">
        <f t="shared" si="1"/>
        <v>627045.1</v>
      </c>
      <c r="P7" s="245">
        <f t="shared" si="1"/>
        <v>58188.55</v>
      </c>
      <c r="Q7" s="232"/>
      <c r="R7" s="6">
        <f t="shared" si="2"/>
        <v>0</v>
      </c>
      <c r="S7" s="232"/>
    </row>
    <row r="8" spans="2:19" x14ac:dyDescent="0.25">
      <c r="B8" s="704" t="s">
        <v>1016</v>
      </c>
      <c r="C8" s="704" t="s">
        <v>96</v>
      </c>
      <c r="D8" s="705">
        <v>1017260.43</v>
      </c>
      <c r="E8" s="705">
        <v>1005213.75</v>
      </c>
      <c r="F8" s="706">
        <v>46141.87</v>
      </c>
      <c r="G8" s="232"/>
      <c r="H8" s="6"/>
      <c r="I8" s="232"/>
      <c r="J8" s="241"/>
      <c r="K8" s="233">
        <v>1</v>
      </c>
      <c r="L8" s="241"/>
      <c r="M8" s="5" t="str">
        <f t="shared" si="0"/>
        <v>2026-01</v>
      </c>
      <c r="N8" s="6">
        <f t="shared" si="1"/>
        <v>1017260.43</v>
      </c>
      <c r="O8" s="6">
        <f t="shared" si="1"/>
        <v>1005213.75</v>
      </c>
      <c r="P8" s="245">
        <f t="shared" si="1"/>
        <v>46141.87</v>
      </c>
      <c r="Q8" s="232"/>
      <c r="R8" s="6">
        <f t="shared" si="2"/>
        <v>0</v>
      </c>
      <c r="S8" s="232"/>
    </row>
    <row r="9" spans="2:19" x14ac:dyDescent="0.25">
      <c r="B9" s="704" t="s">
        <v>1017</v>
      </c>
      <c r="C9" s="704" t="s">
        <v>96</v>
      </c>
      <c r="D9" s="705">
        <v>667302.13</v>
      </c>
      <c r="E9" s="705">
        <v>638576.74</v>
      </c>
      <c r="F9" s="706">
        <v>17416.48</v>
      </c>
      <c r="G9" s="232"/>
      <c r="H9" s="6"/>
      <c r="I9" s="232"/>
      <c r="J9" s="241"/>
      <c r="K9" s="233">
        <v>1</v>
      </c>
      <c r="L9" s="241"/>
      <c r="M9" s="5" t="str">
        <f t="shared" si="0"/>
        <v>2026-02</v>
      </c>
      <c r="N9" s="6">
        <f t="shared" si="1"/>
        <v>667302.13</v>
      </c>
      <c r="O9" s="6">
        <f t="shared" si="1"/>
        <v>638576.74</v>
      </c>
      <c r="P9" s="245">
        <f t="shared" si="1"/>
        <v>17416.48</v>
      </c>
      <c r="Q9" s="232"/>
      <c r="R9" s="6">
        <f t="shared" si="2"/>
        <v>0</v>
      </c>
      <c r="S9" s="232"/>
    </row>
    <row r="10" spans="2:19" x14ac:dyDescent="0.25">
      <c r="B10" s="704" t="s">
        <v>1018</v>
      </c>
      <c r="C10" s="704" t="s">
        <v>96</v>
      </c>
      <c r="D10" s="705">
        <v>1076809.8899999999</v>
      </c>
      <c r="E10" s="705">
        <v>1170570.43</v>
      </c>
      <c r="F10" s="706">
        <v>111177.02</v>
      </c>
      <c r="G10" s="232"/>
      <c r="H10" s="6"/>
      <c r="I10" s="232"/>
      <c r="J10" s="241"/>
      <c r="K10" s="233">
        <v>1</v>
      </c>
      <c r="L10" s="241"/>
      <c r="M10" s="5" t="str">
        <f t="shared" si="0"/>
        <v>2026-03</v>
      </c>
      <c r="N10" s="6">
        <f t="shared" si="1"/>
        <v>1076809.8899999999</v>
      </c>
      <c r="O10" s="6">
        <f t="shared" si="1"/>
        <v>1170570.43</v>
      </c>
      <c r="P10" s="245">
        <f t="shared" si="1"/>
        <v>111177.02</v>
      </c>
      <c r="Q10" s="232"/>
      <c r="R10" s="6">
        <f t="shared" si="2"/>
        <v>0</v>
      </c>
      <c r="S10" s="232"/>
    </row>
    <row r="11" spans="2:19" x14ac:dyDescent="0.25">
      <c r="B11" s="39" t="s">
        <v>107</v>
      </c>
      <c r="C11" s="39"/>
      <c r="D11" s="234">
        <f>SUM(D5:D10)</f>
        <v>4384700.6899999995</v>
      </c>
      <c r="E11" s="234">
        <f>SUM(E5:E10)</f>
        <v>4391592.3599999994</v>
      </c>
      <c r="F11" s="234">
        <f>AVERAGE(F5:F10)</f>
        <v>39915.768333333333</v>
      </c>
      <c r="G11" s="234"/>
      <c r="H11" s="234">
        <f>F11</f>
        <v>39915.768333333333</v>
      </c>
      <c r="I11" s="235">
        <f>H5</f>
        <v>0</v>
      </c>
      <c r="M11" s="39" t="str">
        <f t="shared" ref="M11" si="3">$B11</f>
        <v>Total</v>
      </c>
      <c r="N11" s="234">
        <f>SUM(N5:N10)</f>
        <v>4384700.6899999995</v>
      </c>
      <c r="O11" s="234">
        <f>SUM(O5:O10)</f>
        <v>4391592.3599999994</v>
      </c>
      <c r="P11" s="234">
        <f>AVERAGE(P5:P10)</f>
        <v>39915.768333333333</v>
      </c>
      <c r="Q11" s="234"/>
      <c r="R11" s="234">
        <f>AVERAGE(R5:R10)</f>
        <v>0</v>
      </c>
      <c r="S11" s="235">
        <f>R5</f>
        <v>0</v>
      </c>
    </row>
    <row r="13" spans="2:19" s="4" customFormat="1" ht="38.25" x14ac:dyDescent="0.25">
      <c r="B13" s="228" t="s">
        <v>918</v>
      </c>
      <c r="C13" s="3" t="s">
        <v>98</v>
      </c>
      <c r="D13" s="3" t="s">
        <v>99</v>
      </c>
      <c r="E13" s="3" t="s">
        <v>100</v>
      </c>
      <c r="F13" s="3" t="str">
        <f>F4</f>
        <v>Month End Balance</v>
      </c>
      <c r="G13" s="3" t="s">
        <v>102</v>
      </c>
      <c r="H13" s="3" t="s">
        <v>106</v>
      </c>
      <c r="I13" s="3" t="s">
        <v>108</v>
      </c>
      <c r="K13" s="236"/>
      <c r="M13" s="228" t="str">
        <f t="shared" ref="M13:M20" si="4">$B13</f>
        <v>MBB - 5416</v>
      </c>
      <c r="N13" s="3" t="s">
        <v>99</v>
      </c>
      <c r="O13" s="3" t="s">
        <v>100</v>
      </c>
      <c r="P13" s="3" t="str">
        <f>P4</f>
        <v>Average Balance</v>
      </c>
      <c r="Q13" s="3" t="s">
        <v>102</v>
      </c>
      <c r="R13" s="3" t="s">
        <v>106</v>
      </c>
      <c r="S13" s="3" t="s">
        <v>104</v>
      </c>
    </row>
    <row r="14" spans="2:19" x14ac:dyDescent="0.25">
      <c r="B14" s="704" t="s">
        <v>993</v>
      </c>
      <c r="C14" s="704" t="s">
        <v>96</v>
      </c>
      <c r="D14" s="6">
        <v>126891.52</v>
      </c>
      <c r="E14" s="6">
        <v>191000.95</v>
      </c>
      <c r="F14" s="707">
        <v>11004.7</v>
      </c>
      <c r="G14" s="708"/>
      <c r="H14" s="6">
        <f t="shared" ref="H14:H19" si="5">IF(F14&lt;0,F14+G14,G14)</f>
        <v>0</v>
      </c>
      <c r="I14" s="5"/>
      <c r="K14" s="233">
        <v>1</v>
      </c>
      <c r="M14" s="5" t="str">
        <f t="shared" si="4"/>
        <v>2025-10</v>
      </c>
      <c r="N14" s="6">
        <f t="shared" ref="N14:O18" si="6">D14*$K14</f>
        <v>126891.52</v>
      </c>
      <c r="O14" s="6">
        <f t="shared" si="6"/>
        <v>191000.95</v>
      </c>
      <c r="P14" s="6">
        <f>F14</f>
        <v>11004.7</v>
      </c>
      <c r="Q14" s="5"/>
      <c r="R14" s="6">
        <f t="shared" ref="R14:R19" si="7">H14*$K14</f>
        <v>0</v>
      </c>
      <c r="S14" s="5"/>
    </row>
    <row r="15" spans="2:19" x14ac:dyDescent="0.25">
      <c r="B15" s="704" t="s">
        <v>994</v>
      </c>
      <c r="C15" s="704" t="s">
        <v>96</v>
      </c>
      <c r="D15" s="6">
        <v>363899.62</v>
      </c>
      <c r="E15" s="6">
        <v>352830.56</v>
      </c>
      <c r="F15" s="707">
        <v>22073.759999999998</v>
      </c>
      <c r="G15" s="708"/>
      <c r="H15" s="6">
        <f t="shared" si="5"/>
        <v>0</v>
      </c>
      <c r="I15" s="5"/>
      <c r="K15" s="233">
        <v>1</v>
      </c>
      <c r="M15" s="5" t="str">
        <f t="shared" si="4"/>
        <v>2025-11</v>
      </c>
      <c r="N15" s="6">
        <f t="shared" si="6"/>
        <v>363899.62</v>
      </c>
      <c r="O15" s="6">
        <f t="shared" si="6"/>
        <v>352830.56</v>
      </c>
      <c r="P15" s="6">
        <f t="shared" ref="P15:P18" si="8">F15</f>
        <v>22073.759999999998</v>
      </c>
      <c r="Q15" s="5"/>
      <c r="R15" s="6">
        <f t="shared" si="7"/>
        <v>0</v>
      </c>
      <c r="S15" s="5"/>
    </row>
    <row r="16" spans="2:19" x14ac:dyDescent="0.25">
      <c r="B16" s="704" t="s">
        <v>995</v>
      </c>
      <c r="C16" s="704" t="s">
        <v>96</v>
      </c>
      <c r="D16" s="6">
        <v>328680.06</v>
      </c>
      <c r="E16" s="6">
        <v>332762.26</v>
      </c>
      <c r="F16" s="707">
        <v>17991.560000000001</v>
      </c>
      <c r="G16" s="708"/>
      <c r="H16" s="6">
        <f t="shared" si="5"/>
        <v>0</v>
      </c>
      <c r="I16" s="5"/>
      <c r="K16" s="233">
        <v>1</v>
      </c>
      <c r="M16" s="5" t="str">
        <f t="shared" si="4"/>
        <v>2025-12</v>
      </c>
      <c r="N16" s="6">
        <f t="shared" si="6"/>
        <v>328680.06</v>
      </c>
      <c r="O16" s="6">
        <f t="shared" si="6"/>
        <v>332762.26</v>
      </c>
      <c r="P16" s="6">
        <f t="shared" si="8"/>
        <v>17991.560000000001</v>
      </c>
      <c r="Q16" s="5"/>
      <c r="R16" s="6">
        <f t="shared" si="7"/>
        <v>0</v>
      </c>
      <c r="S16" s="5"/>
    </row>
    <row r="17" spans="2:20" x14ac:dyDescent="0.25">
      <c r="B17" s="704" t="s">
        <v>1016</v>
      </c>
      <c r="C17" s="704" t="s">
        <v>96</v>
      </c>
      <c r="D17" s="6">
        <v>151385.64000000001</v>
      </c>
      <c r="E17" s="6">
        <v>161482.70000000001</v>
      </c>
      <c r="F17" s="707">
        <v>7894.5</v>
      </c>
      <c r="G17" s="708"/>
      <c r="H17" s="6">
        <f t="shared" si="5"/>
        <v>0</v>
      </c>
      <c r="I17" s="5"/>
      <c r="K17" s="233">
        <v>1</v>
      </c>
      <c r="M17" s="5" t="str">
        <f t="shared" si="4"/>
        <v>2026-01</v>
      </c>
      <c r="N17" s="6">
        <f t="shared" si="6"/>
        <v>151385.64000000001</v>
      </c>
      <c r="O17" s="6">
        <f t="shared" si="6"/>
        <v>161482.70000000001</v>
      </c>
      <c r="P17" s="6">
        <f t="shared" si="8"/>
        <v>7894.5</v>
      </c>
      <c r="Q17" s="5"/>
      <c r="R17" s="6">
        <f t="shared" si="7"/>
        <v>0</v>
      </c>
      <c r="S17" s="5"/>
    </row>
    <row r="18" spans="2:20" x14ac:dyDescent="0.25">
      <c r="B18" s="704" t="s">
        <v>1017</v>
      </c>
      <c r="C18" s="704" t="s">
        <v>96</v>
      </c>
      <c r="D18" s="6">
        <v>124020.78</v>
      </c>
      <c r="E18" s="6">
        <v>118532.25</v>
      </c>
      <c r="F18" s="707">
        <v>13383.3</v>
      </c>
      <c r="G18" s="708"/>
      <c r="H18" s="6">
        <f t="shared" si="5"/>
        <v>0</v>
      </c>
      <c r="I18" s="5"/>
      <c r="K18" s="233">
        <v>1</v>
      </c>
      <c r="M18" s="5" t="str">
        <f t="shared" si="4"/>
        <v>2026-02</v>
      </c>
      <c r="N18" s="6">
        <f t="shared" si="6"/>
        <v>124020.78</v>
      </c>
      <c r="O18" s="6">
        <f t="shared" si="6"/>
        <v>118532.25</v>
      </c>
      <c r="P18" s="6">
        <f t="shared" si="8"/>
        <v>13383.3</v>
      </c>
      <c r="Q18" s="5"/>
      <c r="R18" s="6">
        <f t="shared" si="7"/>
        <v>0</v>
      </c>
      <c r="S18" s="5"/>
    </row>
    <row r="19" spans="2:20" x14ac:dyDescent="0.25">
      <c r="B19" s="704" t="s">
        <v>1018</v>
      </c>
      <c r="C19" s="704" t="s">
        <v>96</v>
      </c>
      <c r="D19" s="6">
        <v>379192.78</v>
      </c>
      <c r="E19" s="6">
        <v>383878.17</v>
      </c>
      <c r="F19" s="707">
        <v>8697.64</v>
      </c>
      <c r="G19" s="708"/>
      <c r="H19" s="6">
        <f t="shared" si="5"/>
        <v>0</v>
      </c>
      <c r="I19" s="5"/>
      <c r="K19" s="233">
        <v>1</v>
      </c>
      <c r="M19" s="5" t="str">
        <f t="shared" si="4"/>
        <v>2026-03</v>
      </c>
      <c r="N19" s="6">
        <v>241268.62</v>
      </c>
      <c r="O19" s="6">
        <v>271720.37</v>
      </c>
      <c r="P19" s="707">
        <v>31437.19</v>
      </c>
      <c r="Q19" s="5"/>
      <c r="R19" s="6">
        <f t="shared" si="7"/>
        <v>0</v>
      </c>
      <c r="S19" s="5"/>
    </row>
    <row r="20" spans="2:20" x14ac:dyDescent="0.25">
      <c r="B20" s="39" t="s">
        <v>107</v>
      </c>
      <c r="C20" s="39"/>
      <c r="D20" s="234">
        <f>SUM(D14:D19)</f>
        <v>1474070.4</v>
      </c>
      <c r="E20" s="234">
        <f>SUM(E14:E19)</f>
        <v>1540486.89</v>
      </c>
      <c r="F20" s="234">
        <f>AVERAGE(F14:F19)</f>
        <v>13507.576666666668</v>
      </c>
      <c r="G20" s="65" t="s">
        <v>13</v>
      </c>
      <c r="H20" s="234">
        <f>AVERAGE(H14:H19)</f>
        <v>0</v>
      </c>
      <c r="I20" s="235">
        <f>F20</f>
        <v>13507.576666666668</v>
      </c>
      <c r="M20" s="39" t="str">
        <f t="shared" si="4"/>
        <v>Total</v>
      </c>
      <c r="N20" s="234">
        <f>SUM(N14:N19)</f>
        <v>1336146.2399999998</v>
      </c>
      <c r="O20" s="234">
        <f>AVERAGE(O14:O19)</f>
        <v>238054.8483333333</v>
      </c>
      <c r="P20" s="234">
        <f>SUM(P14:P19)</f>
        <v>103785.01000000001</v>
      </c>
      <c r="Q20" s="65" t="s">
        <v>13</v>
      </c>
      <c r="R20" s="234">
        <f>AVERAGE(R14:R19)</f>
        <v>0</v>
      </c>
      <c r="S20" s="235">
        <f>R14</f>
        <v>0</v>
      </c>
    </row>
    <row r="22" spans="2:20" s="4" customFormat="1" ht="38.25" x14ac:dyDescent="0.25">
      <c r="B22" s="228" t="s">
        <v>919</v>
      </c>
      <c r="C22" s="3" t="s">
        <v>98</v>
      </c>
      <c r="D22" s="3" t="s">
        <v>99</v>
      </c>
      <c r="E22" s="3" t="s">
        <v>100</v>
      </c>
      <c r="F22" s="3" t="str">
        <f>F13</f>
        <v>Month End Balance</v>
      </c>
      <c r="G22" s="3" t="s">
        <v>102</v>
      </c>
      <c r="H22" s="3" t="str">
        <f>H13</f>
        <v>Available Balance</v>
      </c>
      <c r="I22" s="3" t="str">
        <f>I13</f>
        <v>Average Balance With OD</v>
      </c>
      <c r="K22" s="236"/>
      <c r="M22" s="228" t="s">
        <v>109</v>
      </c>
      <c r="N22" s="3" t="s">
        <v>99</v>
      </c>
      <c r="O22" s="3" t="s">
        <v>100</v>
      </c>
      <c r="P22" s="3" t="str">
        <f>P13</f>
        <v>Average Balance</v>
      </c>
      <c r="Q22" s="3" t="s">
        <v>102</v>
      </c>
      <c r="R22" s="3" t="s">
        <v>106</v>
      </c>
      <c r="S22" s="3" t="s">
        <v>104</v>
      </c>
    </row>
    <row r="23" spans="2:20" x14ac:dyDescent="0.25">
      <c r="B23" s="704" t="s">
        <v>993</v>
      </c>
      <c r="C23" s="704" t="s">
        <v>96</v>
      </c>
      <c r="D23" s="705">
        <v>129700</v>
      </c>
      <c r="E23" s="705">
        <v>121204.94</v>
      </c>
      <c r="F23" s="706">
        <v>8677.48</v>
      </c>
      <c r="G23" s="5"/>
      <c r="H23" s="6">
        <f t="shared" ref="H23:H28" si="9">IF(F23&lt;0,F23+G23,G23)</f>
        <v>0</v>
      </c>
      <c r="I23" s="6"/>
      <c r="K23" s="233">
        <v>1</v>
      </c>
      <c r="M23" s="5" t="str">
        <f t="shared" ref="M23:M29" si="10">$B23</f>
        <v>2025-10</v>
      </c>
      <c r="N23" s="6">
        <f t="shared" ref="N23:O28" si="11">D23*$K23</f>
        <v>129700</v>
      </c>
      <c r="O23" s="6">
        <f t="shared" si="11"/>
        <v>121204.94</v>
      </c>
      <c r="P23" s="6">
        <f>F23</f>
        <v>8677.48</v>
      </c>
      <c r="Q23" s="5"/>
      <c r="R23" s="6">
        <f t="shared" ref="R23:R28" si="12">H23*$K23</f>
        <v>0</v>
      </c>
      <c r="S23" s="6"/>
    </row>
    <row r="24" spans="2:20" x14ac:dyDescent="0.25">
      <c r="B24" s="704" t="s">
        <v>994</v>
      </c>
      <c r="C24" s="704" t="s">
        <v>96</v>
      </c>
      <c r="D24" s="705">
        <v>866664.91</v>
      </c>
      <c r="E24" s="705">
        <v>851430.67</v>
      </c>
      <c r="F24" s="706">
        <v>23911.72</v>
      </c>
      <c r="G24" s="5"/>
      <c r="H24" s="6">
        <f t="shared" si="9"/>
        <v>0</v>
      </c>
      <c r="I24" s="6"/>
      <c r="K24" s="233">
        <v>1</v>
      </c>
      <c r="M24" s="5" t="str">
        <f t="shared" si="10"/>
        <v>2025-11</v>
      </c>
      <c r="N24" s="6">
        <f t="shared" si="11"/>
        <v>866664.91</v>
      </c>
      <c r="O24" s="6">
        <f t="shared" si="11"/>
        <v>851430.67</v>
      </c>
      <c r="P24" s="6">
        <f t="shared" ref="P24:P28" si="13">F24</f>
        <v>23911.72</v>
      </c>
      <c r="Q24" s="5"/>
      <c r="R24" s="6">
        <f t="shared" si="12"/>
        <v>0</v>
      </c>
      <c r="S24" s="6"/>
    </row>
    <row r="25" spans="2:20" x14ac:dyDescent="0.25">
      <c r="B25" s="704" t="s">
        <v>995</v>
      </c>
      <c r="C25" s="704" t="s">
        <v>96</v>
      </c>
      <c r="D25" s="705">
        <v>243568.1</v>
      </c>
      <c r="E25" s="705">
        <v>260468.56</v>
      </c>
      <c r="F25" s="706">
        <v>7011.26</v>
      </c>
      <c r="G25" s="5"/>
      <c r="H25" s="6">
        <f t="shared" si="9"/>
        <v>0</v>
      </c>
      <c r="I25" s="6"/>
      <c r="K25" s="233">
        <v>1</v>
      </c>
      <c r="M25" s="5" t="str">
        <f t="shared" si="10"/>
        <v>2025-12</v>
      </c>
      <c r="N25" s="6">
        <f t="shared" si="11"/>
        <v>243568.1</v>
      </c>
      <c r="O25" s="6">
        <f t="shared" si="11"/>
        <v>260468.56</v>
      </c>
      <c r="P25" s="6">
        <f t="shared" si="13"/>
        <v>7011.26</v>
      </c>
      <c r="Q25" s="5"/>
      <c r="R25" s="6">
        <f t="shared" si="12"/>
        <v>0</v>
      </c>
      <c r="S25" s="6"/>
    </row>
    <row r="26" spans="2:20" x14ac:dyDescent="0.25">
      <c r="B26" s="704" t="s">
        <v>1016</v>
      </c>
      <c r="C26" s="704" t="s">
        <v>96</v>
      </c>
      <c r="D26" s="705">
        <v>194971.61</v>
      </c>
      <c r="E26" s="705">
        <v>201172.69</v>
      </c>
      <c r="F26" s="706">
        <v>810.18</v>
      </c>
      <c r="G26" s="5"/>
      <c r="H26" s="6">
        <f t="shared" si="9"/>
        <v>0</v>
      </c>
      <c r="I26" s="6"/>
      <c r="K26" s="233">
        <v>1</v>
      </c>
      <c r="M26" s="5" t="str">
        <f t="shared" si="10"/>
        <v>2026-01</v>
      </c>
      <c r="N26" s="6">
        <f t="shared" si="11"/>
        <v>194971.61</v>
      </c>
      <c r="O26" s="6">
        <f t="shared" si="11"/>
        <v>201172.69</v>
      </c>
      <c r="P26" s="6">
        <f t="shared" si="13"/>
        <v>810.18</v>
      </c>
      <c r="Q26" s="5"/>
      <c r="R26" s="6">
        <f t="shared" si="12"/>
        <v>0</v>
      </c>
      <c r="S26" s="6"/>
    </row>
    <row r="27" spans="2:20" x14ac:dyDescent="0.25">
      <c r="B27" s="704" t="s">
        <v>1017</v>
      </c>
      <c r="C27" s="704" t="s">
        <v>96</v>
      </c>
      <c r="D27" s="705">
        <v>224223.61</v>
      </c>
      <c r="E27" s="705">
        <v>224800.34</v>
      </c>
      <c r="F27" s="706">
        <v>233.45</v>
      </c>
      <c r="G27" s="5"/>
      <c r="H27" s="6">
        <f t="shared" si="9"/>
        <v>0</v>
      </c>
      <c r="I27" s="6"/>
      <c r="K27" s="233">
        <v>1</v>
      </c>
      <c r="M27" s="5" t="str">
        <f t="shared" si="10"/>
        <v>2026-02</v>
      </c>
      <c r="N27" s="6">
        <f t="shared" si="11"/>
        <v>224223.61</v>
      </c>
      <c r="O27" s="6">
        <f t="shared" si="11"/>
        <v>224800.34</v>
      </c>
      <c r="P27" s="6">
        <f t="shared" si="13"/>
        <v>233.45</v>
      </c>
      <c r="Q27" s="5"/>
      <c r="R27" s="6">
        <f t="shared" si="12"/>
        <v>0</v>
      </c>
      <c r="S27" s="6"/>
    </row>
    <row r="28" spans="2:20" x14ac:dyDescent="0.25">
      <c r="B28" s="704" t="s">
        <v>1018</v>
      </c>
      <c r="C28" s="704" t="s">
        <v>96</v>
      </c>
      <c r="D28" s="705">
        <v>50377.1</v>
      </c>
      <c r="E28" s="705">
        <v>50000.5</v>
      </c>
      <c r="F28" s="706">
        <v>610.04999999999995</v>
      </c>
      <c r="G28" s="5"/>
      <c r="H28" s="6">
        <f t="shared" si="9"/>
        <v>0</v>
      </c>
      <c r="I28" s="6"/>
      <c r="K28" s="233">
        <v>1</v>
      </c>
      <c r="M28" s="5" t="str">
        <f t="shared" si="10"/>
        <v>2026-03</v>
      </c>
      <c r="N28" s="6">
        <f t="shared" si="11"/>
        <v>50377.1</v>
      </c>
      <c r="O28" s="6">
        <f t="shared" si="11"/>
        <v>50000.5</v>
      </c>
      <c r="P28" s="6">
        <f t="shared" si="13"/>
        <v>610.04999999999995</v>
      </c>
      <c r="Q28" s="5"/>
      <c r="R28" s="6">
        <f t="shared" si="12"/>
        <v>0</v>
      </c>
      <c r="S28" s="6"/>
    </row>
    <row r="29" spans="2:20" x14ac:dyDescent="0.25">
      <c r="B29" s="39" t="s">
        <v>107</v>
      </c>
      <c r="C29" s="39"/>
      <c r="D29" s="234">
        <f>SUM(D23:D28)</f>
        <v>1709505.33</v>
      </c>
      <c r="E29" s="234">
        <f>SUM(E23:E28)</f>
        <v>1709077.7000000002</v>
      </c>
      <c r="F29" s="234">
        <f>AVERAGE(F23:F28)</f>
        <v>6875.69</v>
      </c>
      <c r="G29" s="39"/>
      <c r="H29" s="234">
        <f>AVERAGE(H23:H28)</f>
        <v>0</v>
      </c>
      <c r="I29" s="235">
        <f>F29</f>
        <v>6875.69</v>
      </c>
      <c r="M29" s="39" t="str">
        <f t="shared" si="10"/>
        <v>Total</v>
      </c>
      <c r="N29" s="234">
        <f>SUM(N23:N28)</f>
        <v>1709505.33</v>
      </c>
      <c r="O29" s="234">
        <f>SUM(O23:O28)</f>
        <v>1709077.7000000002</v>
      </c>
      <c r="P29" s="234">
        <f>AVERAGE(P23:P28)</f>
        <v>6875.69</v>
      </c>
      <c r="Q29" s="39"/>
      <c r="R29" s="234">
        <f>AVERAGE(R23:R28)</f>
        <v>0</v>
      </c>
      <c r="S29" s="235">
        <f>R23</f>
        <v>0</v>
      </c>
    </row>
    <row r="32" spans="2:20" s="229" customFormat="1" ht="51" x14ac:dyDescent="0.25">
      <c r="B32" s="228" t="s">
        <v>94</v>
      </c>
      <c r="C32" s="3" t="s">
        <v>110</v>
      </c>
      <c r="D32" s="3" t="s">
        <v>111</v>
      </c>
      <c r="E32" s="3" t="s">
        <v>112</v>
      </c>
      <c r="F32" s="3" t="s">
        <v>105</v>
      </c>
      <c r="G32" s="3" t="s">
        <v>113</v>
      </c>
      <c r="H32" s="3" t="s">
        <v>114</v>
      </c>
      <c r="I32" s="3" t="s">
        <v>1019</v>
      </c>
      <c r="K32" s="230"/>
      <c r="M32" s="228" t="s">
        <v>94</v>
      </c>
      <c r="N32" s="3" t="s">
        <v>110</v>
      </c>
      <c r="O32" s="3" t="s">
        <v>111</v>
      </c>
      <c r="P32" s="3" t="s">
        <v>112</v>
      </c>
      <c r="Q32" s="3" t="s">
        <v>105</v>
      </c>
      <c r="R32" s="3" t="s">
        <v>113</v>
      </c>
      <c r="S32" s="3" t="s">
        <v>114</v>
      </c>
      <c r="T32" s="3" t="s">
        <v>115</v>
      </c>
    </row>
    <row r="33" spans="2:20" ht="45.75" customHeight="1" x14ac:dyDescent="0.25">
      <c r="B33" s="5" t="str">
        <f>B4</f>
        <v>ALLIANCE - 7856</v>
      </c>
      <c r="C33" s="7" t="str">
        <f>CONCATENATE(B5," ","to"," ",B10)</f>
        <v>2025-10 to 2026-03</v>
      </c>
      <c r="D33" s="6">
        <f>AVERAGE(D5:D10)</f>
        <v>730783.44833333325</v>
      </c>
      <c r="E33" s="6">
        <f>AVERAGE(E5:E10)</f>
        <v>731932.05999999994</v>
      </c>
      <c r="F33" s="6">
        <f>F11</f>
        <v>39915.768333333333</v>
      </c>
      <c r="G33" s="6"/>
      <c r="H33" s="6"/>
      <c r="I33" s="6">
        <f>F10</f>
        <v>111177.02</v>
      </c>
      <c r="K33" s="230"/>
      <c r="M33" s="5" t="str">
        <f>M4</f>
        <v>ALLIANCE - 7856</v>
      </c>
      <c r="N33" s="7" t="str">
        <f>CONCATENATE(M5," ","to"," ",M10)</f>
        <v>2025-10 to 2026-03</v>
      </c>
      <c r="O33" s="6">
        <f>AVERAGE(N5:N10)</f>
        <v>730783.44833333325</v>
      </c>
      <c r="P33" s="6">
        <f>AVERAGE(O5:O10)</f>
        <v>731932.05999999994</v>
      </c>
      <c r="Q33" s="6">
        <f>P11</f>
        <v>39915.768333333333</v>
      </c>
      <c r="R33" s="6"/>
      <c r="S33" s="6"/>
      <c r="T33" s="6"/>
    </row>
    <row r="34" spans="2:20" ht="25.5" x14ac:dyDescent="0.25">
      <c r="B34" s="5" t="str">
        <f>B13</f>
        <v>MBB - 5416</v>
      </c>
      <c r="C34" s="7" t="str">
        <f>CONCATENATE(B14," ","to"," ",B19)</f>
        <v>2025-10 to 2026-03</v>
      </c>
      <c r="D34" s="6">
        <f>AVERAGE(D14:D19)</f>
        <v>245678.4</v>
      </c>
      <c r="E34" s="6">
        <f>AVERAGE(E14:E19)</f>
        <v>256747.81499999997</v>
      </c>
      <c r="F34" s="6">
        <f>F20</f>
        <v>13507.576666666668</v>
      </c>
      <c r="G34" s="6"/>
      <c r="H34" s="6"/>
      <c r="I34" s="6">
        <f>F19</f>
        <v>8697.64</v>
      </c>
      <c r="K34" s="230"/>
      <c r="M34" s="5" t="str">
        <f>M13</f>
        <v>MBB - 5416</v>
      </c>
      <c r="N34" s="7" t="str">
        <f>CONCATENATE(M14," ","to"," ",M19)</f>
        <v>2025-10 to 2026-03</v>
      </c>
      <c r="O34" s="6">
        <f>AVERAGE(N14:N19)</f>
        <v>222691.03999999995</v>
      </c>
      <c r="P34" s="6">
        <f>AVERAGE(O14:O19)</f>
        <v>238054.8483333333</v>
      </c>
      <c r="Q34" s="6">
        <f>P20</f>
        <v>103785.01000000001</v>
      </c>
      <c r="R34" s="6"/>
      <c r="S34" s="6"/>
      <c r="T34" s="6"/>
    </row>
    <row r="35" spans="2:20" ht="25.5" x14ac:dyDescent="0.25">
      <c r="B35" s="5" t="str">
        <f>B22</f>
        <v>RHB - 1718</v>
      </c>
      <c r="C35" s="7" t="str">
        <f>CONCATENATE(B23," ","to"," ",B28)</f>
        <v>2025-10 to 2026-03</v>
      </c>
      <c r="D35" s="6">
        <f>AVERAGE(D23:D28)</f>
        <v>284917.55499999999</v>
      </c>
      <c r="E35" s="6">
        <f>AVERAGE(E23:E28)</f>
        <v>284846.28333333338</v>
      </c>
      <c r="F35" s="6">
        <f>F29</f>
        <v>6875.69</v>
      </c>
      <c r="G35" s="239"/>
      <c r="H35" s="6"/>
      <c r="I35" s="6">
        <f>F28</f>
        <v>610.04999999999995</v>
      </c>
      <c r="K35" s="230"/>
      <c r="M35" s="5" t="str">
        <f>M22</f>
        <v>UOB USD</v>
      </c>
      <c r="N35" s="7" t="str">
        <f>CONCATENATE(M23," ","to"," ",M28)</f>
        <v>2025-10 to 2026-03</v>
      </c>
      <c r="O35" s="6">
        <f>AVERAGE(N23:N28)</f>
        <v>284917.55499999999</v>
      </c>
      <c r="P35" s="6">
        <f>AVERAGE(O23:O28)</f>
        <v>284846.28333333338</v>
      </c>
      <c r="Q35" s="6">
        <f>P29</f>
        <v>6875.69</v>
      </c>
      <c r="R35" s="239"/>
      <c r="S35" s="6"/>
      <c r="T35" s="6"/>
    </row>
    <row r="36" spans="2:20" x14ac:dyDescent="0.25">
      <c r="B36" s="5"/>
      <c r="C36" s="7"/>
      <c r="D36" s="6"/>
      <c r="E36" s="6"/>
      <c r="F36" s="6"/>
      <c r="G36" s="6"/>
      <c r="H36" s="6"/>
      <c r="I36" s="6"/>
      <c r="K36" s="230"/>
      <c r="M36" s="5"/>
      <c r="N36" s="7"/>
      <c r="O36" s="6"/>
      <c r="P36" s="6"/>
      <c r="Q36" s="6"/>
      <c r="R36" s="6"/>
      <c r="S36" s="6"/>
      <c r="T36" s="6"/>
    </row>
    <row r="37" spans="2:20" x14ac:dyDescent="0.25">
      <c r="B37" s="39" t="s">
        <v>107</v>
      </c>
      <c r="C37" s="39"/>
      <c r="D37" s="234">
        <f>SUM(D33:D36)</f>
        <v>1261379.4033333333</v>
      </c>
      <c r="E37" s="234">
        <f>SUM(E33:E36)</f>
        <v>1273526.1583333332</v>
      </c>
      <c r="F37" s="234">
        <f>SUM(F33:F36)</f>
        <v>60299.035000000003</v>
      </c>
      <c r="G37" s="234">
        <f>SUM(G33:G36)</f>
        <v>0</v>
      </c>
      <c r="H37" s="234">
        <f>SUM(H33:H36)</f>
        <v>0</v>
      </c>
      <c r="I37" s="238"/>
      <c r="K37" s="230"/>
      <c r="M37" s="39" t="s">
        <v>107</v>
      </c>
      <c r="N37" s="39"/>
      <c r="O37" s="234">
        <f>SUM(O33:O36)</f>
        <v>1238392.0433333332</v>
      </c>
      <c r="P37" s="234">
        <f>SUM(P33:P36)</f>
        <v>1254833.1916666667</v>
      </c>
      <c r="Q37" s="234">
        <f>SUM(Q33:Q36)</f>
        <v>150576.46833333335</v>
      </c>
      <c r="R37" s="234">
        <f>SUM(R33:R36)</f>
        <v>0</v>
      </c>
      <c r="S37" s="234">
        <f>SUM(S33:S36)</f>
        <v>0</v>
      </c>
      <c r="T37" s="238"/>
    </row>
    <row r="38" spans="2:20" x14ac:dyDescent="0.25">
      <c r="N38" s="240"/>
      <c r="O38" s="240"/>
    </row>
  </sheetData>
  <mergeCells count="1">
    <mergeCell ref="M2:S2"/>
  </mergeCells>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1" zoomScaleNormal="100" workbookViewId="0">
      <selection activeCell="F10" sqref="F10"/>
    </sheetView>
  </sheetViews>
  <sheetFormatPr defaultRowHeight="15" x14ac:dyDescent="0.25"/>
  <cols>
    <col min="1" max="1" width="3.7109375" style="143" customWidth="1"/>
    <col min="2" max="2" width="24.28515625" style="142" bestFit="1" customWidth="1"/>
    <col min="3" max="3" width="4.7109375" style="142" customWidth="1"/>
    <col min="4" max="4" width="8" style="142" customWidth="1"/>
    <col min="5" max="5" width="34.28515625" style="143" customWidth="1"/>
    <col min="6" max="7" width="15" style="143" customWidth="1"/>
    <col min="8" max="8" width="47.5703125" style="143" customWidth="1"/>
    <col min="9" max="9" width="3.5703125" style="143" customWidth="1"/>
    <col min="10" max="10" width="5.28515625" style="143" customWidth="1"/>
    <col min="11" max="11" width="11.42578125" style="143" bestFit="1" customWidth="1"/>
    <col min="12" max="12" width="20.140625" style="143" bestFit="1" customWidth="1"/>
    <col min="13" max="14" width="10.5703125" style="143" bestFit="1" customWidth="1"/>
    <col min="15" max="259" width="9.140625" style="143"/>
    <col min="260" max="260" width="3.7109375" style="143" customWidth="1"/>
    <col min="261" max="261" width="3.85546875" style="143" customWidth="1"/>
    <col min="262" max="262" width="9.140625" style="143"/>
    <col min="263" max="263" width="34" style="143" customWidth="1"/>
    <col min="264" max="264" width="15" style="143" customWidth="1"/>
    <col min="265" max="265" width="9.140625" style="143"/>
    <col min="266" max="266" width="5.28515625" style="143" customWidth="1"/>
    <col min="267" max="267" width="9.140625" style="143"/>
    <col min="268" max="268" width="32.28515625" style="143" customWidth="1"/>
    <col min="269" max="269" width="16.7109375" style="143" customWidth="1"/>
    <col min="270" max="515" width="9.140625" style="143"/>
    <col min="516" max="516" width="3.7109375" style="143" customWidth="1"/>
    <col min="517" max="517" width="3.85546875" style="143" customWidth="1"/>
    <col min="518" max="518" width="9.140625" style="143"/>
    <col min="519" max="519" width="34" style="143" customWidth="1"/>
    <col min="520" max="520" width="15" style="143" customWidth="1"/>
    <col min="521" max="521" width="9.140625" style="143"/>
    <col min="522" max="522" width="5.28515625" style="143" customWidth="1"/>
    <col min="523" max="523" width="9.140625" style="143"/>
    <col min="524" max="524" width="32.28515625" style="143" customWidth="1"/>
    <col min="525" max="525" width="16.7109375" style="143" customWidth="1"/>
    <col min="526" max="771" width="9.140625" style="143"/>
    <col min="772" max="772" width="3.7109375" style="143" customWidth="1"/>
    <col min="773" max="773" width="3.85546875" style="143" customWidth="1"/>
    <col min="774" max="774" width="9.140625" style="143"/>
    <col min="775" max="775" width="34" style="143" customWidth="1"/>
    <col min="776" max="776" width="15" style="143" customWidth="1"/>
    <col min="777" max="777" width="9.140625" style="143"/>
    <col min="778" max="778" width="5.28515625" style="143" customWidth="1"/>
    <col min="779" max="779" width="9.140625" style="143"/>
    <col min="780" max="780" width="32.28515625" style="143" customWidth="1"/>
    <col min="781" max="781" width="16.7109375" style="143" customWidth="1"/>
    <col min="782" max="1027" width="9.140625" style="143"/>
    <col min="1028" max="1028" width="3.7109375" style="143" customWidth="1"/>
    <col min="1029" max="1029" width="3.85546875" style="143" customWidth="1"/>
    <col min="1030" max="1030" width="9.140625" style="143"/>
    <col min="1031" max="1031" width="34" style="143" customWidth="1"/>
    <col min="1032" max="1032" width="15" style="143" customWidth="1"/>
    <col min="1033" max="1033" width="9.140625" style="143"/>
    <col min="1034" max="1034" width="5.28515625" style="143" customWidth="1"/>
    <col min="1035" max="1035" width="9.140625" style="143"/>
    <col min="1036" max="1036" width="32.28515625" style="143" customWidth="1"/>
    <col min="1037" max="1037" width="16.7109375" style="143" customWidth="1"/>
    <col min="1038" max="1283" width="9.140625" style="143"/>
    <col min="1284" max="1284" width="3.7109375" style="143" customWidth="1"/>
    <col min="1285" max="1285" width="3.85546875" style="143" customWidth="1"/>
    <col min="1286" max="1286" width="9.140625" style="143"/>
    <col min="1287" max="1287" width="34" style="143" customWidth="1"/>
    <col min="1288" max="1288" width="15" style="143" customWidth="1"/>
    <col min="1289" max="1289" width="9.140625" style="143"/>
    <col min="1290" max="1290" width="5.28515625" style="143" customWidth="1"/>
    <col min="1291" max="1291" width="9.140625" style="143"/>
    <col min="1292" max="1292" width="32.28515625" style="143" customWidth="1"/>
    <col min="1293" max="1293" width="16.7109375" style="143" customWidth="1"/>
    <col min="1294" max="1539" width="9.140625" style="143"/>
    <col min="1540" max="1540" width="3.7109375" style="143" customWidth="1"/>
    <col min="1541" max="1541" width="3.85546875" style="143" customWidth="1"/>
    <col min="1542" max="1542" width="9.140625" style="143"/>
    <col min="1543" max="1543" width="34" style="143" customWidth="1"/>
    <col min="1544" max="1544" width="15" style="143" customWidth="1"/>
    <col min="1545" max="1545" width="9.140625" style="143"/>
    <col min="1546" max="1546" width="5.28515625" style="143" customWidth="1"/>
    <col min="1547" max="1547" width="9.140625" style="143"/>
    <col min="1548" max="1548" width="32.28515625" style="143" customWidth="1"/>
    <col min="1549" max="1549" width="16.7109375" style="143" customWidth="1"/>
    <col min="1550" max="1795" width="9.140625" style="143"/>
    <col min="1796" max="1796" width="3.7109375" style="143" customWidth="1"/>
    <col min="1797" max="1797" width="3.85546875" style="143" customWidth="1"/>
    <col min="1798" max="1798" width="9.140625" style="143"/>
    <col min="1799" max="1799" width="34" style="143" customWidth="1"/>
    <col min="1800" max="1800" width="15" style="143" customWidth="1"/>
    <col min="1801" max="1801" width="9.140625" style="143"/>
    <col min="1802" max="1802" width="5.28515625" style="143" customWidth="1"/>
    <col min="1803" max="1803" width="9.140625" style="143"/>
    <col min="1804" max="1804" width="32.28515625" style="143" customWidth="1"/>
    <col min="1805" max="1805" width="16.7109375" style="143" customWidth="1"/>
    <col min="1806" max="2051" width="9.140625" style="143"/>
    <col min="2052" max="2052" width="3.7109375" style="143" customWidth="1"/>
    <col min="2053" max="2053" width="3.85546875" style="143" customWidth="1"/>
    <col min="2054" max="2054" width="9.140625" style="143"/>
    <col min="2055" max="2055" width="34" style="143" customWidth="1"/>
    <col min="2056" max="2056" width="15" style="143" customWidth="1"/>
    <col min="2057" max="2057" width="9.140625" style="143"/>
    <col min="2058" max="2058" width="5.28515625" style="143" customWidth="1"/>
    <col min="2059" max="2059" width="9.140625" style="143"/>
    <col min="2060" max="2060" width="32.28515625" style="143" customWidth="1"/>
    <col min="2061" max="2061" width="16.7109375" style="143" customWidth="1"/>
    <col min="2062" max="2307" width="9.140625" style="143"/>
    <col min="2308" max="2308" width="3.7109375" style="143" customWidth="1"/>
    <col min="2309" max="2309" width="3.85546875" style="143" customWidth="1"/>
    <col min="2310" max="2310" width="9.140625" style="143"/>
    <col min="2311" max="2311" width="34" style="143" customWidth="1"/>
    <col min="2312" max="2312" width="15" style="143" customWidth="1"/>
    <col min="2313" max="2313" width="9.140625" style="143"/>
    <col min="2314" max="2314" width="5.28515625" style="143" customWidth="1"/>
    <col min="2315" max="2315" width="9.140625" style="143"/>
    <col min="2316" max="2316" width="32.28515625" style="143" customWidth="1"/>
    <col min="2317" max="2317" width="16.7109375" style="143" customWidth="1"/>
    <col min="2318" max="2563" width="9.140625" style="143"/>
    <col min="2564" max="2564" width="3.7109375" style="143" customWidth="1"/>
    <col min="2565" max="2565" width="3.85546875" style="143" customWidth="1"/>
    <col min="2566" max="2566" width="9.140625" style="143"/>
    <col min="2567" max="2567" width="34" style="143" customWidth="1"/>
    <col min="2568" max="2568" width="15" style="143" customWidth="1"/>
    <col min="2569" max="2569" width="9.140625" style="143"/>
    <col min="2570" max="2570" width="5.28515625" style="143" customWidth="1"/>
    <col min="2571" max="2571" width="9.140625" style="143"/>
    <col min="2572" max="2572" width="32.28515625" style="143" customWidth="1"/>
    <col min="2573" max="2573" width="16.7109375" style="143" customWidth="1"/>
    <col min="2574" max="2819" width="9.140625" style="143"/>
    <col min="2820" max="2820" width="3.7109375" style="143" customWidth="1"/>
    <col min="2821" max="2821" width="3.85546875" style="143" customWidth="1"/>
    <col min="2822" max="2822" width="9.140625" style="143"/>
    <col min="2823" max="2823" width="34" style="143" customWidth="1"/>
    <col min="2824" max="2824" width="15" style="143" customWidth="1"/>
    <col min="2825" max="2825" width="9.140625" style="143"/>
    <col min="2826" max="2826" width="5.28515625" style="143" customWidth="1"/>
    <col min="2827" max="2827" width="9.140625" style="143"/>
    <col min="2828" max="2828" width="32.28515625" style="143" customWidth="1"/>
    <col min="2829" max="2829" width="16.7109375" style="143" customWidth="1"/>
    <col min="2830" max="3075" width="9.140625" style="143"/>
    <col min="3076" max="3076" width="3.7109375" style="143" customWidth="1"/>
    <col min="3077" max="3077" width="3.85546875" style="143" customWidth="1"/>
    <col min="3078" max="3078" width="9.140625" style="143"/>
    <col min="3079" max="3079" width="34" style="143" customWidth="1"/>
    <col min="3080" max="3080" width="15" style="143" customWidth="1"/>
    <col min="3081" max="3081" width="9.140625" style="143"/>
    <col min="3082" max="3082" width="5.28515625" style="143" customWidth="1"/>
    <col min="3083" max="3083" width="9.140625" style="143"/>
    <col min="3084" max="3084" width="32.28515625" style="143" customWidth="1"/>
    <col min="3085" max="3085" width="16.7109375" style="143" customWidth="1"/>
    <col min="3086" max="3331" width="9.140625" style="143"/>
    <col min="3332" max="3332" width="3.7109375" style="143" customWidth="1"/>
    <col min="3333" max="3333" width="3.85546875" style="143" customWidth="1"/>
    <col min="3334" max="3334" width="9.140625" style="143"/>
    <col min="3335" max="3335" width="34" style="143" customWidth="1"/>
    <col min="3336" max="3336" width="15" style="143" customWidth="1"/>
    <col min="3337" max="3337" width="9.140625" style="143"/>
    <col min="3338" max="3338" width="5.28515625" style="143" customWidth="1"/>
    <col min="3339" max="3339" width="9.140625" style="143"/>
    <col min="3340" max="3340" width="32.28515625" style="143" customWidth="1"/>
    <col min="3341" max="3341" width="16.7109375" style="143" customWidth="1"/>
    <col min="3342" max="3587" width="9.140625" style="143"/>
    <col min="3588" max="3588" width="3.7109375" style="143" customWidth="1"/>
    <col min="3589" max="3589" width="3.85546875" style="143" customWidth="1"/>
    <col min="3590" max="3590" width="9.140625" style="143"/>
    <col min="3591" max="3591" width="34" style="143" customWidth="1"/>
    <col min="3592" max="3592" width="15" style="143" customWidth="1"/>
    <col min="3593" max="3593" width="9.140625" style="143"/>
    <col min="3594" max="3594" width="5.28515625" style="143" customWidth="1"/>
    <col min="3595" max="3595" width="9.140625" style="143"/>
    <col min="3596" max="3596" width="32.28515625" style="143" customWidth="1"/>
    <col min="3597" max="3597" width="16.7109375" style="143" customWidth="1"/>
    <col min="3598" max="3843" width="9.140625" style="143"/>
    <col min="3844" max="3844" width="3.7109375" style="143" customWidth="1"/>
    <col min="3845" max="3845" width="3.85546875" style="143" customWidth="1"/>
    <col min="3846" max="3846" width="9.140625" style="143"/>
    <col min="3847" max="3847" width="34" style="143" customWidth="1"/>
    <col min="3848" max="3848" width="15" style="143" customWidth="1"/>
    <col min="3849" max="3849" width="9.140625" style="143"/>
    <col min="3850" max="3850" width="5.28515625" style="143" customWidth="1"/>
    <col min="3851" max="3851" width="9.140625" style="143"/>
    <col min="3852" max="3852" width="32.28515625" style="143" customWidth="1"/>
    <col min="3853" max="3853" width="16.7109375" style="143" customWidth="1"/>
    <col min="3854" max="4099" width="9.140625" style="143"/>
    <col min="4100" max="4100" width="3.7109375" style="143" customWidth="1"/>
    <col min="4101" max="4101" width="3.85546875" style="143" customWidth="1"/>
    <col min="4102" max="4102" width="9.140625" style="143"/>
    <col min="4103" max="4103" width="34" style="143" customWidth="1"/>
    <col min="4104" max="4104" width="15" style="143" customWidth="1"/>
    <col min="4105" max="4105" width="9.140625" style="143"/>
    <col min="4106" max="4106" width="5.28515625" style="143" customWidth="1"/>
    <col min="4107" max="4107" width="9.140625" style="143"/>
    <col min="4108" max="4108" width="32.28515625" style="143" customWidth="1"/>
    <col min="4109" max="4109" width="16.7109375" style="143" customWidth="1"/>
    <col min="4110" max="4355" width="9.140625" style="143"/>
    <col min="4356" max="4356" width="3.7109375" style="143" customWidth="1"/>
    <col min="4357" max="4357" width="3.85546875" style="143" customWidth="1"/>
    <col min="4358" max="4358" width="9.140625" style="143"/>
    <col min="4359" max="4359" width="34" style="143" customWidth="1"/>
    <col min="4360" max="4360" width="15" style="143" customWidth="1"/>
    <col min="4361" max="4361" width="9.140625" style="143"/>
    <col min="4362" max="4362" width="5.28515625" style="143" customWidth="1"/>
    <col min="4363" max="4363" width="9.140625" style="143"/>
    <col min="4364" max="4364" width="32.28515625" style="143" customWidth="1"/>
    <col min="4365" max="4365" width="16.7109375" style="143" customWidth="1"/>
    <col min="4366" max="4611" width="9.140625" style="143"/>
    <col min="4612" max="4612" width="3.7109375" style="143" customWidth="1"/>
    <col min="4613" max="4613" width="3.85546875" style="143" customWidth="1"/>
    <col min="4614" max="4614" width="9.140625" style="143"/>
    <col min="4615" max="4615" width="34" style="143" customWidth="1"/>
    <col min="4616" max="4616" width="15" style="143" customWidth="1"/>
    <col min="4617" max="4617" width="9.140625" style="143"/>
    <col min="4618" max="4618" width="5.28515625" style="143" customWidth="1"/>
    <col min="4619" max="4619" width="9.140625" style="143"/>
    <col min="4620" max="4620" width="32.28515625" style="143" customWidth="1"/>
    <col min="4621" max="4621" width="16.7109375" style="143" customWidth="1"/>
    <col min="4622" max="4867" width="9.140625" style="143"/>
    <col min="4868" max="4868" width="3.7109375" style="143" customWidth="1"/>
    <col min="4869" max="4869" width="3.85546875" style="143" customWidth="1"/>
    <col min="4870" max="4870" width="9.140625" style="143"/>
    <col min="4871" max="4871" width="34" style="143" customWidth="1"/>
    <col min="4872" max="4872" width="15" style="143" customWidth="1"/>
    <col min="4873" max="4873" width="9.140625" style="143"/>
    <col min="4874" max="4874" width="5.28515625" style="143" customWidth="1"/>
    <col min="4875" max="4875" width="9.140625" style="143"/>
    <col min="4876" max="4876" width="32.28515625" style="143" customWidth="1"/>
    <col min="4877" max="4877" width="16.7109375" style="143" customWidth="1"/>
    <col min="4878" max="5123" width="9.140625" style="143"/>
    <col min="5124" max="5124" width="3.7109375" style="143" customWidth="1"/>
    <col min="5125" max="5125" width="3.85546875" style="143" customWidth="1"/>
    <col min="5126" max="5126" width="9.140625" style="143"/>
    <col min="5127" max="5127" width="34" style="143" customWidth="1"/>
    <col min="5128" max="5128" width="15" style="143" customWidth="1"/>
    <col min="5129" max="5129" width="9.140625" style="143"/>
    <col min="5130" max="5130" width="5.28515625" style="143" customWidth="1"/>
    <col min="5131" max="5131" width="9.140625" style="143"/>
    <col min="5132" max="5132" width="32.28515625" style="143" customWidth="1"/>
    <col min="5133" max="5133" width="16.7109375" style="143" customWidth="1"/>
    <col min="5134" max="5379" width="9.140625" style="143"/>
    <col min="5380" max="5380" width="3.7109375" style="143" customWidth="1"/>
    <col min="5381" max="5381" width="3.85546875" style="143" customWidth="1"/>
    <col min="5382" max="5382" width="9.140625" style="143"/>
    <col min="5383" max="5383" width="34" style="143" customWidth="1"/>
    <col min="5384" max="5384" width="15" style="143" customWidth="1"/>
    <col min="5385" max="5385" width="9.140625" style="143"/>
    <col min="5386" max="5386" width="5.28515625" style="143" customWidth="1"/>
    <col min="5387" max="5387" width="9.140625" style="143"/>
    <col min="5388" max="5388" width="32.28515625" style="143" customWidth="1"/>
    <col min="5389" max="5389" width="16.7109375" style="143" customWidth="1"/>
    <col min="5390" max="5635" width="9.140625" style="143"/>
    <col min="5636" max="5636" width="3.7109375" style="143" customWidth="1"/>
    <col min="5637" max="5637" width="3.85546875" style="143" customWidth="1"/>
    <col min="5638" max="5638" width="9.140625" style="143"/>
    <col min="5639" max="5639" width="34" style="143" customWidth="1"/>
    <col min="5640" max="5640" width="15" style="143" customWidth="1"/>
    <col min="5641" max="5641" width="9.140625" style="143"/>
    <col min="5642" max="5642" width="5.28515625" style="143" customWidth="1"/>
    <col min="5643" max="5643" width="9.140625" style="143"/>
    <col min="5644" max="5644" width="32.28515625" style="143" customWidth="1"/>
    <col min="5645" max="5645" width="16.7109375" style="143" customWidth="1"/>
    <col min="5646" max="5891" width="9.140625" style="143"/>
    <col min="5892" max="5892" width="3.7109375" style="143" customWidth="1"/>
    <col min="5893" max="5893" width="3.85546875" style="143" customWidth="1"/>
    <col min="5894" max="5894" width="9.140625" style="143"/>
    <col min="5895" max="5895" width="34" style="143" customWidth="1"/>
    <col min="5896" max="5896" width="15" style="143" customWidth="1"/>
    <col min="5897" max="5897" width="9.140625" style="143"/>
    <col min="5898" max="5898" width="5.28515625" style="143" customWidth="1"/>
    <col min="5899" max="5899" width="9.140625" style="143"/>
    <col min="5900" max="5900" width="32.28515625" style="143" customWidth="1"/>
    <col min="5901" max="5901" width="16.7109375" style="143" customWidth="1"/>
    <col min="5902" max="6147" width="9.140625" style="143"/>
    <col min="6148" max="6148" width="3.7109375" style="143" customWidth="1"/>
    <col min="6149" max="6149" width="3.85546875" style="143" customWidth="1"/>
    <col min="6150" max="6150" width="9.140625" style="143"/>
    <col min="6151" max="6151" width="34" style="143" customWidth="1"/>
    <col min="6152" max="6152" width="15" style="143" customWidth="1"/>
    <col min="6153" max="6153" width="9.140625" style="143"/>
    <col min="6154" max="6154" width="5.28515625" style="143" customWidth="1"/>
    <col min="6155" max="6155" width="9.140625" style="143"/>
    <col min="6156" max="6156" width="32.28515625" style="143" customWidth="1"/>
    <col min="6157" max="6157" width="16.7109375" style="143" customWidth="1"/>
    <col min="6158" max="6403" width="9.140625" style="143"/>
    <col min="6404" max="6404" width="3.7109375" style="143" customWidth="1"/>
    <col min="6405" max="6405" width="3.85546875" style="143" customWidth="1"/>
    <col min="6406" max="6406" width="9.140625" style="143"/>
    <col min="6407" max="6407" width="34" style="143" customWidth="1"/>
    <col min="6408" max="6408" width="15" style="143" customWidth="1"/>
    <col min="6409" max="6409" width="9.140625" style="143"/>
    <col min="6410" max="6410" width="5.28515625" style="143" customWidth="1"/>
    <col min="6411" max="6411" width="9.140625" style="143"/>
    <col min="6412" max="6412" width="32.28515625" style="143" customWidth="1"/>
    <col min="6413" max="6413" width="16.7109375" style="143" customWidth="1"/>
    <col min="6414" max="6659" width="9.140625" style="143"/>
    <col min="6660" max="6660" width="3.7109375" style="143" customWidth="1"/>
    <col min="6661" max="6661" width="3.85546875" style="143" customWidth="1"/>
    <col min="6662" max="6662" width="9.140625" style="143"/>
    <col min="6663" max="6663" width="34" style="143" customWidth="1"/>
    <col min="6664" max="6664" width="15" style="143" customWidth="1"/>
    <col min="6665" max="6665" width="9.140625" style="143"/>
    <col min="6666" max="6666" width="5.28515625" style="143" customWidth="1"/>
    <col min="6667" max="6667" width="9.140625" style="143"/>
    <col min="6668" max="6668" width="32.28515625" style="143" customWidth="1"/>
    <col min="6669" max="6669" width="16.7109375" style="143" customWidth="1"/>
    <col min="6670" max="6915" width="9.140625" style="143"/>
    <col min="6916" max="6916" width="3.7109375" style="143" customWidth="1"/>
    <col min="6917" max="6917" width="3.85546875" style="143" customWidth="1"/>
    <col min="6918" max="6918" width="9.140625" style="143"/>
    <col min="6919" max="6919" width="34" style="143" customWidth="1"/>
    <col min="6920" max="6920" width="15" style="143" customWidth="1"/>
    <col min="6921" max="6921" width="9.140625" style="143"/>
    <col min="6922" max="6922" width="5.28515625" style="143" customWidth="1"/>
    <col min="6923" max="6923" width="9.140625" style="143"/>
    <col min="6924" max="6924" width="32.28515625" style="143" customWidth="1"/>
    <col min="6925" max="6925" width="16.7109375" style="143" customWidth="1"/>
    <col min="6926" max="7171" width="9.140625" style="143"/>
    <col min="7172" max="7172" width="3.7109375" style="143" customWidth="1"/>
    <col min="7173" max="7173" width="3.85546875" style="143" customWidth="1"/>
    <col min="7174" max="7174" width="9.140625" style="143"/>
    <col min="7175" max="7175" width="34" style="143" customWidth="1"/>
    <col min="7176" max="7176" width="15" style="143" customWidth="1"/>
    <col min="7177" max="7177" width="9.140625" style="143"/>
    <col min="7178" max="7178" width="5.28515625" style="143" customWidth="1"/>
    <col min="7179" max="7179" width="9.140625" style="143"/>
    <col min="7180" max="7180" width="32.28515625" style="143" customWidth="1"/>
    <col min="7181" max="7181" width="16.7109375" style="143" customWidth="1"/>
    <col min="7182" max="7427" width="9.140625" style="143"/>
    <col min="7428" max="7428" width="3.7109375" style="143" customWidth="1"/>
    <col min="7429" max="7429" width="3.85546875" style="143" customWidth="1"/>
    <col min="7430" max="7430" width="9.140625" style="143"/>
    <col min="7431" max="7431" width="34" style="143" customWidth="1"/>
    <col min="7432" max="7432" width="15" style="143" customWidth="1"/>
    <col min="7433" max="7433" width="9.140625" style="143"/>
    <col min="7434" max="7434" width="5.28515625" style="143" customWidth="1"/>
    <col min="7435" max="7435" width="9.140625" style="143"/>
    <col min="7436" max="7436" width="32.28515625" style="143" customWidth="1"/>
    <col min="7437" max="7437" width="16.7109375" style="143" customWidth="1"/>
    <col min="7438" max="7683" width="9.140625" style="143"/>
    <col min="7684" max="7684" width="3.7109375" style="143" customWidth="1"/>
    <col min="7685" max="7685" width="3.85546875" style="143" customWidth="1"/>
    <col min="7686" max="7686" width="9.140625" style="143"/>
    <col min="7687" max="7687" width="34" style="143" customWidth="1"/>
    <col min="7688" max="7688" width="15" style="143" customWidth="1"/>
    <col min="7689" max="7689" width="9.140625" style="143"/>
    <col min="7690" max="7690" width="5.28515625" style="143" customWidth="1"/>
    <col min="7691" max="7691" width="9.140625" style="143"/>
    <col min="7692" max="7692" width="32.28515625" style="143" customWidth="1"/>
    <col min="7693" max="7693" width="16.7109375" style="143" customWidth="1"/>
    <col min="7694" max="7939" width="9.140625" style="143"/>
    <col min="7940" max="7940" width="3.7109375" style="143" customWidth="1"/>
    <col min="7941" max="7941" width="3.85546875" style="143" customWidth="1"/>
    <col min="7942" max="7942" width="9.140625" style="143"/>
    <col min="7943" max="7943" width="34" style="143" customWidth="1"/>
    <col min="7944" max="7944" width="15" style="143" customWidth="1"/>
    <col min="7945" max="7945" width="9.140625" style="143"/>
    <col min="7946" max="7946" width="5.28515625" style="143" customWidth="1"/>
    <col min="7947" max="7947" width="9.140625" style="143"/>
    <col min="7948" max="7948" width="32.28515625" style="143" customWidth="1"/>
    <col min="7949" max="7949" width="16.7109375" style="143" customWidth="1"/>
    <col min="7950" max="8195" width="9.140625" style="143"/>
    <col min="8196" max="8196" width="3.7109375" style="143" customWidth="1"/>
    <col min="8197" max="8197" width="3.85546875" style="143" customWidth="1"/>
    <col min="8198" max="8198" width="9.140625" style="143"/>
    <col min="8199" max="8199" width="34" style="143" customWidth="1"/>
    <col min="8200" max="8200" width="15" style="143" customWidth="1"/>
    <col min="8201" max="8201" width="9.140625" style="143"/>
    <col min="8202" max="8202" width="5.28515625" style="143" customWidth="1"/>
    <col min="8203" max="8203" width="9.140625" style="143"/>
    <col min="8204" max="8204" width="32.28515625" style="143" customWidth="1"/>
    <col min="8205" max="8205" width="16.7109375" style="143" customWidth="1"/>
    <col min="8206" max="8451" width="9.140625" style="143"/>
    <col min="8452" max="8452" width="3.7109375" style="143" customWidth="1"/>
    <col min="8453" max="8453" width="3.85546875" style="143" customWidth="1"/>
    <col min="8454" max="8454" width="9.140625" style="143"/>
    <col min="8455" max="8455" width="34" style="143" customWidth="1"/>
    <col min="8456" max="8456" width="15" style="143" customWidth="1"/>
    <col min="8457" max="8457" width="9.140625" style="143"/>
    <col min="8458" max="8458" width="5.28515625" style="143" customWidth="1"/>
    <col min="8459" max="8459" width="9.140625" style="143"/>
    <col min="8460" max="8460" width="32.28515625" style="143" customWidth="1"/>
    <col min="8461" max="8461" width="16.7109375" style="143" customWidth="1"/>
    <col min="8462" max="8707" width="9.140625" style="143"/>
    <col min="8708" max="8708" width="3.7109375" style="143" customWidth="1"/>
    <col min="8709" max="8709" width="3.85546875" style="143" customWidth="1"/>
    <col min="8710" max="8710" width="9.140625" style="143"/>
    <col min="8711" max="8711" width="34" style="143" customWidth="1"/>
    <col min="8712" max="8712" width="15" style="143" customWidth="1"/>
    <col min="8713" max="8713" width="9.140625" style="143"/>
    <col min="8714" max="8714" width="5.28515625" style="143" customWidth="1"/>
    <col min="8715" max="8715" width="9.140625" style="143"/>
    <col min="8716" max="8716" width="32.28515625" style="143" customWidth="1"/>
    <col min="8717" max="8717" width="16.7109375" style="143" customWidth="1"/>
    <col min="8718" max="8963" width="9.140625" style="143"/>
    <col min="8964" max="8964" width="3.7109375" style="143" customWidth="1"/>
    <col min="8965" max="8965" width="3.85546875" style="143" customWidth="1"/>
    <col min="8966" max="8966" width="9.140625" style="143"/>
    <col min="8967" max="8967" width="34" style="143" customWidth="1"/>
    <col min="8968" max="8968" width="15" style="143" customWidth="1"/>
    <col min="8969" max="8969" width="9.140625" style="143"/>
    <col min="8970" max="8970" width="5.28515625" style="143" customWidth="1"/>
    <col min="8971" max="8971" width="9.140625" style="143"/>
    <col min="8972" max="8972" width="32.28515625" style="143" customWidth="1"/>
    <col min="8973" max="8973" width="16.7109375" style="143" customWidth="1"/>
    <col min="8974" max="9219" width="9.140625" style="143"/>
    <col min="9220" max="9220" width="3.7109375" style="143" customWidth="1"/>
    <col min="9221" max="9221" width="3.85546875" style="143" customWidth="1"/>
    <col min="9222" max="9222" width="9.140625" style="143"/>
    <col min="9223" max="9223" width="34" style="143" customWidth="1"/>
    <col min="9224" max="9224" width="15" style="143" customWidth="1"/>
    <col min="9225" max="9225" width="9.140625" style="143"/>
    <col min="9226" max="9226" width="5.28515625" style="143" customWidth="1"/>
    <col min="9227" max="9227" width="9.140625" style="143"/>
    <col min="9228" max="9228" width="32.28515625" style="143" customWidth="1"/>
    <col min="9229" max="9229" width="16.7109375" style="143" customWidth="1"/>
    <col min="9230" max="9475" width="9.140625" style="143"/>
    <col min="9476" max="9476" width="3.7109375" style="143" customWidth="1"/>
    <col min="9477" max="9477" width="3.85546875" style="143" customWidth="1"/>
    <col min="9478" max="9478" width="9.140625" style="143"/>
    <col min="9479" max="9479" width="34" style="143" customWidth="1"/>
    <col min="9480" max="9480" width="15" style="143" customWidth="1"/>
    <col min="9481" max="9481" width="9.140625" style="143"/>
    <col min="9482" max="9482" width="5.28515625" style="143" customWidth="1"/>
    <col min="9483" max="9483" width="9.140625" style="143"/>
    <col min="9484" max="9484" width="32.28515625" style="143" customWidth="1"/>
    <col min="9485" max="9485" width="16.7109375" style="143" customWidth="1"/>
    <col min="9486" max="9731" width="9.140625" style="143"/>
    <col min="9732" max="9732" width="3.7109375" style="143" customWidth="1"/>
    <col min="9733" max="9733" width="3.85546875" style="143" customWidth="1"/>
    <col min="9734" max="9734" width="9.140625" style="143"/>
    <col min="9735" max="9735" width="34" style="143" customWidth="1"/>
    <col min="9736" max="9736" width="15" style="143" customWidth="1"/>
    <col min="9737" max="9737" width="9.140625" style="143"/>
    <col min="9738" max="9738" width="5.28515625" style="143" customWidth="1"/>
    <col min="9739" max="9739" width="9.140625" style="143"/>
    <col min="9740" max="9740" width="32.28515625" style="143" customWidth="1"/>
    <col min="9741" max="9741" width="16.7109375" style="143" customWidth="1"/>
    <col min="9742" max="9987" width="9.140625" style="143"/>
    <col min="9988" max="9988" width="3.7109375" style="143" customWidth="1"/>
    <col min="9989" max="9989" width="3.85546875" style="143" customWidth="1"/>
    <col min="9990" max="9990" width="9.140625" style="143"/>
    <col min="9991" max="9991" width="34" style="143" customWidth="1"/>
    <col min="9992" max="9992" width="15" style="143" customWidth="1"/>
    <col min="9993" max="9993" width="9.140625" style="143"/>
    <col min="9994" max="9994" width="5.28515625" style="143" customWidth="1"/>
    <col min="9995" max="9995" width="9.140625" style="143"/>
    <col min="9996" max="9996" width="32.28515625" style="143" customWidth="1"/>
    <col min="9997" max="9997" width="16.7109375" style="143" customWidth="1"/>
    <col min="9998" max="10243" width="9.140625" style="143"/>
    <col min="10244" max="10244" width="3.7109375" style="143" customWidth="1"/>
    <col min="10245" max="10245" width="3.85546875" style="143" customWidth="1"/>
    <col min="10246" max="10246" width="9.140625" style="143"/>
    <col min="10247" max="10247" width="34" style="143" customWidth="1"/>
    <col min="10248" max="10248" width="15" style="143" customWidth="1"/>
    <col min="10249" max="10249" width="9.140625" style="143"/>
    <col min="10250" max="10250" width="5.28515625" style="143" customWidth="1"/>
    <col min="10251" max="10251" width="9.140625" style="143"/>
    <col min="10252" max="10252" width="32.28515625" style="143" customWidth="1"/>
    <col min="10253" max="10253" width="16.7109375" style="143" customWidth="1"/>
    <col min="10254" max="10499" width="9.140625" style="143"/>
    <col min="10500" max="10500" width="3.7109375" style="143" customWidth="1"/>
    <col min="10501" max="10501" width="3.85546875" style="143" customWidth="1"/>
    <col min="10502" max="10502" width="9.140625" style="143"/>
    <col min="10503" max="10503" width="34" style="143" customWidth="1"/>
    <col min="10504" max="10504" width="15" style="143" customWidth="1"/>
    <col min="10505" max="10505" width="9.140625" style="143"/>
    <col min="10506" max="10506" width="5.28515625" style="143" customWidth="1"/>
    <col min="10507" max="10507" width="9.140625" style="143"/>
    <col min="10508" max="10508" width="32.28515625" style="143" customWidth="1"/>
    <col min="10509" max="10509" width="16.7109375" style="143" customWidth="1"/>
    <col min="10510" max="10755" width="9.140625" style="143"/>
    <col min="10756" max="10756" width="3.7109375" style="143" customWidth="1"/>
    <col min="10757" max="10757" width="3.85546875" style="143" customWidth="1"/>
    <col min="10758" max="10758" width="9.140625" style="143"/>
    <col min="10759" max="10759" width="34" style="143" customWidth="1"/>
    <col min="10760" max="10760" width="15" style="143" customWidth="1"/>
    <col min="10761" max="10761" width="9.140625" style="143"/>
    <col min="10762" max="10762" width="5.28515625" style="143" customWidth="1"/>
    <col min="10763" max="10763" width="9.140625" style="143"/>
    <col min="10764" max="10764" width="32.28515625" style="143" customWidth="1"/>
    <col min="10765" max="10765" width="16.7109375" style="143" customWidth="1"/>
    <col min="10766" max="11011" width="9.140625" style="143"/>
    <col min="11012" max="11012" width="3.7109375" style="143" customWidth="1"/>
    <col min="11013" max="11013" width="3.85546875" style="143" customWidth="1"/>
    <col min="11014" max="11014" width="9.140625" style="143"/>
    <col min="11015" max="11015" width="34" style="143" customWidth="1"/>
    <col min="11016" max="11016" width="15" style="143" customWidth="1"/>
    <col min="11017" max="11017" width="9.140625" style="143"/>
    <col min="11018" max="11018" width="5.28515625" style="143" customWidth="1"/>
    <col min="11019" max="11019" width="9.140625" style="143"/>
    <col min="11020" max="11020" width="32.28515625" style="143" customWidth="1"/>
    <col min="11021" max="11021" width="16.7109375" style="143" customWidth="1"/>
    <col min="11022" max="11267" width="9.140625" style="143"/>
    <col min="11268" max="11268" width="3.7109375" style="143" customWidth="1"/>
    <col min="11269" max="11269" width="3.85546875" style="143" customWidth="1"/>
    <col min="11270" max="11270" width="9.140625" style="143"/>
    <col min="11271" max="11271" width="34" style="143" customWidth="1"/>
    <col min="11272" max="11272" width="15" style="143" customWidth="1"/>
    <col min="11273" max="11273" width="9.140625" style="143"/>
    <col min="11274" max="11274" width="5.28515625" style="143" customWidth="1"/>
    <col min="11275" max="11275" width="9.140625" style="143"/>
    <col min="11276" max="11276" width="32.28515625" style="143" customWidth="1"/>
    <col min="11277" max="11277" width="16.7109375" style="143" customWidth="1"/>
    <col min="11278" max="11523" width="9.140625" style="143"/>
    <col min="11524" max="11524" width="3.7109375" style="143" customWidth="1"/>
    <col min="11525" max="11525" width="3.85546875" style="143" customWidth="1"/>
    <col min="11526" max="11526" width="9.140625" style="143"/>
    <col min="11527" max="11527" width="34" style="143" customWidth="1"/>
    <col min="11528" max="11528" width="15" style="143" customWidth="1"/>
    <col min="11529" max="11529" width="9.140625" style="143"/>
    <col min="11530" max="11530" width="5.28515625" style="143" customWidth="1"/>
    <col min="11531" max="11531" width="9.140625" style="143"/>
    <col min="11532" max="11532" width="32.28515625" style="143" customWidth="1"/>
    <col min="11533" max="11533" width="16.7109375" style="143" customWidth="1"/>
    <col min="11534" max="11779" width="9.140625" style="143"/>
    <col min="11780" max="11780" width="3.7109375" style="143" customWidth="1"/>
    <col min="11781" max="11781" width="3.85546875" style="143" customWidth="1"/>
    <col min="11782" max="11782" width="9.140625" style="143"/>
    <col min="11783" max="11783" width="34" style="143" customWidth="1"/>
    <col min="11784" max="11784" width="15" style="143" customWidth="1"/>
    <col min="11785" max="11785" width="9.140625" style="143"/>
    <col min="11786" max="11786" width="5.28515625" style="143" customWidth="1"/>
    <col min="11787" max="11787" width="9.140625" style="143"/>
    <col min="11788" max="11788" width="32.28515625" style="143" customWidth="1"/>
    <col min="11789" max="11789" width="16.7109375" style="143" customWidth="1"/>
    <col min="11790" max="12035" width="9.140625" style="143"/>
    <col min="12036" max="12036" width="3.7109375" style="143" customWidth="1"/>
    <col min="12037" max="12037" width="3.85546875" style="143" customWidth="1"/>
    <col min="12038" max="12038" width="9.140625" style="143"/>
    <col min="12039" max="12039" width="34" style="143" customWidth="1"/>
    <col min="12040" max="12040" width="15" style="143" customWidth="1"/>
    <col min="12041" max="12041" width="9.140625" style="143"/>
    <col min="12042" max="12042" width="5.28515625" style="143" customWidth="1"/>
    <col min="12043" max="12043" width="9.140625" style="143"/>
    <col min="12044" max="12044" width="32.28515625" style="143" customWidth="1"/>
    <col min="12045" max="12045" width="16.7109375" style="143" customWidth="1"/>
    <col min="12046" max="12291" width="9.140625" style="143"/>
    <col min="12292" max="12292" width="3.7109375" style="143" customWidth="1"/>
    <col min="12293" max="12293" width="3.85546875" style="143" customWidth="1"/>
    <col min="12294" max="12294" width="9.140625" style="143"/>
    <col min="12295" max="12295" width="34" style="143" customWidth="1"/>
    <col min="12296" max="12296" width="15" style="143" customWidth="1"/>
    <col min="12297" max="12297" width="9.140625" style="143"/>
    <col min="12298" max="12298" width="5.28515625" style="143" customWidth="1"/>
    <col min="12299" max="12299" width="9.140625" style="143"/>
    <col min="12300" max="12300" width="32.28515625" style="143" customWidth="1"/>
    <col min="12301" max="12301" width="16.7109375" style="143" customWidth="1"/>
    <col min="12302" max="12547" width="9.140625" style="143"/>
    <col min="12548" max="12548" width="3.7109375" style="143" customWidth="1"/>
    <col min="12549" max="12549" width="3.85546875" style="143" customWidth="1"/>
    <col min="12550" max="12550" width="9.140625" style="143"/>
    <col min="12551" max="12551" width="34" style="143" customWidth="1"/>
    <col min="12552" max="12552" width="15" style="143" customWidth="1"/>
    <col min="12553" max="12553" width="9.140625" style="143"/>
    <col min="12554" max="12554" width="5.28515625" style="143" customWidth="1"/>
    <col min="12555" max="12555" width="9.140625" style="143"/>
    <col min="12556" max="12556" width="32.28515625" style="143" customWidth="1"/>
    <col min="12557" max="12557" width="16.7109375" style="143" customWidth="1"/>
    <col min="12558" max="12803" width="9.140625" style="143"/>
    <col min="12804" max="12804" width="3.7109375" style="143" customWidth="1"/>
    <col min="12805" max="12805" width="3.85546875" style="143" customWidth="1"/>
    <col min="12806" max="12806" width="9.140625" style="143"/>
    <col min="12807" max="12807" width="34" style="143" customWidth="1"/>
    <col min="12808" max="12808" width="15" style="143" customWidth="1"/>
    <col min="12809" max="12809" width="9.140625" style="143"/>
    <col min="12810" max="12810" width="5.28515625" style="143" customWidth="1"/>
    <col min="12811" max="12811" width="9.140625" style="143"/>
    <col min="12812" max="12812" width="32.28515625" style="143" customWidth="1"/>
    <col min="12813" max="12813" width="16.7109375" style="143" customWidth="1"/>
    <col min="12814" max="13059" width="9.140625" style="143"/>
    <col min="13060" max="13060" width="3.7109375" style="143" customWidth="1"/>
    <col min="13061" max="13061" width="3.85546875" style="143" customWidth="1"/>
    <col min="13062" max="13062" width="9.140625" style="143"/>
    <col min="13063" max="13063" width="34" style="143" customWidth="1"/>
    <col min="13064" max="13064" width="15" style="143" customWidth="1"/>
    <col min="13065" max="13065" width="9.140625" style="143"/>
    <col min="13066" max="13066" width="5.28515625" style="143" customWidth="1"/>
    <col min="13067" max="13067" width="9.140625" style="143"/>
    <col min="13068" max="13068" width="32.28515625" style="143" customWidth="1"/>
    <col min="13069" max="13069" width="16.7109375" style="143" customWidth="1"/>
    <col min="13070" max="13315" width="9.140625" style="143"/>
    <col min="13316" max="13316" width="3.7109375" style="143" customWidth="1"/>
    <col min="13317" max="13317" width="3.85546875" style="143" customWidth="1"/>
    <col min="13318" max="13318" width="9.140625" style="143"/>
    <col min="13319" max="13319" width="34" style="143" customWidth="1"/>
    <col min="13320" max="13320" width="15" style="143" customWidth="1"/>
    <col min="13321" max="13321" width="9.140625" style="143"/>
    <col min="13322" max="13322" width="5.28515625" style="143" customWidth="1"/>
    <col min="13323" max="13323" width="9.140625" style="143"/>
    <col min="13324" max="13324" width="32.28515625" style="143" customWidth="1"/>
    <col min="13325" max="13325" width="16.7109375" style="143" customWidth="1"/>
    <col min="13326" max="13571" width="9.140625" style="143"/>
    <col min="13572" max="13572" width="3.7109375" style="143" customWidth="1"/>
    <col min="13573" max="13573" width="3.85546875" style="143" customWidth="1"/>
    <col min="13574" max="13574" width="9.140625" style="143"/>
    <col min="13575" max="13575" width="34" style="143" customWidth="1"/>
    <col min="13576" max="13576" width="15" style="143" customWidth="1"/>
    <col min="13577" max="13577" width="9.140625" style="143"/>
    <col min="13578" max="13578" width="5.28515625" style="143" customWidth="1"/>
    <col min="13579" max="13579" width="9.140625" style="143"/>
    <col min="13580" max="13580" width="32.28515625" style="143" customWidth="1"/>
    <col min="13581" max="13581" width="16.7109375" style="143" customWidth="1"/>
    <col min="13582" max="13827" width="9.140625" style="143"/>
    <col min="13828" max="13828" width="3.7109375" style="143" customWidth="1"/>
    <col min="13829" max="13829" width="3.85546875" style="143" customWidth="1"/>
    <col min="13830" max="13830" width="9.140625" style="143"/>
    <col min="13831" max="13831" width="34" style="143" customWidth="1"/>
    <col min="13832" max="13832" width="15" style="143" customWidth="1"/>
    <col min="13833" max="13833" width="9.140625" style="143"/>
    <col min="13834" max="13834" width="5.28515625" style="143" customWidth="1"/>
    <col min="13835" max="13835" width="9.140625" style="143"/>
    <col min="13836" max="13836" width="32.28515625" style="143" customWidth="1"/>
    <col min="13837" max="13837" width="16.7109375" style="143" customWidth="1"/>
    <col min="13838" max="14083" width="9.140625" style="143"/>
    <col min="14084" max="14084" width="3.7109375" style="143" customWidth="1"/>
    <col min="14085" max="14085" width="3.85546875" style="143" customWidth="1"/>
    <col min="14086" max="14086" width="9.140625" style="143"/>
    <col min="14087" max="14087" width="34" style="143" customWidth="1"/>
    <col min="14088" max="14088" width="15" style="143" customWidth="1"/>
    <col min="14089" max="14089" width="9.140625" style="143"/>
    <col min="14090" max="14090" width="5.28515625" style="143" customWidth="1"/>
    <col min="14091" max="14091" width="9.140625" style="143"/>
    <col min="14092" max="14092" width="32.28515625" style="143" customWidth="1"/>
    <col min="14093" max="14093" width="16.7109375" style="143" customWidth="1"/>
    <col min="14094" max="14339" width="9.140625" style="143"/>
    <col min="14340" max="14340" width="3.7109375" style="143" customWidth="1"/>
    <col min="14341" max="14341" width="3.85546875" style="143" customWidth="1"/>
    <col min="14342" max="14342" width="9.140625" style="143"/>
    <col min="14343" max="14343" width="34" style="143" customWidth="1"/>
    <col min="14344" max="14344" width="15" style="143" customWidth="1"/>
    <col min="14345" max="14345" width="9.140625" style="143"/>
    <col min="14346" max="14346" width="5.28515625" style="143" customWidth="1"/>
    <col min="14347" max="14347" width="9.140625" style="143"/>
    <col min="14348" max="14348" width="32.28515625" style="143" customWidth="1"/>
    <col min="14349" max="14349" width="16.7109375" style="143" customWidth="1"/>
    <col min="14350" max="14595" width="9.140625" style="143"/>
    <col min="14596" max="14596" width="3.7109375" style="143" customWidth="1"/>
    <col min="14597" max="14597" width="3.85546875" style="143" customWidth="1"/>
    <col min="14598" max="14598" width="9.140625" style="143"/>
    <col min="14599" max="14599" width="34" style="143" customWidth="1"/>
    <col min="14600" max="14600" width="15" style="143" customWidth="1"/>
    <col min="14601" max="14601" width="9.140625" style="143"/>
    <col min="14602" max="14602" width="5.28515625" style="143" customWidth="1"/>
    <col min="14603" max="14603" width="9.140625" style="143"/>
    <col min="14604" max="14604" width="32.28515625" style="143" customWidth="1"/>
    <col min="14605" max="14605" width="16.7109375" style="143" customWidth="1"/>
    <col min="14606" max="14851" width="9.140625" style="143"/>
    <col min="14852" max="14852" width="3.7109375" style="143" customWidth="1"/>
    <col min="14853" max="14853" width="3.85546875" style="143" customWidth="1"/>
    <col min="14854" max="14854" width="9.140625" style="143"/>
    <col min="14855" max="14855" width="34" style="143" customWidth="1"/>
    <col min="14856" max="14856" width="15" style="143" customWidth="1"/>
    <col min="14857" max="14857" width="9.140625" style="143"/>
    <col min="14858" max="14858" width="5.28515625" style="143" customWidth="1"/>
    <col min="14859" max="14859" width="9.140625" style="143"/>
    <col min="14860" max="14860" width="32.28515625" style="143" customWidth="1"/>
    <col min="14861" max="14861" width="16.7109375" style="143" customWidth="1"/>
    <col min="14862" max="15107" width="9.140625" style="143"/>
    <col min="15108" max="15108" width="3.7109375" style="143" customWidth="1"/>
    <col min="15109" max="15109" width="3.85546875" style="143" customWidth="1"/>
    <col min="15110" max="15110" width="9.140625" style="143"/>
    <col min="15111" max="15111" width="34" style="143" customWidth="1"/>
    <col min="15112" max="15112" width="15" style="143" customWidth="1"/>
    <col min="15113" max="15113" width="9.140625" style="143"/>
    <col min="15114" max="15114" width="5.28515625" style="143" customWidth="1"/>
    <col min="15115" max="15115" width="9.140625" style="143"/>
    <col min="15116" max="15116" width="32.28515625" style="143" customWidth="1"/>
    <col min="15117" max="15117" width="16.7109375" style="143" customWidth="1"/>
    <col min="15118" max="15363" width="9.140625" style="143"/>
    <col min="15364" max="15364" width="3.7109375" style="143" customWidth="1"/>
    <col min="15365" max="15365" width="3.85546875" style="143" customWidth="1"/>
    <col min="15366" max="15366" width="9.140625" style="143"/>
    <col min="15367" max="15367" width="34" style="143" customWidth="1"/>
    <col min="15368" max="15368" width="15" style="143" customWidth="1"/>
    <col min="15369" max="15369" width="9.140625" style="143"/>
    <col min="15370" max="15370" width="5.28515625" style="143" customWidth="1"/>
    <col min="15371" max="15371" width="9.140625" style="143"/>
    <col min="15372" max="15372" width="32.28515625" style="143" customWidth="1"/>
    <col min="15373" max="15373" width="16.7109375" style="143" customWidth="1"/>
    <col min="15374" max="15619" width="9.140625" style="143"/>
    <col min="15620" max="15620" width="3.7109375" style="143" customWidth="1"/>
    <col min="15621" max="15621" width="3.85546875" style="143" customWidth="1"/>
    <col min="15622" max="15622" width="9.140625" style="143"/>
    <col min="15623" max="15623" width="34" style="143" customWidth="1"/>
    <col min="15624" max="15624" width="15" style="143" customWidth="1"/>
    <col min="15625" max="15625" width="9.140625" style="143"/>
    <col min="15626" max="15626" width="5.28515625" style="143" customWidth="1"/>
    <col min="15627" max="15627" width="9.140625" style="143"/>
    <col min="15628" max="15628" width="32.28515625" style="143" customWidth="1"/>
    <col min="15629" max="15629" width="16.7109375" style="143" customWidth="1"/>
    <col min="15630" max="15875" width="9.140625" style="143"/>
    <col min="15876" max="15876" width="3.7109375" style="143" customWidth="1"/>
    <col min="15877" max="15877" width="3.85546875" style="143" customWidth="1"/>
    <col min="15878" max="15878" width="9.140625" style="143"/>
    <col min="15879" max="15879" width="34" style="143" customWidth="1"/>
    <col min="15880" max="15880" width="15" style="143" customWidth="1"/>
    <col min="15881" max="15881" width="9.140625" style="143"/>
    <col min="15882" max="15882" width="5.28515625" style="143" customWidth="1"/>
    <col min="15883" max="15883" width="9.140625" style="143"/>
    <col min="15884" max="15884" width="32.28515625" style="143" customWidth="1"/>
    <col min="15885" max="15885" width="16.7109375" style="143" customWidth="1"/>
    <col min="15886" max="16131" width="9.140625" style="143"/>
    <col min="16132" max="16132" width="3.7109375" style="143" customWidth="1"/>
    <col min="16133" max="16133" width="3.85546875" style="143" customWidth="1"/>
    <col min="16134" max="16134" width="9.140625" style="143"/>
    <col min="16135" max="16135" width="34" style="143" customWidth="1"/>
    <col min="16136" max="16136" width="15" style="143" customWidth="1"/>
    <col min="16137" max="16137" width="9.140625" style="143"/>
    <col min="16138" max="16138" width="5.28515625" style="143" customWidth="1"/>
    <col min="16139" max="16139" width="9.140625" style="143"/>
    <col min="16140" max="16140" width="32.28515625" style="143" customWidth="1"/>
    <col min="16141" max="16141" width="16.7109375" style="143" customWidth="1"/>
    <col min="16142" max="16384" width="9.140625" style="143"/>
  </cols>
  <sheetData>
    <row r="1" spans="2:14" ht="15.75" thickBot="1" x14ac:dyDescent="0.3"/>
    <row r="2" spans="2:14" x14ac:dyDescent="0.25">
      <c r="B2" s="144"/>
      <c r="D2" s="145"/>
      <c r="E2" s="146"/>
      <c r="F2" s="146"/>
      <c r="G2" s="146"/>
      <c r="H2" s="146"/>
      <c r="I2" s="147"/>
    </row>
    <row r="3" spans="2:14" x14ac:dyDescent="0.25">
      <c r="B3" s="148" t="s">
        <v>48</v>
      </c>
      <c r="D3" s="149"/>
      <c r="E3" s="215" t="s">
        <v>116</v>
      </c>
      <c r="I3" s="151"/>
    </row>
    <row r="4" spans="2:14" x14ac:dyDescent="0.25">
      <c r="B4" s="148"/>
      <c r="D4" s="149"/>
      <c r="E4" s="88" t="s">
        <v>117</v>
      </c>
      <c r="F4" s="88" t="s">
        <v>118</v>
      </c>
      <c r="G4" s="88" t="s">
        <v>119</v>
      </c>
      <c r="I4" s="151"/>
      <c r="L4" s="87"/>
    </row>
    <row r="5" spans="2:14" x14ac:dyDescent="0.25">
      <c r="B5" s="148"/>
      <c r="D5" s="149"/>
      <c r="E5" s="89" t="s">
        <v>120</v>
      </c>
      <c r="F5" s="89" t="s">
        <v>87</v>
      </c>
      <c r="G5" s="89" t="s">
        <v>24</v>
      </c>
      <c r="I5" s="151"/>
    </row>
    <row r="6" spans="2:14" x14ac:dyDescent="0.25">
      <c r="B6" s="148"/>
      <c r="D6" s="149"/>
      <c r="E6" s="89" t="s">
        <v>121</v>
      </c>
      <c r="F6" s="89" t="s">
        <v>88</v>
      </c>
      <c r="G6" s="89" t="s">
        <v>122</v>
      </c>
      <c r="I6" s="151"/>
    </row>
    <row r="7" spans="2:14" x14ac:dyDescent="0.25">
      <c r="B7" s="148"/>
      <c r="D7" s="149"/>
      <c r="E7" s="89" t="s">
        <v>123</v>
      </c>
      <c r="F7" s="89" t="s">
        <v>89</v>
      </c>
      <c r="G7" s="89" t="s">
        <v>30</v>
      </c>
      <c r="I7" s="151"/>
    </row>
    <row r="8" spans="2:14" x14ac:dyDescent="0.25">
      <c r="B8" s="148"/>
      <c r="D8" s="149"/>
      <c r="I8" s="151"/>
    </row>
    <row r="9" spans="2:14" ht="18.75" x14ac:dyDescent="0.3">
      <c r="B9" s="148"/>
      <c r="D9" s="149"/>
      <c r="E9" s="150" t="s">
        <v>124</v>
      </c>
      <c r="H9" s="214" t="s">
        <v>125</v>
      </c>
      <c r="I9" s="151"/>
    </row>
    <row r="10" spans="2:14" ht="30" x14ac:dyDescent="0.25">
      <c r="B10" s="148" t="s">
        <v>126</v>
      </c>
      <c r="D10" s="149"/>
      <c r="E10" s="217" t="s">
        <v>127</v>
      </c>
      <c r="F10" s="219">
        <f>IFERROR(F25/F28,"N/A")</f>
        <v>0.65986868376354124</v>
      </c>
      <c r="H10" s="216" t="s">
        <v>128</v>
      </c>
      <c r="I10" s="151"/>
    </row>
    <row r="11" spans="2:14" ht="31.9" customHeight="1" x14ac:dyDescent="0.25">
      <c r="B11" s="148" t="s">
        <v>129</v>
      </c>
      <c r="D11" s="149"/>
      <c r="E11" s="218" t="s">
        <v>130</v>
      </c>
      <c r="F11" s="219" t="str">
        <f>IFERROR(F17/F18,"N/A")</f>
        <v>N/A</v>
      </c>
      <c r="H11" s="216" t="s">
        <v>131</v>
      </c>
      <c r="I11" s="151"/>
    </row>
    <row r="12" spans="2:14" ht="30" x14ac:dyDescent="0.25">
      <c r="B12" s="148" t="s">
        <v>132</v>
      </c>
      <c r="D12" s="149"/>
      <c r="E12" s="218" t="s">
        <v>133</v>
      </c>
      <c r="F12" s="219">
        <f>IFERROR(F31/F32,"N/A")</f>
        <v>0.65986868376354124</v>
      </c>
      <c r="H12" s="216"/>
      <c r="I12" s="151"/>
    </row>
    <row r="13" spans="2:14" ht="30" x14ac:dyDescent="0.25">
      <c r="B13" s="148"/>
      <c r="D13" s="149"/>
      <c r="E13" s="218" t="s">
        <v>134</v>
      </c>
      <c r="F13" s="219" t="s">
        <v>135</v>
      </c>
      <c r="H13" s="216" t="s">
        <v>136</v>
      </c>
      <c r="I13" s="152"/>
      <c r="L13" s="112"/>
      <c r="M13" s="112"/>
      <c r="N13" s="112"/>
    </row>
    <row r="14" spans="2:14" x14ac:dyDescent="0.25">
      <c r="B14" s="148"/>
      <c r="D14" s="149"/>
      <c r="I14" s="151"/>
    </row>
    <row r="15" spans="2:14" x14ac:dyDescent="0.25">
      <c r="B15" s="148"/>
      <c r="D15" s="149"/>
      <c r="I15" s="151"/>
    </row>
    <row r="16" spans="2:14" x14ac:dyDescent="0.25">
      <c r="B16" s="148"/>
      <c r="D16" s="149"/>
      <c r="E16" s="159" t="s">
        <v>137</v>
      </c>
      <c r="I16" s="151"/>
    </row>
    <row r="17" spans="2:11" x14ac:dyDescent="0.25">
      <c r="B17" s="148" t="s">
        <v>62</v>
      </c>
      <c r="D17" s="149"/>
      <c r="E17" s="166" t="s">
        <v>138</v>
      </c>
      <c r="F17" s="163">
        <f>'Debt Service - Individual 1'!J5</f>
        <v>0</v>
      </c>
      <c r="I17" s="151"/>
      <c r="K17" s="153"/>
    </row>
    <row r="18" spans="2:11" x14ac:dyDescent="0.25">
      <c r="B18" s="148" t="s">
        <v>63</v>
      </c>
      <c r="D18" s="149"/>
      <c r="E18" s="167" t="s">
        <v>139</v>
      </c>
      <c r="F18" s="165">
        <f>'Debt Service - Individual 1'!J6</f>
        <v>0</v>
      </c>
      <c r="I18" s="151"/>
      <c r="K18" s="153"/>
    </row>
    <row r="19" spans="2:11" x14ac:dyDescent="0.25">
      <c r="B19" s="148"/>
      <c r="D19" s="149"/>
      <c r="I19" s="151"/>
    </row>
    <row r="20" spans="2:11" x14ac:dyDescent="0.25">
      <c r="B20" s="148"/>
      <c r="D20" s="149"/>
      <c r="E20" s="160" t="s">
        <v>140</v>
      </c>
      <c r="I20" s="151"/>
    </row>
    <row r="21" spans="2:11" x14ac:dyDescent="0.25">
      <c r="B21" s="148" t="s">
        <v>64</v>
      </c>
      <c r="D21" s="149"/>
      <c r="E21" s="154" t="s">
        <v>141</v>
      </c>
      <c r="F21" s="111">
        <f>'Debt Service - Company'!F9</f>
        <v>1000000</v>
      </c>
      <c r="I21" s="151"/>
    </row>
    <row r="22" spans="2:11" x14ac:dyDescent="0.25">
      <c r="B22" s="148" t="s">
        <v>65</v>
      </c>
      <c r="D22" s="149"/>
      <c r="E22" s="154" t="s">
        <v>142</v>
      </c>
      <c r="F22" s="111">
        <f>'Debt Service - Company'!F10</f>
        <v>91032</v>
      </c>
      <c r="I22" s="151"/>
    </row>
    <row r="23" spans="2:11" x14ac:dyDescent="0.25">
      <c r="B23" s="148" t="s">
        <v>66</v>
      </c>
      <c r="D23" s="149"/>
      <c r="E23" s="154" t="s">
        <v>143</v>
      </c>
      <c r="F23" s="111">
        <f>'Debt Service - Company'!F11</f>
        <v>477378.20074074075</v>
      </c>
      <c r="I23" s="151"/>
    </row>
    <row r="24" spans="2:11" x14ac:dyDescent="0.25">
      <c r="B24" s="148" t="s">
        <v>67</v>
      </c>
      <c r="D24" s="149"/>
      <c r="E24" s="154" t="s">
        <v>144</v>
      </c>
      <c r="F24" s="111">
        <f>'Debt Service - Company'!F12</f>
        <v>0</v>
      </c>
      <c r="I24" s="151"/>
    </row>
    <row r="25" spans="2:11" x14ac:dyDescent="0.25">
      <c r="B25" s="148" t="s">
        <v>145</v>
      </c>
      <c r="D25" s="149"/>
      <c r="E25" s="162" t="s">
        <v>146</v>
      </c>
      <c r="F25" s="163">
        <f>SUM(F21:F24)</f>
        <v>1568410.2007407406</v>
      </c>
      <c r="I25" s="151"/>
    </row>
    <row r="26" spans="2:11" x14ac:dyDescent="0.25">
      <c r="B26" s="148" t="s">
        <v>147</v>
      </c>
      <c r="D26" s="149"/>
      <c r="E26" s="154" t="s">
        <v>148</v>
      </c>
      <c r="F26" s="111">
        <f>SUM('Debt Service - Company'!F24,'Debt Service - Company'!F29)</f>
        <v>2250324</v>
      </c>
      <c r="I26" s="151"/>
    </row>
    <row r="27" spans="2:11" x14ac:dyDescent="0.25">
      <c r="B27" s="148" t="s">
        <v>149</v>
      </c>
      <c r="D27" s="149"/>
      <c r="E27" s="161" t="s">
        <v>150</v>
      </c>
      <c r="F27" s="111">
        <f>SUM('Debt Service - Company'!F25,'Debt Service - Company'!F30)</f>
        <v>126528</v>
      </c>
      <c r="I27" s="151"/>
    </row>
    <row r="28" spans="2:11" x14ac:dyDescent="0.25">
      <c r="B28" s="148" t="s">
        <v>151</v>
      </c>
      <c r="D28" s="149"/>
      <c r="E28" s="164" t="s">
        <v>139</v>
      </c>
      <c r="F28" s="165">
        <f>SUM(F26:F27)</f>
        <v>2376852</v>
      </c>
      <c r="I28" s="151"/>
    </row>
    <row r="29" spans="2:11" x14ac:dyDescent="0.25">
      <c r="B29" s="148"/>
      <c r="D29" s="149"/>
      <c r="E29" s="154"/>
      <c r="F29" s="111"/>
      <c r="I29" s="151"/>
    </row>
    <row r="30" spans="2:11" x14ac:dyDescent="0.25">
      <c r="B30" s="148"/>
      <c r="D30" s="149"/>
      <c r="E30" s="160" t="s">
        <v>152</v>
      </c>
      <c r="I30" s="151"/>
    </row>
    <row r="31" spans="2:11" x14ac:dyDescent="0.25">
      <c r="B31" s="148" t="s">
        <v>153</v>
      </c>
      <c r="D31" s="149"/>
      <c r="E31" s="162" t="s">
        <v>154</v>
      </c>
      <c r="F31" s="163">
        <f>F17+F25</f>
        <v>1568410.2007407406</v>
      </c>
      <c r="I31" s="151"/>
    </row>
    <row r="32" spans="2:11" x14ac:dyDescent="0.25">
      <c r="B32" s="148" t="s">
        <v>155</v>
      </c>
      <c r="D32" s="149"/>
      <c r="E32" s="167" t="s">
        <v>156</v>
      </c>
      <c r="F32" s="165">
        <f>SUM(F18,F28)</f>
        <v>2376852</v>
      </c>
      <c r="I32" s="151"/>
    </row>
    <row r="33" spans="2:9" ht="15.75" thickBot="1" x14ac:dyDescent="0.3">
      <c r="B33" s="155"/>
      <c r="D33" s="156"/>
      <c r="E33" s="157"/>
      <c r="F33" s="157"/>
      <c r="G33" s="157"/>
      <c r="H33" s="157"/>
      <c r="I33" s="158"/>
    </row>
    <row r="35" spans="2:9" x14ac:dyDescent="0.25">
      <c r="F35" s="153"/>
      <c r="G35" s="153"/>
      <c r="H35" s="153"/>
    </row>
    <row r="36" spans="2:9" x14ac:dyDescent="0.25">
      <c r="F36" s="153"/>
      <c r="G36" s="153"/>
      <c r="H36" s="153"/>
    </row>
  </sheetData>
  <phoneticPr fontId="11"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zoomScale="85" zoomScaleNormal="85" workbookViewId="0">
      <selection activeCell="N27" sqref="N27"/>
    </sheetView>
  </sheetViews>
  <sheetFormatPr defaultColWidth="9.140625" defaultRowHeight="12.75" x14ac:dyDescent="0.25"/>
  <cols>
    <col min="1" max="1" width="9.140625" style="264"/>
    <col min="2" max="2" width="35.140625" style="4" customWidth="1"/>
    <col min="3" max="7" width="13.140625" style="4" customWidth="1"/>
    <col min="8" max="8" width="26.85546875" style="4" customWidth="1"/>
    <col min="9" max="12" width="13.140625" style="4" customWidth="1"/>
    <col min="13" max="14" width="9.140625" style="4"/>
    <col min="15" max="15" width="15" style="4" customWidth="1"/>
    <col min="16" max="16384" width="9.140625" style="4"/>
  </cols>
  <sheetData>
    <row r="2" spans="1:15" x14ac:dyDescent="0.25">
      <c r="D2" s="20"/>
      <c r="E2" s="20"/>
      <c r="F2" s="20"/>
      <c r="G2" s="20"/>
      <c r="L2" s="20"/>
    </row>
    <row r="3" spans="1:15" ht="25.5" x14ac:dyDescent="0.25">
      <c r="B3" s="101" t="s">
        <v>157</v>
      </c>
      <c r="C3" s="263" t="s">
        <v>922</v>
      </c>
      <c r="D3" s="263" t="s">
        <v>923</v>
      </c>
      <c r="E3" s="263" t="s">
        <v>966</v>
      </c>
      <c r="F3" s="263" t="s">
        <v>1004</v>
      </c>
      <c r="O3" s="183"/>
    </row>
    <row r="4" spans="1:15" x14ac:dyDescent="0.25">
      <c r="B4" s="221" t="s">
        <v>158</v>
      </c>
      <c r="C4" s="179" t="s">
        <v>160</v>
      </c>
      <c r="D4" s="179" t="s">
        <v>160</v>
      </c>
      <c r="E4" s="179" t="s">
        <v>160</v>
      </c>
      <c r="F4" s="179" t="s">
        <v>161</v>
      </c>
      <c r="O4" s="324" t="s">
        <v>160</v>
      </c>
    </row>
    <row r="5" spans="1:15" x14ac:dyDescent="0.25">
      <c r="B5" s="101" t="s">
        <v>163</v>
      </c>
      <c r="C5" s="263" t="s">
        <v>914</v>
      </c>
      <c r="D5" s="263" t="s">
        <v>915</v>
      </c>
      <c r="E5" s="263" t="s">
        <v>916</v>
      </c>
      <c r="F5" s="263" t="s">
        <v>1003</v>
      </c>
      <c r="O5" s="324" t="s">
        <v>161</v>
      </c>
    </row>
    <row r="6" spans="1:15" x14ac:dyDescent="0.25">
      <c r="A6" s="264">
        <v>2</v>
      </c>
      <c r="B6" s="7" t="s">
        <v>165</v>
      </c>
      <c r="C6" s="285">
        <f>HLOOKUP(C$3,'Summary of Information'!$C$92:$G$97,$A6,FALSE)</f>
        <v>4109232</v>
      </c>
      <c r="D6" s="285">
        <f>HLOOKUP(D$3,'Summary of Information'!$C$92:$G$97,$A6,FALSE)</f>
        <v>6124151</v>
      </c>
      <c r="E6" s="285">
        <f>HLOOKUP(E$3,'Summary of Information'!$C$92:$G$97,$A6,FALSE)</f>
        <v>4787807</v>
      </c>
      <c r="F6" s="285">
        <f>HLOOKUP(F$3,'Summary of Information'!$C$92:$G$97,$A6,FALSE)</f>
        <v>4200474.62</v>
      </c>
      <c r="O6" s="324" t="s">
        <v>167</v>
      </c>
    </row>
    <row r="7" spans="1:15" x14ac:dyDescent="0.25">
      <c r="A7" s="264">
        <f>A6+1</f>
        <v>3</v>
      </c>
      <c r="B7" s="7" t="s">
        <v>667</v>
      </c>
      <c r="C7" s="285">
        <f>HLOOKUP(C$3,'Summary of Information'!$C$92:$G$97,$A7,FALSE)</f>
        <v>36757</v>
      </c>
      <c r="D7" s="285">
        <f>HLOOKUP(D$3,'Summary of Information'!$C$92:$G$97,$A7,FALSE)</f>
        <v>63810</v>
      </c>
      <c r="E7" s="285">
        <f>HLOOKUP(E$3,'Summary of Information'!$C$92:$G$97,$A7,FALSE)</f>
        <v>113967</v>
      </c>
      <c r="F7" s="285">
        <f>HLOOKUP(F$3,'Summary of Information'!$C$92:$G$97,$A7,FALSE)</f>
        <v>100281.81999999989</v>
      </c>
      <c r="O7" s="324" t="s">
        <v>159</v>
      </c>
    </row>
    <row r="8" spans="1:15" x14ac:dyDescent="0.25">
      <c r="A8" s="264">
        <f t="shared" ref="A8:A10" si="0">A7+1</f>
        <v>4</v>
      </c>
      <c r="B8" s="7" t="s">
        <v>668</v>
      </c>
      <c r="C8" s="285">
        <f>HLOOKUP(C$3,'Summary of Information'!$C$92:$G$97,$A8,FALSE)</f>
        <v>17592</v>
      </c>
      <c r="D8" s="285">
        <f>HLOOKUP(D$3,'Summary of Information'!$C$92:$G$97,$A8,FALSE)</f>
        <v>38119</v>
      </c>
      <c r="E8" s="285">
        <f>HLOOKUP(E$3,'Summary of Information'!$C$92:$G$97,$A8,FALSE)</f>
        <v>48883</v>
      </c>
      <c r="F8" s="285">
        <f>HLOOKUP(F$3,'Summary of Information'!$C$92:$G$97,$A8,FALSE)</f>
        <v>100281.81999999989</v>
      </c>
      <c r="O8" s="324" t="s">
        <v>162</v>
      </c>
    </row>
    <row r="9" spans="1:15" x14ac:dyDescent="0.25">
      <c r="A9" s="264">
        <f t="shared" si="0"/>
        <v>5</v>
      </c>
      <c r="B9" s="7" t="s">
        <v>669</v>
      </c>
      <c r="C9" s="285">
        <f>HLOOKUP(C$3,'Summary of Information'!$C$92:$G$97,$A9,FALSE)</f>
        <v>0</v>
      </c>
      <c r="D9" s="285">
        <f>HLOOKUP(D$3,'Summary of Information'!$C$92:$G$97,$A9,FALSE)</f>
        <v>0</v>
      </c>
      <c r="E9" s="285">
        <f>HLOOKUP(E$3,'Summary of Information'!$C$92:$G$97,$A9,FALSE)</f>
        <v>0</v>
      </c>
      <c r="F9" s="285">
        <f>HLOOKUP(F$3,'Summary of Information'!$C$92:$G$97,$A9,FALSE)</f>
        <v>0</v>
      </c>
    </row>
    <row r="10" spans="1:15" x14ac:dyDescent="0.25">
      <c r="A10" s="264">
        <f t="shared" si="0"/>
        <v>6</v>
      </c>
      <c r="B10" s="7" t="s">
        <v>670</v>
      </c>
      <c r="C10" s="285">
        <f>HLOOKUP(C$3,'Summary of Information'!$C$92:$G$97,$A10,FALSE)</f>
        <v>0</v>
      </c>
      <c r="D10" s="285">
        <f>HLOOKUP(D$3,'Summary of Information'!$C$92:$G$97,$A10,FALSE)</f>
        <v>0</v>
      </c>
      <c r="E10" s="285">
        <f>HLOOKUP(E$3,'Summary of Information'!$C$92:$G$97,$A10,FALSE)</f>
        <v>0</v>
      </c>
      <c r="F10" s="285">
        <f>HLOOKUP(F$3,'Summary of Information'!$C$92:$G$97,$A10,FALSE)</f>
        <v>0</v>
      </c>
    </row>
    <row r="12" spans="1:15" ht="27.6" customHeight="1" thickBot="1" x14ac:dyDescent="0.3">
      <c r="B12" s="326" t="s">
        <v>188</v>
      </c>
      <c r="C12" s="299" t="str">
        <f>C3</f>
        <v>Audited-28/02/2023</v>
      </c>
      <c r="D12" s="268" t="str">
        <f>D3</f>
        <v>Audited-29/02/2024</v>
      </c>
      <c r="E12" s="268" t="str">
        <f>E3</f>
        <v>Audited-28/02/2025</v>
      </c>
      <c r="F12" s="268" t="str">
        <f>F3</f>
        <v>Mgmt Acc-30/11/2025</v>
      </c>
    </row>
    <row r="13" spans="1:15" ht="27.6" customHeight="1" x14ac:dyDescent="0.25">
      <c r="B13" s="327" t="s">
        <v>190</v>
      </c>
      <c r="C13" s="300" t="str">
        <f>C5</f>
        <v>28/02/2023</v>
      </c>
      <c r="D13" s="266" t="str">
        <f>D5</f>
        <v>29/02/2024</v>
      </c>
      <c r="E13" s="266" t="str">
        <f>E5</f>
        <v>28/02/2025</v>
      </c>
      <c r="F13" s="266" t="str">
        <f>F5</f>
        <v>30/11/2025</v>
      </c>
    </row>
    <row r="14" spans="1:15" ht="13.5" thickBot="1" x14ac:dyDescent="0.3">
      <c r="A14" s="264">
        <v>2</v>
      </c>
      <c r="B14" s="328" t="s">
        <v>192</v>
      </c>
      <c r="C14" s="298" t="str">
        <f>HLOOKUP(C$3,'Summary of Information'!$C$71:$G$84,$A14,FALSE)</f>
        <v>Yes</v>
      </c>
      <c r="D14" s="298" t="str">
        <f>HLOOKUP(D$3,'Summary of Information'!$C$71:$G$84,$A14,FALSE)</f>
        <v>Yes</v>
      </c>
      <c r="E14" s="298" t="str">
        <f>HLOOKUP(E$3,'Summary of Information'!$C$71:$G$84,$A14,FALSE)</f>
        <v>Yes</v>
      </c>
      <c r="F14" s="298" t="str">
        <f>HLOOKUP(F$3,'Summary of Information'!$C$71:$G$84,$A14,FALSE)</f>
        <v>N/A</v>
      </c>
    </row>
    <row r="15" spans="1:15" x14ac:dyDescent="0.25">
      <c r="A15" s="264">
        <f>A14+1</f>
        <v>3</v>
      </c>
      <c r="B15" s="334" t="s">
        <v>194</v>
      </c>
      <c r="C15" s="335">
        <f>HLOOKUP(C$3,'Summary of Information'!$C$71:$G$84,$A15,FALSE)</f>
        <v>511306</v>
      </c>
      <c r="D15" s="335">
        <f>HLOOKUP(D$3,'Summary of Information'!$C$71:$G$84,$A15,FALSE)</f>
        <v>665162</v>
      </c>
      <c r="E15" s="335">
        <f>HLOOKUP(E$3,'Summary of Information'!$C$71:$G$84,$A15,FALSE)</f>
        <v>678423</v>
      </c>
      <c r="F15" s="335">
        <f>HLOOKUP(F$3,'Summary of Information'!$C$71:$G$84,$A15,FALSE)</f>
        <v>682672.79</v>
      </c>
    </row>
    <row r="16" spans="1:15" ht="13.5" thickBot="1" x14ac:dyDescent="0.3">
      <c r="A16" s="264">
        <f t="shared" ref="A16:A26" si="1">A15+1</f>
        <v>4</v>
      </c>
      <c r="B16" s="336" t="s">
        <v>196</v>
      </c>
      <c r="C16" s="337">
        <f>HLOOKUP(C$3,'Summary of Information'!$C$71:$G$84,$A16,FALSE)</f>
        <v>2165824</v>
      </c>
      <c r="D16" s="337">
        <f>HLOOKUP(D$3,'Summary of Information'!$C$71:$G$84,$A16,FALSE)</f>
        <v>2989002</v>
      </c>
      <c r="E16" s="337">
        <f>HLOOKUP(E$3,'Summary of Information'!$C$71:$G$84,$A16,FALSE)</f>
        <v>4077832</v>
      </c>
      <c r="F16" s="337">
        <f>HLOOKUP(F$3,'Summary of Information'!$C$71:$G$84,$A16,FALSE)</f>
        <v>4651280.66</v>
      </c>
    </row>
    <row r="17" spans="1:12" ht="13.5" thickBot="1" x14ac:dyDescent="0.3">
      <c r="A17" s="264">
        <f t="shared" si="1"/>
        <v>5</v>
      </c>
      <c r="B17" s="338" t="s">
        <v>202</v>
      </c>
      <c r="C17" s="339">
        <f>HLOOKUP(C$3,'Summary of Information'!$C$71:$G$84,$A17,FALSE)</f>
        <v>2677130</v>
      </c>
      <c r="D17" s="339">
        <f>HLOOKUP(D$3,'Summary of Information'!$C$71:$G$84,$A17,FALSE)</f>
        <v>3654164</v>
      </c>
      <c r="E17" s="339">
        <f>HLOOKUP(E$3,'Summary of Information'!$C$71:$G$84,$A17,FALSE)</f>
        <v>4756255</v>
      </c>
      <c r="F17" s="339">
        <f>HLOOKUP(F$3,'Summary of Information'!$C$71:$G$84,$A17,FALSE)</f>
        <v>5333953.45</v>
      </c>
    </row>
    <row r="18" spans="1:12" x14ac:dyDescent="0.25">
      <c r="A18" s="264">
        <f t="shared" si="1"/>
        <v>6</v>
      </c>
      <c r="B18" s="340" t="s">
        <v>203</v>
      </c>
      <c r="C18" s="335">
        <f>HLOOKUP(C$3,'Summary of Information'!$C$71:$G$84,$A18,FALSE)</f>
        <v>1229498</v>
      </c>
      <c r="D18" s="335">
        <f>HLOOKUP(D$3,'Summary of Information'!$C$71:$G$84,$A18,FALSE)</f>
        <v>954586</v>
      </c>
      <c r="E18" s="335">
        <f>HLOOKUP(E$3,'Summary of Information'!$C$71:$G$84,$A18,FALSE)</f>
        <v>1072842</v>
      </c>
      <c r="F18" s="335">
        <f>HLOOKUP(F$3,'Summary of Information'!$C$71:$G$84,$A18,FALSE)</f>
        <v>1021981.22</v>
      </c>
      <c r="J18" s="181"/>
      <c r="K18" s="181"/>
      <c r="L18" s="181"/>
    </row>
    <row r="19" spans="1:12" ht="13.5" thickBot="1" x14ac:dyDescent="0.3">
      <c r="A19" s="264">
        <f t="shared" si="1"/>
        <v>7</v>
      </c>
      <c r="B19" s="336" t="s">
        <v>207</v>
      </c>
      <c r="C19" s="337">
        <f>HLOOKUP(C$3,'Summary of Information'!$C$71:$G$84,$A19,FALSE)</f>
        <v>1091144</v>
      </c>
      <c r="D19" s="337">
        <f>HLOOKUP(D$3,'Summary of Information'!$C$71:$G$84,$A19,FALSE)</f>
        <v>2204971</v>
      </c>
      <c r="E19" s="337">
        <f>HLOOKUP(E$3,'Summary of Information'!$C$71:$G$84,$A19,FALSE)</f>
        <v>2789923</v>
      </c>
      <c r="F19" s="337">
        <f>HLOOKUP(F$3,'Summary of Information'!$C$71:$G$84,$A19,FALSE)</f>
        <v>3318200.4299999997</v>
      </c>
    </row>
    <row r="20" spans="1:12" ht="13.5" thickBot="1" x14ac:dyDescent="0.3">
      <c r="A20" s="264">
        <f t="shared" si="1"/>
        <v>8</v>
      </c>
      <c r="B20" s="338" t="s">
        <v>210</v>
      </c>
      <c r="C20" s="339">
        <f>HLOOKUP(C$3,'Summary of Information'!$C$71:$G$84,$A20,FALSE)</f>
        <v>2320642</v>
      </c>
      <c r="D20" s="339">
        <f>HLOOKUP(D$3,'Summary of Information'!$C$71:$G$84,$A20,FALSE)</f>
        <v>3159557</v>
      </c>
      <c r="E20" s="339">
        <f>HLOOKUP(E$3,'Summary of Information'!$C$71:$G$84,$A20,FALSE)</f>
        <v>3862765</v>
      </c>
      <c r="F20" s="339">
        <f>HLOOKUP(F$3,'Summary of Information'!$C$71:$G$84,$A20,FALSE)</f>
        <v>4340181.6499999994</v>
      </c>
    </row>
    <row r="21" spans="1:12" x14ac:dyDescent="0.25">
      <c r="A21" s="264">
        <f t="shared" si="1"/>
        <v>9</v>
      </c>
      <c r="B21" s="341" t="s">
        <v>212</v>
      </c>
      <c r="C21" s="342">
        <f>HLOOKUP(C$3,'Summary of Information'!$C$71:$G$84,$A21,FALSE)</f>
        <v>255100</v>
      </c>
      <c r="D21" s="342">
        <f>HLOOKUP(D$3,'Summary of Information'!$C$71:$G$84,$A21,FALSE)</f>
        <v>355100</v>
      </c>
      <c r="E21" s="342">
        <f>HLOOKUP(E$3,'Summary of Information'!$C$71:$G$84,$A21,FALSE)</f>
        <v>835100</v>
      </c>
      <c r="F21" s="342">
        <f>HLOOKUP(F$3,'Summary of Information'!$C$71:$G$84,$A21,FALSE)</f>
        <v>835100</v>
      </c>
    </row>
    <row r="22" spans="1:12" x14ac:dyDescent="0.25">
      <c r="A22" s="264">
        <f t="shared" si="1"/>
        <v>10</v>
      </c>
      <c r="B22" s="341" t="s">
        <v>671</v>
      </c>
      <c r="C22" s="337">
        <f>HLOOKUP(C$3,'Summary of Information'!$C$71:$G$84,$A22,FALSE)</f>
        <v>0</v>
      </c>
      <c r="D22" s="337">
        <f>HLOOKUP(D$3,'Summary of Information'!$C$71:$G$84,$A22,FALSE)</f>
        <v>0</v>
      </c>
      <c r="E22" s="342">
        <f>HLOOKUP(E$3,'Summary of Information'!$C$71:$G$84,$A22,FALSE)</f>
        <v>0</v>
      </c>
      <c r="F22" s="342">
        <f>HLOOKUP(F$3,'Summary of Information'!$C$71:$G$84,$A22,FALSE)</f>
        <v>0</v>
      </c>
      <c r="H22" s="134"/>
    </row>
    <row r="23" spans="1:12" x14ac:dyDescent="0.25">
      <c r="A23" s="264">
        <f t="shared" si="1"/>
        <v>11</v>
      </c>
      <c r="B23" s="336" t="s">
        <v>665</v>
      </c>
      <c r="C23" s="337">
        <f>HLOOKUP(C$3,'Summary of Information'!$C$71:$G$84,$A23,FALSE)</f>
        <v>101388</v>
      </c>
      <c r="D23" s="337">
        <f>HLOOKUP(D$3,'Summary of Information'!$C$71:$G$84,$A23,FALSE)</f>
        <v>139507</v>
      </c>
      <c r="E23" s="337">
        <f>HLOOKUP(E$3,'Summary of Information'!$C$71:$G$84,$A23,FALSE)</f>
        <v>58390</v>
      </c>
      <c r="F23" s="337">
        <f>HLOOKUP(F$3,'Summary of Information'!$C$71:$G$84,$A23,FALSE)</f>
        <v>158671.79999999999</v>
      </c>
    </row>
    <row r="24" spans="1:12" ht="13.5" thickBot="1" x14ac:dyDescent="0.3">
      <c r="A24" s="264">
        <f t="shared" si="1"/>
        <v>12</v>
      </c>
      <c r="B24" s="341" t="s">
        <v>666</v>
      </c>
      <c r="C24" s="342">
        <f>HLOOKUP(C$3,'Summary of Information'!$C$71:$G$84,$A24,FALSE)</f>
        <v>0</v>
      </c>
      <c r="D24" s="342">
        <f>HLOOKUP(D$3,'Summary of Information'!$C$71:$G$84,$A24,FALSE)</f>
        <v>0</v>
      </c>
      <c r="E24" s="342">
        <f>HLOOKUP(E$3,'Summary of Information'!$C$71:$G$84,$A24,FALSE)</f>
        <v>0</v>
      </c>
      <c r="F24" s="342">
        <f>HLOOKUP(F$3,'Summary of Information'!$C$71:$G$84,$A24,FALSE)</f>
        <v>0</v>
      </c>
    </row>
    <row r="25" spans="1:12" ht="13.5" thickBot="1" x14ac:dyDescent="0.3">
      <c r="A25" s="264">
        <f t="shared" si="1"/>
        <v>13</v>
      </c>
      <c r="B25" s="338" t="s">
        <v>211</v>
      </c>
      <c r="C25" s="339">
        <f>HLOOKUP(C$3,'Summary of Information'!$C$71:$G$84,$A25,FALSE)</f>
        <v>356488</v>
      </c>
      <c r="D25" s="339">
        <f>HLOOKUP(D$3,'Summary of Information'!$C$71:$G$84,$A25,FALSE)</f>
        <v>494607</v>
      </c>
      <c r="E25" s="339">
        <f>HLOOKUP(E$3,'Summary of Information'!$C$71:$G$84,$A25,FALSE)</f>
        <v>893490</v>
      </c>
      <c r="F25" s="343">
        <f>HLOOKUP(F$3,'Summary of Information'!$C$71:$G$84,$A25,FALSE)</f>
        <v>993771.8</v>
      </c>
    </row>
    <row r="26" spans="1:12" ht="13.5" thickBot="1" x14ac:dyDescent="0.3">
      <c r="A26" s="264">
        <f t="shared" si="1"/>
        <v>14</v>
      </c>
      <c r="B26" s="338" t="s">
        <v>215</v>
      </c>
      <c r="C26" s="339">
        <f>HLOOKUP(C$3,'Summary of Information'!$C$71:$G$84,$A26,FALSE)</f>
        <v>2677130</v>
      </c>
      <c r="D26" s="339">
        <f>HLOOKUP(D$3,'Summary of Information'!$C$71:$G$84,$A26,FALSE)</f>
        <v>3654164</v>
      </c>
      <c r="E26" s="339">
        <f>HLOOKUP(E$3,'Summary of Information'!$C$71:$G$84,$A26,FALSE)</f>
        <v>4756255</v>
      </c>
      <c r="F26" s="339">
        <f>HLOOKUP(F$3,'Summary of Information'!$C$71:$G$84,$A26,FALSE)</f>
        <v>5333953.4499999993</v>
      </c>
    </row>
    <row r="27" spans="1:12" x14ac:dyDescent="0.25">
      <c r="D27" s="227"/>
      <c r="E27" s="227"/>
      <c r="F27" s="227"/>
    </row>
    <row r="28" spans="1:12" x14ac:dyDescent="0.25">
      <c r="D28" s="227"/>
      <c r="E28" s="227"/>
      <c r="F28" s="227"/>
    </row>
    <row r="29" spans="1:12" x14ac:dyDescent="0.25">
      <c r="D29" s="227"/>
      <c r="E29" s="227"/>
      <c r="F29" s="227"/>
    </row>
    <row r="30" spans="1:12" x14ac:dyDescent="0.25">
      <c r="D30" s="227"/>
      <c r="E30" s="227"/>
      <c r="F30" s="227"/>
    </row>
    <row r="31" spans="1:12" x14ac:dyDescent="0.25">
      <c r="D31" s="227"/>
      <c r="E31" s="227"/>
      <c r="F31" s="227"/>
    </row>
    <row r="32" spans="1:12" x14ac:dyDescent="0.25">
      <c r="D32" s="227"/>
      <c r="E32" s="227"/>
      <c r="F32" s="227"/>
    </row>
    <row r="33" spans="4:6" x14ac:dyDescent="0.25">
      <c r="D33" s="227"/>
      <c r="E33" s="227"/>
      <c r="F33" s="227"/>
    </row>
    <row r="34" spans="4:6" x14ac:dyDescent="0.25">
      <c r="D34" s="227"/>
      <c r="E34" s="227"/>
      <c r="F34" s="227"/>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65"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Information'!$C$92:$G$92</xm:f>
          </x14:formula1>
          <xm:sqref>C3:F3</xm:sqref>
        </x14:dataValidation>
        <x14:dataValidation type="list" allowBlank="1" showInputMessage="1" showErrorMessage="1" xr:uid="{9FC7375F-58E5-4761-9053-E54D704A5E4D}">
          <x14:formula1>
            <xm:f>'Summary of Information'!$C$4:$F$4</xm:f>
          </x14:formula1>
          <xm:sqref>C5:E5 F5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97"/>
  <sheetViews>
    <sheetView showGridLines="0" topLeftCell="A19" zoomScaleNormal="100" workbookViewId="0">
      <selection activeCell="F2" sqref="F2"/>
    </sheetView>
  </sheetViews>
  <sheetFormatPr defaultColWidth="9.140625" defaultRowHeight="12.75" outlineLevelRow="1" x14ac:dyDescent="0.25"/>
  <cols>
    <col min="1" max="1" width="9.140625" style="4"/>
    <col min="2" max="2" width="35.28515625" style="4" customWidth="1"/>
    <col min="3" max="6" width="13.28515625" style="4" customWidth="1"/>
    <col min="7" max="7" width="13.28515625" style="227" customWidth="1"/>
    <col min="8" max="14" width="13.28515625" style="4" customWidth="1"/>
    <col min="15" max="26" width="9.140625" style="4"/>
    <col min="27" max="27" width="9.140625" style="4" customWidth="1"/>
    <col min="28" max="16384" width="9.140625" style="4"/>
  </cols>
  <sheetData>
    <row r="2" spans="2:24" x14ac:dyDescent="0.25">
      <c r="C2" s="20"/>
      <c r="D2" s="20"/>
      <c r="E2" s="20"/>
      <c r="G2" s="102">
        <v>270</v>
      </c>
      <c r="H2" s="20" t="s">
        <v>216</v>
      </c>
    </row>
    <row r="3" spans="2:24" x14ac:dyDescent="0.25">
      <c r="B3" s="221" t="s">
        <v>158</v>
      </c>
      <c r="C3" s="179" t="s">
        <v>160</v>
      </c>
      <c r="D3" s="179" t="s">
        <v>160</v>
      </c>
      <c r="E3" s="179" t="s">
        <v>160</v>
      </c>
      <c r="F3" s="179" t="s">
        <v>674</v>
      </c>
      <c r="G3" s="257" t="s">
        <v>217</v>
      </c>
      <c r="H3" s="20"/>
      <c r="J3" s="179" t="str">
        <f>C3</f>
        <v>Audited</v>
      </c>
      <c r="K3" s="179" t="str">
        <f t="shared" ref="K3:N3" si="0">D3</f>
        <v>Audited</v>
      </c>
      <c r="L3" s="179" t="str">
        <f t="shared" si="0"/>
        <v>Audited</v>
      </c>
      <c r="M3" s="179" t="str">
        <f t="shared" si="0"/>
        <v>Mgmt Acc</v>
      </c>
      <c r="N3" s="179" t="str">
        <f t="shared" si="0"/>
        <v>Annualised</v>
      </c>
      <c r="X3" s="4" t="s">
        <v>51</v>
      </c>
    </row>
    <row r="4" spans="2:24" ht="12.75" customHeight="1" x14ac:dyDescent="0.25">
      <c r="B4" s="101" t="s">
        <v>163</v>
      </c>
      <c r="C4" s="263" t="s">
        <v>914</v>
      </c>
      <c r="D4" s="263" t="s">
        <v>915</v>
      </c>
      <c r="E4" s="263" t="s">
        <v>916</v>
      </c>
      <c r="F4" s="263" t="s">
        <v>1003</v>
      </c>
      <c r="G4" s="263" t="str">
        <f>F4</f>
        <v>30/11/2025</v>
      </c>
      <c r="I4" s="101" t="s">
        <v>164</v>
      </c>
      <c r="J4" s="263" t="str">
        <f>C4</f>
        <v>28/02/2023</v>
      </c>
      <c r="K4" s="263" t="str">
        <f t="shared" ref="K4:M5" si="1">D4</f>
        <v>29/02/2024</v>
      </c>
      <c r="L4" s="263" t="str">
        <f t="shared" si="1"/>
        <v>28/02/2025</v>
      </c>
      <c r="M4" s="263" t="str">
        <f t="shared" si="1"/>
        <v>30/11/2025</v>
      </c>
      <c r="N4" s="263" t="str">
        <f t="shared" ref="N4" si="2">G4</f>
        <v>30/11/2025</v>
      </c>
      <c r="X4" s="4" t="s">
        <v>5</v>
      </c>
    </row>
    <row r="5" spans="2:24" ht="39" customHeight="1" outlineLevel="1" x14ac:dyDescent="0.25">
      <c r="B5" s="101" t="s">
        <v>218</v>
      </c>
      <c r="C5" s="263" t="str">
        <f>C3&amp;"-"&amp;(TEXT(C4,"DDMMYYYY"))</f>
        <v>Audited-28/02/2023</v>
      </c>
      <c r="D5" s="263" t="str">
        <f t="shared" ref="D5:E5" si="3">D3&amp;"-"&amp;(TEXT(D4,"DDMMYYYY"))</f>
        <v>Audited-29/02/2024</v>
      </c>
      <c r="E5" s="263" t="str">
        <f t="shared" si="3"/>
        <v>Audited-28/02/2025</v>
      </c>
      <c r="F5" s="263" t="str">
        <f t="shared" ref="F5:G5" si="4">F3&amp;"-"&amp;(TEXT(F4,"DDMMYYYY"))</f>
        <v>Mgmt Acc-30/11/2025</v>
      </c>
      <c r="G5" s="263" t="str">
        <f t="shared" si="4"/>
        <v>Annualised-30/11/2025</v>
      </c>
      <c r="I5" s="101" t="s">
        <v>219</v>
      </c>
      <c r="J5" s="263" t="str">
        <f>C5</f>
        <v>Audited-28/02/2023</v>
      </c>
      <c r="K5" s="263" t="str">
        <f t="shared" si="1"/>
        <v>Audited-29/02/2024</v>
      </c>
      <c r="L5" s="263" t="str">
        <f t="shared" si="1"/>
        <v>Audited-28/02/2025</v>
      </c>
      <c r="M5" s="263" t="str">
        <f t="shared" si="1"/>
        <v>Mgmt Acc-30/11/2025</v>
      </c>
      <c r="N5" s="263" t="str">
        <f t="shared" ref="N5" si="5">G5</f>
        <v>Annualised-30/11/2025</v>
      </c>
      <c r="X5" s="4" t="s">
        <v>13</v>
      </c>
    </row>
    <row r="6" spans="2:24" ht="25.5" customHeight="1" x14ac:dyDescent="0.25">
      <c r="B6" s="7" t="s">
        <v>165</v>
      </c>
      <c r="C6" s="311">
        <v>4109232</v>
      </c>
      <c r="D6" s="311">
        <v>6124151</v>
      </c>
      <c r="E6" s="311">
        <v>4787807</v>
      </c>
      <c r="F6" s="246">
        <v>4200474.62</v>
      </c>
      <c r="G6" s="287">
        <f>IF($G$2&lt;365,$F6*365/$G$2,$F6)</f>
        <v>5678419.3937037038</v>
      </c>
      <c r="I6" s="7" t="s">
        <v>166</v>
      </c>
      <c r="J6" s="242" t="s">
        <v>13</v>
      </c>
      <c r="K6" s="242">
        <f>(D6-C6)/C6</f>
        <v>0.49033955736741075</v>
      </c>
      <c r="L6" s="242">
        <f t="shared" ref="L6" si="6">(E6-D6)/D6</f>
        <v>-0.21820885866465409</v>
      </c>
      <c r="M6" s="242">
        <f>(F6-E6)/E6</f>
        <v>-0.122672526273511</v>
      </c>
      <c r="N6" s="242">
        <f>(G6-E6)/E6</f>
        <v>0.18601677003766104</v>
      </c>
    </row>
    <row r="7" spans="2:24" x14ac:dyDescent="0.25">
      <c r="B7" s="7" t="s">
        <v>168</v>
      </c>
      <c r="C7" s="311">
        <v>2655683</v>
      </c>
      <c r="D7" s="311">
        <v>4147900</v>
      </c>
      <c r="E7" s="311">
        <v>2528258</v>
      </c>
      <c r="F7" s="246">
        <v>2915374.43</v>
      </c>
      <c r="G7" s="287">
        <f>IF($G$2&lt;365,$F7*365/$G$2,$F7)</f>
        <v>3941154.322037037</v>
      </c>
      <c r="I7" s="7" t="s">
        <v>169</v>
      </c>
      <c r="J7" s="242">
        <f>C8/C6</f>
        <v>0.35372765519201643</v>
      </c>
      <c r="K7" s="242">
        <f>D8/D6</f>
        <v>0.32269795437767618</v>
      </c>
      <c r="L7" s="242">
        <f t="shared" ref="L7:N7" si="7">E8/E6</f>
        <v>0.47193819633915901</v>
      </c>
      <c r="M7" s="242">
        <f t="shared" si="7"/>
        <v>0.30594166284951863</v>
      </c>
      <c r="N7" s="242">
        <f t="shared" si="7"/>
        <v>0.30594166284951868</v>
      </c>
    </row>
    <row r="8" spans="2:24" ht="12.75" customHeight="1" x14ac:dyDescent="0.25">
      <c r="B8" s="288" t="s">
        <v>170</v>
      </c>
      <c r="C8" s="289">
        <f t="shared" ref="C8" si="8">C6-C7</f>
        <v>1453549</v>
      </c>
      <c r="D8" s="289">
        <f t="shared" ref="D8:F8" si="9">D6-D7</f>
        <v>1976251</v>
      </c>
      <c r="E8" s="289">
        <f t="shared" si="9"/>
        <v>2259549</v>
      </c>
      <c r="F8" s="289">
        <f t="shared" si="9"/>
        <v>1285100.19</v>
      </c>
      <c r="G8" s="289">
        <f t="shared" ref="G8" si="10">G6-G7</f>
        <v>1737265.0716666668</v>
      </c>
      <c r="I8" s="7" t="s">
        <v>171</v>
      </c>
      <c r="J8" s="242">
        <f>C17/C6</f>
        <v>4.2810919412678569E-3</v>
      </c>
      <c r="K8" s="242">
        <f>D17/D6</f>
        <v>6.2243729783932498E-3</v>
      </c>
      <c r="L8" s="344">
        <f>E17/E6</f>
        <v>1.0209893590113386E-2</v>
      </c>
      <c r="M8" s="242">
        <f>F17/F6</f>
        <v>2.3873925942206952E-2</v>
      </c>
      <c r="N8" s="242">
        <f>G17/G6</f>
        <v>7.8427042784923358E-3</v>
      </c>
    </row>
    <row r="9" spans="2:24" x14ac:dyDescent="0.25">
      <c r="B9" s="7" t="s">
        <v>142</v>
      </c>
      <c r="C9" s="311">
        <v>58784</v>
      </c>
      <c r="D9" s="311">
        <v>75551</v>
      </c>
      <c r="E9" s="311">
        <v>91032</v>
      </c>
      <c r="F9" s="311">
        <v>0</v>
      </c>
      <c r="G9" s="287">
        <f>IF((AND(G2&lt;365, F9=0)), E9, F9/G2*365)</f>
        <v>91032</v>
      </c>
      <c r="I9" s="7" t="s">
        <v>172</v>
      </c>
      <c r="J9" s="243">
        <f>C25/C39</f>
        <v>1.9849112491110248</v>
      </c>
      <c r="K9" s="243">
        <f>D25/D39</f>
        <v>1.3555742909997455</v>
      </c>
      <c r="L9" s="243">
        <f>E25/E39</f>
        <v>1.4616288693272179</v>
      </c>
      <c r="M9" s="243">
        <f>F25/F39</f>
        <v>1.4017479528805921</v>
      </c>
      <c r="N9" s="243">
        <f>G25/G39</f>
        <v>1.4017479528805921</v>
      </c>
    </row>
    <row r="10" spans="2:24" ht="12.75" customHeight="1" x14ac:dyDescent="0.25">
      <c r="B10" s="7" t="s">
        <v>173</v>
      </c>
      <c r="C10" s="311">
        <f>4900+31793+194339</f>
        <v>231032</v>
      </c>
      <c r="D10" s="311">
        <f>6800+44969+258254</f>
        <v>310023</v>
      </c>
      <c r="E10" s="311">
        <f>610+202856+52300+393623+8533+5444+2400</f>
        <v>665766</v>
      </c>
      <c r="F10" s="246">
        <f>2476.9+231466.47+142455.54+32389+3906.25+365.8+750.8+118308.35</f>
        <v>532119.11</v>
      </c>
      <c r="G10" s="287">
        <f>IF($G$2&lt;365,$F10*365/$G$2,$F10)</f>
        <v>719346.20425925928</v>
      </c>
      <c r="I10" s="7" t="s">
        <v>174</v>
      </c>
      <c r="J10" s="243">
        <f>(C25-C32)/C39</f>
        <v>0.92861528817461303</v>
      </c>
      <c r="K10" s="243">
        <f>(D25-D32)/D39</f>
        <v>0.53885515954631602</v>
      </c>
      <c r="L10" s="243">
        <f>(E25-E32)/E39</f>
        <v>0.44995076925062089</v>
      </c>
      <c r="M10" s="243">
        <f>(F25-F32)/F39</f>
        <v>0.45640692657013499</v>
      </c>
      <c r="N10" s="243">
        <f>(G25-G32)/G39</f>
        <v>0.45640692657013499</v>
      </c>
    </row>
    <row r="11" spans="2:24" x14ac:dyDescent="0.25">
      <c r="B11" s="7" t="s">
        <v>175</v>
      </c>
      <c r="C11" s="311">
        <f>378767+914781-C9-C10</f>
        <v>1003732</v>
      </c>
      <c r="D11" s="311">
        <f>489996+1154287-D9-D10</f>
        <v>1258709</v>
      </c>
      <c r="E11" s="311">
        <f>1205124+464139-E9-E10</f>
        <v>912465</v>
      </c>
      <c r="F11" s="246">
        <f>1184818.37-F9-F10-F15</f>
        <v>299570.18000000011</v>
      </c>
      <c r="G11" s="287">
        <f>IF($G$2&lt;365,$F11*365/$G$2,$F11)</f>
        <v>404974.50259259273</v>
      </c>
      <c r="H11" s="181">
        <f>E9+E11</f>
        <v>1003497</v>
      </c>
      <c r="I11" s="7" t="s">
        <v>78</v>
      </c>
      <c r="J11" s="243">
        <f>(C36+C37+C46+C47)/(C49-C57)</f>
        <v>4.9832028006552811</v>
      </c>
      <c r="K11" s="243">
        <f>(D36+D37+D46+D47)/(D49-D57)</f>
        <v>4.7765397578279325</v>
      </c>
      <c r="L11" s="243">
        <f>(E36+E37+E46+E47)/(E49-E57)</f>
        <v>3.4778475416624697</v>
      </c>
      <c r="M11" s="243">
        <f>(F36+F37+F46+F47)/(F49-F57)</f>
        <v>3.2689785019055684</v>
      </c>
      <c r="N11" s="243">
        <f>(G36+G37+G46+G47)/(G49-F57)</f>
        <v>3.2689785019055684</v>
      </c>
    </row>
    <row r="12" spans="2:24" ht="12.75" customHeight="1" x14ac:dyDescent="0.25">
      <c r="B12" s="288" t="s">
        <v>176</v>
      </c>
      <c r="C12" s="290">
        <f>C8-SUM(C9:C11)</f>
        <v>160001</v>
      </c>
      <c r="D12" s="290">
        <f>D8-SUM(D9:D11)</f>
        <v>331968</v>
      </c>
      <c r="E12" s="290">
        <f>E8-SUM(E9:E11)</f>
        <v>590286</v>
      </c>
      <c r="F12" s="290">
        <f>F8-SUM(F9:F11)</f>
        <v>453410.89999999991</v>
      </c>
      <c r="G12" s="290">
        <f>G8-SUM(G9:G11)</f>
        <v>521912.36481481465</v>
      </c>
      <c r="I12" s="7" t="s">
        <v>178</v>
      </c>
      <c r="J12" s="237">
        <f>C14/C15</f>
        <v>1.2981804317317132</v>
      </c>
      <c r="K12" s="237">
        <f>D14/D15</f>
        <v>1.237923011528882</v>
      </c>
      <c r="L12" s="237">
        <f>E14/E15</f>
        <v>1.2374841891838388</v>
      </c>
      <c r="M12" s="237">
        <f>F14/F15</f>
        <v>1.2839806339370292</v>
      </c>
      <c r="N12" s="237">
        <f>G14/G15</f>
        <v>1.0932890609687893</v>
      </c>
    </row>
    <row r="13" spans="2:24" ht="38.25" x14ac:dyDescent="0.25">
      <c r="B13" s="7" t="s">
        <v>177</v>
      </c>
      <c r="C13" s="311">
        <v>27</v>
      </c>
      <c r="D13" s="311">
        <v>38</v>
      </c>
      <c r="E13" s="311">
        <v>3574</v>
      </c>
      <c r="F13" s="311">
        <v>0</v>
      </c>
      <c r="G13" s="287">
        <f>F13</f>
        <v>0</v>
      </c>
      <c r="I13" s="7" t="s">
        <v>220</v>
      </c>
      <c r="J13" s="242">
        <f>(C14-C15)/C49</f>
        <v>0.1031086600390476</v>
      </c>
      <c r="K13" s="242">
        <f>(D14-D15)/D49</f>
        <v>0.12901151823569015</v>
      </c>
      <c r="L13" s="242">
        <f>(E14-E15)/E49</f>
        <v>0.12755263069536313</v>
      </c>
      <c r="M13" s="242">
        <f>(F14-F15)/F49</f>
        <v>0.1009103095901895</v>
      </c>
      <c r="N13" s="242">
        <f>(G14-G15)/G49</f>
        <v>4.4813270082803613E-2</v>
      </c>
    </row>
    <row r="14" spans="2:24" ht="38.25" customHeight="1" x14ac:dyDescent="0.25">
      <c r="B14" s="288" t="s">
        <v>179</v>
      </c>
      <c r="C14" s="290">
        <f t="shared" ref="C14" si="11">C12+C13</f>
        <v>160028</v>
      </c>
      <c r="D14" s="290">
        <f t="shared" ref="D14:E14" si="12">D12+D13</f>
        <v>332006</v>
      </c>
      <c r="E14" s="290">
        <f t="shared" si="12"/>
        <v>593860</v>
      </c>
      <c r="F14" s="290">
        <f>F12+F13</f>
        <v>453410.89999999991</v>
      </c>
      <c r="G14" s="290">
        <f>G12+G13</f>
        <v>521912.36481481465</v>
      </c>
      <c r="H14" s="247"/>
      <c r="I14" s="314" t="s">
        <v>180</v>
      </c>
      <c r="J14" s="315" t="s">
        <v>13</v>
      </c>
      <c r="K14" s="701">
        <f>((C32+D32)/2)/D7*365</f>
        <v>129.94476060175029</v>
      </c>
      <c r="L14" s="701">
        <f>((D32+E32)/2)/E7*365</f>
        <v>333.73201825130189</v>
      </c>
      <c r="M14" s="701">
        <f>((E32+F32)/2)/F7*365</f>
        <v>373.04938477490862</v>
      </c>
      <c r="N14" s="318">
        <f>((F32+G32)/2)/G7*365</f>
        <v>290.5096378992389</v>
      </c>
    </row>
    <row r="15" spans="2:24" ht="38.25" x14ac:dyDescent="0.25">
      <c r="B15" s="7" t="s">
        <v>56</v>
      </c>
      <c r="C15" s="311">
        <v>123271</v>
      </c>
      <c r="D15" s="311">
        <v>268196</v>
      </c>
      <c r="E15" s="311">
        <f>479893</f>
        <v>479893</v>
      </c>
      <c r="F15" s="246">
        <f>28.39+325221.81+27878.88</f>
        <v>353129.08</v>
      </c>
      <c r="G15" s="287">
        <f>IF((AND(G2&lt;365, F15=0)), E15, F15/G2*365)</f>
        <v>477378.20074074075</v>
      </c>
      <c r="H15" s="181"/>
      <c r="I15" s="7" t="s">
        <v>182</v>
      </c>
      <c r="J15" s="286">
        <f>C26/C6*365</f>
        <v>52.065567239815124</v>
      </c>
      <c r="K15" s="702">
        <f>D26/D6*365</f>
        <v>41.125915249313742</v>
      </c>
      <c r="L15" s="702">
        <f>E26/E6*365</f>
        <v>35.104459097870908</v>
      </c>
      <c r="M15" s="702">
        <f>F26/F6*365</f>
        <v>44.357998965840672</v>
      </c>
      <c r="N15" s="286">
        <f>G26/G6*365</f>
        <v>32.812766358293104</v>
      </c>
    </row>
    <row r="16" spans="2:24" ht="38.25" x14ac:dyDescent="0.25">
      <c r="B16" s="7" t="s">
        <v>181</v>
      </c>
      <c r="C16" s="311">
        <v>19165</v>
      </c>
      <c r="D16" s="311">
        <v>25691</v>
      </c>
      <c r="E16" s="311">
        <v>65084</v>
      </c>
      <c r="F16" s="311">
        <v>0</v>
      </c>
      <c r="G16" s="287">
        <f>IF($G$2&lt;365,$F16*365/$G$2,$F16)</f>
        <v>0</v>
      </c>
      <c r="I16" s="7" t="s">
        <v>184</v>
      </c>
      <c r="J16" s="286">
        <f>C40/C7*365</f>
        <v>58.922237706834736</v>
      </c>
      <c r="K16" s="702">
        <f>D40/D7*365</f>
        <v>55.882776826828035</v>
      </c>
      <c r="L16" s="702">
        <f>E40/E7*365</f>
        <v>61.12635261116548</v>
      </c>
      <c r="M16" s="702">
        <f>F40/F7*365</f>
        <v>104.02817721427294</v>
      </c>
      <c r="N16" s="286">
        <f>G40/G7*365</f>
        <v>76.952350268092317</v>
      </c>
    </row>
    <row r="17" spans="1:14" ht="51" x14ac:dyDescent="0.25">
      <c r="B17" s="291" t="s">
        <v>183</v>
      </c>
      <c r="C17" s="292">
        <f>C14-SUM(C15:C16)</f>
        <v>17592</v>
      </c>
      <c r="D17" s="292">
        <f>D14-SUM(D15:D16)</f>
        <v>38119</v>
      </c>
      <c r="E17" s="292">
        <f>E14-SUM(E15:E16)</f>
        <v>48883</v>
      </c>
      <c r="F17" s="292">
        <f>F14-SUM(F15:F16)</f>
        <v>100281.81999999989</v>
      </c>
      <c r="G17" s="292">
        <f t="shared" ref="G17" si="13">G14-SUM(G15:G16)</f>
        <v>44534.164074073895</v>
      </c>
      <c r="I17" s="301" t="s">
        <v>186</v>
      </c>
      <c r="J17" s="7" t="s">
        <v>13</v>
      </c>
      <c r="K17" s="312">
        <f>K14+K15-K16</f>
        <v>115.187899024236</v>
      </c>
      <c r="L17" s="312">
        <f>L14+L15-L16</f>
        <v>307.71012473800732</v>
      </c>
      <c r="M17" s="312">
        <f>M14+M15-M16</f>
        <v>313.37920652647637</v>
      </c>
      <c r="N17" s="316">
        <f>N14+N15-N16</f>
        <v>246.3700539894397</v>
      </c>
    </row>
    <row r="18" spans="1:14" ht="25.5" x14ac:dyDescent="0.25">
      <c r="B18" s="7" t="s">
        <v>185</v>
      </c>
      <c r="C18" s="311">
        <v>0</v>
      </c>
      <c r="D18" s="311">
        <v>0</v>
      </c>
      <c r="E18" s="311">
        <v>0</v>
      </c>
      <c r="F18" s="311">
        <v>0</v>
      </c>
      <c r="G18" s="310">
        <f>F18</f>
        <v>0</v>
      </c>
      <c r="I18" s="7" t="s">
        <v>187</v>
      </c>
      <c r="J18" s="307" t="s">
        <v>13</v>
      </c>
      <c r="K18" s="317">
        <f>D6/((D34+C34)/2)</f>
        <v>1.9345653510956844</v>
      </c>
      <c r="L18" s="317">
        <f>E6/((E34+D34)/2)</f>
        <v>1.1385418491040695</v>
      </c>
      <c r="M18" s="317">
        <f>F6/((F34+E34)/2)</f>
        <v>0.83258430999014699</v>
      </c>
      <c r="N18" s="317">
        <f>G6/((G34+F34)/2)</f>
        <v>1.0645798556235437</v>
      </c>
    </row>
    <row r="19" spans="1:14" ht="25.5" x14ac:dyDescent="0.2">
      <c r="B19" s="7" t="s">
        <v>662</v>
      </c>
      <c r="C19" s="329">
        <f>C17+C16</f>
        <v>36757</v>
      </c>
      <c r="D19" s="329">
        <f t="shared" ref="D19:F19" si="14">D17+D16</f>
        <v>63810</v>
      </c>
      <c r="E19" s="329">
        <f>E17+E16</f>
        <v>113967</v>
      </c>
      <c r="F19" s="329">
        <f t="shared" si="14"/>
        <v>100281.81999999989</v>
      </c>
      <c r="G19" s="330">
        <f t="shared" ref="G19" si="15">G17-G16</f>
        <v>44534.164074073895</v>
      </c>
      <c r="I19" s="302" t="s">
        <v>189</v>
      </c>
      <c r="J19" s="312">
        <f>IF(C49&lt;0,"N/A",C17/C49)</f>
        <v>4.934808464801059E-2</v>
      </c>
      <c r="K19" s="312">
        <f>IF(D49&lt;0,"N/A",D17/D49)</f>
        <v>7.7069269136910715E-2</v>
      </c>
      <c r="L19" s="312">
        <f>IF(E49&lt;0,"N/A",E17/E49)</f>
        <v>5.4710181423407091E-2</v>
      </c>
      <c r="M19" s="312">
        <f>IF(F49&lt;0,"N/A",F17/F49)</f>
        <v>0.1009103095901895</v>
      </c>
      <c r="N19" s="312">
        <f>IF(G49&lt;0,"N/A",G17/G49)</f>
        <v>4.4813270082803613E-2</v>
      </c>
    </row>
    <row r="20" spans="1:14" ht="26.25" customHeight="1" thickBot="1" x14ac:dyDescent="0.3">
      <c r="C20" s="180"/>
      <c r="D20" s="180"/>
      <c r="E20" s="180"/>
      <c r="F20" s="180"/>
      <c r="G20" s="256"/>
      <c r="I20" s="301" t="s">
        <v>191</v>
      </c>
      <c r="J20" s="312">
        <f>C17/C34</f>
        <v>6.5712161904726328E-3</v>
      </c>
      <c r="K20" s="312">
        <f>D17/D34</f>
        <v>1.0431660976354647E-2</v>
      </c>
      <c r="L20" s="312">
        <f>E17/E34</f>
        <v>1.0277623886860566E-2</v>
      </c>
      <c r="M20" s="312">
        <f>F17/F34</f>
        <v>1.8800655262561371E-2</v>
      </c>
      <c r="N20" s="312">
        <f>G17/G34</f>
        <v>8.3491849884955206E-3</v>
      </c>
    </row>
    <row r="21" spans="1:14" ht="27.4" customHeight="1" x14ac:dyDescent="0.25">
      <c r="B21" s="265" t="s">
        <v>190</v>
      </c>
      <c r="C21" s="266" t="str">
        <f t="shared" ref="C21:G22" si="16">C4</f>
        <v>28/02/2023</v>
      </c>
      <c r="D21" s="266" t="str">
        <f t="shared" si="16"/>
        <v>29/02/2024</v>
      </c>
      <c r="E21" s="266" t="str">
        <f t="shared" si="16"/>
        <v>28/02/2025</v>
      </c>
      <c r="F21" s="266" t="str">
        <f t="shared" si="16"/>
        <v>30/11/2025</v>
      </c>
      <c r="G21" s="267" t="str">
        <f t="shared" si="16"/>
        <v>30/11/2025</v>
      </c>
      <c r="I21" s="301" t="s">
        <v>193</v>
      </c>
      <c r="J21" s="7">
        <f>C18/(C17)</f>
        <v>0</v>
      </c>
      <c r="K21" s="7">
        <f>D18/(D17)</f>
        <v>0</v>
      </c>
      <c r="L21" s="7">
        <f>E18/(E17)</f>
        <v>0</v>
      </c>
      <c r="M21" s="7">
        <f>F18/(F17)</f>
        <v>0</v>
      </c>
      <c r="N21" s="7">
        <f>G18/(G17)</f>
        <v>0</v>
      </c>
    </row>
    <row r="22" spans="1:14" ht="27.4" customHeight="1" outlineLevel="1" x14ac:dyDescent="0.25">
      <c r="B22" s="294" t="s">
        <v>188</v>
      </c>
      <c r="C22" s="263" t="str">
        <f t="shared" si="16"/>
        <v>Audited-28/02/2023</v>
      </c>
      <c r="D22" s="263" t="str">
        <f t="shared" si="16"/>
        <v>Audited-29/02/2024</v>
      </c>
      <c r="E22" s="263" t="str">
        <f t="shared" si="16"/>
        <v>Audited-28/02/2025</v>
      </c>
      <c r="F22" s="263" t="str">
        <f t="shared" si="16"/>
        <v>Mgmt Acc-30/11/2025</v>
      </c>
      <c r="G22" s="295" t="str">
        <f t="shared" si="16"/>
        <v>Annualised-30/11/2025</v>
      </c>
      <c r="I22" s="313" t="s">
        <v>195</v>
      </c>
      <c r="J22" s="322">
        <f>C17/C64</f>
        <v>2.7064615384615385E-2</v>
      </c>
      <c r="K22" s="322">
        <f>D17/D64</f>
        <v>5.8644615384615385E-2</v>
      </c>
      <c r="L22" s="322">
        <f>E17/E64</f>
        <v>7.5204615384615384E-2</v>
      </c>
      <c r="M22" s="322">
        <f>F17/F64</f>
        <v>0.15427972307692292</v>
      </c>
      <c r="N22" s="322" t="e">
        <f>G17/G64</f>
        <v>#DIV/0!</v>
      </c>
    </row>
    <row r="23" spans="1:14" ht="26.25" outlineLevel="1" thickBot="1" x14ac:dyDescent="0.3">
      <c r="A23" s="297">
        <v>2</v>
      </c>
      <c r="B23" s="319" t="s">
        <v>221</v>
      </c>
      <c r="C23" s="296" t="s">
        <v>51</v>
      </c>
      <c r="D23" s="296" t="s">
        <v>51</v>
      </c>
      <c r="E23" s="296" t="s">
        <v>51</v>
      </c>
      <c r="F23" s="296" t="s">
        <v>13</v>
      </c>
      <c r="G23" s="321" t="s">
        <v>13</v>
      </c>
      <c r="I23" s="331" t="s">
        <v>197</v>
      </c>
      <c r="J23" s="332">
        <f>C18/C64</f>
        <v>0</v>
      </c>
      <c r="K23" s="332">
        <f>D18/D64</f>
        <v>0</v>
      </c>
      <c r="L23" s="332">
        <f>E18/E64</f>
        <v>0</v>
      </c>
      <c r="M23" s="332">
        <f>F18/F64</f>
        <v>0</v>
      </c>
      <c r="N23" s="332" t="e">
        <f>G18/G64</f>
        <v>#DIV/0!</v>
      </c>
    </row>
    <row r="24" spans="1:14" ht="25.5" customHeight="1" x14ac:dyDescent="0.25">
      <c r="A24" s="4">
        <v>3</v>
      </c>
      <c r="B24" s="320" t="s">
        <v>194</v>
      </c>
      <c r="C24" s="293">
        <v>511306</v>
      </c>
      <c r="D24" s="293">
        <v>665162</v>
      </c>
      <c r="E24" s="293">
        <v>678423</v>
      </c>
      <c r="F24" s="293">
        <v>682672.79</v>
      </c>
      <c r="G24" s="277">
        <f>$F24</f>
        <v>682672.79</v>
      </c>
      <c r="I24" s="7" t="s">
        <v>663</v>
      </c>
      <c r="J24" s="333">
        <f>C19/C6</f>
        <v>8.944980473236849E-3</v>
      </c>
      <c r="K24" s="333">
        <f>D19/D6</f>
        <v>1.0419403440574865E-2</v>
      </c>
      <c r="L24" s="333">
        <f>E19/E6</f>
        <v>2.3803591080425755E-2</v>
      </c>
      <c r="M24" s="333">
        <f>F19/F6</f>
        <v>2.3873925942206952E-2</v>
      </c>
      <c r="N24" s="333">
        <f>G19/G6</f>
        <v>7.8427042784923358E-3</v>
      </c>
    </row>
    <row r="25" spans="1:14" x14ac:dyDescent="0.25">
      <c r="A25" s="297">
        <v>4</v>
      </c>
      <c r="B25" s="270" t="s">
        <v>196</v>
      </c>
      <c r="C25" s="271">
        <f>SUM(C26:C27,C32:C33)</f>
        <v>2165824</v>
      </c>
      <c r="D25" s="271">
        <f>SUM(D26:D27,D32:D33)</f>
        <v>2989002</v>
      </c>
      <c r="E25" s="271">
        <f>SUM(E26:E27,E32:E33)</f>
        <v>4077832</v>
      </c>
      <c r="F25" s="271">
        <f>SUM(F26:F27,F32:F33)</f>
        <v>4651280.66</v>
      </c>
      <c r="G25" s="272">
        <f>SUM(G26:G27,G32:G33)</f>
        <v>4651280.66</v>
      </c>
    </row>
    <row r="26" spans="1:14" ht="12.75" customHeight="1" x14ac:dyDescent="0.25">
      <c r="A26" s="4">
        <v>5</v>
      </c>
      <c r="B26" s="104" t="s">
        <v>198</v>
      </c>
      <c r="C26" s="103">
        <v>586163</v>
      </c>
      <c r="D26" s="103">
        <v>690031</v>
      </c>
      <c r="E26" s="103">
        <v>460475</v>
      </c>
      <c r="F26" s="103">
        <v>510478.49</v>
      </c>
      <c r="G26" s="258">
        <f t="shared" ref="G26:G33" si="17">$F26</f>
        <v>510478.49</v>
      </c>
    </row>
    <row r="27" spans="1:14" x14ac:dyDescent="0.25">
      <c r="A27" s="297">
        <v>6</v>
      </c>
      <c r="B27" s="273" t="s">
        <v>199</v>
      </c>
      <c r="C27" s="274">
        <f>SUM(C28:C31)</f>
        <v>322000</v>
      </c>
      <c r="D27" s="274">
        <f t="shared" ref="D27:G27" si="18">SUM(D28:D31)</f>
        <v>400287</v>
      </c>
      <c r="E27" s="274">
        <f t="shared" si="18"/>
        <v>670880</v>
      </c>
      <c r="F27" s="274">
        <f t="shared" si="18"/>
        <v>922159.85</v>
      </c>
      <c r="G27" s="275">
        <f t="shared" si="18"/>
        <v>922159.85</v>
      </c>
    </row>
    <row r="28" spans="1:14" ht="12.75" customHeight="1" x14ac:dyDescent="0.25">
      <c r="A28" s="4">
        <v>7</v>
      </c>
      <c r="B28" s="269" t="s">
        <v>222</v>
      </c>
      <c r="C28" s="106">
        <v>8500</v>
      </c>
      <c r="D28" s="106">
        <v>91500</v>
      </c>
      <c r="E28" s="103">
        <v>366600</v>
      </c>
      <c r="F28" s="106">
        <v>365800</v>
      </c>
      <c r="G28" s="260">
        <f>$F28</f>
        <v>365800</v>
      </c>
    </row>
    <row r="29" spans="1:14" x14ac:dyDescent="0.25">
      <c r="A29" s="297">
        <v>8</v>
      </c>
      <c r="B29" s="269" t="s">
        <v>223</v>
      </c>
      <c r="C29" s="103">
        <v>265166</v>
      </c>
      <c r="D29" s="103">
        <v>250237</v>
      </c>
      <c r="E29" s="103">
        <v>242929</v>
      </c>
      <c r="F29" s="106">
        <f>490680.12+876</f>
        <v>491556.12</v>
      </c>
      <c r="G29" s="260">
        <f>$F29</f>
        <v>491556.12</v>
      </c>
    </row>
    <row r="30" spans="1:14" ht="12.75" customHeight="1" x14ac:dyDescent="0.25">
      <c r="A30" s="4">
        <v>9</v>
      </c>
      <c r="B30" s="269" t="s">
        <v>224</v>
      </c>
      <c r="C30" s="103">
        <v>0</v>
      </c>
      <c r="D30" s="103">
        <v>0</v>
      </c>
      <c r="E30" s="103"/>
      <c r="F30" s="103"/>
      <c r="G30" s="260">
        <f>$F30</f>
        <v>0</v>
      </c>
      <c r="I30" s="181">
        <f>F25-J30</f>
        <v>102468.04000000004</v>
      </c>
      <c r="J30" s="4">
        <v>4548812.62</v>
      </c>
    </row>
    <row r="31" spans="1:14" x14ac:dyDescent="0.25">
      <c r="A31" s="297">
        <v>10</v>
      </c>
      <c r="B31" s="269" t="s">
        <v>225</v>
      </c>
      <c r="C31" s="103">
        <f>5284+43050</f>
        <v>48334</v>
      </c>
      <c r="D31" s="103">
        <v>58550</v>
      </c>
      <c r="E31" s="103">
        <f>1801+59550</f>
        <v>61351</v>
      </c>
      <c r="F31" s="106">
        <f>51550+13253.73</f>
        <v>64803.729999999996</v>
      </c>
      <c r="G31" s="260">
        <f>$F31</f>
        <v>64803.729999999996</v>
      </c>
    </row>
    <row r="32" spans="1:14" ht="12.75" customHeight="1" x14ac:dyDescent="0.25">
      <c r="A32" s="4">
        <v>11</v>
      </c>
      <c r="B32" s="105" t="s">
        <v>200</v>
      </c>
      <c r="C32" s="103">
        <v>1152571</v>
      </c>
      <c r="D32" s="103">
        <v>1800842</v>
      </c>
      <c r="E32" s="103">
        <v>2822504</v>
      </c>
      <c r="F32" s="106">
        <f>3136831</f>
        <v>3136831</v>
      </c>
      <c r="G32" s="259">
        <f t="shared" si="17"/>
        <v>3136831</v>
      </c>
      <c r="I32" s="181"/>
    </row>
    <row r="33" spans="1:12" ht="13.5" thickBot="1" x14ac:dyDescent="0.3">
      <c r="A33" s="297">
        <v>12</v>
      </c>
      <c r="B33" s="105" t="s">
        <v>201</v>
      </c>
      <c r="C33" s="106">
        <v>105090</v>
      </c>
      <c r="D33" s="106">
        <v>97842</v>
      </c>
      <c r="E33" s="106">
        <v>123973</v>
      </c>
      <c r="F33" s="106">
        <f>72301.35+9509.97</f>
        <v>81811.320000000007</v>
      </c>
      <c r="G33" s="260">
        <f t="shared" si="17"/>
        <v>81811.320000000007</v>
      </c>
      <c r="I33" s="181"/>
    </row>
    <row r="34" spans="1:12" ht="13.5" customHeight="1" thickBot="1" x14ac:dyDescent="0.3">
      <c r="A34" s="4">
        <v>13</v>
      </c>
      <c r="B34" s="281" t="s">
        <v>202</v>
      </c>
      <c r="C34" s="282">
        <f>SUM(C24:C25)</f>
        <v>2677130</v>
      </c>
      <c r="D34" s="282">
        <f>SUM(D24:D25)</f>
        <v>3654164</v>
      </c>
      <c r="E34" s="282">
        <f>SUM(E24:E25)</f>
        <v>4756255</v>
      </c>
      <c r="F34" s="282">
        <f>SUM(F24:F25)</f>
        <v>5333953.45</v>
      </c>
      <c r="G34" s="283">
        <f>SUM(G24:G25)</f>
        <v>5333953.45</v>
      </c>
      <c r="H34" s="249"/>
      <c r="I34" s="181"/>
      <c r="J34" s="181"/>
      <c r="K34" s="181"/>
      <c r="L34" s="181"/>
    </row>
    <row r="35" spans="1:12" x14ac:dyDescent="0.25">
      <c r="A35" s="297">
        <v>14</v>
      </c>
      <c r="B35" s="278" t="s">
        <v>203</v>
      </c>
      <c r="C35" s="279">
        <f t="shared" ref="C35:D35" si="19">SUM(C36:C38)</f>
        <v>1229498</v>
      </c>
      <c r="D35" s="279">
        <f t="shared" si="19"/>
        <v>954586</v>
      </c>
      <c r="E35" s="279">
        <f t="shared" ref="E35" si="20">SUM(E36:E38)</f>
        <v>1072842</v>
      </c>
      <c r="F35" s="279">
        <f>SUM(F36:F38)</f>
        <v>1021981.22</v>
      </c>
      <c r="G35" s="280">
        <f>SUM(G36:G38)</f>
        <v>1021981.22</v>
      </c>
    </row>
    <row r="36" spans="1:12" ht="12.75" customHeight="1" x14ac:dyDescent="0.25">
      <c r="A36" s="4">
        <v>15</v>
      </c>
      <c r="B36" s="104" t="s">
        <v>204</v>
      </c>
      <c r="C36" s="103">
        <v>987572</v>
      </c>
      <c r="D36" s="103">
        <v>791401</v>
      </c>
      <c r="E36" s="103">
        <v>878066</v>
      </c>
      <c r="F36" s="710">
        <v>1021981.22</v>
      </c>
      <c r="G36" s="261">
        <f t="shared" ref="G36:G37" si="21">$F36</f>
        <v>1021981.22</v>
      </c>
    </row>
    <row r="37" spans="1:12" x14ac:dyDescent="0.25">
      <c r="A37" s="297">
        <v>16</v>
      </c>
      <c r="B37" s="104" t="s">
        <v>205</v>
      </c>
      <c r="C37" s="103">
        <v>238086</v>
      </c>
      <c r="D37" s="103">
        <v>159345</v>
      </c>
      <c r="E37" s="103">
        <v>161108</v>
      </c>
      <c r="F37" s="103">
        <v>0</v>
      </c>
      <c r="G37" s="261">
        <f t="shared" si="21"/>
        <v>0</v>
      </c>
    </row>
    <row r="38" spans="1:12" ht="12.75" customHeight="1" x14ac:dyDescent="0.25">
      <c r="A38" s="4">
        <v>17</v>
      </c>
      <c r="B38" s="104" t="s">
        <v>206</v>
      </c>
      <c r="C38" s="103">
        <v>3840</v>
      </c>
      <c r="D38" s="103">
        <v>3840</v>
      </c>
      <c r="E38" s="103">
        <v>33668</v>
      </c>
      <c r="F38" s="103">
        <v>0</v>
      </c>
      <c r="G38" s="261">
        <f>$F38</f>
        <v>0</v>
      </c>
      <c r="J38" s="4">
        <f>(F36+F37+F46+F47)/(F49+F43)</f>
        <v>3.2689785019055684</v>
      </c>
    </row>
    <row r="39" spans="1:12" x14ac:dyDescent="0.25">
      <c r="A39" s="297">
        <v>18</v>
      </c>
      <c r="B39" s="270" t="s">
        <v>207</v>
      </c>
      <c r="C39" s="271">
        <f>SUM(C40:C41,C46:C47)</f>
        <v>1091144</v>
      </c>
      <c r="D39" s="271">
        <f>SUM(D40:D41,D46:D47)</f>
        <v>2204971</v>
      </c>
      <c r="E39" s="271">
        <f>SUM(E40:E41,E46:E47)</f>
        <v>2789923</v>
      </c>
      <c r="F39" s="271">
        <f>SUM(F40:F41,F46:F47)</f>
        <v>3318200.4299999997</v>
      </c>
      <c r="G39" s="272">
        <f>SUM(G40:G41,G46:G47)</f>
        <v>3318200.4299999997</v>
      </c>
      <c r="H39" s="248"/>
    </row>
    <row r="40" spans="1:12" ht="12.75" customHeight="1" x14ac:dyDescent="0.25">
      <c r="A40" s="4">
        <v>19</v>
      </c>
      <c r="B40" s="104" t="s">
        <v>208</v>
      </c>
      <c r="C40" s="103">
        <v>428709</v>
      </c>
      <c r="D40" s="103">
        <v>635058</v>
      </c>
      <c r="E40" s="103">
        <v>423406</v>
      </c>
      <c r="F40" s="103">
        <f>830907.09</f>
        <v>830907.09</v>
      </c>
      <c r="G40" s="262">
        <f t="shared" ref="G40:G47" si="22">$F40</f>
        <v>830907.09</v>
      </c>
    </row>
    <row r="41" spans="1:12" x14ac:dyDescent="0.25">
      <c r="A41" s="297">
        <v>20</v>
      </c>
      <c r="B41" s="273" t="s">
        <v>209</v>
      </c>
      <c r="C41" s="274">
        <f>SUM(C42:C45)</f>
        <v>111641</v>
      </c>
      <c r="D41" s="274">
        <f t="shared" ref="D41" si="23">SUM(D42:D45)</f>
        <v>158149</v>
      </c>
      <c r="E41" s="274">
        <f>SUM(E42:E45)</f>
        <v>298269</v>
      </c>
      <c r="F41" s="274">
        <f>SUM(F42:F45)</f>
        <v>260655.91</v>
      </c>
      <c r="G41" s="284">
        <f>SUM(G42:G45)</f>
        <v>260655.91</v>
      </c>
      <c r="J41" s="181">
        <f>F37+F46+600000</f>
        <v>2690061.65</v>
      </c>
    </row>
    <row r="42" spans="1:12" ht="12.75" customHeight="1" x14ac:dyDescent="0.25">
      <c r="A42" s="4">
        <v>21</v>
      </c>
      <c r="B42" s="276" t="s">
        <v>206</v>
      </c>
      <c r="C42" s="103">
        <v>33674</v>
      </c>
      <c r="D42" s="103">
        <v>74669</v>
      </c>
      <c r="E42" s="103">
        <f>192165</f>
        <v>192165</v>
      </c>
      <c r="F42" s="103">
        <f>28236.04-5000+100000+40000+54000</f>
        <v>217236.04</v>
      </c>
      <c r="G42" s="262">
        <f t="shared" si="22"/>
        <v>217236.04</v>
      </c>
      <c r="J42" s="4">
        <f>J41/F49</f>
        <v>2.7069208947164731</v>
      </c>
    </row>
    <row r="43" spans="1:12" x14ac:dyDescent="0.25">
      <c r="A43" s="297">
        <v>22</v>
      </c>
      <c r="B43" s="276" t="s">
        <v>226</v>
      </c>
      <c r="C43" s="103">
        <v>0</v>
      </c>
      <c r="D43" s="103">
        <v>0</v>
      </c>
      <c r="E43" s="103">
        <v>0</v>
      </c>
      <c r="F43" s="103">
        <v>0</v>
      </c>
      <c r="G43" s="262">
        <f t="shared" si="22"/>
        <v>0</v>
      </c>
      <c r="I43" s="181">
        <f>E46+E47</f>
        <v>2068248</v>
      </c>
    </row>
    <row r="44" spans="1:12" x14ac:dyDescent="0.25">
      <c r="A44" s="4">
        <v>23</v>
      </c>
      <c r="B44" s="276" t="s">
        <v>227</v>
      </c>
      <c r="C44" s="103">
        <v>0</v>
      </c>
      <c r="D44" s="103">
        <v>0</v>
      </c>
      <c r="E44" s="103">
        <v>0</v>
      </c>
      <c r="F44" s="103">
        <v>0</v>
      </c>
      <c r="G44" s="262">
        <f t="shared" si="22"/>
        <v>0</v>
      </c>
      <c r="I44" s="181">
        <f>E39-I43</f>
        <v>721675</v>
      </c>
    </row>
    <row r="45" spans="1:12" x14ac:dyDescent="0.25">
      <c r="A45" s="297">
        <v>24</v>
      </c>
      <c r="B45" s="276" t="s">
        <v>225</v>
      </c>
      <c r="C45" s="103">
        <v>77967</v>
      </c>
      <c r="D45" s="103">
        <f>3157+80323</f>
        <v>83480</v>
      </c>
      <c r="E45" s="103">
        <f>106104</f>
        <v>106104</v>
      </c>
      <c r="F45" s="103">
        <f>8200-10704.7+33668+12256.57</f>
        <v>43419.869999999995</v>
      </c>
      <c r="G45" s="262">
        <f t="shared" si="22"/>
        <v>43419.869999999995</v>
      </c>
    </row>
    <row r="46" spans="1:12" x14ac:dyDescent="0.25">
      <c r="A46" s="4">
        <v>25</v>
      </c>
      <c r="B46" s="104" t="s">
        <v>204</v>
      </c>
      <c r="C46" s="103">
        <v>293303</v>
      </c>
      <c r="D46" s="103">
        <v>1159723</v>
      </c>
      <c r="E46" s="103">
        <v>1978106</v>
      </c>
      <c r="F46" s="103">
        <f>316635+134000+228625+570000+27760+813041.65</f>
        <v>2090061.65</v>
      </c>
      <c r="G46" s="262">
        <f t="shared" si="22"/>
        <v>2090061.65</v>
      </c>
    </row>
    <row r="47" spans="1:12" ht="13.5" thickBot="1" x14ac:dyDescent="0.3">
      <c r="A47" s="297">
        <v>26</v>
      </c>
      <c r="B47" s="104" t="s">
        <v>205</v>
      </c>
      <c r="C47" s="103">
        <v>257491</v>
      </c>
      <c r="D47" s="103">
        <v>252041</v>
      </c>
      <c r="E47" s="103">
        <v>90142</v>
      </c>
      <c r="F47" s="103">
        <f>114026.71+45193.44+120016.01-142660.38</f>
        <v>136575.78000000003</v>
      </c>
      <c r="G47" s="262">
        <f t="shared" si="22"/>
        <v>136575.78000000003</v>
      </c>
      <c r="J47" s="181">
        <f>F39-J48</f>
        <v>1091563</v>
      </c>
    </row>
    <row r="48" spans="1:12" ht="13.5" thickBot="1" x14ac:dyDescent="0.3">
      <c r="A48" s="4">
        <v>27</v>
      </c>
      <c r="B48" s="281" t="s">
        <v>210</v>
      </c>
      <c r="C48" s="282">
        <f>SUM(C35,C39)</f>
        <v>2320642</v>
      </c>
      <c r="D48" s="282">
        <f>SUM(D35,D39)</f>
        <v>3159557</v>
      </c>
      <c r="E48" s="282">
        <f>SUM(E35,E39)</f>
        <v>3862765</v>
      </c>
      <c r="F48" s="282">
        <f>SUM(F35,F39)</f>
        <v>4340181.6499999994</v>
      </c>
      <c r="G48" s="283">
        <f>SUM(G35,G39)</f>
        <v>4340181.6499999994</v>
      </c>
      <c r="J48" s="181">
        <f>F46+F47</f>
        <v>2226637.4299999997</v>
      </c>
    </row>
    <row r="49" spans="1:9" x14ac:dyDescent="0.25">
      <c r="A49" s="297">
        <v>28</v>
      </c>
      <c r="B49" s="306" t="s">
        <v>211</v>
      </c>
      <c r="C49" s="304">
        <f>SUM(C50:C52)</f>
        <v>356488</v>
      </c>
      <c r="D49" s="304">
        <f t="shared" ref="D49:E49" si="24">SUM(D50:D52)</f>
        <v>494607</v>
      </c>
      <c r="E49" s="304">
        <f t="shared" si="24"/>
        <v>893490</v>
      </c>
      <c r="F49" s="304">
        <f>SUM(F50:F52)</f>
        <v>993771.8</v>
      </c>
      <c r="G49" s="304">
        <f>SUM(G50:G52)</f>
        <v>993771.8</v>
      </c>
      <c r="H49" s="323"/>
    </row>
    <row r="50" spans="1:9" x14ac:dyDescent="0.25">
      <c r="A50" s="4">
        <v>29</v>
      </c>
      <c r="B50" s="108" t="s">
        <v>212</v>
      </c>
      <c r="C50" s="107">
        <v>255100</v>
      </c>
      <c r="D50" s="107">
        <v>355100</v>
      </c>
      <c r="E50" s="107">
        <v>835100</v>
      </c>
      <c r="F50" s="107">
        <v>835100</v>
      </c>
      <c r="G50" s="262">
        <f>F50</f>
        <v>835100</v>
      </c>
    </row>
    <row r="51" spans="1:9" x14ac:dyDescent="0.25">
      <c r="A51" s="4">
        <v>30</v>
      </c>
      <c r="B51" s="325" t="s">
        <v>213</v>
      </c>
      <c r="C51" s="107">
        <v>101388</v>
      </c>
      <c r="D51" s="305">
        <v>139507</v>
      </c>
      <c r="E51" s="305">
        <v>58390</v>
      </c>
      <c r="F51" s="305">
        <v>158671.79999999999</v>
      </c>
      <c r="G51" s="262">
        <f>F51</f>
        <v>158671.79999999999</v>
      </c>
      <c r="I51" s="181">
        <f>E51+F17</f>
        <v>158671.81999999989</v>
      </c>
    </row>
    <row r="52" spans="1:9" ht="13.5" thickBot="1" x14ac:dyDescent="0.3">
      <c r="A52" s="4">
        <v>31</v>
      </c>
      <c r="B52" s="601" t="s">
        <v>214</v>
      </c>
      <c r="C52" s="711">
        <v>0</v>
      </c>
      <c r="D52" s="709">
        <v>0</v>
      </c>
      <c r="E52" s="709">
        <v>0</v>
      </c>
      <c r="F52" s="709">
        <v>0</v>
      </c>
      <c r="G52" s="303">
        <f>F52</f>
        <v>0</v>
      </c>
    </row>
    <row r="53" spans="1:9" ht="13.5" thickBot="1" x14ac:dyDescent="0.3">
      <c r="A53" s="4">
        <v>32</v>
      </c>
      <c r="B53" s="600" t="s">
        <v>215</v>
      </c>
      <c r="C53" s="282">
        <f>C48+C49</f>
        <v>2677130</v>
      </c>
      <c r="D53" s="282">
        <f t="shared" ref="D53:E53" si="25">D48+D49</f>
        <v>3654164</v>
      </c>
      <c r="E53" s="282">
        <f t="shared" si="25"/>
        <v>4756255</v>
      </c>
      <c r="F53" s="282">
        <f t="shared" ref="F53:G53" si="26">F48+F49</f>
        <v>5333953.4499999993</v>
      </c>
      <c r="G53" s="283">
        <f t="shared" si="26"/>
        <v>5333953.4499999993</v>
      </c>
    </row>
    <row r="54" spans="1:9" x14ac:dyDescent="0.25">
      <c r="B54" s="587"/>
      <c r="C54" s="588">
        <f>C34-C53</f>
        <v>0</v>
      </c>
      <c r="D54" s="588">
        <f>D34-D53</f>
        <v>0</v>
      </c>
      <c r="E54" s="588">
        <f>E34-E53</f>
        <v>0</v>
      </c>
      <c r="F54" s="588">
        <f>F34-F53</f>
        <v>0</v>
      </c>
      <c r="G54" s="588"/>
    </row>
    <row r="55" spans="1:9" x14ac:dyDescent="0.25">
      <c r="B55" s="587"/>
      <c r="C55" s="588"/>
      <c r="D55" s="588">
        <f>C51+D17-D18</f>
        <v>139507</v>
      </c>
      <c r="E55" s="588">
        <f t="shared" ref="E55:F55" si="27">D51+E17-E18</f>
        <v>188390</v>
      </c>
      <c r="F55" s="588">
        <f t="shared" si="27"/>
        <v>158671.81999999989</v>
      </c>
      <c r="G55" s="588"/>
    </row>
    <row r="56" spans="1:9" ht="13.5" thickBot="1" x14ac:dyDescent="0.3">
      <c r="B56" s="587"/>
      <c r="C56" s="588"/>
      <c r="D56" s="588"/>
      <c r="E56" s="588"/>
      <c r="F56" s="588"/>
      <c r="G56" s="588"/>
    </row>
    <row r="57" spans="1:9" ht="13.5" thickBot="1" x14ac:dyDescent="0.3">
      <c r="B57" s="281" t="s">
        <v>792</v>
      </c>
      <c r="C57" s="595">
        <f>SUM(C58:C61)</f>
        <v>0</v>
      </c>
      <c r="D57" s="595">
        <f t="shared" ref="D57" si="28">SUM(D58:D61)</f>
        <v>0</v>
      </c>
      <c r="E57" s="595">
        <f t="shared" ref="E57" si="29">SUM(E58:E61)</f>
        <v>0</v>
      </c>
      <c r="F57" s="596">
        <f t="shared" ref="F57" si="30">SUM(F58:F61)</f>
        <v>0</v>
      </c>
    </row>
    <row r="58" spans="1:9" x14ac:dyDescent="0.25">
      <c r="B58" s="592" t="s">
        <v>793</v>
      </c>
      <c r="C58" s="593"/>
      <c r="D58" s="593"/>
      <c r="E58" s="593"/>
      <c r="F58" s="594"/>
    </row>
    <row r="59" spans="1:9" x14ac:dyDescent="0.25">
      <c r="B59" s="590" t="s">
        <v>794</v>
      </c>
      <c r="C59" s="589"/>
      <c r="D59" s="589"/>
      <c r="E59" s="589"/>
      <c r="F59" s="591"/>
    </row>
    <row r="60" spans="1:9" x14ac:dyDescent="0.25">
      <c r="B60" s="590" t="s">
        <v>795</v>
      </c>
      <c r="C60" s="589"/>
      <c r="D60" s="589"/>
      <c r="E60" s="589"/>
      <c r="F60" s="591"/>
    </row>
    <row r="61" spans="1:9" ht="13.5" thickBot="1" x14ac:dyDescent="0.3">
      <c r="B61" s="597" t="s">
        <v>796</v>
      </c>
      <c r="C61" s="598"/>
      <c r="D61" s="598"/>
      <c r="E61" s="598"/>
      <c r="F61" s="599"/>
    </row>
    <row r="62" spans="1:9" ht="13.5" thickBot="1" x14ac:dyDescent="0.3">
      <c r="B62" s="281" t="s">
        <v>797</v>
      </c>
      <c r="C62" s="595">
        <f>C34-C48-C57</f>
        <v>356488</v>
      </c>
      <c r="D62" s="595">
        <f>D34-D48-D57</f>
        <v>494607</v>
      </c>
      <c r="E62" s="595">
        <f>E34-E48-E57</f>
        <v>893490</v>
      </c>
      <c r="F62" s="595">
        <f>F34-F48-F57</f>
        <v>993771.80000000075</v>
      </c>
    </row>
    <row r="63" spans="1:9" ht="68.25" thickBot="1" x14ac:dyDescent="0.3">
      <c r="B63" s="602" t="s">
        <v>791</v>
      </c>
      <c r="C63" s="181"/>
      <c r="D63" s="181"/>
      <c r="E63" s="181"/>
      <c r="F63" s="181"/>
    </row>
    <row r="64" spans="1:9" ht="15.75" thickBot="1" x14ac:dyDescent="0.3">
      <c r="B64" s="281" t="s">
        <v>228</v>
      </c>
      <c r="C64" s="308">
        <v>650000</v>
      </c>
      <c r="D64" s="308">
        <v>650000</v>
      </c>
      <c r="E64" s="308">
        <v>650000</v>
      </c>
      <c r="F64" s="309">
        <v>650000</v>
      </c>
      <c r="G64"/>
    </row>
    <row r="65" spans="1:7" x14ac:dyDescent="0.25">
      <c r="B65" s="587"/>
      <c r="C65" s="227"/>
      <c r="D65" s="227"/>
      <c r="E65" s="227"/>
    </row>
    <row r="66" spans="1:7" x14ac:dyDescent="0.25">
      <c r="C66" s="227"/>
      <c r="D66" s="227"/>
      <c r="E66" s="227"/>
      <c r="F66" s="227"/>
    </row>
    <row r="67" spans="1:7" x14ac:dyDescent="0.25">
      <c r="C67" s="227"/>
      <c r="D67" s="227"/>
      <c r="E67" s="227"/>
    </row>
    <row r="68" spans="1:7" x14ac:dyDescent="0.25">
      <c r="C68" s="227"/>
      <c r="D68" s="227"/>
      <c r="E68" s="227"/>
    </row>
    <row r="69" spans="1:7" ht="13.5" thickBot="1" x14ac:dyDescent="0.3">
      <c r="C69" s="227"/>
      <c r="D69" s="227"/>
      <c r="E69" s="227"/>
      <c r="F69" s="181">
        <f>E51+F17</f>
        <v>158671.81999999989</v>
      </c>
    </row>
    <row r="70" spans="1:7" x14ac:dyDescent="0.25">
      <c r="B70" s="265" t="s">
        <v>190</v>
      </c>
      <c r="C70" s="266" t="str">
        <f t="shared" ref="C70:G74" si="31">C21</f>
        <v>28/02/2023</v>
      </c>
      <c r="D70" s="266" t="str">
        <f t="shared" si="31"/>
        <v>29/02/2024</v>
      </c>
      <c r="E70" s="266" t="str">
        <f t="shared" si="31"/>
        <v>28/02/2025</v>
      </c>
      <c r="F70" s="266" t="str">
        <f t="shared" si="31"/>
        <v>30/11/2025</v>
      </c>
      <c r="G70" s="267" t="str">
        <f t="shared" si="31"/>
        <v>30/11/2025</v>
      </c>
    </row>
    <row r="71" spans="1:7" ht="25.5" x14ac:dyDescent="0.25">
      <c r="B71" s="294" t="s">
        <v>188</v>
      </c>
      <c r="C71" s="263" t="str">
        <f t="shared" si="31"/>
        <v>Audited-28/02/2023</v>
      </c>
      <c r="D71" s="263" t="str">
        <f t="shared" si="31"/>
        <v>Audited-29/02/2024</v>
      </c>
      <c r="E71" s="263" t="str">
        <f t="shared" si="31"/>
        <v>Audited-28/02/2025</v>
      </c>
      <c r="F71" s="263" t="str">
        <f t="shared" si="31"/>
        <v>Mgmt Acc-30/11/2025</v>
      </c>
      <c r="G71" s="295" t="str">
        <f t="shared" si="31"/>
        <v>Annualised-30/11/2025</v>
      </c>
    </row>
    <row r="72" spans="1:7" ht="13.5" thickBot="1" x14ac:dyDescent="0.3">
      <c r="A72" s="297">
        <v>2</v>
      </c>
      <c r="B72" s="319" t="s">
        <v>221</v>
      </c>
      <c r="C72" s="296" t="str">
        <f t="shared" si="31"/>
        <v>Yes</v>
      </c>
      <c r="D72" s="296" t="str">
        <f t="shared" si="31"/>
        <v>Yes</v>
      </c>
      <c r="E72" s="296" t="str">
        <f t="shared" si="31"/>
        <v>Yes</v>
      </c>
      <c r="F72" s="296" t="str">
        <f t="shared" si="31"/>
        <v>N/A</v>
      </c>
      <c r="G72" s="321" t="str">
        <f t="shared" si="31"/>
        <v>N/A</v>
      </c>
    </row>
    <row r="73" spans="1:7" x14ac:dyDescent="0.25">
      <c r="A73" s="4">
        <f>A72+1</f>
        <v>3</v>
      </c>
      <c r="B73" s="320" t="s">
        <v>194</v>
      </c>
      <c r="C73" s="293">
        <f t="shared" si="31"/>
        <v>511306</v>
      </c>
      <c r="D73" s="293">
        <f t="shared" si="31"/>
        <v>665162</v>
      </c>
      <c r="E73" s="293">
        <f t="shared" si="31"/>
        <v>678423</v>
      </c>
      <c r="F73" s="293">
        <f t="shared" si="31"/>
        <v>682672.79</v>
      </c>
      <c r="G73" s="277">
        <f t="shared" si="31"/>
        <v>682672.79</v>
      </c>
    </row>
    <row r="74" spans="1:7" ht="13.5" thickBot="1" x14ac:dyDescent="0.3">
      <c r="A74" s="4">
        <f t="shared" ref="A74:A82" si="32">A73+1</f>
        <v>4</v>
      </c>
      <c r="B74" s="270" t="s">
        <v>196</v>
      </c>
      <c r="C74" s="271">
        <f t="shared" si="31"/>
        <v>2165824</v>
      </c>
      <c r="D74" s="271">
        <f t="shared" si="31"/>
        <v>2989002</v>
      </c>
      <c r="E74" s="271">
        <f t="shared" si="31"/>
        <v>4077832</v>
      </c>
      <c r="F74" s="271">
        <f t="shared" si="31"/>
        <v>4651280.66</v>
      </c>
      <c r="G74" s="272">
        <f t="shared" si="31"/>
        <v>4651280.66</v>
      </c>
    </row>
    <row r="75" spans="1:7" ht="13.5" thickBot="1" x14ac:dyDescent="0.3">
      <c r="A75" s="4">
        <f t="shared" si="32"/>
        <v>5</v>
      </c>
      <c r="B75" s="281" t="s">
        <v>202</v>
      </c>
      <c r="C75" s="282">
        <f>C34</f>
        <v>2677130</v>
      </c>
      <c r="D75" s="282">
        <f t="shared" ref="D75:G76" si="33">D34</f>
        <v>3654164</v>
      </c>
      <c r="E75" s="282">
        <f t="shared" si="33"/>
        <v>4756255</v>
      </c>
      <c r="F75" s="282">
        <f t="shared" si="33"/>
        <v>5333953.45</v>
      </c>
      <c r="G75" s="283">
        <f t="shared" si="33"/>
        <v>5333953.45</v>
      </c>
    </row>
    <row r="76" spans="1:7" x14ac:dyDescent="0.25">
      <c r="A76" s="4">
        <f t="shared" si="32"/>
        <v>6</v>
      </c>
      <c r="B76" s="278" t="s">
        <v>203</v>
      </c>
      <c r="C76" s="279">
        <f>C35</f>
        <v>1229498</v>
      </c>
      <c r="D76" s="279">
        <f t="shared" si="33"/>
        <v>954586</v>
      </c>
      <c r="E76" s="279">
        <f t="shared" si="33"/>
        <v>1072842</v>
      </c>
      <c r="F76" s="279">
        <f t="shared" si="33"/>
        <v>1021981.22</v>
      </c>
      <c r="G76" s="280">
        <f t="shared" si="33"/>
        <v>1021981.22</v>
      </c>
    </row>
    <row r="77" spans="1:7" ht="13.5" thickBot="1" x14ac:dyDescent="0.3">
      <c r="A77" s="4">
        <f t="shared" si="32"/>
        <v>7</v>
      </c>
      <c r="B77" s="270" t="s">
        <v>207</v>
      </c>
      <c r="C77" s="271">
        <f>C39</f>
        <v>1091144</v>
      </c>
      <c r="D77" s="271">
        <f t="shared" ref="D77:G77" si="34">D39</f>
        <v>2204971</v>
      </c>
      <c r="E77" s="271">
        <f t="shared" si="34"/>
        <v>2789923</v>
      </c>
      <c r="F77" s="271">
        <f t="shared" si="34"/>
        <v>3318200.4299999997</v>
      </c>
      <c r="G77" s="272">
        <f t="shared" si="34"/>
        <v>3318200.4299999997</v>
      </c>
    </row>
    <row r="78" spans="1:7" ht="13.5" thickBot="1" x14ac:dyDescent="0.3">
      <c r="A78" s="4">
        <f t="shared" si="32"/>
        <v>8</v>
      </c>
      <c r="B78" s="281" t="s">
        <v>210</v>
      </c>
      <c r="C78" s="282">
        <f>C48</f>
        <v>2320642</v>
      </c>
      <c r="D78" s="282">
        <f t="shared" ref="D78:G78" si="35">D48</f>
        <v>3159557</v>
      </c>
      <c r="E78" s="282">
        <f t="shared" si="35"/>
        <v>3862765</v>
      </c>
      <c r="F78" s="282">
        <f t="shared" si="35"/>
        <v>4340181.6499999994</v>
      </c>
      <c r="G78" s="283">
        <f t="shared" si="35"/>
        <v>4340181.6499999994</v>
      </c>
    </row>
    <row r="79" spans="1:7" x14ac:dyDescent="0.25">
      <c r="A79" s="4">
        <v>9</v>
      </c>
      <c r="B79" s="108" t="s">
        <v>212</v>
      </c>
      <c r="C79" s="305">
        <f>C50</f>
        <v>255100</v>
      </c>
      <c r="D79" s="305">
        <f t="shared" ref="D79:G79" si="36">D50</f>
        <v>355100</v>
      </c>
      <c r="E79" s="107">
        <f t="shared" si="36"/>
        <v>835100</v>
      </c>
      <c r="F79" s="107">
        <f t="shared" si="36"/>
        <v>835100</v>
      </c>
      <c r="G79" s="262">
        <f t="shared" si="36"/>
        <v>835100</v>
      </c>
    </row>
    <row r="80" spans="1:7" x14ac:dyDescent="0.25">
      <c r="A80" s="4">
        <v>10</v>
      </c>
      <c r="B80" s="325" t="s">
        <v>664</v>
      </c>
      <c r="C80" s="305">
        <f>C52</f>
        <v>0</v>
      </c>
      <c r="D80" s="305">
        <f t="shared" ref="D80:G80" si="37">D52</f>
        <v>0</v>
      </c>
      <c r="E80" s="305">
        <f t="shared" si="37"/>
        <v>0</v>
      </c>
      <c r="F80" s="305">
        <f t="shared" si="37"/>
        <v>0</v>
      </c>
      <c r="G80" s="262">
        <f t="shared" si="37"/>
        <v>0</v>
      </c>
    </row>
    <row r="81" spans="1:7" x14ac:dyDescent="0.25">
      <c r="A81" s="4">
        <f t="shared" si="32"/>
        <v>11</v>
      </c>
      <c r="B81" s="325" t="s">
        <v>665</v>
      </c>
      <c r="C81" s="305">
        <f>C51</f>
        <v>101388</v>
      </c>
      <c r="D81" s="305">
        <f t="shared" ref="D81:G81" si="38">D51</f>
        <v>139507</v>
      </c>
      <c r="E81" s="305">
        <f t="shared" si="38"/>
        <v>58390</v>
      </c>
      <c r="F81" s="305">
        <f t="shared" si="38"/>
        <v>158671.79999999999</v>
      </c>
      <c r="G81" s="262">
        <f t="shared" si="38"/>
        <v>158671.79999999999</v>
      </c>
    </row>
    <row r="82" spans="1:7" x14ac:dyDescent="0.25">
      <c r="A82" s="4">
        <f t="shared" si="32"/>
        <v>12</v>
      </c>
      <c r="B82" s="325" t="s">
        <v>666</v>
      </c>
      <c r="C82" s="305">
        <v>0</v>
      </c>
      <c r="D82" s="305">
        <v>0</v>
      </c>
      <c r="E82" s="305">
        <v>0</v>
      </c>
      <c r="F82" s="305">
        <v>0</v>
      </c>
      <c r="G82" s="262">
        <v>0</v>
      </c>
    </row>
    <row r="83" spans="1:7" ht="13.5" thickBot="1" x14ac:dyDescent="0.3">
      <c r="A83" s="4">
        <v>13</v>
      </c>
      <c r="B83" s="306" t="s">
        <v>211</v>
      </c>
      <c r="C83" s="304">
        <f>SUM(C79:C82)</f>
        <v>356488</v>
      </c>
      <c r="D83" s="304">
        <f>SUM(D79:D82)</f>
        <v>494607</v>
      </c>
      <c r="E83" s="304">
        <f>SUM(E79:E82)</f>
        <v>893490</v>
      </c>
      <c r="F83" s="304">
        <f>SUM(F79:F82)</f>
        <v>993771.8</v>
      </c>
      <c r="G83" s="272">
        <f>SUM(G79:G82)</f>
        <v>993771.8</v>
      </c>
    </row>
    <row r="84" spans="1:7" ht="13.5" thickBot="1" x14ac:dyDescent="0.3">
      <c r="A84" s="4">
        <v>14</v>
      </c>
      <c r="B84" s="281" t="s">
        <v>215</v>
      </c>
      <c r="C84" s="282">
        <f>C53</f>
        <v>2677130</v>
      </c>
      <c r="D84" s="282">
        <f t="shared" ref="D84:G84" si="39">D53</f>
        <v>3654164</v>
      </c>
      <c r="E84" s="282">
        <f t="shared" si="39"/>
        <v>4756255</v>
      </c>
      <c r="F84" s="282">
        <f t="shared" si="39"/>
        <v>5333953.4499999993</v>
      </c>
      <c r="G84" s="282">
        <f t="shared" si="39"/>
        <v>5333953.4499999993</v>
      </c>
    </row>
    <row r="86" spans="1:7" x14ac:dyDescent="0.25">
      <c r="C86" s="4" t="b">
        <f>C75=C84</f>
        <v>1</v>
      </c>
      <c r="D86" s="4" t="b">
        <f>D75=D84</f>
        <v>1</v>
      </c>
      <c r="E86" s="4" t="b">
        <f>E75=E84</f>
        <v>1</v>
      </c>
      <c r="F86" s="4" t="b">
        <f>F75=F84</f>
        <v>1</v>
      </c>
      <c r="G86" s="4" t="b">
        <f>G75=G84</f>
        <v>1</v>
      </c>
    </row>
    <row r="90" spans="1:7" x14ac:dyDescent="0.25">
      <c r="B90" s="221" t="s">
        <v>158</v>
      </c>
      <c r="C90" s="179" t="str">
        <f>C3</f>
        <v>Audited</v>
      </c>
      <c r="D90" s="179" t="str">
        <f t="shared" ref="D90:G90" si="40">D3</f>
        <v>Audited</v>
      </c>
      <c r="E90" s="179" t="str">
        <f t="shared" si="40"/>
        <v>Audited</v>
      </c>
      <c r="F90" s="179" t="str">
        <f t="shared" si="40"/>
        <v>Mgmt Acc</v>
      </c>
      <c r="G90" s="257" t="str">
        <f t="shared" si="40"/>
        <v>Annualised</v>
      </c>
    </row>
    <row r="91" spans="1:7" x14ac:dyDescent="0.25">
      <c r="B91" s="101" t="s">
        <v>163</v>
      </c>
      <c r="C91" s="179" t="str">
        <f t="shared" ref="C91:G93" si="41">C4</f>
        <v>28/02/2023</v>
      </c>
      <c r="D91" s="179" t="str">
        <f t="shared" si="41"/>
        <v>29/02/2024</v>
      </c>
      <c r="E91" s="263" t="str">
        <f t="shared" si="41"/>
        <v>28/02/2025</v>
      </c>
      <c r="F91" s="263" t="str">
        <f t="shared" si="41"/>
        <v>30/11/2025</v>
      </c>
      <c r="G91" s="263" t="str">
        <f t="shared" si="41"/>
        <v>30/11/2025</v>
      </c>
    </row>
    <row r="92" spans="1:7" ht="25.5" x14ac:dyDescent="0.25">
      <c r="B92" s="101" t="s">
        <v>218</v>
      </c>
      <c r="C92" s="263" t="str">
        <f t="shared" si="41"/>
        <v>Audited-28/02/2023</v>
      </c>
      <c r="D92" s="263" t="str">
        <f t="shared" si="41"/>
        <v>Audited-29/02/2024</v>
      </c>
      <c r="E92" s="263" t="str">
        <f t="shared" si="41"/>
        <v>Audited-28/02/2025</v>
      </c>
      <c r="F92" s="263" t="str">
        <f t="shared" si="41"/>
        <v>Mgmt Acc-30/11/2025</v>
      </c>
      <c r="G92" s="263" t="str">
        <f t="shared" si="41"/>
        <v>Annualised-30/11/2025</v>
      </c>
    </row>
    <row r="93" spans="1:7" x14ac:dyDescent="0.25">
      <c r="A93" s="4">
        <v>2</v>
      </c>
      <c r="B93" s="7" t="s">
        <v>165</v>
      </c>
      <c r="C93" s="246">
        <f>C6</f>
        <v>4109232</v>
      </c>
      <c r="D93" s="246">
        <f t="shared" si="41"/>
        <v>6124151</v>
      </c>
      <c r="E93" s="246">
        <f t="shared" si="41"/>
        <v>4787807</v>
      </c>
      <c r="F93" s="246">
        <f t="shared" si="41"/>
        <v>4200474.62</v>
      </c>
      <c r="G93" s="287">
        <f>IF($G$2&lt;365,$F93*365/$G$2,$F93)</f>
        <v>5678419.3937037038</v>
      </c>
    </row>
    <row r="94" spans="1:7" x14ac:dyDescent="0.25">
      <c r="A94" s="4">
        <v>3</v>
      </c>
      <c r="B94" s="291" t="s">
        <v>667</v>
      </c>
      <c r="C94" s="292">
        <f>SUM(C16:C17)</f>
        <v>36757</v>
      </c>
      <c r="D94" s="292">
        <f>SUM(D16:D17)</f>
        <v>63810</v>
      </c>
      <c r="E94" s="292">
        <f>SUM(E16:E17)</f>
        <v>113967</v>
      </c>
      <c r="F94" s="292">
        <f>SUM(F16:F17)</f>
        <v>100281.81999999989</v>
      </c>
      <c r="G94" s="292">
        <f>SUM(G16:G17)</f>
        <v>44534.164074073895</v>
      </c>
    </row>
    <row r="95" spans="1:7" x14ac:dyDescent="0.25">
      <c r="A95" s="4">
        <v>4</v>
      </c>
      <c r="B95" s="291" t="s">
        <v>668</v>
      </c>
      <c r="C95" s="292">
        <f>C17</f>
        <v>17592</v>
      </c>
      <c r="D95" s="292">
        <f t="shared" ref="D95:G96" si="42">D17</f>
        <v>38119</v>
      </c>
      <c r="E95" s="292">
        <f t="shared" si="42"/>
        <v>48883</v>
      </c>
      <c r="F95" s="292">
        <f t="shared" si="42"/>
        <v>100281.81999999989</v>
      </c>
      <c r="G95" s="292">
        <f t="shared" si="42"/>
        <v>44534.164074073895</v>
      </c>
    </row>
    <row r="96" spans="1:7" x14ac:dyDescent="0.25">
      <c r="A96" s="4">
        <v>5</v>
      </c>
      <c r="B96" s="7" t="s">
        <v>669</v>
      </c>
      <c r="C96" s="311">
        <f>C18</f>
        <v>0</v>
      </c>
      <c r="D96" s="311">
        <f t="shared" si="42"/>
        <v>0</v>
      </c>
      <c r="E96" s="311">
        <f t="shared" si="42"/>
        <v>0</v>
      </c>
      <c r="F96" s="311">
        <f t="shared" si="42"/>
        <v>0</v>
      </c>
      <c r="G96" s="310">
        <f t="shared" si="42"/>
        <v>0</v>
      </c>
    </row>
    <row r="97" spans="1:7" x14ac:dyDescent="0.25">
      <c r="A97" s="4">
        <v>6</v>
      </c>
      <c r="B97" s="7" t="s">
        <v>670</v>
      </c>
      <c r="C97" s="311">
        <v>0</v>
      </c>
      <c r="D97" s="311">
        <v>0</v>
      </c>
      <c r="E97" s="311">
        <v>0</v>
      </c>
      <c r="F97" s="311">
        <v>0</v>
      </c>
      <c r="G97" s="310">
        <v>0</v>
      </c>
    </row>
  </sheetData>
  <dataValidations count="1">
    <dataValidation type="list" allowBlank="1" showInputMessage="1" showErrorMessage="1" sqref="C23:G23 J29 C72:G72" xr:uid="{920FB2E9-BF9E-44AD-8288-A0E22DE2C0D3}">
      <formula1>$X$3:$X$5</formula1>
    </dataValidation>
  </dataValidations>
  <pageMargins left="0.11811023622047245" right="0.11811023622047245" top="0.15748031496062992" bottom="0.15748031496062992" header="0.31496062992125984" footer="0.31496062992125984"/>
  <pageSetup paperSize="9" scale="44" fitToHeight="7" orientation="landscape"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4C6D0-F83A-4880-A80C-30D726C53C1C}">
  <dimension ref="B2:D18"/>
  <sheetViews>
    <sheetView workbookViewId="0">
      <selection activeCell="H16" sqref="H16"/>
    </sheetView>
  </sheetViews>
  <sheetFormatPr defaultRowHeight="15" x14ac:dyDescent="0.25"/>
  <cols>
    <col min="2" max="2" width="38.42578125" bestFit="1" customWidth="1"/>
    <col min="3" max="3" width="15.85546875" customWidth="1"/>
    <col min="4" max="4" width="16.42578125" customWidth="1"/>
  </cols>
  <sheetData>
    <row r="2" spans="2:4" ht="25.5" x14ac:dyDescent="0.25">
      <c r="B2" s="101" t="s">
        <v>891</v>
      </c>
      <c r="C2" s="263" t="str">
        <f>'Summary of Information'!G22</f>
        <v>Annualised-30/11/2025</v>
      </c>
      <c r="D2" s="263" t="s">
        <v>900</v>
      </c>
    </row>
    <row r="3" spans="2:4" x14ac:dyDescent="0.25">
      <c r="B3" s="7" t="s">
        <v>892</v>
      </c>
      <c r="C3" s="243">
        <f>'Summary of Information'!G6</f>
        <v>5678419.3937037038</v>
      </c>
      <c r="D3" s="243">
        <v>10000000</v>
      </c>
    </row>
    <row r="4" spans="2:4" x14ac:dyDescent="0.25">
      <c r="B4" s="7" t="s">
        <v>893</v>
      </c>
      <c r="C4" s="243">
        <f>'Summary of Information'!G7</f>
        <v>3941154.322037037</v>
      </c>
      <c r="D4" s="243">
        <v>4000000</v>
      </c>
    </row>
    <row r="5" spans="2:4" x14ac:dyDescent="0.25">
      <c r="B5" s="7" t="s">
        <v>170</v>
      </c>
      <c r="C5" s="243">
        <f>'Summary of Information'!G8</f>
        <v>1737265.0716666668</v>
      </c>
      <c r="D5" s="243">
        <f>D3-D4</f>
        <v>6000000</v>
      </c>
    </row>
    <row r="6" spans="2:4" x14ac:dyDescent="0.25">
      <c r="B6" s="7"/>
      <c r="C6" s="243"/>
      <c r="D6" s="243"/>
    </row>
    <row r="7" spans="2:4" x14ac:dyDescent="0.25">
      <c r="B7" s="7" t="s">
        <v>894</v>
      </c>
      <c r="C7" s="243">
        <v>255</v>
      </c>
      <c r="D7" s="243">
        <v>240</v>
      </c>
    </row>
    <row r="8" spans="2:4" x14ac:dyDescent="0.25">
      <c r="B8" s="7" t="s">
        <v>895</v>
      </c>
      <c r="C8" s="243">
        <v>30</v>
      </c>
      <c r="D8" s="243">
        <v>60</v>
      </c>
    </row>
    <row r="9" spans="2:4" x14ac:dyDescent="0.25">
      <c r="B9" s="7" t="s">
        <v>896</v>
      </c>
      <c r="C9" s="243">
        <v>90</v>
      </c>
      <c r="D9" s="243">
        <v>60</v>
      </c>
    </row>
    <row r="10" spans="2:4" x14ac:dyDescent="0.25">
      <c r="B10" s="7"/>
      <c r="C10" s="242"/>
      <c r="D10" s="243"/>
    </row>
    <row r="11" spans="2:4" x14ac:dyDescent="0.25">
      <c r="B11" s="7" t="s">
        <v>897</v>
      </c>
      <c r="C11" s="243">
        <f>C7+C8-C9</f>
        <v>195</v>
      </c>
      <c r="D11" s="243">
        <f>D7+D8-D9</f>
        <v>240</v>
      </c>
    </row>
    <row r="12" spans="2:4" x14ac:dyDescent="0.25">
      <c r="B12" s="7" t="s">
        <v>898</v>
      </c>
      <c r="C12" s="243">
        <f>C11/365</f>
        <v>0.53424657534246578</v>
      </c>
      <c r="D12" s="243">
        <f>D11/365</f>
        <v>0.65753424657534243</v>
      </c>
    </row>
    <row r="13" spans="2:4" x14ac:dyDescent="0.25">
      <c r="B13" s="7"/>
      <c r="C13" s="242"/>
      <c r="D13" s="243"/>
    </row>
    <row r="14" spans="2:4" x14ac:dyDescent="0.25">
      <c r="B14" s="7" t="s">
        <v>899</v>
      </c>
      <c r="C14" s="243">
        <f>C3*C12</f>
        <v>3033676.1144444444</v>
      </c>
      <c r="D14" s="243">
        <f>D3*D12</f>
        <v>6575342.465753424</v>
      </c>
    </row>
    <row r="15" spans="2:4" x14ac:dyDescent="0.25">
      <c r="B15" s="4"/>
      <c r="C15" s="694"/>
      <c r="D15" s="695"/>
    </row>
    <row r="16" spans="2:4" x14ac:dyDescent="0.25">
      <c r="B16" s="4"/>
      <c r="C16" s="694"/>
      <c r="D16" s="695"/>
    </row>
    <row r="17" spans="2:4" x14ac:dyDescent="0.25">
      <c r="B17" s="7" t="s">
        <v>901</v>
      </c>
      <c r="C17" s="714">
        <f>'Debt Service - Company'!D131+'Debt Service - Company'!D167+'Debt Service - Company'!D271</f>
        <v>1604000</v>
      </c>
      <c r="D17" s="714">
        <f>C17</f>
        <v>1604000</v>
      </c>
    </row>
    <row r="18" spans="2:4" x14ac:dyDescent="0.25">
      <c r="B18" s="7" t="s">
        <v>902</v>
      </c>
      <c r="C18" s="714">
        <f>C14-C17</f>
        <v>1429676.1144444444</v>
      </c>
      <c r="D18" s="714">
        <f>D14-D17</f>
        <v>4971342.465753424</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zoomScale="85" zoomScaleNormal="85" workbookViewId="0">
      <selection activeCell="H19" sqref="H19"/>
    </sheetView>
  </sheetViews>
  <sheetFormatPr defaultColWidth="9.140625" defaultRowHeight="12.75" x14ac:dyDescent="0.2"/>
  <cols>
    <col min="1" max="1" width="9.140625" style="1"/>
    <col min="2" max="2" width="15.7109375" style="20" customWidth="1"/>
    <col min="3" max="3" width="28" style="4" customWidth="1"/>
    <col min="4" max="4" width="13.140625" style="2" bestFit="1" customWidth="1"/>
    <col min="5" max="5" width="16.42578125" style="2" bestFit="1" customWidth="1"/>
    <col min="6" max="6" width="13.7109375" style="2" customWidth="1"/>
    <col min="7" max="7" width="13.7109375" style="20" customWidth="1"/>
    <col min="8" max="8" width="14.42578125" style="2" customWidth="1"/>
    <col min="9" max="9" width="2.5703125" style="2" customWidth="1"/>
    <col min="10" max="10" width="12.85546875" style="2" bestFit="1" customWidth="1"/>
    <col min="11" max="11" width="16" style="2" customWidth="1"/>
    <col min="12" max="12" width="16.140625" style="1" customWidth="1"/>
    <col min="13" max="13" width="17.42578125" style="1" customWidth="1"/>
    <col min="14" max="14" width="16.85546875" style="1" customWidth="1"/>
    <col min="15" max="16" width="9.140625" style="1"/>
    <col min="17" max="17" width="12" style="1" bestFit="1" customWidth="1"/>
    <col min="18" max="16384" width="9.140625" style="1"/>
  </cols>
  <sheetData>
    <row r="2" spans="2:13" x14ac:dyDescent="0.2">
      <c r="B2" s="115" t="s">
        <v>229</v>
      </c>
    </row>
    <row r="3" spans="2:13" x14ac:dyDescent="0.2">
      <c r="B3" s="116"/>
      <c r="E3" s="120"/>
      <c r="F3" s="120"/>
      <c r="G3" s="120"/>
      <c r="H3" s="120"/>
      <c r="J3" s="20"/>
      <c r="L3" s="63" t="s">
        <v>230</v>
      </c>
      <c r="M3" s="64"/>
    </row>
    <row r="4" spans="2:13" x14ac:dyDescent="0.2">
      <c r="B4" s="139" t="s">
        <v>231</v>
      </c>
      <c r="C4" s="140"/>
      <c r="D4" s="140"/>
      <c r="E4" s="140"/>
      <c r="F4" s="140"/>
      <c r="G4" s="140"/>
      <c r="H4" s="140"/>
      <c r="J4" s="140"/>
      <c r="K4" s="140"/>
      <c r="L4" s="140"/>
      <c r="M4" s="141"/>
    </row>
    <row r="5" spans="2:13" s="114" customFormat="1" ht="25.5" x14ac:dyDescent="0.2">
      <c r="B5" s="117" t="s">
        <v>48</v>
      </c>
      <c r="C5" s="117" t="s">
        <v>60</v>
      </c>
      <c r="D5" s="117" t="s">
        <v>232</v>
      </c>
      <c r="E5" s="117" t="s">
        <v>233</v>
      </c>
      <c r="F5" s="117" t="s">
        <v>234</v>
      </c>
      <c r="G5" s="117" t="s">
        <v>235</v>
      </c>
      <c r="H5" s="117" t="s">
        <v>236</v>
      </c>
      <c r="I5" s="2"/>
      <c r="J5" s="117" t="s">
        <v>237</v>
      </c>
      <c r="K5" s="117" t="s">
        <v>238</v>
      </c>
      <c r="L5" s="117" t="s">
        <v>239</v>
      </c>
      <c r="M5" s="117" t="s">
        <v>61</v>
      </c>
    </row>
    <row r="6" spans="2:13" s="114" customFormat="1" ht="24" x14ac:dyDescent="0.2">
      <c r="B6" s="117"/>
      <c r="C6" s="138" t="s">
        <v>240</v>
      </c>
      <c r="D6" s="220" t="str">
        <f>'Summary of Information'!C4</f>
        <v>28/02/2023</v>
      </c>
      <c r="E6" s="220" t="str">
        <f>'Summary of Information'!D4</f>
        <v>29/02/2024</v>
      </c>
      <c r="F6" s="220" t="str">
        <f>'Summary of Information'!E4</f>
        <v>28/02/2025</v>
      </c>
      <c r="G6" s="220" t="str">
        <f>'Summary of Information'!F4</f>
        <v>30/11/2025</v>
      </c>
      <c r="H6" s="201" t="s">
        <v>241</v>
      </c>
      <c r="I6" s="2"/>
      <c r="J6" s="117"/>
      <c r="K6" s="117"/>
      <c r="L6" s="117"/>
      <c r="M6" s="117"/>
    </row>
    <row r="7" spans="2:13" s="90" customFormat="1" ht="24.4" customHeight="1" x14ac:dyDescent="0.2">
      <c r="B7" s="117"/>
      <c r="C7" s="138" t="s">
        <v>158</v>
      </c>
      <c r="D7" s="222" t="str">
        <f>'Summary of Information'!C3</f>
        <v>Audited</v>
      </c>
      <c r="E7" s="222" t="str">
        <f>'Summary of Information'!D3</f>
        <v>Audited</v>
      </c>
      <c r="F7" s="222" t="str">
        <f>'Summary of Information'!E3</f>
        <v>Audited</v>
      </c>
      <c r="G7" s="222" t="str">
        <f>'Summary of Information'!F3</f>
        <v>Mgmt Acc</v>
      </c>
      <c r="H7" s="202" t="s">
        <v>242</v>
      </c>
      <c r="I7" s="2"/>
      <c r="J7" s="117"/>
      <c r="K7" s="121"/>
      <c r="L7" s="121"/>
      <c r="M7" s="121"/>
    </row>
    <row r="8" spans="2:13" ht="25.15" customHeight="1" x14ac:dyDescent="0.2">
      <c r="B8" s="99" t="s">
        <v>243</v>
      </c>
      <c r="C8" s="7" t="s">
        <v>244</v>
      </c>
      <c r="D8" s="184">
        <f>'Summary of Information'!C6</f>
        <v>4109232</v>
      </c>
      <c r="E8" s="184">
        <f>'Summary of Information'!D6</f>
        <v>6124151</v>
      </c>
      <c r="F8" s="184">
        <f>'Summary of Information'!E6</f>
        <v>4787807</v>
      </c>
      <c r="G8" s="184">
        <f>'Summary of Information'!F6</f>
        <v>4200474.62</v>
      </c>
      <c r="H8" s="182">
        <f>'Summary of Information'!G6</f>
        <v>5678419.3937037038</v>
      </c>
      <c r="J8" s="195" t="s">
        <v>245</v>
      </c>
      <c r="K8" s="135">
        <v>1.1000000000000001</v>
      </c>
      <c r="L8" s="75">
        <f>AVERAGE(E8:F8)*K8</f>
        <v>6001576.9000000004</v>
      </c>
      <c r="M8" s="5"/>
    </row>
    <row r="9" spans="2:13" ht="25.15" customHeight="1" x14ac:dyDescent="0.2">
      <c r="B9" s="99" t="s">
        <v>246</v>
      </c>
      <c r="C9" s="7" t="s">
        <v>247</v>
      </c>
      <c r="D9" s="184">
        <f>'Summary of Information'!C7</f>
        <v>2655683</v>
      </c>
      <c r="E9" s="184">
        <f>'Summary of Information'!D7</f>
        <v>4147900</v>
      </c>
      <c r="F9" s="184">
        <f>'Summary of Information'!E7</f>
        <v>2528258</v>
      </c>
      <c r="G9" s="184">
        <f>'Summary of Information'!F7</f>
        <v>2915374.43</v>
      </c>
      <c r="H9" s="182">
        <f>'Summary of Information'!G7</f>
        <v>3941154.322037037</v>
      </c>
      <c r="J9" s="195" t="s">
        <v>245</v>
      </c>
      <c r="K9" s="135">
        <v>1.1000000000000001</v>
      </c>
      <c r="L9" s="75">
        <f>AVERAGE(E9:F9)*K9</f>
        <v>3671886.9000000004</v>
      </c>
      <c r="M9" s="5"/>
    </row>
    <row r="10" spans="2:13" ht="25.15" customHeight="1" x14ac:dyDescent="0.2">
      <c r="B10" s="99" t="s">
        <v>248</v>
      </c>
      <c r="C10" s="7" t="s">
        <v>249</v>
      </c>
      <c r="D10" s="184">
        <f>'Summary of Information'!C26</f>
        <v>586163</v>
      </c>
      <c r="E10" s="184">
        <f>'Summary of Information'!D26</f>
        <v>690031</v>
      </c>
      <c r="F10" s="184">
        <f>'Summary of Information'!E26</f>
        <v>460475</v>
      </c>
      <c r="G10" s="184">
        <f>'Summary of Information'!F26</f>
        <v>510478.49</v>
      </c>
      <c r="H10" s="182">
        <f>'Summary of Information'!G26</f>
        <v>510478.49</v>
      </c>
      <c r="J10" s="195" t="s">
        <v>245</v>
      </c>
      <c r="K10" s="135">
        <v>1.1000000000000001</v>
      </c>
      <c r="L10" s="75">
        <f>F10*K10</f>
        <v>506522.50000000006</v>
      </c>
      <c r="M10" s="5"/>
    </row>
    <row r="11" spans="2:13" ht="25.15" customHeight="1" x14ac:dyDescent="0.2">
      <c r="B11" s="99" t="s">
        <v>250</v>
      </c>
      <c r="C11" s="7" t="s">
        <v>251</v>
      </c>
      <c r="D11" s="184">
        <f>'Summary of Information'!C32</f>
        <v>1152571</v>
      </c>
      <c r="E11" s="184">
        <f>'Summary of Information'!D32</f>
        <v>1800842</v>
      </c>
      <c r="F11" s="184">
        <f>'Summary of Information'!E32</f>
        <v>2822504</v>
      </c>
      <c r="G11" s="184">
        <f>'Summary of Information'!F32</f>
        <v>3136831</v>
      </c>
      <c r="H11" s="184">
        <f>'Summary of Information'!G32</f>
        <v>3136831</v>
      </c>
      <c r="J11" s="195" t="s">
        <v>245</v>
      </c>
      <c r="K11" s="135">
        <v>1</v>
      </c>
      <c r="L11" s="75">
        <f>F11*K11</f>
        <v>2822504</v>
      </c>
      <c r="M11" s="5"/>
    </row>
    <row r="12" spans="2:13" ht="25.15" customHeight="1" x14ac:dyDescent="0.2">
      <c r="B12" s="99" t="s">
        <v>252</v>
      </c>
      <c r="C12" s="7" t="s">
        <v>253</v>
      </c>
      <c r="D12" s="127">
        <f>SUM(D10:D11)</f>
        <v>1738734</v>
      </c>
      <c r="E12" s="127">
        <f t="shared" ref="E12:H12" si="0">SUM(E10:E11)</f>
        <v>2490873</v>
      </c>
      <c r="F12" s="127">
        <f>SUM(F10:F11)</f>
        <v>3282979</v>
      </c>
      <c r="G12" s="127">
        <f t="shared" si="0"/>
        <v>3647309.49</v>
      </c>
      <c r="H12" s="127">
        <f t="shared" si="0"/>
        <v>3647309.49</v>
      </c>
      <c r="J12" s="196" t="s">
        <v>254</v>
      </c>
      <c r="K12" s="135">
        <v>1.1000000000000001</v>
      </c>
      <c r="L12" s="127">
        <f t="shared" ref="L12" si="1">SUM(L10:L11)</f>
        <v>3329026.5</v>
      </c>
      <c r="M12" s="5"/>
    </row>
    <row r="13" spans="2:13" ht="25.15" customHeight="1" x14ac:dyDescent="0.2">
      <c r="B13" s="99" t="s">
        <v>255</v>
      </c>
      <c r="C13" s="7" t="s">
        <v>256</v>
      </c>
      <c r="D13" s="184">
        <f>'Summary of Information'!C40</f>
        <v>428709</v>
      </c>
      <c r="E13" s="184">
        <f>'Summary of Information'!D40</f>
        <v>635058</v>
      </c>
      <c r="F13" s="184">
        <f>'Summary of Information'!E40</f>
        <v>423406</v>
      </c>
      <c r="G13" s="184">
        <f>'Summary of Information'!F40</f>
        <v>830907.09</v>
      </c>
      <c r="H13" s="122"/>
      <c r="J13" s="195" t="s">
        <v>245</v>
      </c>
      <c r="K13" s="135">
        <v>1.1000000000000001</v>
      </c>
      <c r="L13" s="75">
        <f>F13*K13</f>
        <v>465746.60000000003</v>
      </c>
      <c r="M13" s="5"/>
    </row>
    <row r="14" spans="2:13" ht="25.15" customHeight="1" x14ac:dyDescent="0.2">
      <c r="B14" s="99" t="s">
        <v>257</v>
      </c>
      <c r="C14" s="7" t="s">
        <v>258</v>
      </c>
      <c r="D14" s="123">
        <f>D12-D13</f>
        <v>1310025</v>
      </c>
      <c r="E14" s="123">
        <f t="shared" ref="E14:F14" si="2">E12-E13</f>
        <v>1855815</v>
      </c>
      <c r="F14" s="123">
        <f t="shared" si="2"/>
        <v>2859573</v>
      </c>
      <c r="G14" s="123">
        <f t="shared" ref="G14" si="3">G12-G13</f>
        <v>2816402.4000000004</v>
      </c>
      <c r="H14" s="123">
        <f t="shared" ref="H14" si="4">H12-H13</f>
        <v>3647309.49</v>
      </c>
      <c r="J14" s="196" t="s">
        <v>254</v>
      </c>
      <c r="K14" s="200"/>
      <c r="L14" s="123">
        <f t="shared" ref="L14" si="5">L12-L13</f>
        <v>2863279.9</v>
      </c>
      <c r="M14" s="5"/>
    </row>
    <row r="15" spans="2:13" ht="25.15" customHeight="1" x14ac:dyDescent="0.2">
      <c r="B15" s="99" t="s">
        <v>259</v>
      </c>
      <c r="C15" s="7" t="s">
        <v>260</v>
      </c>
      <c r="D15" s="123">
        <f>D14/D8*365</f>
        <v>116.36216329474705</v>
      </c>
      <c r="E15" s="123">
        <f>E14/E8*365</f>
        <v>110.60675594053772</v>
      </c>
      <c r="F15" s="123">
        <f>F14/F8*365</f>
        <v>218.0004634689744</v>
      </c>
      <c r="G15" s="123">
        <f>G14/G8*365</f>
        <v>244.73112421757713</v>
      </c>
      <c r="H15" s="123">
        <f>H14/H8*365</f>
        <v>234.44340256482732</v>
      </c>
      <c r="J15" s="196" t="s">
        <v>254</v>
      </c>
      <c r="K15" s="200"/>
      <c r="L15" s="123">
        <f>L14/L8*365</f>
        <v>174.13709445262626</v>
      </c>
      <c r="M15" s="5"/>
    </row>
    <row r="16" spans="2:13" ht="25.15" customHeight="1" x14ac:dyDescent="0.2">
      <c r="B16" s="99" t="s">
        <v>261</v>
      </c>
      <c r="C16" s="7" t="s">
        <v>262</v>
      </c>
      <c r="D16" s="128">
        <f t="shared" ref="D16:E16" si="6">(D10/D8)*365</f>
        <v>52.065567239815124</v>
      </c>
      <c r="E16" s="128">
        <f t="shared" si="6"/>
        <v>41.125915249313742</v>
      </c>
      <c r="F16" s="128">
        <f>(F10/F8)*365</f>
        <v>35.104459097870908</v>
      </c>
      <c r="G16" s="128">
        <f t="shared" ref="G16:H16" si="7">(G10/G8)*365</f>
        <v>44.357998965840672</v>
      </c>
      <c r="H16" s="128">
        <f t="shared" si="7"/>
        <v>32.812766358293104</v>
      </c>
      <c r="J16" s="196" t="s">
        <v>254</v>
      </c>
      <c r="K16" s="200"/>
      <c r="L16" s="128">
        <f>(L10/L8)*365</f>
        <v>30.805355922374336</v>
      </c>
      <c r="M16" s="5"/>
    </row>
    <row r="17" spans="1:16" ht="25.15" customHeight="1" x14ac:dyDescent="0.2">
      <c r="B17" s="99" t="s">
        <v>263</v>
      </c>
      <c r="C17" s="7" t="s">
        <v>264</v>
      </c>
      <c r="D17" s="128">
        <f t="shared" ref="D17:E17" si="8">(D13/D9)*365</f>
        <v>58.922237706834736</v>
      </c>
      <c r="E17" s="128">
        <f t="shared" si="8"/>
        <v>55.882776826828035</v>
      </c>
      <c r="F17" s="128">
        <f>(F13/F9)*365</f>
        <v>61.12635261116548</v>
      </c>
      <c r="G17" s="128">
        <f t="shared" ref="G17:H17" si="9">(G13/G9)*365</f>
        <v>104.02817721427294</v>
      </c>
      <c r="H17" s="128">
        <f t="shared" si="9"/>
        <v>0</v>
      </c>
      <c r="J17" s="196" t="s">
        <v>254</v>
      </c>
      <c r="K17" s="200"/>
      <c r="L17" s="128">
        <f>(L13/L9)*365</f>
        <v>46.297043898601558</v>
      </c>
      <c r="M17" s="5"/>
    </row>
    <row r="18" spans="1:16" ht="25.15" customHeight="1" x14ac:dyDescent="0.2">
      <c r="B18" s="99" t="s">
        <v>265</v>
      </c>
      <c r="C18" s="7" t="s">
        <v>266</v>
      </c>
      <c r="D18" s="127">
        <f>F18</f>
        <v>0</v>
      </c>
      <c r="E18" s="127">
        <f>F18</f>
        <v>0</v>
      </c>
      <c r="F18" s="184">
        <f>E43</f>
        <v>0</v>
      </c>
      <c r="G18" s="184">
        <f>F18</f>
        <v>0</v>
      </c>
      <c r="H18" s="184">
        <f>G18</f>
        <v>0</v>
      </c>
      <c r="J18" s="197" t="str">
        <f>E30</f>
        <v>Year (i -1)</v>
      </c>
      <c r="K18" s="200"/>
      <c r="L18" s="199">
        <f>F18</f>
        <v>0</v>
      </c>
      <c r="M18" s="5"/>
    </row>
    <row r="19" spans="1:16" ht="25.5" x14ac:dyDescent="0.2">
      <c r="B19" s="189" t="s">
        <v>267</v>
      </c>
      <c r="C19" s="190" t="s">
        <v>268</v>
      </c>
      <c r="D19" s="191">
        <f>D18-D$14</f>
        <v>-1310025</v>
      </c>
      <c r="E19" s="191">
        <f>E18-E$14</f>
        <v>-1855815</v>
      </c>
      <c r="F19" s="192">
        <f>F18-F$14</f>
        <v>-2859573</v>
      </c>
      <c r="G19" s="192">
        <f t="shared" ref="G19" si="10">G18-G$14</f>
        <v>-2816402.4000000004</v>
      </c>
      <c r="H19" s="192">
        <f>H18-H$14</f>
        <v>-3647309.49</v>
      </c>
      <c r="J19" s="198" t="s">
        <v>254</v>
      </c>
      <c r="K19" s="193"/>
      <c r="L19" s="192">
        <f>L18-L$14</f>
        <v>-2863279.9</v>
      </c>
      <c r="M19" s="5"/>
    </row>
    <row r="20" spans="1:16" ht="51" x14ac:dyDescent="0.2">
      <c r="A20" s="183" t="s">
        <v>269</v>
      </c>
      <c r="B20" s="99" t="s">
        <v>270</v>
      </c>
      <c r="C20" s="7" t="s">
        <v>271</v>
      </c>
      <c r="D20" s="127">
        <f>F20</f>
        <v>0</v>
      </c>
      <c r="E20" s="127">
        <f>F20</f>
        <v>0</v>
      </c>
      <c r="F20" s="184">
        <f>F18</f>
        <v>0</v>
      </c>
      <c r="G20" s="184">
        <f>F20</f>
        <v>0</v>
      </c>
      <c r="H20" s="184">
        <f>G20</f>
        <v>0</v>
      </c>
      <c r="J20" s="197" t="s">
        <v>254</v>
      </c>
      <c r="K20" s="200"/>
      <c r="L20" s="199">
        <f>F20</f>
        <v>0</v>
      </c>
      <c r="M20" s="5"/>
    </row>
    <row r="21" spans="1:16" ht="25.5" x14ac:dyDescent="0.2">
      <c r="B21" s="189" t="s">
        <v>272</v>
      </c>
      <c r="C21" s="190" t="s">
        <v>268</v>
      </c>
      <c r="D21" s="191">
        <f>D20-D$14</f>
        <v>-1310025</v>
      </c>
      <c r="E21" s="191">
        <f>E20-E$14</f>
        <v>-1855815</v>
      </c>
      <c r="F21" s="192">
        <f>F20-F$14</f>
        <v>-2859573</v>
      </c>
      <c r="G21" s="192">
        <f t="shared" ref="G21:H21" si="11">G20-G$14</f>
        <v>-2816402.4000000004</v>
      </c>
      <c r="H21" s="192">
        <f t="shared" si="11"/>
        <v>-3647309.49</v>
      </c>
      <c r="J21" s="198" t="s">
        <v>254</v>
      </c>
      <c r="K21" s="194"/>
      <c r="L21" s="192">
        <f>L20-L$14</f>
        <v>-2863279.9</v>
      </c>
      <c r="M21" s="5"/>
    </row>
    <row r="22" spans="1:16" ht="51" x14ac:dyDescent="0.2">
      <c r="A22" s="183" t="s">
        <v>269</v>
      </c>
      <c r="B22" s="99" t="s">
        <v>273</v>
      </c>
      <c r="C22" s="7" t="s">
        <v>274</v>
      </c>
      <c r="D22" s="127">
        <f>F22</f>
        <v>0</v>
      </c>
      <c r="E22" s="127">
        <f>F22</f>
        <v>0</v>
      </c>
      <c r="F22" s="184">
        <f>F20+N68</f>
        <v>0</v>
      </c>
      <c r="G22" s="184">
        <f>F22</f>
        <v>0</v>
      </c>
      <c r="H22" s="184">
        <f>G22</f>
        <v>0</v>
      </c>
      <c r="J22" s="197" t="s">
        <v>254</v>
      </c>
      <c r="K22" s="200"/>
      <c r="L22" s="199">
        <f>F22</f>
        <v>0</v>
      </c>
      <c r="M22" s="5"/>
    </row>
    <row r="23" spans="1:16" ht="25.5" x14ac:dyDescent="0.2">
      <c r="B23" s="189" t="s">
        <v>275</v>
      </c>
      <c r="C23" s="190" t="s">
        <v>276</v>
      </c>
      <c r="D23" s="191">
        <f t="shared" ref="D23:E23" si="12">D22-D$14</f>
        <v>-1310025</v>
      </c>
      <c r="E23" s="191">
        <f t="shared" si="12"/>
        <v>-1855815</v>
      </c>
      <c r="F23" s="192">
        <f>F22-F$14</f>
        <v>-2859573</v>
      </c>
      <c r="G23" s="192">
        <f t="shared" ref="G23:H23" si="13">G22-G$14</f>
        <v>-2816402.4000000004</v>
      </c>
      <c r="H23" s="192">
        <f t="shared" si="13"/>
        <v>-3647309.49</v>
      </c>
      <c r="J23" s="198" t="s">
        <v>254</v>
      </c>
      <c r="K23" s="194"/>
      <c r="L23" s="192">
        <f>L22-L$14</f>
        <v>-2863279.9</v>
      </c>
      <c r="M23" s="5"/>
    </row>
    <row r="24" spans="1:16" x14ac:dyDescent="0.2">
      <c r="D24" s="185"/>
      <c r="E24" s="185"/>
      <c r="F24" s="186"/>
      <c r="G24" s="186"/>
      <c r="H24" s="186"/>
      <c r="J24" s="20"/>
      <c r="K24" s="187"/>
      <c r="L24" s="188"/>
      <c r="M24" s="2"/>
    </row>
    <row r="25" spans="1:16" x14ac:dyDescent="0.2">
      <c r="D25" s="63" t="s">
        <v>277</v>
      </c>
      <c r="E25" s="63" t="s">
        <v>277</v>
      </c>
      <c r="G25" s="2"/>
      <c r="J25" s="20"/>
      <c r="M25" s="2"/>
      <c r="O25" s="95"/>
    </row>
    <row r="26" spans="1:16" ht="25.5" x14ac:dyDescent="0.2">
      <c r="B26" s="4"/>
      <c r="C26" s="7" t="s">
        <v>278</v>
      </c>
      <c r="D26" s="124"/>
      <c r="E26" s="124"/>
      <c r="F26" s="124"/>
      <c r="G26" s="132" t="str">
        <f>J19</f>
        <v>As per formula</v>
      </c>
      <c r="J26" s="868" t="s">
        <v>125</v>
      </c>
      <c r="K26" s="862" t="s">
        <v>279</v>
      </c>
      <c r="L26" s="863"/>
      <c r="M26" s="863"/>
      <c r="N26" s="863"/>
      <c r="O26" s="863"/>
      <c r="P26" s="864"/>
    </row>
    <row r="27" spans="1:16" x14ac:dyDescent="0.2">
      <c r="B27" s="4"/>
      <c r="C27" s="7" t="s">
        <v>280</v>
      </c>
      <c r="D27" s="124"/>
      <c r="E27" s="124"/>
      <c r="F27" s="124"/>
      <c r="G27" s="133">
        <v>500000</v>
      </c>
      <c r="J27" s="869"/>
      <c r="K27" s="865"/>
      <c r="L27" s="866"/>
      <c r="M27" s="866"/>
      <c r="N27" s="866"/>
      <c r="O27" s="866"/>
      <c r="P27" s="867"/>
    </row>
    <row r="28" spans="1:16" x14ac:dyDescent="0.2">
      <c r="J28" s="68"/>
    </row>
    <row r="29" spans="1:16" x14ac:dyDescent="0.2">
      <c r="B29" s="870" t="s">
        <v>281</v>
      </c>
      <c r="C29" s="871"/>
      <c r="D29" s="871"/>
      <c r="E29" s="871"/>
      <c r="F29" s="872"/>
      <c r="J29" s="203"/>
      <c r="K29" s="203"/>
      <c r="L29" s="203"/>
      <c r="M29" s="203"/>
    </row>
    <row r="30" spans="1:16" s="90" customFormat="1" x14ac:dyDescent="0.2">
      <c r="B30" s="117" t="s">
        <v>48</v>
      </c>
      <c r="C30" s="117" t="s">
        <v>60</v>
      </c>
      <c r="D30" s="121" t="s">
        <v>232</v>
      </c>
      <c r="E30" s="121" t="s">
        <v>233</v>
      </c>
      <c r="F30" s="121" t="s">
        <v>234</v>
      </c>
      <c r="I30" s="2"/>
      <c r="J30" s="117" t="s">
        <v>237</v>
      </c>
      <c r="K30" s="121" t="s">
        <v>238</v>
      </c>
      <c r="L30" s="121" t="s">
        <v>282</v>
      </c>
      <c r="M30" s="121" t="s">
        <v>61</v>
      </c>
    </row>
    <row r="31" spans="1:16" ht="25.5" x14ac:dyDescent="0.2">
      <c r="B31" s="99" t="s">
        <v>243</v>
      </c>
      <c r="C31" s="7" t="s">
        <v>244</v>
      </c>
      <c r="D31" s="125" t="s">
        <v>283</v>
      </c>
      <c r="E31" s="125" t="s">
        <v>283</v>
      </c>
      <c r="F31" s="125" t="s">
        <v>283</v>
      </c>
      <c r="J31" s="129" t="s">
        <v>245</v>
      </c>
      <c r="K31" s="135">
        <v>1.1000000000000001</v>
      </c>
      <c r="L31" s="136"/>
      <c r="M31" s="5"/>
    </row>
    <row r="32" spans="1:16" ht="25.5" x14ac:dyDescent="0.2">
      <c r="B32" s="99" t="s">
        <v>246</v>
      </c>
      <c r="C32" s="7" t="s">
        <v>284</v>
      </c>
      <c r="D32" s="125" t="s">
        <v>283</v>
      </c>
      <c r="E32" s="125" t="s">
        <v>283</v>
      </c>
      <c r="F32" s="125" t="s">
        <v>283</v>
      </c>
      <c r="J32" s="129" t="s">
        <v>245</v>
      </c>
      <c r="K32" s="135">
        <v>1.1000000000000001</v>
      </c>
      <c r="L32" s="136"/>
      <c r="M32" s="5"/>
    </row>
    <row r="33" spans="2:13" ht="25.5" x14ac:dyDescent="0.2">
      <c r="B33" s="99" t="s">
        <v>248</v>
      </c>
      <c r="C33" s="7" t="s">
        <v>207</v>
      </c>
      <c r="D33" s="125" t="s">
        <v>283</v>
      </c>
      <c r="E33" s="125" t="s">
        <v>283</v>
      </c>
      <c r="F33" s="125" t="s">
        <v>283</v>
      </c>
      <c r="J33" s="129" t="s">
        <v>245</v>
      </c>
      <c r="K33" s="135">
        <v>1.1000000000000001</v>
      </c>
      <c r="L33" s="136"/>
      <c r="M33" s="5"/>
    </row>
    <row r="34" spans="2:13" x14ac:dyDescent="0.2">
      <c r="B34" s="99" t="s">
        <v>285</v>
      </c>
      <c r="C34" s="7" t="s">
        <v>258</v>
      </c>
      <c r="D34" s="5"/>
      <c r="E34" s="5"/>
      <c r="F34" s="5"/>
      <c r="J34" s="130" t="s">
        <v>254</v>
      </c>
      <c r="K34" s="135">
        <v>1</v>
      </c>
      <c r="L34" s="136"/>
      <c r="M34" s="5"/>
    </row>
    <row r="35" spans="2:13" x14ac:dyDescent="0.2">
      <c r="B35" s="99" t="s">
        <v>286</v>
      </c>
      <c r="C35" s="7" t="s">
        <v>287</v>
      </c>
      <c r="D35" s="125" t="s">
        <v>283</v>
      </c>
      <c r="E35" s="125" t="s">
        <v>283</v>
      </c>
      <c r="F35" s="125" t="s">
        <v>283</v>
      </c>
      <c r="J35" s="130" t="s">
        <v>254</v>
      </c>
      <c r="K35" s="135">
        <v>1</v>
      </c>
      <c r="L35" s="136"/>
      <c r="M35" s="5"/>
    </row>
    <row r="36" spans="2:13" ht="25.5" x14ac:dyDescent="0.2">
      <c r="B36" s="99" t="s">
        <v>288</v>
      </c>
      <c r="C36" s="7" t="s">
        <v>289</v>
      </c>
      <c r="D36" s="5"/>
      <c r="E36" s="5"/>
      <c r="F36" s="5"/>
      <c r="J36" s="131">
        <f>E43</f>
        <v>0</v>
      </c>
      <c r="K36" s="135">
        <v>1</v>
      </c>
      <c r="L36" s="136"/>
      <c r="M36" s="5"/>
    </row>
    <row r="37" spans="2:13" ht="25.5" x14ac:dyDescent="0.2">
      <c r="B37" s="99" t="s">
        <v>290</v>
      </c>
      <c r="C37" s="7" t="s">
        <v>276</v>
      </c>
      <c r="D37" s="5"/>
      <c r="E37" s="5"/>
      <c r="F37" s="5"/>
      <c r="J37" s="130" t="s">
        <v>254</v>
      </c>
      <c r="K37" s="135">
        <v>1</v>
      </c>
      <c r="L37" s="136"/>
      <c r="M37" s="5"/>
    </row>
    <row r="38" spans="2:13" x14ac:dyDescent="0.2">
      <c r="B38" s="67" t="s">
        <v>291</v>
      </c>
      <c r="G38" s="4"/>
      <c r="J38" s="64"/>
    </row>
    <row r="40" spans="2:13" ht="25.5" x14ac:dyDescent="0.2">
      <c r="C40" s="7" t="s">
        <v>278</v>
      </c>
      <c r="D40" s="124"/>
      <c r="E40" s="124"/>
      <c r="F40" s="124"/>
      <c r="G40" s="132" t="str">
        <f>J37</f>
        <v>As per formula</v>
      </c>
    </row>
    <row r="41" spans="2:13" x14ac:dyDescent="0.2">
      <c r="C41" s="7" t="s">
        <v>280</v>
      </c>
      <c r="D41" s="124"/>
      <c r="E41" s="124"/>
      <c r="F41" s="124"/>
      <c r="G41" s="100"/>
    </row>
    <row r="43" spans="2:13" ht="25.5" x14ac:dyDescent="0.2">
      <c r="C43" s="118" t="s">
        <v>292</v>
      </c>
      <c r="D43" s="3" t="s">
        <v>293</v>
      </c>
      <c r="E43" s="126">
        <f>SUM(E44:E47)</f>
        <v>0</v>
      </c>
      <c r="F43" s="861" t="s">
        <v>294</v>
      </c>
      <c r="G43" s="861"/>
      <c r="H43" s="861"/>
      <c r="I43" s="861"/>
      <c r="J43" s="861"/>
    </row>
    <row r="44" spans="2:13" x14ac:dyDescent="0.2">
      <c r="C44" s="7" t="s">
        <v>295</v>
      </c>
      <c r="D44" s="52" t="s">
        <v>296</v>
      </c>
      <c r="E44" s="79">
        <f>E66</f>
        <v>0</v>
      </c>
      <c r="F44" s="860"/>
      <c r="G44" s="860"/>
      <c r="H44" s="860"/>
      <c r="I44" s="860"/>
      <c r="J44" s="860"/>
    </row>
    <row r="45" spans="2:13" x14ac:dyDescent="0.2">
      <c r="C45" s="7" t="s">
        <v>297</v>
      </c>
      <c r="D45" s="52" t="s">
        <v>296</v>
      </c>
      <c r="E45" s="79">
        <f>E84</f>
        <v>0</v>
      </c>
      <c r="F45" s="860"/>
      <c r="G45" s="860"/>
      <c r="H45" s="860"/>
      <c r="I45" s="860"/>
      <c r="J45" s="860"/>
    </row>
    <row r="46" spans="2:13" ht="25.5" x14ac:dyDescent="0.2">
      <c r="C46" s="7" t="s">
        <v>298</v>
      </c>
      <c r="D46" s="52" t="s">
        <v>296</v>
      </c>
      <c r="E46" s="79">
        <f>E102</f>
        <v>0</v>
      </c>
      <c r="F46" s="860"/>
      <c r="G46" s="860"/>
      <c r="H46" s="860"/>
      <c r="I46" s="860"/>
      <c r="J46" s="860"/>
    </row>
    <row r="47" spans="2:13" x14ac:dyDescent="0.2">
      <c r="C47" s="7" t="s">
        <v>299</v>
      </c>
      <c r="D47" s="52" t="s">
        <v>300</v>
      </c>
      <c r="E47" s="79">
        <f>E120</f>
        <v>0</v>
      </c>
      <c r="F47" s="860" t="s">
        <v>301</v>
      </c>
      <c r="G47" s="860"/>
      <c r="H47" s="860"/>
      <c r="I47" s="860"/>
      <c r="J47" s="860"/>
    </row>
    <row r="48" spans="2:13" x14ac:dyDescent="0.2">
      <c r="C48" s="64" t="s">
        <v>302</v>
      </c>
    </row>
    <row r="49" spans="3:14" x14ac:dyDescent="0.2">
      <c r="C49" s="119"/>
      <c r="L49" s="1" t="s">
        <v>283</v>
      </c>
    </row>
    <row r="50" spans="3:14" ht="38.25" x14ac:dyDescent="0.2">
      <c r="C50" s="27" t="s">
        <v>303</v>
      </c>
      <c r="D50" s="3" t="s">
        <v>86</v>
      </c>
      <c r="E50" s="3" t="s">
        <v>296</v>
      </c>
      <c r="F50" s="63" t="s">
        <v>304</v>
      </c>
      <c r="K50" s="121" t="s">
        <v>305</v>
      </c>
      <c r="L50" s="117" t="s">
        <v>306</v>
      </c>
      <c r="M50" s="117" t="s">
        <v>307</v>
      </c>
      <c r="N50" s="206" t="s">
        <v>308</v>
      </c>
    </row>
    <row r="51" spans="3:14" x14ac:dyDescent="0.2">
      <c r="C51" s="7" t="s">
        <v>309</v>
      </c>
      <c r="D51" s="5" t="s">
        <v>310</v>
      </c>
      <c r="E51" s="11"/>
      <c r="K51" s="52" t="s">
        <v>311</v>
      </c>
      <c r="L51" s="207"/>
      <c r="M51" s="207"/>
      <c r="N51" s="204"/>
    </row>
    <row r="52" spans="3:14" x14ac:dyDescent="0.2">
      <c r="C52" s="7" t="s">
        <v>312</v>
      </c>
      <c r="D52" s="5" t="s">
        <v>313</v>
      </c>
      <c r="E52" s="11"/>
      <c r="K52" s="52" t="s">
        <v>311</v>
      </c>
      <c r="L52" s="207"/>
      <c r="M52" s="207"/>
      <c r="N52" s="205"/>
    </row>
    <row r="53" spans="3:14" x14ac:dyDescent="0.2">
      <c r="C53" s="7" t="s">
        <v>312</v>
      </c>
      <c r="D53" s="5" t="s">
        <v>313</v>
      </c>
      <c r="E53" s="11"/>
      <c r="K53" s="52" t="s">
        <v>311</v>
      </c>
      <c r="L53" s="207"/>
      <c r="M53" s="207"/>
      <c r="N53" s="204"/>
    </row>
    <row r="54" spans="3:14" x14ac:dyDescent="0.2">
      <c r="C54" s="7" t="s">
        <v>312</v>
      </c>
      <c r="D54" s="5" t="s">
        <v>313</v>
      </c>
      <c r="E54" s="11"/>
      <c r="K54" s="52"/>
      <c r="L54" s="207"/>
      <c r="M54" s="207"/>
      <c r="N54" s="205"/>
    </row>
    <row r="55" spans="3:14" x14ac:dyDescent="0.2">
      <c r="C55" s="7" t="s">
        <v>312</v>
      </c>
      <c r="D55" s="5" t="s">
        <v>313</v>
      </c>
      <c r="E55" s="11"/>
      <c r="K55" s="52"/>
      <c r="L55" s="207"/>
      <c r="M55" s="207"/>
      <c r="N55" s="204"/>
    </row>
    <row r="56" spans="3:14" x14ac:dyDescent="0.2">
      <c r="C56" s="7" t="s">
        <v>312</v>
      </c>
      <c r="D56" s="5" t="s">
        <v>313</v>
      </c>
      <c r="E56" s="11"/>
      <c r="K56" s="52"/>
      <c r="L56" s="207"/>
      <c r="M56" s="207"/>
      <c r="N56" s="205"/>
    </row>
    <row r="57" spans="3:14" x14ac:dyDescent="0.2">
      <c r="C57" s="7" t="s">
        <v>312</v>
      </c>
      <c r="D57" s="5" t="s">
        <v>313</v>
      </c>
      <c r="E57" s="11"/>
      <c r="K57" s="52"/>
      <c r="L57" s="207"/>
      <c r="M57" s="207"/>
      <c r="N57" s="204"/>
    </row>
    <row r="58" spans="3:14" x14ac:dyDescent="0.2">
      <c r="C58" s="7" t="s">
        <v>312</v>
      </c>
      <c r="D58" s="5" t="s">
        <v>313</v>
      </c>
      <c r="E58" s="11"/>
      <c r="K58" s="52"/>
      <c r="L58" s="207"/>
      <c r="M58" s="207"/>
      <c r="N58" s="205"/>
    </row>
    <row r="59" spans="3:14" x14ac:dyDescent="0.2">
      <c r="C59" s="7" t="s">
        <v>312</v>
      </c>
      <c r="D59" s="5" t="s">
        <v>313</v>
      </c>
      <c r="E59" s="11"/>
      <c r="K59" s="52"/>
      <c r="L59" s="207"/>
      <c r="M59" s="207"/>
      <c r="N59" s="205"/>
    </row>
    <row r="60" spans="3:14" x14ac:dyDescent="0.2">
      <c r="C60" s="7" t="s">
        <v>312</v>
      </c>
      <c r="D60" s="5" t="s">
        <v>313</v>
      </c>
      <c r="E60" s="11"/>
      <c r="K60" s="52"/>
      <c r="L60" s="207"/>
      <c r="M60" s="207"/>
      <c r="N60" s="205"/>
    </row>
    <row r="61" spans="3:14" x14ac:dyDescent="0.2">
      <c r="C61" s="7" t="s">
        <v>312</v>
      </c>
      <c r="D61" s="5" t="s">
        <v>313</v>
      </c>
      <c r="E61" s="11"/>
      <c r="K61" s="52"/>
      <c r="L61" s="207"/>
      <c r="M61" s="207"/>
      <c r="N61" s="205"/>
    </row>
    <row r="62" spans="3:14" x14ac:dyDescent="0.2">
      <c r="C62" s="7" t="s">
        <v>312</v>
      </c>
      <c r="D62" s="5" t="s">
        <v>313</v>
      </c>
      <c r="E62" s="11"/>
      <c r="K62" s="52"/>
      <c r="L62" s="207"/>
      <c r="M62" s="207"/>
      <c r="N62" s="205"/>
    </row>
    <row r="63" spans="3:14" x14ac:dyDescent="0.2">
      <c r="C63" s="7" t="s">
        <v>312</v>
      </c>
      <c r="D63" s="5" t="s">
        <v>313</v>
      </c>
      <c r="E63" s="11"/>
      <c r="K63" s="52"/>
      <c r="L63" s="207"/>
      <c r="M63" s="207"/>
      <c r="N63" s="205"/>
    </row>
    <row r="64" spans="3:14" x14ac:dyDescent="0.2">
      <c r="C64" s="7" t="s">
        <v>312</v>
      </c>
      <c r="D64" s="5" t="s">
        <v>313</v>
      </c>
      <c r="E64" s="11"/>
      <c r="L64" s="207"/>
      <c r="M64" s="207"/>
      <c r="N64" s="18"/>
    </row>
    <row r="65" spans="3:14" x14ac:dyDescent="0.2">
      <c r="C65" s="7" t="s">
        <v>312</v>
      </c>
      <c r="D65" s="5" t="s">
        <v>313</v>
      </c>
      <c r="E65" s="11"/>
      <c r="L65" s="208" t="s">
        <v>107</v>
      </c>
      <c r="M65" s="208" t="s">
        <v>314</v>
      </c>
      <c r="N65" s="208">
        <f>SUM(N51:N64)</f>
        <v>0</v>
      </c>
    </row>
    <row r="66" spans="3:14" x14ac:dyDescent="0.2">
      <c r="C66" s="113" t="s">
        <v>315</v>
      </c>
      <c r="D66" s="25"/>
      <c r="E66" s="28">
        <f>SUM(E51:E65)</f>
        <v>0</v>
      </c>
      <c r="L66" s="208" t="s">
        <v>316</v>
      </c>
      <c r="M66" s="208" t="s">
        <v>317</v>
      </c>
      <c r="N66" s="208">
        <f>SUMIFS($N51:$N64,$M51:$M64,$M66)</f>
        <v>0</v>
      </c>
    </row>
    <row r="67" spans="3:14" x14ac:dyDescent="0.2">
      <c r="L67" s="208"/>
      <c r="M67" s="208"/>
      <c r="N67" s="208">
        <f>SUMIFS($N51:$N64,$M51:$M64,$M67)</f>
        <v>0</v>
      </c>
    </row>
    <row r="68" spans="3:14" x14ac:dyDescent="0.2">
      <c r="C68" s="27" t="s">
        <v>318</v>
      </c>
      <c r="D68" s="3" t="s">
        <v>86</v>
      </c>
      <c r="E68" s="3" t="s">
        <v>296</v>
      </c>
      <c r="K68" s="52" t="s">
        <v>51</v>
      </c>
      <c r="L68" s="208" t="s">
        <v>305</v>
      </c>
      <c r="M68" s="208" t="s">
        <v>317</v>
      </c>
      <c r="N68" s="209">
        <f>SUMIFS($N51:$N64,$M51:$M64,$M68,$K51:$K64,$K68)</f>
        <v>0</v>
      </c>
    </row>
    <row r="69" spans="3:14" x14ac:dyDescent="0.2">
      <c r="C69" s="7" t="s">
        <v>319</v>
      </c>
      <c r="D69" s="5" t="s">
        <v>310</v>
      </c>
      <c r="E69" s="11"/>
      <c r="F69" s="225"/>
    </row>
    <row r="70" spans="3:14" x14ac:dyDescent="0.2">
      <c r="C70" s="7" t="s">
        <v>312</v>
      </c>
      <c r="D70" s="5" t="s">
        <v>313</v>
      </c>
      <c r="E70" s="11"/>
    </row>
    <row r="71" spans="3:14" x14ac:dyDescent="0.2">
      <c r="C71" s="7" t="s">
        <v>312</v>
      </c>
      <c r="D71" s="5" t="s">
        <v>313</v>
      </c>
      <c r="E71" s="11"/>
    </row>
    <row r="72" spans="3:14" x14ac:dyDescent="0.2">
      <c r="C72" s="7" t="s">
        <v>312</v>
      </c>
      <c r="D72" s="5" t="s">
        <v>313</v>
      </c>
      <c r="E72" s="11"/>
    </row>
    <row r="73" spans="3:14" x14ac:dyDescent="0.2">
      <c r="C73" s="7" t="s">
        <v>312</v>
      </c>
      <c r="D73" s="5" t="s">
        <v>313</v>
      </c>
      <c r="E73" s="11"/>
    </row>
    <row r="74" spans="3:14" x14ac:dyDescent="0.2">
      <c r="C74" s="7" t="s">
        <v>312</v>
      </c>
      <c r="D74" s="5" t="s">
        <v>313</v>
      </c>
      <c r="E74" s="11"/>
    </row>
    <row r="75" spans="3:14" x14ac:dyDescent="0.2">
      <c r="C75" s="7" t="s">
        <v>312</v>
      </c>
      <c r="D75" s="5" t="s">
        <v>313</v>
      </c>
      <c r="E75" s="11"/>
    </row>
    <row r="76" spans="3:14" x14ac:dyDescent="0.2">
      <c r="C76" s="7" t="s">
        <v>312</v>
      </c>
      <c r="D76" s="5" t="s">
        <v>313</v>
      </c>
      <c r="E76" s="11"/>
    </row>
    <row r="77" spans="3:14" x14ac:dyDescent="0.2">
      <c r="C77" s="7" t="s">
        <v>312</v>
      </c>
      <c r="D77" s="5" t="s">
        <v>313</v>
      </c>
      <c r="E77" s="11"/>
    </row>
    <row r="78" spans="3:14" x14ac:dyDescent="0.2">
      <c r="C78" s="7" t="s">
        <v>312</v>
      </c>
      <c r="D78" s="5" t="s">
        <v>313</v>
      </c>
      <c r="E78" s="11"/>
    </row>
    <row r="79" spans="3:14" x14ac:dyDescent="0.2">
      <c r="C79" s="7" t="s">
        <v>312</v>
      </c>
      <c r="D79" s="5" t="s">
        <v>313</v>
      </c>
      <c r="E79" s="11"/>
    </row>
    <row r="80" spans="3:14" x14ac:dyDescent="0.2">
      <c r="C80" s="7" t="s">
        <v>312</v>
      </c>
      <c r="D80" s="5" t="s">
        <v>313</v>
      </c>
      <c r="E80" s="11"/>
    </row>
    <row r="81" spans="3:5" x14ac:dyDescent="0.2">
      <c r="C81" s="7" t="s">
        <v>312</v>
      </c>
      <c r="D81" s="5" t="s">
        <v>313</v>
      </c>
      <c r="E81" s="11"/>
    </row>
    <row r="82" spans="3:5" x14ac:dyDescent="0.2">
      <c r="C82" s="7" t="s">
        <v>312</v>
      </c>
      <c r="D82" s="5" t="s">
        <v>313</v>
      </c>
      <c r="E82" s="11"/>
    </row>
    <row r="83" spans="3:5" x14ac:dyDescent="0.2">
      <c r="C83" s="7" t="s">
        <v>312</v>
      </c>
      <c r="D83" s="5" t="s">
        <v>313</v>
      </c>
      <c r="E83" s="11"/>
    </row>
    <row r="84" spans="3:5" x14ac:dyDescent="0.2">
      <c r="C84" s="113" t="s">
        <v>315</v>
      </c>
      <c r="D84" s="25"/>
      <c r="E84" s="28">
        <f>SUM(E69:E83)</f>
        <v>0</v>
      </c>
    </row>
    <row r="86" spans="3:5" ht="25.5" x14ac:dyDescent="0.2">
      <c r="C86" s="27" t="s">
        <v>320</v>
      </c>
      <c r="D86" s="3" t="s">
        <v>86</v>
      </c>
      <c r="E86" s="3" t="s">
        <v>296</v>
      </c>
    </row>
    <row r="87" spans="3:5" x14ac:dyDescent="0.2">
      <c r="C87" s="7" t="s">
        <v>321</v>
      </c>
      <c r="D87" s="5" t="s">
        <v>310</v>
      </c>
      <c r="E87" s="11"/>
    </row>
    <row r="88" spans="3:5" x14ac:dyDescent="0.2">
      <c r="C88" s="7" t="s">
        <v>312</v>
      </c>
      <c r="D88" s="5" t="s">
        <v>313</v>
      </c>
      <c r="E88" s="11"/>
    </row>
    <row r="89" spans="3:5" x14ac:dyDescent="0.2">
      <c r="C89" s="7" t="s">
        <v>312</v>
      </c>
      <c r="D89" s="5" t="s">
        <v>313</v>
      </c>
      <c r="E89" s="11"/>
    </row>
    <row r="90" spans="3:5" x14ac:dyDescent="0.2">
      <c r="C90" s="7" t="s">
        <v>312</v>
      </c>
      <c r="D90" s="5" t="s">
        <v>313</v>
      </c>
      <c r="E90" s="11"/>
    </row>
    <row r="91" spans="3:5" x14ac:dyDescent="0.2">
      <c r="C91" s="7" t="s">
        <v>312</v>
      </c>
      <c r="D91" s="5" t="s">
        <v>313</v>
      </c>
      <c r="E91" s="11"/>
    </row>
    <row r="92" spans="3:5" x14ac:dyDescent="0.2">
      <c r="C92" s="7" t="s">
        <v>312</v>
      </c>
      <c r="D92" s="5" t="s">
        <v>313</v>
      </c>
      <c r="E92" s="11"/>
    </row>
    <row r="93" spans="3:5" x14ac:dyDescent="0.2">
      <c r="C93" s="7" t="s">
        <v>312</v>
      </c>
      <c r="D93" s="5" t="s">
        <v>313</v>
      </c>
      <c r="E93" s="11"/>
    </row>
    <row r="94" spans="3:5" x14ac:dyDescent="0.2">
      <c r="C94" s="7" t="s">
        <v>312</v>
      </c>
      <c r="D94" s="5" t="s">
        <v>313</v>
      </c>
      <c r="E94" s="11"/>
    </row>
    <row r="95" spans="3:5" x14ac:dyDescent="0.2">
      <c r="C95" s="7" t="s">
        <v>312</v>
      </c>
      <c r="D95" s="5" t="s">
        <v>313</v>
      </c>
      <c r="E95" s="11"/>
    </row>
    <row r="96" spans="3:5" x14ac:dyDescent="0.2">
      <c r="C96" s="7" t="s">
        <v>312</v>
      </c>
      <c r="D96" s="5" t="s">
        <v>313</v>
      </c>
      <c r="E96" s="11"/>
    </row>
    <row r="97" spans="3:5" x14ac:dyDescent="0.2">
      <c r="C97" s="7" t="s">
        <v>312</v>
      </c>
      <c r="D97" s="5" t="s">
        <v>313</v>
      </c>
      <c r="E97" s="11"/>
    </row>
    <row r="98" spans="3:5" x14ac:dyDescent="0.2">
      <c r="C98" s="7" t="s">
        <v>312</v>
      </c>
      <c r="D98" s="5" t="s">
        <v>313</v>
      </c>
      <c r="E98" s="11"/>
    </row>
    <row r="99" spans="3:5" x14ac:dyDescent="0.2">
      <c r="C99" s="7" t="s">
        <v>312</v>
      </c>
      <c r="D99" s="5" t="s">
        <v>313</v>
      </c>
      <c r="E99" s="11"/>
    </row>
    <row r="100" spans="3:5" x14ac:dyDescent="0.2">
      <c r="C100" s="7" t="s">
        <v>312</v>
      </c>
      <c r="D100" s="5" t="s">
        <v>313</v>
      </c>
      <c r="E100" s="11"/>
    </row>
    <row r="101" spans="3:5" x14ac:dyDescent="0.2">
      <c r="C101" s="7" t="s">
        <v>312</v>
      </c>
      <c r="D101" s="5" t="s">
        <v>313</v>
      </c>
      <c r="E101" s="11"/>
    </row>
    <row r="102" spans="3:5" x14ac:dyDescent="0.2">
      <c r="C102" s="113" t="s">
        <v>315</v>
      </c>
      <c r="D102" s="25"/>
      <c r="E102" s="28">
        <f>SUM(E87:E101)</f>
        <v>0</v>
      </c>
    </row>
    <row r="104" spans="3:5" ht="25.5" x14ac:dyDescent="0.2">
      <c r="C104" s="27" t="s">
        <v>322</v>
      </c>
      <c r="D104" s="3" t="s">
        <v>86</v>
      </c>
      <c r="E104" s="3" t="s">
        <v>323</v>
      </c>
    </row>
    <row r="105" spans="3:5" x14ac:dyDescent="0.2">
      <c r="C105" s="7" t="s">
        <v>324</v>
      </c>
      <c r="D105" s="5" t="s">
        <v>310</v>
      </c>
      <c r="E105" s="11"/>
    </row>
    <row r="106" spans="3:5" x14ac:dyDescent="0.2">
      <c r="C106" s="7" t="s">
        <v>325</v>
      </c>
      <c r="D106" s="5" t="s">
        <v>313</v>
      </c>
      <c r="E106" s="11"/>
    </row>
    <row r="107" spans="3:5" x14ac:dyDescent="0.2">
      <c r="C107" s="7" t="s">
        <v>326</v>
      </c>
      <c r="D107" s="5" t="s">
        <v>313</v>
      </c>
      <c r="E107" s="11"/>
    </row>
    <row r="108" spans="3:5" x14ac:dyDescent="0.2">
      <c r="C108" s="7" t="s">
        <v>327</v>
      </c>
      <c r="D108" s="5" t="s">
        <v>313</v>
      </c>
      <c r="E108" s="11"/>
    </row>
    <row r="109" spans="3:5" x14ac:dyDescent="0.2">
      <c r="C109" s="7" t="s">
        <v>328</v>
      </c>
      <c r="D109" s="5" t="s">
        <v>313</v>
      </c>
      <c r="E109" s="11"/>
    </row>
    <row r="110" spans="3:5" x14ac:dyDescent="0.2">
      <c r="C110" s="7" t="s">
        <v>329</v>
      </c>
      <c r="D110" s="5" t="s">
        <v>313</v>
      </c>
      <c r="E110" s="11"/>
    </row>
    <row r="111" spans="3:5" x14ac:dyDescent="0.2">
      <c r="C111" s="7" t="s">
        <v>330</v>
      </c>
      <c r="D111" s="5" t="s">
        <v>313</v>
      </c>
      <c r="E111" s="11"/>
    </row>
    <row r="112" spans="3:5" x14ac:dyDescent="0.2">
      <c r="C112" s="7" t="s">
        <v>312</v>
      </c>
      <c r="D112" s="5" t="s">
        <v>313</v>
      </c>
      <c r="E112" s="11"/>
    </row>
    <row r="113" spans="3:5" x14ac:dyDescent="0.2">
      <c r="C113" s="7" t="s">
        <v>312</v>
      </c>
      <c r="D113" s="5" t="s">
        <v>313</v>
      </c>
      <c r="E113" s="11"/>
    </row>
    <row r="114" spans="3:5" x14ac:dyDescent="0.2">
      <c r="C114" s="7" t="s">
        <v>312</v>
      </c>
      <c r="D114" s="5" t="s">
        <v>313</v>
      </c>
      <c r="E114" s="11"/>
    </row>
    <row r="115" spans="3:5" x14ac:dyDescent="0.2">
      <c r="C115" s="7" t="s">
        <v>312</v>
      </c>
      <c r="D115" s="5" t="s">
        <v>313</v>
      </c>
      <c r="E115" s="11"/>
    </row>
    <row r="116" spans="3:5" x14ac:dyDescent="0.2">
      <c r="C116" s="7" t="s">
        <v>312</v>
      </c>
      <c r="D116" s="5" t="s">
        <v>313</v>
      </c>
      <c r="E116" s="11"/>
    </row>
    <row r="117" spans="3:5" x14ac:dyDescent="0.2">
      <c r="C117" s="7" t="s">
        <v>312</v>
      </c>
      <c r="D117" s="5" t="s">
        <v>313</v>
      </c>
      <c r="E117" s="11"/>
    </row>
    <row r="118" spans="3:5" x14ac:dyDescent="0.2">
      <c r="C118" s="7" t="s">
        <v>312</v>
      </c>
      <c r="D118" s="5" t="s">
        <v>313</v>
      </c>
      <c r="E118" s="11"/>
    </row>
    <row r="119" spans="3:5" x14ac:dyDescent="0.2">
      <c r="C119" s="7" t="s">
        <v>312</v>
      </c>
      <c r="D119" s="5" t="s">
        <v>313</v>
      </c>
      <c r="E119" s="11"/>
    </row>
    <row r="120" spans="3:5" x14ac:dyDescent="0.2">
      <c r="C120" s="113" t="s">
        <v>315</v>
      </c>
      <c r="D120" s="25"/>
      <c r="E120" s="28">
        <f>SUM(E105:E119)</f>
        <v>0</v>
      </c>
    </row>
    <row r="124" spans="3:5" x14ac:dyDescent="0.2">
      <c r="C124" s="20"/>
      <c r="D124" s="2" t="s">
        <v>331</v>
      </c>
    </row>
    <row r="125" spans="3:5" ht="25.5" x14ac:dyDescent="0.2">
      <c r="C125" s="134" t="s">
        <v>303</v>
      </c>
      <c r="D125" s="137" t="s">
        <v>9</v>
      </c>
      <c r="E125" s="137"/>
    </row>
    <row r="126" spans="3:5" x14ac:dyDescent="0.2">
      <c r="C126" s="134" t="s">
        <v>318</v>
      </c>
      <c r="D126" s="137" t="s">
        <v>11</v>
      </c>
      <c r="E126" s="137"/>
    </row>
    <row r="127" spans="3:5" ht="25.5" x14ac:dyDescent="0.2">
      <c r="C127" s="134" t="s">
        <v>320</v>
      </c>
      <c r="D127" s="137" t="s">
        <v>14</v>
      </c>
      <c r="E127" s="137"/>
    </row>
    <row r="128" spans="3:5" x14ac:dyDescent="0.2">
      <c r="C128" s="134" t="s">
        <v>332</v>
      </c>
      <c r="D128" s="137" t="s">
        <v>15</v>
      </c>
      <c r="E128" s="137"/>
    </row>
    <row r="129" spans="3:6" x14ac:dyDescent="0.2">
      <c r="C129" s="20"/>
      <c r="D129" s="137" t="s">
        <v>16</v>
      </c>
      <c r="E129" s="137"/>
      <c r="F129" s="2" t="s">
        <v>333</v>
      </c>
    </row>
    <row r="130" spans="3:6" x14ac:dyDescent="0.2">
      <c r="C130" s="20"/>
      <c r="D130" s="2" t="s">
        <v>17</v>
      </c>
    </row>
    <row r="131" spans="3:6" x14ac:dyDescent="0.2">
      <c r="C131" s="20"/>
      <c r="D131" s="137" t="s">
        <v>18</v>
      </c>
      <c r="E131" s="137"/>
    </row>
    <row r="132" spans="3:6" x14ac:dyDescent="0.2">
      <c r="C132" s="20"/>
      <c r="D132" s="137" t="s">
        <v>19</v>
      </c>
      <c r="E132" s="137"/>
    </row>
    <row r="133" spans="3:6" x14ac:dyDescent="0.2">
      <c r="C133" s="20"/>
      <c r="D133" s="137" t="s">
        <v>20</v>
      </c>
      <c r="E133" s="137"/>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6" priority="10" operator="lessThan">
      <formula>0</formula>
    </cfRule>
  </conditionalFormatting>
  <conditionalFormatting sqref="D23:I24">
    <cfRule type="cellIs" dxfId="5" priority="8" operator="lessThan">
      <formula>0</formula>
    </cfRule>
  </conditionalFormatting>
  <conditionalFormatting sqref="D23:E24">
    <cfRule type="cellIs" dxfId="4" priority="7" operator="lessThan">
      <formula>0</formula>
    </cfRule>
  </conditionalFormatting>
  <conditionalFormatting sqref="L19">
    <cfRule type="cellIs" dxfId="3" priority="1" operator="lessThan">
      <formula>0</formula>
    </cfRule>
  </conditionalFormatting>
  <conditionalFormatting sqref="D21:I21">
    <cfRule type="cellIs" dxfId="2" priority="5" operator="lessThan">
      <formula>0</formula>
    </cfRule>
  </conditionalFormatting>
  <conditionalFormatting sqref="L23">
    <cfRule type="cellIs" dxfId="1" priority="3" operator="lessThan">
      <formula>0</formula>
    </cfRule>
  </conditionalFormatting>
  <conditionalFormatting sqref="L21">
    <cfRule type="cellIs" dxfId="0"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sheetPr>
  <dimension ref="A2:AF313"/>
  <sheetViews>
    <sheetView zoomScale="85" zoomScaleNormal="85" workbookViewId="0">
      <selection activeCell="E247" sqref="E247"/>
    </sheetView>
  </sheetViews>
  <sheetFormatPr defaultColWidth="9.140625" defaultRowHeight="12.75" outlineLevelRow="1" outlineLevelCol="1" x14ac:dyDescent="0.25"/>
  <cols>
    <col min="1" max="1" width="22.85546875" style="2" customWidth="1"/>
    <col min="2" max="2" width="34.140625" style="2" bestFit="1" customWidth="1"/>
    <col min="3" max="3" width="10.85546875" style="2" bestFit="1" customWidth="1"/>
    <col min="4" max="4" width="12.85546875" style="2" bestFit="1" customWidth="1"/>
    <col min="5" max="5" width="10.28515625" style="2" customWidth="1"/>
    <col min="6" max="6" width="12.85546875" style="2" bestFit="1" customWidth="1"/>
    <col min="7" max="9" width="10.28515625" style="2" customWidth="1"/>
    <col min="10" max="10" width="20.5703125" style="2" customWidth="1"/>
    <col min="11" max="11" width="3.140625" style="2" customWidth="1"/>
    <col min="12" max="12" width="34.140625" style="2" customWidth="1" outlineLevel="1"/>
    <col min="13" max="13" width="11.7109375" style="2" customWidth="1" outlineLevel="1"/>
    <col min="14" max="14" width="14.85546875" style="2" bestFit="1" customWidth="1" outlineLevel="1"/>
    <col min="15" max="19" width="10.28515625" style="2" customWidth="1" outlineLevel="1"/>
    <col min="20" max="20" width="20.5703125" style="2" customWidth="1" outlineLevel="1"/>
    <col min="21" max="21" width="3.140625" style="2" customWidth="1" outlineLevel="1"/>
    <col min="22" max="22" width="34.140625" style="2" customWidth="1"/>
    <col min="23" max="26" width="17.7109375" style="2" bestFit="1" customWidth="1"/>
    <col min="27" max="27" width="10.85546875" style="2" bestFit="1" customWidth="1"/>
    <col min="28" max="29" width="10.28515625" style="2" customWidth="1"/>
    <col min="30" max="30" width="20.5703125" style="2" customWidth="1"/>
    <col min="31" max="31" width="3.140625" style="2" customWidth="1"/>
    <col min="32" max="32" width="10.42578125" style="2" customWidth="1"/>
    <col min="33" max="34" width="9.7109375" style="2" customWidth="1"/>
    <col min="35" max="16384" width="9.140625" style="2"/>
  </cols>
  <sheetData>
    <row r="2" spans="2:28" x14ac:dyDescent="0.2">
      <c r="B2" s="55" t="s">
        <v>334</v>
      </c>
    </row>
    <row r="3" spans="2:28" x14ac:dyDescent="0.25">
      <c r="D3" s="50" t="s">
        <v>335</v>
      </c>
      <c r="E3" s="50" t="s">
        <v>238</v>
      </c>
      <c r="F3" s="50" t="s">
        <v>336</v>
      </c>
    </row>
    <row r="4" spans="2:28" x14ac:dyDescent="0.25">
      <c r="B4" s="50" t="s">
        <v>337</v>
      </c>
      <c r="C4" s="84"/>
      <c r="D4" s="98">
        <f>D21/SUM(D26,D31)</f>
        <v>0.25788074512624876</v>
      </c>
      <c r="E4" s="84"/>
      <c r="F4" s="98">
        <f>F21/SUM(F26,F31)</f>
        <v>0.65986868376354124</v>
      </c>
    </row>
    <row r="6" spans="2:28" ht="24.75" customHeight="1" x14ac:dyDescent="0.25">
      <c r="W6" t="str">
        <f>'Summary of Information'!D5</f>
        <v>Audited-29/02/2024</v>
      </c>
      <c r="X6" t="str">
        <f>'Summary of Information'!E5</f>
        <v>Audited-28/02/2025</v>
      </c>
      <c r="Y6" t="str">
        <f>'Summary of Information'!F5</f>
        <v>Mgmt Acc-30/11/2025</v>
      </c>
      <c r="Z6" t="str">
        <f>'Summary of Information'!G5</f>
        <v>Annualised-30/11/2025</v>
      </c>
    </row>
    <row r="7" spans="2:28" x14ac:dyDescent="0.25">
      <c r="B7" s="50" t="s">
        <v>338</v>
      </c>
      <c r="C7" s="50" t="s">
        <v>86</v>
      </c>
      <c r="D7" s="50" t="s">
        <v>335</v>
      </c>
      <c r="E7" s="50" t="s">
        <v>238</v>
      </c>
      <c r="F7" s="50" t="s">
        <v>336</v>
      </c>
      <c r="H7" s="24"/>
      <c r="V7" s="5" t="s">
        <v>339</v>
      </c>
      <c r="W7" s="210">
        <f>'Summary of Information'!D14-'Summary of Information'!D15</f>
        <v>63810</v>
      </c>
      <c r="X7" s="210">
        <f>'Summary of Information'!E14-'Summary of Information'!E15</f>
        <v>113967</v>
      </c>
      <c r="Y7" s="210">
        <f>'Summary of Information'!F14-'Summary of Information'!F15</f>
        <v>100281.81999999989</v>
      </c>
      <c r="Z7" s="210">
        <f>'Summary of Information'!G14-'Summary of Information'!G15</f>
        <v>44534.164074073895</v>
      </c>
    </row>
    <row r="8" spans="2:28" x14ac:dyDescent="0.25">
      <c r="B8" s="69" t="s">
        <v>340</v>
      </c>
      <c r="C8" s="66"/>
      <c r="D8" s="70">
        <f>'N.Margin (Ind. Benchmark)'!E22</f>
        <v>0</v>
      </c>
      <c r="E8" s="21">
        <v>1</v>
      </c>
      <c r="F8" s="75">
        <f>D8*E8</f>
        <v>0</v>
      </c>
      <c r="V8" s="5" t="s">
        <v>341</v>
      </c>
      <c r="W8" s="210">
        <f>'Summary of Information'!D9</f>
        <v>75551</v>
      </c>
      <c r="X8" s="210">
        <f>'Summary of Information'!E9</f>
        <v>91032</v>
      </c>
      <c r="Y8" s="210">
        <f>'Summary of Information'!F9</f>
        <v>0</v>
      </c>
      <c r="Z8" s="210">
        <f>'Summary of Information'!G9</f>
        <v>91032</v>
      </c>
    </row>
    <row r="9" spans="2:28" x14ac:dyDescent="0.25">
      <c r="B9" s="5" t="s">
        <v>342</v>
      </c>
      <c r="C9" s="5" t="s">
        <v>313</v>
      </c>
      <c r="D9" s="97">
        <f>Z7</f>
        <v>44534.164074073895</v>
      </c>
      <c r="E9" s="21">
        <v>1</v>
      </c>
      <c r="F9" s="75">
        <v>1000000</v>
      </c>
      <c r="V9" s="5" t="s">
        <v>343</v>
      </c>
      <c r="W9" s="210">
        <f>'Summary of Information'!D15</f>
        <v>268196</v>
      </c>
      <c r="X9" s="210">
        <f>'Summary of Information'!E15</f>
        <v>479893</v>
      </c>
      <c r="Y9" s="210">
        <f>'Summary of Information'!F15</f>
        <v>353129.08</v>
      </c>
      <c r="Z9" s="210">
        <f>'Summary of Information'!G15</f>
        <v>477378.20074074075</v>
      </c>
      <c r="AA9" s="224"/>
      <c r="AB9" s="2">
        <f>'Summary of Information'!H14-'Summary of Information'!H15</f>
        <v>0</v>
      </c>
    </row>
    <row r="10" spans="2:28" x14ac:dyDescent="0.25">
      <c r="B10" s="5" t="s">
        <v>341</v>
      </c>
      <c r="C10" s="5" t="s">
        <v>313</v>
      </c>
      <c r="D10" s="97">
        <f t="shared" ref="D10:D11" si="0">Z8</f>
        <v>91032</v>
      </c>
      <c r="E10" s="21">
        <v>1</v>
      </c>
      <c r="F10" s="75">
        <f>D10*E10</f>
        <v>91032</v>
      </c>
      <c r="V10" s="5" t="s">
        <v>344</v>
      </c>
      <c r="W10" s="96">
        <v>0</v>
      </c>
      <c r="X10" s="110">
        <v>0</v>
      </c>
      <c r="Y10" s="110">
        <v>0</v>
      </c>
      <c r="Z10" s="110">
        <v>0</v>
      </c>
      <c r="AA10" s="224"/>
      <c r="AB10" s="2" t="e">
        <f>'Summary of Information'!#REF!</f>
        <v>#REF!</v>
      </c>
    </row>
    <row r="11" spans="2:28" x14ac:dyDescent="0.25">
      <c r="B11" s="5" t="s">
        <v>343</v>
      </c>
      <c r="C11" s="5" t="s">
        <v>313</v>
      </c>
      <c r="D11" s="97">
        <f t="shared" si="0"/>
        <v>477378.20074074075</v>
      </c>
      <c r="E11" s="21">
        <v>1</v>
      </c>
      <c r="F11" s="75">
        <f>D11*E11</f>
        <v>477378.20074074075</v>
      </c>
      <c r="V11" s="71"/>
      <c r="W11" s="96"/>
      <c r="X11" s="96"/>
      <c r="Y11" s="96"/>
      <c r="Z11" s="96"/>
      <c r="AA11" s="224"/>
    </row>
    <row r="12" spans="2:28" x14ac:dyDescent="0.25">
      <c r="B12" s="5" t="s">
        <v>344</v>
      </c>
      <c r="C12" s="5" t="s">
        <v>313</v>
      </c>
      <c r="D12" s="97">
        <f>Z10</f>
        <v>0</v>
      </c>
      <c r="E12" s="21">
        <v>1</v>
      </c>
      <c r="F12" s="75">
        <f>D12*E12</f>
        <v>0</v>
      </c>
      <c r="V12" s="86"/>
      <c r="W12" s="96"/>
      <c r="X12" s="96"/>
      <c r="Y12" s="96"/>
      <c r="Z12" s="96"/>
    </row>
    <row r="13" spans="2:28" x14ac:dyDescent="0.25">
      <c r="B13" s="71"/>
      <c r="C13" s="5" t="s">
        <v>345</v>
      </c>
      <c r="D13" s="6">
        <f>SUM(D14:D20)</f>
        <v>0</v>
      </c>
      <c r="E13" s="32"/>
      <c r="F13" s="75"/>
      <c r="H13" s="24" t="s">
        <v>346</v>
      </c>
      <c r="V13" s="86"/>
      <c r="W13" s="96"/>
      <c r="X13" s="96"/>
      <c r="Y13" s="96"/>
      <c r="Z13" s="96"/>
    </row>
    <row r="14" spans="2:28" x14ac:dyDescent="0.25">
      <c r="B14" s="86"/>
      <c r="C14" s="5" t="s">
        <v>345</v>
      </c>
      <c r="D14" s="97"/>
      <c r="E14" s="21">
        <v>1</v>
      </c>
      <c r="F14" s="75"/>
      <c r="V14" s="86"/>
      <c r="W14" s="96"/>
      <c r="X14" s="96"/>
      <c r="Y14" s="96"/>
      <c r="Z14" s="96"/>
    </row>
    <row r="15" spans="2:28" x14ac:dyDescent="0.25">
      <c r="B15" s="86"/>
      <c r="C15" s="5" t="s">
        <v>345</v>
      </c>
      <c r="D15" s="97"/>
      <c r="E15" s="21">
        <v>1</v>
      </c>
      <c r="F15" s="75"/>
      <c r="V15" s="86"/>
      <c r="W15" s="96"/>
      <c r="X15" s="96"/>
      <c r="Y15" s="96"/>
      <c r="Z15" s="96"/>
    </row>
    <row r="16" spans="2:28" x14ac:dyDescent="0.25">
      <c r="B16" s="86"/>
      <c r="C16" s="5" t="s">
        <v>345</v>
      </c>
      <c r="D16" s="97"/>
      <c r="E16" s="21">
        <v>1</v>
      </c>
      <c r="F16" s="75"/>
      <c r="V16" s="86"/>
      <c r="W16" s="96"/>
      <c r="X16" s="96"/>
      <c r="Y16" s="96"/>
      <c r="Z16" s="96"/>
    </row>
    <row r="17" spans="1:26" x14ac:dyDescent="0.25">
      <c r="B17" s="86"/>
      <c r="C17" s="5" t="s">
        <v>345</v>
      </c>
      <c r="D17" s="97"/>
      <c r="E17" s="21">
        <v>1</v>
      </c>
      <c r="F17" s="75"/>
      <c r="V17" s="86"/>
      <c r="W17" s="96"/>
      <c r="X17" s="96"/>
      <c r="Y17" s="96"/>
      <c r="Z17" s="96"/>
    </row>
    <row r="18" spans="1:26" x14ac:dyDescent="0.25">
      <c r="B18" s="86"/>
      <c r="C18" s="5" t="s">
        <v>345</v>
      </c>
      <c r="D18" s="97"/>
      <c r="E18" s="21">
        <v>1</v>
      </c>
      <c r="F18" s="75"/>
      <c r="V18" s="86"/>
      <c r="W18" s="96"/>
      <c r="X18" s="96"/>
      <c r="Y18" s="96"/>
      <c r="Z18" s="96"/>
    </row>
    <row r="19" spans="1:26" x14ac:dyDescent="0.25">
      <c r="B19" s="86"/>
      <c r="C19" s="5" t="s">
        <v>345</v>
      </c>
      <c r="D19" s="97"/>
      <c r="E19" s="21">
        <v>1</v>
      </c>
      <c r="F19" s="75"/>
    </row>
    <row r="20" spans="1:26" x14ac:dyDescent="0.25">
      <c r="B20" s="86"/>
      <c r="C20" s="5" t="s">
        <v>345</v>
      </c>
      <c r="D20" s="97"/>
      <c r="E20" s="21">
        <v>1</v>
      </c>
      <c r="F20" s="75"/>
    </row>
    <row r="21" spans="1:26" s="24" customFormat="1" x14ac:dyDescent="0.25">
      <c r="B21" s="72" t="s">
        <v>347</v>
      </c>
      <c r="C21" s="73"/>
      <c r="D21" s="74">
        <f>SUM(D9:D12)</f>
        <v>612944.36481481465</v>
      </c>
      <c r="E21" s="74"/>
      <c r="F21" s="74">
        <f>SUM(F9:F12)</f>
        <v>1568410.2007407406</v>
      </c>
      <c r="L21" s="2"/>
      <c r="M21" s="2"/>
      <c r="N21" s="2"/>
      <c r="O21" s="2"/>
      <c r="P21" s="2"/>
      <c r="V21" s="2"/>
      <c r="W21" s="2"/>
      <c r="X21" s="2"/>
      <c r="Y21" s="2"/>
      <c r="Z21" s="2"/>
    </row>
    <row r="23" spans="1:26" x14ac:dyDescent="0.25">
      <c r="B23" s="82" t="s">
        <v>348</v>
      </c>
    </row>
    <row r="24" spans="1:26" x14ac:dyDescent="0.25">
      <c r="B24" s="71" t="s">
        <v>349</v>
      </c>
      <c r="C24" s="5"/>
      <c r="D24" s="77">
        <f>H59</f>
        <v>2250324</v>
      </c>
      <c r="E24" s="21">
        <v>1</v>
      </c>
      <c r="F24" s="75">
        <f>D24*E24</f>
        <v>2250324</v>
      </c>
      <c r="H24" s="63" t="s">
        <v>350</v>
      </c>
    </row>
    <row r="25" spans="1:26" x14ac:dyDescent="0.25">
      <c r="B25" s="5" t="s">
        <v>351</v>
      </c>
      <c r="C25" s="5"/>
      <c r="D25" s="81">
        <f>G59</f>
        <v>126528</v>
      </c>
      <c r="E25" s="21">
        <v>1</v>
      </c>
      <c r="F25" s="75">
        <f>D25*E25</f>
        <v>126528</v>
      </c>
    </row>
    <row r="26" spans="1:26" s="24" customFormat="1" x14ac:dyDescent="0.25">
      <c r="B26" s="72" t="s">
        <v>352</v>
      </c>
      <c r="C26" s="73"/>
      <c r="D26" s="74">
        <f>SUM(D24:D25)</f>
        <v>2376852</v>
      </c>
      <c r="E26" s="74"/>
      <c r="F26" s="74">
        <f>SUM(F24:F25)</f>
        <v>2376852</v>
      </c>
      <c r="G26" s="109"/>
      <c r="L26" s="2"/>
      <c r="M26" s="2"/>
      <c r="N26" s="2"/>
      <c r="O26" s="2"/>
      <c r="P26" s="2"/>
      <c r="V26" s="2"/>
      <c r="W26" s="2"/>
      <c r="X26" s="2"/>
      <c r="Y26" s="2"/>
      <c r="Z26" s="2"/>
    </row>
    <row r="27" spans="1:26" s="24" customFormat="1" x14ac:dyDescent="0.25">
      <c r="L27" s="2"/>
      <c r="M27" s="2"/>
      <c r="N27" s="2"/>
      <c r="O27" s="2"/>
      <c r="P27" s="2"/>
      <c r="V27" s="2"/>
      <c r="W27" s="2"/>
      <c r="X27" s="2"/>
      <c r="Y27" s="2"/>
      <c r="Z27" s="2"/>
    </row>
    <row r="28" spans="1:26" x14ac:dyDescent="0.25">
      <c r="A28" s="24"/>
      <c r="B28" s="82" t="s">
        <v>353</v>
      </c>
    </row>
    <row r="29" spans="1:26" x14ac:dyDescent="0.25">
      <c r="A29" s="24"/>
      <c r="B29" s="71" t="s">
        <v>349</v>
      </c>
      <c r="C29" s="5"/>
      <c r="D29" s="77">
        <f>R59</f>
        <v>0</v>
      </c>
      <c r="E29" s="21">
        <v>1</v>
      </c>
      <c r="F29" s="75">
        <f>D29*E29</f>
        <v>0</v>
      </c>
    </row>
    <row r="30" spans="1:26" x14ac:dyDescent="0.25">
      <c r="B30" s="5" t="s">
        <v>351</v>
      </c>
      <c r="C30" s="5"/>
      <c r="D30" s="81">
        <f>Q59</f>
        <v>0</v>
      </c>
      <c r="E30" s="21">
        <v>1</v>
      </c>
      <c r="F30" s="75">
        <f>D30*E30</f>
        <v>0</v>
      </c>
    </row>
    <row r="31" spans="1:26" s="24" customFormat="1" x14ac:dyDescent="0.25">
      <c r="B31" s="72" t="s">
        <v>352</v>
      </c>
      <c r="C31" s="73"/>
      <c r="D31" s="74">
        <f>SUM(D29:D30)</f>
        <v>0</v>
      </c>
      <c r="E31" s="74"/>
      <c r="F31" s="74">
        <f>SUM(F29:F30)</f>
        <v>0</v>
      </c>
      <c r="L31" s="2"/>
      <c r="M31" s="2"/>
      <c r="N31" s="2"/>
      <c r="O31" s="2"/>
      <c r="P31" s="2"/>
    </row>
    <row r="32" spans="1:26" x14ac:dyDescent="0.25">
      <c r="B32" s="64" t="s">
        <v>354</v>
      </c>
    </row>
    <row r="33" spans="1:30" x14ac:dyDescent="0.25">
      <c r="B33" s="64" t="s">
        <v>355</v>
      </c>
    </row>
    <row r="34" spans="1:30" x14ac:dyDescent="0.25">
      <c r="B34" s="64" t="s">
        <v>356</v>
      </c>
    </row>
    <row r="35" spans="1:30" x14ac:dyDescent="0.25">
      <c r="B35" s="67" t="s">
        <v>357</v>
      </c>
    </row>
    <row r="36" spans="1:30" x14ac:dyDescent="0.25">
      <c r="B36" s="67" t="s">
        <v>358</v>
      </c>
    </row>
    <row r="37" spans="1:30" x14ac:dyDescent="0.25">
      <c r="B37" s="67" t="s">
        <v>359</v>
      </c>
    </row>
    <row r="38" spans="1:30" x14ac:dyDescent="0.25">
      <c r="B38" s="67" t="s">
        <v>360</v>
      </c>
    </row>
    <row r="39" spans="1:30" x14ac:dyDescent="0.25">
      <c r="B39" s="67" t="s">
        <v>361</v>
      </c>
    </row>
    <row r="40" spans="1:30" x14ac:dyDescent="0.25">
      <c r="B40" s="67" t="s">
        <v>362</v>
      </c>
    </row>
    <row r="43" spans="1:30" x14ac:dyDescent="0.25">
      <c r="B43" s="874" t="s">
        <v>363</v>
      </c>
      <c r="C43" s="874"/>
      <c r="D43" s="874"/>
      <c r="E43" s="874"/>
      <c r="F43" s="874"/>
      <c r="G43" s="874"/>
      <c r="H43" s="874"/>
      <c r="I43" s="874"/>
      <c r="J43" s="874"/>
      <c r="L43" s="874" t="s">
        <v>364</v>
      </c>
      <c r="M43" s="874"/>
      <c r="N43" s="874"/>
      <c r="O43" s="874"/>
      <c r="P43" s="874"/>
      <c r="Q43" s="874"/>
      <c r="R43" s="874"/>
      <c r="S43" s="874"/>
      <c r="T43" s="874"/>
      <c r="V43" s="873" t="s">
        <v>365</v>
      </c>
      <c r="W43" s="873"/>
      <c r="X43" s="873"/>
      <c r="Y43" s="873"/>
      <c r="Z43" s="873"/>
      <c r="AA43" s="873"/>
      <c r="AB43" s="873"/>
      <c r="AC43" s="873"/>
      <c r="AD43" s="873"/>
    </row>
    <row r="45" spans="1:30" s="20" customFormat="1" ht="54" customHeight="1" x14ac:dyDescent="0.25">
      <c r="B45" s="83" t="s">
        <v>366</v>
      </c>
      <c r="C45" s="172" t="s">
        <v>293</v>
      </c>
      <c r="D45" s="172" t="s">
        <v>296</v>
      </c>
      <c r="E45" s="172" t="s">
        <v>300</v>
      </c>
      <c r="F45" s="172" t="s">
        <v>367</v>
      </c>
      <c r="G45" s="172" t="s">
        <v>368</v>
      </c>
      <c r="H45" s="172" t="s">
        <v>369</v>
      </c>
      <c r="I45" s="172" t="s">
        <v>370</v>
      </c>
      <c r="J45" s="172" t="s">
        <v>371</v>
      </c>
      <c r="L45" s="83" t="s">
        <v>372</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372</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x14ac:dyDescent="0.25">
      <c r="A46" s="2">
        <f>COUNT(D62:D76)</f>
        <v>0</v>
      </c>
      <c r="B46" s="5" t="str">
        <f>B61</f>
        <v>Facility (Overdraft)</v>
      </c>
      <c r="C46" s="7" t="s">
        <v>296</v>
      </c>
      <c r="D46" s="79">
        <f>D$77</f>
        <v>0</v>
      </c>
      <c r="E46" s="79">
        <f t="shared" ref="E46:F46" si="9">E$77</f>
        <v>0</v>
      </c>
      <c r="F46" s="79">
        <f t="shared" si="9"/>
        <v>0</v>
      </c>
      <c r="G46" s="173">
        <f>I$77</f>
        <v>0</v>
      </c>
      <c r="H46" s="173">
        <f>F46*12</f>
        <v>0</v>
      </c>
      <c r="I46" s="34">
        <f>IF(C46="Installment",H46,G46)</f>
        <v>0</v>
      </c>
      <c r="J46" s="171"/>
      <c r="L46" s="5" t="str">
        <f>$B46</f>
        <v>Facility (Overdraft)</v>
      </c>
      <c r="M46" s="7" t="str">
        <f>$C46</f>
        <v>Limit</v>
      </c>
      <c r="N46" s="79">
        <f>N$77</f>
        <v>0</v>
      </c>
      <c r="O46" s="79">
        <f t="shared" ref="O46:P46" si="10">O$77</f>
        <v>0</v>
      </c>
      <c r="P46" s="79">
        <f t="shared" si="10"/>
        <v>0</v>
      </c>
      <c r="Q46" s="173">
        <f>S$77</f>
        <v>0</v>
      </c>
      <c r="R46" s="173">
        <f>P46*12</f>
        <v>0</v>
      </c>
      <c r="S46" s="34">
        <f>IF(M46="Installment",R46,Q46)</f>
        <v>0</v>
      </c>
      <c r="T46" s="171"/>
      <c r="V46" s="5" t="str">
        <f>$B46</f>
        <v>Facility (Overdraft)</v>
      </c>
      <c r="W46" s="7" t="str">
        <f>$C46</f>
        <v>Limit</v>
      </c>
      <c r="X46" s="79">
        <f>X$77</f>
        <v>0</v>
      </c>
      <c r="Y46" s="79">
        <f t="shared" ref="Y46:Z46" si="11">Y$77</f>
        <v>0</v>
      </c>
      <c r="Z46" s="79">
        <f t="shared" si="11"/>
        <v>0</v>
      </c>
      <c r="AA46" s="173">
        <f>AC$77</f>
        <v>0</v>
      </c>
      <c r="AB46" s="173">
        <f>Z46*12</f>
        <v>0</v>
      </c>
      <c r="AC46" s="34">
        <f>IF(W46="Installment",AB46,AA46)</f>
        <v>0</v>
      </c>
      <c r="AD46" s="171"/>
    </row>
    <row r="47" spans="1:30" ht="25.5" customHeight="1" x14ac:dyDescent="0.25">
      <c r="A47" s="2">
        <f>COUNT(D80:D94)</f>
        <v>0</v>
      </c>
      <c r="B47" s="5" t="str">
        <f>B79</f>
        <v>Facility (Overdraft - Temporary)</v>
      </c>
      <c r="C47" s="7" t="s">
        <v>296</v>
      </c>
      <c r="D47" s="79">
        <f>D$95</f>
        <v>0</v>
      </c>
      <c r="E47" s="79">
        <f>E$95</f>
        <v>0</v>
      </c>
      <c r="F47" s="79">
        <f>F$95</f>
        <v>0</v>
      </c>
      <c r="G47" s="173">
        <f>I$95</f>
        <v>0</v>
      </c>
      <c r="H47" s="173">
        <f t="shared" ref="H47:H57" si="12">F47*12</f>
        <v>0</v>
      </c>
      <c r="I47" s="34">
        <f t="shared" ref="I47:I58" si="13">IF(C47="Installment",H47,G47)</f>
        <v>0</v>
      </c>
      <c r="J47" s="171"/>
      <c r="L47" s="5" t="str">
        <f t="shared" ref="L47:L59" si="14">$B47</f>
        <v>Facility (Overdraft - Temporary)</v>
      </c>
      <c r="M47" s="7" t="str">
        <f t="shared" ref="M47:M59" si="15">$C47</f>
        <v>Limit</v>
      </c>
      <c r="N47" s="79">
        <f>N$95</f>
        <v>0</v>
      </c>
      <c r="O47" s="79">
        <f>O$95</f>
        <v>0</v>
      </c>
      <c r="P47" s="79">
        <f>P$95</f>
        <v>0</v>
      </c>
      <c r="Q47" s="173">
        <f>S$95</f>
        <v>0</v>
      </c>
      <c r="R47" s="173">
        <f t="shared" ref="R47:R58" si="16">P47*12</f>
        <v>0</v>
      </c>
      <c r="S47" s="34">
        <f t="shared" ref="S47:S58" si="17">IF(M47="Installment",R47,Q47)</f>
        <v>0</v>
      </c>
      <c r="T47" s="171"/>
      <c r="V47" s="5" t="str">
        <f t="shared" ref="V47:V59" si="18">$B47</f>
        <v>Facility (Overdraft - Temporary)</v>
      </c>
      <c r="W47" s="7" t="str">
        <f t="shared" ref="W47:W59" si="19">$C47</f>
        <v>Limit</v>
      </c>
      <c r="X47" s="79">
        <f>X$95</f>
        <v>0</v>
      </c>
      <c r="Y47" s="79">
        <f>Y$95</f>
        <v>0</v>
      </c>
      <c r="Z47" s="79">
        <f>Z$95</f>
        <v>0</v>
      </c>
      <c r="AA47" s="173">
        <f>AC$95</f>
        <v>0</v>
      </c>
      <c r="AB47" s="173">
        <f t="shared" ref="AB47:AB58" si="20">Z47*12</f>
        <v>0</v>
      </c>
      <c r="AC47" s="34">
        <f t="shared" ref="AC47:AC58" si="21">IF(W47="Installment",AB47,AA47)</f>
        <v>0</v>
      </c>
      <c r="AD47" s="171"/>
    </row>
    <row r="48" spans="1:30" ht="25.5" customHeight="1" x14ac:dyDescent="0.25">
      <c r="A48" s="2">
        <f>COUNT(D98:D112)</f>
        <v>0</v>
      </c>
      <c r="B48" s="5" t="str">
        <f>B97</f>
        <v>Facility (Bank Guarantee)</v>
      </c>
      <c r="C48" s="7" t="s">
        <v>296</v>
      </c>
      <c r="D48" s="79">
        <f>D$113</f>
        <v>0</v>
      </c>
      <c r="E48" s="79">
        <f>E$113</f>
        <v>0</v>
      </c>
      <c r="F48" s="79">
        <f>F$113</f>
        <v>0</v>
      </c>
      <c r="G48" s="173">
        <f>I$113</f>
        <v>0</v>
      </c>
      <c r="H48" s="173">
        <f t="shared" si="12"/>
        <v>0</v>
      </c>
      <c r="I48" s="34">
        <f t="shared" si="13"/>
        <v>0</v>
      </c>
      <c r="J48" s="171"/>
      <c r="L48" s="5" t="str">
        <f t="shared" si="14"/>
        <v>Facility (Bank Guarantee)</v>
      </c>
      <c r="M48" s="7" t="str">
        <f t="shared" si="15"/>
        <v>Limit</v>
      </c>
      <c r="N48" s="79">
        <f>N$113</f>
        <v>0</v>
      </c>
      <c r="O48" s="79">
        <f>O$113</f>
        <v>0</v>
      </c>
      <c r="P48" s="79">
        <f>P$113</f>
        <v>0</v>
      </c>
      <c r="Q48" s="173">
        <f>S$113</f>
        <v>0</v>
      </c>
      <c r="R48" s="173">
        <f t="shared" si="16"/>
        <v>0</v>
      </c>
      <c r="S48" s="34">
        <f t="shared" si="17"/>
        <v>0</v>
      </c>
      <c r="T48" s="171"/>
      <c r="V48" s="5" t="str">
        <f t="shared" si="18"/>
        <v>Facility (Bank Guarantee)</v>
      </c>
      <c r="W48" s="7" t="str">
        <f t="shared" si="19"/>
        <v>Limit</v>
      </c>
      <c r="X48" s="79">
        <f>X$113</f>
        <v>0</v>
      </c>
      <c r="Y48" s="79">
        <f>Y$113</f>
        <v>0</v>
      </c>
      <c r="Z48" s="79">
        <f>Z$113</f>
        <v>0</v>
      </c>
      <c r="AA48" s="173">
        <f>AC$113</f>
        <v>0</v>
      </c>
      <c r="AB48" s="173">
        <f t="shared" si="20"/>
        <v>0</v>
      </c>
      <c r="AC48" s="34">
        <f t="shared" si="21"/>
        <v>0</v>
      </c>
      <c r="AD48" s="171"/>
    </row>
    <row r="49" spans="1:32" ht="25.5" customHeight="1" x14ac:dyDescent="0.25">
      <c r="A49" s="2">
        <f>COUNT(D116:D130)</f>
        <v>1</v>
      </c>
      <c r="B49" s="5" t="str">
        <f>B115</f>
        <v>Facility (Bank Trade - Funded)</v>
      </c>
      <c r="C49" s="7" t="s">
        <v>296</v>
      </c>
      <c r="D49" s="79">
        <f>D$131</f>
        <v>750000</v>
      </c>
      <c r="E49" s="79">
        <f>E$131</f>
        <v>599055</v>
      </c>
      <c r="F49" s="79">
        <f>F$131</f>
        <v>0</v>
      </c>
      <c r="G49" s="173">
        <f>I$131</f>
        <v>18000</v>
      </c>
      <c r="H49" s="173">
        <f t="shared" si="12"/>
        <v>0</v>
      </c>
      <c r="I49" s="34">
        <f t="shared" si="13"/>
        <v>18000</v>
      </c>
      <c r="J49" s="171"/>
      <c r="L49" s="5" t="str">
        <f t="shared" si="14"/>
        <v>Facility (Bank Trade - Funded)</v>
      </c>
      <c r="M49" s="7" t="str">
        <f t="shared" si="15"/>
        <v>Limit</v>
      </c>
      <c r="N49" s="79">
        <f>N$131</f>
        <v>0</v>
      </c>
      <c r="O49" s="79">
        <f>O$131</f>
        <v>0</v>
      </c>
      <c r="P49" s="79">
        <f>P$131</f>
        <v>0</v>
      </c>
      <c r="Q49" s="173">
        <f>S$131</f>
        <v>0</v>
      </c>
      <c r="R49" s="173">
        <f t="shared" si="16"/>
        <v>0</v>
      </c>
      <c r="S49" s="34">
        <f t="shared" si="17"/>
        <v>0</v>
      </c>
      <c r="T49" s="171"/>
      <c r="V49" s="5" t="str">
        <f t="shared" si="18"/>
        <v>Facility (Bank Trade - Funded)</v>
      </c>
      <c r="W49" s="7" t="str">
        <f t="shared" si="19"/>
        <v>Limit</v>
      </c>
      <c r="X49" s="79">
        <f>X$131</f>
        <v>0</v>
      </c>
      <c r="Y49" s="79">
        <f>Y$131</f>
        <v>0</v>
      </c>
      <c r="Z49" s="79">
        <f>Z$131</f>
        <v>0</v>
      </c>
      <c r="AA49" s="173">
        <f>AC$131</f>
        <v>0</v>
      </c>
      <c r="AB49" s="173">
        <f t="shared" si="20"/>
        <v>0</v>
      </c>
      <c r="AC49" s="34">
        <f t="shared" si="21"/>
        <v>0</v>
      </c>
      <c r="AD49" s="171"/>
    </row>
    <row r="50" spans="1:32" ht="25.5" customHeight="1" x14ac:dyDescent="0.25">
      <c r="A50" s="2">
        <f>COUNT(D134:D148)</f>
        <v>0</v>
      </c>
      <c r="B50" s="5" t="str">
        <f>B133</f>
        <v>Facility (Bank Trade - Non Funded)</v>
      </c>
      <c r="C50" s="7" t="s">
        <v>296</v>
      </c>
      <c r="D50" s="79">
        <f>D$149</f>
        <v>0</v>
      </c>
      <c r="E50" s="79">
        <f>E$149</f>
        <v>0</v>
      </c>
      <c r="F50" s="79">
        <f>F$149</f>
        <v>0</v>
      </c>
      <c r="G50" s="173">
        <f>I$149</f>
        <v>0</v>
      </c>
      <c r="H50" s="173">
        <f t="shared" si="12"/>
        <v>0</v>
      </c>
      <c r="I50" s="34">
        <f t="shared" si="13"/>
        <v>0</v>
      </c>
      <c r="J50" s="171"/>
      <c r="L50" s="5" t="str">
        <f t="shared" si="14"/>
        <v>Facility (Bank Trade - Non Funded)</v>
      </c>
      <c r="M50" s="7" t="str">
        <f t="shared" si="15"/>
        <v>Limit</v>
      </c>
      <c r="N50" s="79">
        <f>N$149</f>
        <v>0</v>
      </c>
      <c r="O50" s="79">
        <f>O$149</f>
        <v>0</v>
      </c>
      <c r="P50" s="79">
        <f>P$149</f>
        <v>0</v>
      </c>
      <c r="Q50" s="173">
        <f>S$149</f>
        <v>0</v>
      </c>
      <c r="R50" s="173">
        <f t="shared" si="16"/>
        <v>0</v>
      </c>
      <c r="S50" s="34">
        <f t="shared" si="17"/>
        <v>0</v>
      </c>
      <c r="T50" s="171"/>
      <c r="V50" s="5" t="str">
        <f t="shared" si="18"/>
        <v>Facility (Bank Trade - Non Funded)</v>
      </c>
      <c r="W50" s="7" t="str">
        <f t="shared" si="19"/>
        <v>Limit</v>
      </c>
      <c r="X50" s="79">
        <f>X$149</f>
        <v>0</v>
      </c>
      <c r="Y50" s="79">
        <f>Y$149</f>
        <v>0</v>
      </c>
      <c r="Z50" s="79">
        <f>Z$149</f>
        <v>0</v>
      </c>
      <c r="AA50" s="173">
        <f>AC$149</f>
        <v>0</v>
      </c>
      <c r="AB50" s="173">
        <f t="shared" si="20"/>
        <v>0</v>
      </c>
      <c r="AC50" s="34">
        <f t="shared" si="21"/>
        <v>0</v>
      </c>
      <c r="AD50" s="171"/>
    </row>
    <row r="51" spans="1:32" ht="25.5" customHeight="1" x14ac:dyDescent="0.25">
      <c r="A51" s="2">
        <f>COUNT(D152:D166)</f>
        <v>1</v>
      </c>
      <c r="B51" s="5" t="str">
        <f>B151</f>
        <v>Facility (Revolving Credit)</v>
      </c>
      <c r="C51" s="7" t="s">
        <v>296</v>
      </c>
      <c r="D51" s="79">
        <f>D$167</f>
        <v>134000</v>
      </c>
      <c r="E51" s="79">
        <f>E$167</f>
        <v>134000</v>
      </c>
      <c r="F51" s="79">
        <f>F$167</f>
        <v>0</v>
      </c>
      <c r="G51" s="173">
        <f>I$167</f>
        <v>24120</v>
      </c>
      <c r="H51" s="173">
        <f t="shared" si="12"/>
        <v>0</v>
      </c>
      <c r="I51" s="34">
        <f t="shared" si="13"/>
        <v>24120</v>
      </c>
      <c r="J51" s="171"/>
      <c r="L51" s="5" t="str">
        <f t="shared" si="14"/>
        <v>Facility (Revolving Credit)</v>
      </c>
      <c r="M51" s="7" t="str">
        <f t="shared" si="15"/>
        <v>Limit</v>
      </c>
      <c r="N51" s="79">
        <f>N$167</f>
        <v>0</v>
      </c>
      <c r="O51" s="79">
        <f>O$167</f>
        <v>0</v>
      </c>
      <c r="P51" s="79">
        <f>P$167</f>
        <v>0</v>
      </c>
      <c r="Q51" s="173">
        <f>S$167</f>
        <v>0</v>
      </c>
      <c r="R51" s="173">
        <f t="shared" si="16"/>
        <v>0</v>
      </c>
      <c r="S51" s="34">
        <f t="shared" si="17"/>
        <v>0</v>
      </c>
      <c r="T51" s="171"/>
      <c r="V51" s="5" t="str">
        <f t="shared" si="18"/>
        <v>Facility (Revolving Credit)</v>
      </c>
      <c r="W51" s="7" t="str">
        <f t="shared" si="19"/>
        <v>Limit</v>
      </c>
      <c r="X51" s="79">
        <f>X$167</f>
        <v>0</v>
      </c>
      <c r="Y51" s="79">
        <f>Y$167</f>
        <v>0</v>
      </c>
      <c r="Z51" s="79">
        <f>Z$167</f>
        <v>0</v>
      </c>
      <c r="AA51" s="173">
        <f>AC$167</f>
        <v>0</v>
      </c>
      <c r="AB51" s="173">
        <f t="shared" si="20"/>
        <v>0</v>
      </c>
      <c r="AC51" s="34">
        <f t="shared" si="21"/>
        <v>0</v>
      </c>
      <c r="AD51" s="171"/>
    </row>
    <row r="52" spans="1:32" ht="25.5" customHeight="1" x14ac:dyDescent="0.25">
      <c r="A52" s="2">
        <f>COUNT(D170:D184)</f>
        <v>0</v>
      </c>
      <c r="B52" s="5" t="str">
        <f>B169</f>
        <v>Facility (Factoring)</v>
      </c>
      <c r="C52" s="7" t="s">
        <v>296</v>
      </c>
      <c r="D52" s="79">
        <f>D$185</f>
        <v>0</v>
      </c>
      <c r="E52" s="79">
        <f>E$185</f>
        <v>0</v>
      </c>
      <c r="F52" s="79">
        <f>F$185</f>
        <v>0</v>
      </c>
      <c r="G52" s="173">
        <f>I$185</f>
        <v>0</v>
      </c>
      <c r="H52" s="173">
        <f t="shared" si="12"/>
        <v>0</v>
      </c>
      <c r="I52" s="34">
        <f t="shared" si="13"/>
        <v>0</v>
      </c>
      <c r="J52" s="171"/>
      <c r="L52" s="5" t="str">
        <f t="shared" si="14"/>
        <v>Facility (Factoring)</v>
      </c>
      <c r="M52" s="7" t="str">
        <f t="shared" si="15"/>
        <v>Limit</v>
      </c>
      <c r="N52" s="79">
        <f>N$185</f>
        <v>0</v>
      </c>
      <c r="O52" s="79">
        <f>O$185</f>
        <v>0</v>
      </c>
      <c r="P52" s="79">
        <f>P$185</f>
        <v>0</v>
      </c>
      <c r="Q52" s="173">
        <f>S$185</f>
        <v>0</v>
      </c>
      <c r="R52" s="173">
        <f t="shared" si="16"/>
        <v>0</v>
      </c>
      <c r="S52" s="34">
        <f t="shared" si="17"/>
        <v>0</v>
      </c>
      <c r="T52" s="171"/>
      <c r="V52" s="5" t="str">
        <f t="shared" si="18"/>
        <v>Facility (Factoring)</v>
      </c>
      <c r="W52" s="7" t="str">
        <f t="shared" si="19"/>
        <v>Limit</v>
      </c>
      <c r="X52" s="79">
        <f>X$185</f>
        <v>0</v>
      </c>
      <c r="Y52" s="79">
        <f>Y$185</f>
        <v>0</v>
      </c>
      <c r="Z52" s="79">
        <f>Z$185</f>
        <v>0</v>
      </c>
      <c r="AA52" s="173">
        <f>AC$185</f>
        <v>0</v>
      </c>
      <c r="AB52" s="173">
        <f t="shared" si="20"/>
        <v>0</v>
      </c>
      <c r="AC52" s="34">
        <f t="shared" si="21"/>
        <v>0</v>
      </c>
      <c r="AD52" s="171"/>
    </row>
    <row r="53" spans="1:32" ht="25.5" customHeight="1" x14ac:dyDescent="0.25">
      <c r="A53" s="2">
        <f>COUNT(D188:D202)</f>
        <v>0</v>
      </c>
      <c r="B53" s="5" t="str">
        <f>B187</f>
        <v>Facility (Credit Card)</v>
      </c>
      <c r="C53" s="7" t="s">
        <v>300</v>
      </c>
      <c r="D53" s="79">
        <f>D$203</f>
        <v>0</v>
      </c>
      <c r="E53" s="79">
        <f>E$203</f>
        <v>0</v>
      </c>
      <c r="F53" s="79">
        <f>F$203</f>
        <v>0</v>
      </c>
      <c r="G53" s="174">
        <f>I$203*12</f>
        <v>0</v>
      </c>
      <c r="H53" s="173">
        <f t="shared" si="12"/>
        <v>0</v>
      </c>
      <c r="I53" s="34">
        <f t="shared" si="13"/>
        <v>0</v>
      </c>
      <c r="J53" s="171"/>
      <c r="L53" s="5" t="str">
        <f t="shared" si="14"/>
        <v>Facility (Credit Card)</v>
      </c>
      <c r="M53" s="7" t="str">
        <f t="shared" si="15"/>
        <v>Outstanding</v>
      </c>
      <c r="N53" s="79">
        <f>N$203</f>
        <v>0</v>
      </c>
      <c r="O53" s="79">
        <f>O$203</f>
        <v>0</v>
      </c>
      <c r="P53" s="79">
        <f>P$203</f>
        <v>0</v>
      </c>
      <c r="Q53" s="174">
        <f>S$203*12</f>
        <v>0</v>
      </c>
      <c r="R53" s="173">
        <f t="shared" si="16"/>
        <v>0</v>
      </c>
      <c r="S53" s="34">
        <f t="shared" si="17"/>
        <v>0</v>
      </c>
      <c r="T53" s="171"/>
      <c r="V53" s="5" t="str">
        <f t="shared" si="18"/>
        <v>Facility (Credit Card)</v>
      </c>
      <c r="W53" s="7" t="str">
        <f t="shared" si="19"/>
        <v>Outstanding</v>
      </c>
      <c r="X53" s="79">
        <f>X$203</f>
        <v>0</v>
      </c>
      <c r="Y53" s="79">
        <f>Y$203</f>
        <v>0</v>
      </c>
      <c r="Z53" s="79">
        <f>Z$203</f>
        <v>0</v>
      </c>
      <c r="AA53" s="174">
        <f>AC$203*12</f>
        <v>0</v>
      </c>
      <c r="AB53" s="173">
        <f t="shared" si="20"/>
        <v>0</v>
      </c>
      <c r="AC53" s="34">
        <f t="shared" si="21"/>
        <v>0</v>
      </c>
      <c r="AD53" s="171"/>
      <c r="AF53" s="19"/>
    </row>
    <row r="54" spans="1:32" ht="25.5" customHeight="1" x14ac:dyDescent="0.25">
      <c r="A54" s="2">
        <f>COUNT(D206:D216)</f>
        <v>6</v>
      </c>
      <c r="B54" s="5" t="str">
        <f>B205</f>
        <v>Facility (Term-loan)</v>
      </c>
      <c r="C54" s="7" t="s">
        <v>373</v>
      </c>
      <c r="D54" s="79">
        <f>D$217</f>
        <v>1850000</v>
      </c>
      <c r="E54" s="79">
        <f>E$217</f>
        <v>1230887</v>
      </c>
      <c r="F54" s="79">
        <f>F$217</f>
        <v>29402</v>
      </c>
      <c r="G54" s="173">
        <f>I$217</f>
        <v>0</v>
      </c>
      <c r="H54" s="173">
        <f t="shared" si="12"/>
        <v>352824</v>
      </c>
      <c r="I54" s="34">
        <f t="shared" si="13"/>
        <v>352824</v>
      </c>
      <c r="J54" s="171"/>
      <c r="L54" s="5" t="str">
        <f t="shared" si="14"/>
        <v>Facility (Term-loan)</v>
      </c>
      <c r="M54" s="7" t="str">
        <f t="shared" si="15"/>
        <v>Installment</v>
      </c>
      <c r="N54" s="79">
        <f>N$217</f>
        <v>0</v>
      </c>
      <c r="O54" s="79">
        <f>O$217</f>
        <v>0</v>
      </c>
      <c r="P54" s="79">
        <f>P$217</f>
        <v>0</v>
      </c>
      <c r="Q54" s="173">
        <f>S$217</f>
        <v>0</v>
      </c>
      <c r="R54" s="173">
        <f t="shared" si="16"/>
        <v>0</v>
      </c>
      <c r="S54" s="34">
        <f t="shared" si="17"/>
        <v>0</v>
      </c>
      <c r="T54" s="171"/>
      <c r="V54" s="5" t="str">
        <f t="shared" si="18"/>
        <v>Facility (Term-loan)</v>
      </c>
      <c r="W54" s="7" t="str">
        <f t="shared" si="19"/>
        <v>Installment</v>
      </c>
      <c r="X54" s="79">
        <f>X$217</f>
        <v>0</v>
      </c>
      <c r="Y54" s="79">
        <f>Y$217</f>
        <v>0</v>
      </c>
      <c r="Z54" s="79">
        <f>Z$217</f>
        <v>0</v>
      </c>
      <c r="AA54" s="173">
        <f>AC$217</f>
        <v>0</v>
      </c>
      <c r="AB54" s="173">
        <f t="shared" si="20"/>
        <v>0</v>
      </c>
      <c r="AC54" s="34">
        <f t="shared" si="21"/>
        <v>0</v>
      </c>
      <c r="AD54" s="171"/>
    </row>
    <row r="55" spans="1:32" ht="25.5" customHeight="1" x14ac:dyDescent="0.25">
      <c r="A55" s="2">
        <f>COUNT(D220:D234)</f>
        <v>0</v>
      </c>
      <c r="B55" s="5" t="str">
        <f>B219</f>
        <v>Facility (Hire Purchase / Leasing)</v>
      </c>
      <c r="C55" s="7" t="s">
        <v>373</v>
      </c>
      <c r="D55" s="79">
        <f>D$235</f>
        <v>0</v>
      </c>
      <c r="E55" s="79">
        <f>E$235</f>
        <v>0</v>
      </c>
      <c r="F55" s="79">
        <f>F$235</f>
        <v>0</v>
      </c>
      <c r="G55" s="173">
        <f>I$235</f>
        <v>0</v>
      </c>
      <c r="H55" s="173">
        <f>F55*12</f>
        <v>0</v>
      </c>
      <c r="I55" s="34">
        <f t="shared" si="13"/>
        <v>0</v>
      </c>
      <c r="J55" s="171"/>
      <c r="L55" s="5" t="str">
        <f t="shared" si="14"/>
        <v>Facility (Hire Purchase / Leasing)</v>
      </c>
      <c r="M55" s="7" t="str">
        <f t="shared" si="15"/>
        <v>Installment</v>
      </c>
      <c r="N55" s="79">
        <f>N$235</f>
        <v>0</v>
      </c>
      <c r="O55" s="79">
        <f>O$235</f>
        <v>0</v>
      </c>
      <c r="P55" s="79">
        <f>P$235</f>
        <v>0</v>
      </c>
      <c r="Q55" s="173">
        <f>S$235</f>
        <v>0</v>
      </c>
      <c r="R55" s="173">
        <f t="shared" si="16"/>
        <v>0</v>
      </c>
      <c r="S55" s="34">
        <f t="shared" si="17"/>
        <v>0</v>
      </c>
      <c r="T55" s="171"/>
      <c r="V55" s="5" t="str">
        <f t="shared" si="18"/>
        <v>Facility (Hire Purchase / Leasing)</v>
      </c>
      <c r="W55" s="7" t="str">
        <f t="shared" si="19"/>
        <v>Installment</v>
      </c>
      <c r="X55" s="79">
        <f>X$235</f>
        <v>0</v>
      </c>
      <c r="Y55" s="79">
        <f>Y$235</f>
        <v>0</v>
      </c>
      <c r="Z55" s="79">
        <f>Z$235</f>
        <v>0</v>
      </c>
      <c r="AA55" s="173">
        <f>AC$235</f>
        <v>0</v>
      </c>
      <c r="AB55" s="173">
        <f t="shared" si="20"/>
        <v>0</v>
      </c>
      <c r="AC55" s="34">
        <f t="shared" si="21"/>
        <v>0</v>
      </c>
      <c r="AD55" s="171"/>
    </row>
    <row r="56" spans="1:32" ht="25.5" customHeight="1" x14ac:dyDescent="0.25">
      <c r="A56" s="2">
        <f>COUNT(D238:D252)</f>
        <v>7</v>
      </c>
      <c r="B56" s="5" t="str">
        <f>B237</f>
        <v>P2P - Facility (Term-loan / Working Capital)</v>
      </c>
      <c r="C56" s="7" t="s">
        <v>373</v>
      </c>
      <c r="D56" s="79">
        <f>D$253</f>
        <v>1800000</v>
      </c>
      <c r="E56" s="79">
        <f>E$253</f>
        <v>1764375</v>
      </c>
      <c r="F56" s="79">
        <f>F$253</f>
        <v>394500</v>
      </c>
      <c r="G56" s="173">
        <f>I$253</f>
        <v>0</v>
      </c>
      <c r="H56" s="715">
        <f>((F238+F239+F240+F241)*6)+((F242+F243+F244)*4)</f>
        <v>1897500</v>
      </c>
      <c r="I56" s="34">
        <f t="shared" si="13"/>
        <v>1897500</v>
      </c>
      <c r="J56" s="171"/>
      <c r="L56" s="5" t="str">
        <f t="shared" si="14"/>
        <v>P2P - Facility (Term-loan / Working Capital)</v>
      </c>
      <c r="M56" s="7" t="str">
        <f t="shared" si="15"/>
        <v>Installment</v>
      </c>
      <c r="N56" s="79">
        <f>N$253</f>
        <v>0</v>
      </c>
      <c r="O56" s="79">
        <f>O$253</f>
        <v>0</v>
      </c>
      <c r="P56" s="79">
        <f>P$253</f>
        <v>0</v>
      </c>
      <c r="Q56" s="173">
        <f>S$253</f>
        <v>0</v>
      </c>
      <c r="R56" s="173">
        <f t="shared" si="16"/>
        <v>0</v>
      </c>
      <c r="S56" s="34">
        <f t="shared" si="17"/>
        <v>0</v>
      </c>
      <c r="T56" s="171"/>
      <c r="V56" s="5" t="str">
        <f t="shared" si="18"/>
        <v>P2P - Facility (Term-loan / Working Capital)</v>
      </c>
      <c r="W56" s="7" t="str">
        <f t="shared" si="19"/>
        <v>Installment</v>
      </c>
      <c r="X56" s="79">
        <f>X$253</f>
        <v>0</v>
      </c>
      <c r="Y56" s="79">
        <f>Y$253</f>
        <v>0</v>
      </c>
      <c r="Z56" s="79">
        <f>Z$253</f>
        <v>0</v>
      </c>
      <c r="AA56" s="173">
        <f>AC$253</f>
        <v>0</v>
      </c>
      <c r="AB56" s="173">
        <f t="shared" si="20"/>
        <v>0</v>
      </c>
      <c r="AC56" s="34">
        <f t="shared" si="21"/>
        <v>0</v>
      </c>
      <c r="AD56" s="171"/>
      <c r="AF56" s="19"/>
    </row>
    <row r="57" spans="1:32" ht="25.5" customHeight="1" x14ac:dyDescent="0.25">
      <c r="A57" s="2">
        <f>COUNT(D256:D270)</f>
        <v>2</v>
      </c>
      <c r="B57" s="5" t="str">
        <f>B255</f>
        <v>P2P - Facility (Trade Invoice Financing)</v>
      </c>
      <c r="C57" s="7" t="s">
        <v>296</v>
      </c>
      <c r="D57" s="79">
        <f>D$271</f>
        <v>720000</v>
      </c>
      <c r="E57" s="79">
        <f>E$271</f>
        <v>0</v>
      </c>
      <c r="F57" s="79">
        <f>F$271</f>
        <v>0</v>
      </c>
      <c r="G57" s="173">
        <f>I$271</f>
        <v>84408</v>
      </c>
      <c r="H57" s="173">
        <f t="shared" si="12"/>
        <v>0</v>
      </c>
      <c r="I57" s="34">
        <f t="shared" si="13"/>
        <v>84408</v>
      </c>
      <c r="J57" s="171"/>
      <c r="L57" s="5" t="str">
        <f t="shared" si="14"/>
        <v>P2P - Facility (Trade Invoice Financing)</v>
      </c>
      <c r="M57" s="7" t="str">
        <f t="shared" si="15"/>
        <v>Limit</v>
      </c>
      <c r="N57" s="79">
        <f>N$271</f>
        <v>0</v>
      </c>
      <c r="O57" s="79">
        <f>O$271</f>
        <v>0</v>
      </c>
      <c r="P57" s="79">
        <f>P$271</f>
        <v>0</v>
      </c>
      <c r="Q57" s="173">
        <f>S$271</f>
        <v>0</v>
      </c>
      <c r="R57" s="173">
        <f t="shared" si="16"/>
        <v>0</v>
      </c>
      <c r="S57" s="34">
        <f t="shared" si="17"/>
        <v>0</v>
      </c>
      <c r="T57" s="171"/>
      <c r="V57" s="5" t="str">
        <f t="shared" si="18"/>
        <v>P2P - Facility (Trade Invoice Financing)</v>
      </c>
      <c r="W57" s="7" t="str">
        <f t="shared" si="19"/>
        <v>Limit</v>
      </c>
      <c r="X57" s="79">
        <f>X$271</f>
        <v>0</v>
      </c>
      <c r="Y57" s="79">
        <f>Y$271</f>
        <v>0</v>
      </c>
      <c r="Z57" s="79">
        <f>Z$271</f>
        <v>0</v>
      </c>
      <c r="AA57" s="173">
        <f>AC$271</f>
        <v>0</v>
      </c>
      <c r="AB57" s="173">
        <f t="shared" si="20"/>
        <v>0</v>
      </c>
      <c r="AC57" s="34">
        <f t="shared" si="21"/>
        <v>0</v>
      </c>
      <c r="AD57" s="171"/>
      <c r="AF57" s="19"/>
    </row>
    <row r="58" spans="1:32" ht="25.5" customHeight="1" x14ac:dyDescent="0.25">
      <c r="A58" s="2">
        <f>COUNT(D274:D288)</f>
        <v>0</v>
      </c>
      <c r="B58" s="5" t="str">
        <f>B273</f>
        <v>Others</v>
      </c>
      <c r="C58" s="7" t="s">
        <v>373</v>
      </c>
      <c r="D58" s="79">
        <f>D$289</f>
        <v>0</v>
      </c>
      <c r="E58" s="79">
        <f>E$289</f>
        <v>0</v>
      </c>
      <c r="F58" s="79">
        <f>F$289</f>
        <v>0</v>
      </c>
      <c r="G58" s="173">
        <f>I$289</f>
        <v>0</v>
      </c>
      <c r="H58" s="173"/>
      <c r="I58" s="34">
        <f t="shared" si="13"/>
        <v>0</v>
      </c>
      <c r="J58" s="171"/>
      <c r="L58" s="5" t="str">
        <f t="shared" si="14"/>
        <v>Others</v>
      </c>
      <c r="M58" s="7" t="str">
        <f t="shared" si="15"/>
        <v>Installment</v>
      </c>
      <c r="N58" s="79">
        <f>N$289</f>
        <v>0</v>
      </c>
      <c r="O58" s="79">
        <f>O$289</f>
        <v>0</v>
      </c>
      <c r="P58" s="79">
        <f>P$289</f>
        <v>0</v>
      </c>
      <c r="Q58" s="173">
        <f>S$289</f>
        <v>0</v>
      </c>
      <c r="R58" s="173">
        <f t="shared" si="16"/>
        <v>0</v>
      </c>
      <c r="S58" s="34">
        <f t="shared" si="17"/>
        <v>0</v>
      </c>
      <c r="T58" s="171"/>
      <c r="V58" s="5" t="str">
        <f t="shared" si="18"/>
        <v>Others</v>
      </c>
      <c r="W58" s="7" t="str">
        <f t="shared" si="19"/>
        <v>Installment</v>
      </c>
      <c r="X58" s="79">
        <f>X$289</f>
        <v>0</v>
      </c>
      <c r="Y58" s="79">
        <f>Y$289</f>
        <v>0</v>
      </c>
      <c r="Z58" s="79">
        <f>Z$289</f>
        <v>0</v>
      </c>
      <c r="AA58" s="173">
        <f>AC$289</f>
        <v>0</v>
      </c>
      <c r="AB58" s="173">
        <f t="shared" si="20"/>
        <v>0</v>
      </c>
      <c r="AC58" s="34">
        <f t="shared" si="21"/>
        <v>0</v>
      </c>
      <c r="AD58" s="171"/>
      <c r="AF58" s="19"/>
    </row>
    <row r="59" spans="1:32" ht="25.5" customHeight="1" x14ac:dyDescent="0.25">
      <c r="B59" s="39" t="s">
        <v>107</v>
      </c>
      <c r="C59" s="33"/>
      <c r="D59" s="35">
        <f t="shared" ref="D59:I59" si="22">SUM(D46:D58)</f>
        <v>5254000</v>
      </c>
      <c r="E59" s="35">
        <f t="shared" si="22"/>
        <v>3728317</v>
      </c>
      <c r="F59" s="35">
        <f t="shared" si="22"/>
        <v>423902</v>
      </c>
      <c r="G59" s="35">
        <f t="shared" si="22"/>
        <v>126528</v>
      </c>
      <c r="H59" s="35">
        <f t="shared" si="22"/>
        <v>2250324</v>
      </c>
      <c r="I59" s="35">
        <f t="shared" si="22"/>
        <v>2376852</v>
      </c>
      <c r="J59" s="170"/>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0"/>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0"/>
      <c r="AF59" s="19">
        <f>'N.Margin (Ind. Benchmark)'!E23</f>
        <v>0</v>
      </c>
    </row>
    <row r="61" spans="1:32" s="20" customFormat="1" ht="38.25" x14ac:dyDescent="0.25">
      <c r="B61" s="27" t="s">
        <v>9</v>
      </c>
      <c r="C61" s="3" t="s">
        <v>86</v>
      </c>
      <c r="D61" s="172" t="s">
        <v>374</v>
      </c>
      <c r="E61" s="172" t="s">
        <v>375</v>
      </c>
      <c r="F61" s="172" t="s">
        <v>376</v>
      </c>
      <c r="G61" s="172" t="s">
        <v>377</v>
      </c>
      <c r="H61" s="172" t="s">
        <v>378</v>
      </c>
      <c r="I61" s="172" t="s">
        <v>379</v>
      </c>
      <c r="J61" s="172" t="s">
        <v>380</v>
      </c>
      <c r="L61" s="175" t="str">
        <f>B61</f>
        <v>Facility (Overdraft)</v>
      </c>
      <c r="M61" s="176" t="str">
        <f t="shared" ref="M61:T61" si="25">C61</f>
        <v>Source</v>
      </c>
      <c r="N61" s="176" t="str">
        <f t="shared" si="25"/>
        <v>Limit (A)</v>
      </c>
      <c r="O61" s="176" t="str">
        <f t="shared" si="25"/>
        <v>Outstanding (A1)</v>
      </c>
      <c r="P61" s="176" t="str">
        <f t="shared" si="25"/>
        <v>Monthly Repayment (B)</v>
      </c>
      <c r="Q61" s="176" t="str">
        <f t="shared" si="25"/>
        <v>Interest Rate (C)</v>
      </c>
      <c r="R61" s="176" t="str">
        <f t="shared" si="25"/>
        <v>Factor (D)</v>
      </c>
      <c r="S61" s="176" t="str">
        <f t="shared" si="25"/>
        <v>Interest (E) = (A or A1) * (C) * (D)</v>
      </c>
      <c r="T61" s="176" t="str">
        <f t="shared" si="25"/>
        <v>Code Of Conduct</v>
      </c>
      <c r="V61" s="175" t="str">
        <f>L61</f>
        <v>Facility (Overdraft)</v>
      </c>
      <c r="W61" s="176" t="str">
        <f t="shared" ref="W61" si="26">M61</f>
        <v>Source</v>
      </c>
      <c r="X61" s="176" t="str">
        <f t="shared" ref="X61" si="27">N61</f>
        <v>Limit (A)</v>
      </c>
      <c r="Y61" s="176" t="str">
        <f t="shared" ref="Y61" si="28">O61</f>
        <v>Outstanding (A1)</v>
      </c>
      <c r="Z61" s="176" t="str">
        <f t="shared" ref="Z61" si="29">P61</f>
        <v>Monthly Repayment (B)</v>
      </c>
      <c r="AA61" s="176" t="str">
        <f t="shared" ref="AA61" si="30">Q61</f>
        <v>Interest Rate (C)</v>
      </c>
      <c r="AB61" s="176" t="str">
        <f t="shared" ref="AB61" si="31">R61</f>
        <v>Factor (D)</v>
      </c>
      <c r="AC61" s="176" t="str">
        <f t="shared" ref="AC61" si="32">S61</f>
        <v>Interest (E) = (A or A1) * (C) * (D)</v>
      </c>
      <c r="AD61" s="176" t="str">
        <f t="shared" ref="AD61" si="33">T61</f>
        <v>Code Of Conduct</v>
      </c>
    </row>
    <row r="62" spans="1:32" x14ac:dyDescent="0.25">
      <c r="B62" s="11"/>
      <c r="C62" s="5" t="s">
        <v>313</v>
      </c>
      <c r="D62" s="97"/>
      <c r="E62" s="97"/>
      <c r="F62" s="177"/>
      <c r="G62" s="178"/>
      <c r="H62" s="169">
        <f>H$77</f>
        <v>0.75</v>
      </c>
      <c r="I62" s="75">
        <f>D62*G62*H62</f>
        <v>0</v>
      </c>
      <c r="J62" s="171"/>
      <c r="L62" s="11"/>
      <c r="M62" s="5" t="s">
        <v>310</v>
      </c>
      <c r="N62" s="11"/>
      <c r="O62" s="11"/>
      <c r="P62" s="29"/>
      <c r="Q62" s="22"/>
      <c r="R62" s="169">
        <f>R$77</f>
        <v>0.75</v>
      </c>
      <c r="S62" s="75">
        <f>N62*Q62*R62</f>
        <v>0</v>
      </c>
      <c r="T62" s="171"/>
      <c r="V62" s="41" t="s">
        <v>283</v>
      </c>
      <c r="W62" s="5" t="s">
        <v>381</v>
      </c>
      <c r="X62" s="40"/>
      <c r="Y62" s="40"/>
      <c r="Z62" s="29"/>
      <c r="AA62" s="22"/>
      <c r="AB62" s="169">
        <f>AB$77</f>
        <v>0.75</v>
      </c>
      <c r="AC62" s="75">
        <f>X62*AA62*AB62</f>
        <v>0</v>
      </c>
      <c r="AD62" s="171"/>
    </row>
    <row r="63" spans="1:32" x14ac:dyDescent="0.25">
      <c r="B63" s="11"/>
      <c r="C63" s="5" t="s">
        <v>313</v>
      </c>
      <c r="D63" s="11"/>
      <c r="E63" s="11"/>
      <c r="F63" s="29"/>
      <c r="G63" s="22"/>
      <c r="H63" s="169">
        <f t="shared" ref="H63:H76" si="34">H$77</f>
        <v>0.75</v>
      </c>
      <c r="I63" s="75">
        <f t="shared" ref="I63:I76" si="35">D63*G63*H63</f>
        <v>0</v>
      </c>
      <c r="J63" s="171"/>
      <c r="L63" s="11"/>
      <c r="M63" s="5" t="s">
        <v>313</v>
      </c>
      <c r="N63" s="11"/>
      <c r="O63" s="11"/>
      <c r="P63" s="29"/>
      <c r="Q63" s="22"/>
      <c r="R63" s="169">
        <f t="shared" ref="R63:R76" si="36">R$77</f>
        <v>0.75</v>
      </c>
      <c r="S63" s="75">
        <f t="shared" ref="S63:S76" si="37">N63*Q63*R63</f>
        <v>0</v>
      </c>
      <c r="T63" s="171"/>
      <c r="V63" s="41" t="s">
        <v>283</v>
      </c>
      <c r="W63" s="5" t="s">
        <v>381</v>
      </c>
      <c r="X63" s="41"/>
      <c r="Y63" s="41"/>
      <c r="Z63" s="29"/>
      <c r="AA63" s="22"/>
      <c r="AB63" s="169">
        <f t="shared" ref="AB63:AB76" si="38">AB$77</f>
        <v>0.75</v>
      </c>
      <c r="AC63" s="75">
        <f t="shared" ref="AC63:AC76" si="39">X63*AA63*AB63</f>
        <v>0</v>
      </c>
      <c r="AD63" s="171"/>
    </row>
    <row r="64" spans="1:32" x14ac:dyDescent="0.25">
      <c r="B64" s="11"/>
      <c r="C64" s="5" t="s">
        <v>313</v>
      </c>
      <c r="D64" s="11"/>
      <c r="E64" s="11"/>
      <c r="F64" s="29"/>
      <c r="G64" s="22"/>
      <c r="H64" s="169">
        <f t="shared" si="34"/>
        <v>0.75</v>
      </c>
      <c r="I64" s="75">
        <f t="shared" si="35"/>
        <v>0</v>
      </c>
      <c r="J64" s="171"/>
      <c r="L64" s="11"/>
      <c r="M64" s="5" t="s">
        <v>313</v>
      </c>
      <c r="N64" s="11"/>
      <c r="O64" s="11"/>
      <c r="P64" s="29"/>
      <c r="Q64" s="22"/>
      <c r="R64" s="169">
        <f t="shared" si="36"/>
        <v>0.75</v>
      </c>
      <c r="S64" s="75">
        <f t="shared" si="37"/>
        <v>0</v>
      </c>
      <c r="T64" s="171"/>
      <c r="V64" s="41" t="s">
        <v>283</v>
      </c>
      <c r="W64" s="5" t="s">
        <v>381</v>
      </c>
      <c r="X64" s="41"/>
      <c r="Y64" s="41"/>
      <c r="Z64" s="29"/>
      <c r="AA64" s="22"/>
      <c r="AB64" s="169">
        <f t="shared" si="38"/>
        <v>0.75</v>
      </c>
      <c r="AC64" s="75">
        <f t="shared" si="39"/>
        <v>0</v>
      </c>
      <c r="AD64" s="171"/>
    </row>
    <row r="65" spans="2:30" x14ac:dyDescent="0.25">
      <c r="B65" s="11"/>
      <c r="C65" s="5" t="s">
        <v>313</v>
      </c>
      <c r="D65" s="11"/>
      <c r="E65" s="11"/>
      <c r="F65" s="29"/>
      <c r="G65" s="22"/>
      <c r="H65" s="169">
        <f t="shared" si="34"/>
        <v>0.75</v>
      </c>
      <c r="I65" s="75">
        <f t="shared" si="35"/>
        <v>0</v>
      </c>
      <c r="J65" s="171"/>
      <c r="L65" s="11"/>
      <c r="M65" s="5" t="s">
        <v>313</v>
      </c>
      <c r="N65" s="11"/>
      <c r="O65" s="11"/>
      <c r="P65" s="29"/>
      <c r="Q65" s="22"/>
      <c r="R65" s="169">
        <f t="shared" si="36"/>
        <v>0.75</v>
      </c>
      <c r="S65" s="75">
        <f t="shared" si="37"/>
        <v>0</v>
      </c>
      <c r="T65" s="171"/>
      <c r="V65" s="41" t="s">
        <v>283</v>
      </c>
      <c r="W65" s="5" t="s">
        <v>381</v>
      </c>
      <c r="X65" s="41"/>
      <c r="Y65" s="41"/>
      <c r="Z65" s="29"/>
      <c r="AA65" s="22"/>
      <c r="AB65" s="169">
        <f t="shared" si="38"/>
        <v>0.75</v>
      </c>
      <c r="AC65" s="75">
        <f t="shared" si="39"/>
        <v>0</v>
      </c>
      <c r="AD65" s="171"/>
    </row>
    <row r="66" spans="2:30" x14ac:dyDescent="0.25">
      <c r="B66" s="11"/>
      <c r="C66" s="5" t="s">
        <v>313</v>
      </c>
      <c r="D66" s="11"/>
      <c r="E66" s="11"/>
      <c r="F66" s="29"/>
      <c r="G66" s="22"/>
      <c r="H66" s="169">
        <f t="shared" si="34"/>
        <v>0.75</v>
      </c>
      <c r="I66" s="75">
        <f t="shared" si="35"/>
        <v>0</v>
      </c>
      <c r="J66" s="171"/>
      <c r="L66" s="11"/>
      <c r="M66" s="5" t="s">
        <v>313</v>
      </c>
      <c r="N66" s="11"/>
      <c r="O66" s="11"/>
      <c r="P66" s="29"/>
      <c r="Q66" s="22"/>
      <c r="R66" s="169">
        <f t="shared" si="36"/>
        <v>0.75</v>
      </c>
      <c r="S66" s="75">
        <f t="shared" si="37"/>
        <v>0</v>
      </c>
      <c r="T66" s="171"/>
      <c r="V66" s="41" t="s">
        <v>283</v>
      </c>
      <c r="W66" s="5" t="s">
        <v>381</v>
      </c>
      <c r="X66" s="41"/>
      <c r="Y66" s="41"/>
      <c r="Z66" s="29"/>
      <c r="AA66" s="22"/>
      <c r="AB66" s="169">
        <f t="shared" si="38"/>
        <v>0.75</v>
      </c>
      <c r="AC66" s="75">
        <f t="shared" si="39"/>
        <v>0</v>
      </c>
      <c r="AD66" s="171"/>
    </row>
    <row r="67" spans="2:30" x14ac:dyDescent="0.25">
      <c r="B67" s="11"/>
      <c r="C67" s="5" t="s">
        <v>313</v>
      </c>
      <c r="D67" s="11"/>
      <c r="E67" s="11"/>
      <c r="F67" s="29"/>
      <c r="G67" s="22"/>
      <c r="H67" s="169">
        <f t="shared" si="34"/>
        <v>0.75</v>
      </c>
      <c r="I67" s="75">
        <f t="shared" si="35"/>
        <v>0</v>
      </c>
      <c r="J67" s="171"/>
      <c r="L67" s="11"/>
      <c r="M67" s="5" t="s">
        <v>313</v>
      </c>
      <c r="N67" s="11"/>
      <c r="O67" s="11"/>
      <c r="P67" s="29"/>
      <c r="Q67" s="22"/>
      <c r="R67" s="169">
        <f t="shared" si="36"/>
        <v>0.75</v>
      </c>
      <c r="S67" s="75">
        <f t="shared" si="37"/>
        <v>0</v>
      </c>
      <c r="T67" s="171"/>
      <c r="V67" s="41" t="s">
        <v>283</v>
      </c>
      <c r="W67" s="5" t="s">
        <v>381</v>
      </c>
      <c r="X67" s="41"/>
      <c r="Y67" s="41"/>
      <c r="Z67" s="29"/>
      <c r="AA67" s="22"/>
      <c r="AB67" s="169">
        <f t="shared" si="38"/>
        <v>0.75</v>
      </c>
      <c r="AC67" s="75">
        <f t="shared" si="39"/>
        <v>0</v>
      </c>
      <c r="AD67" s="171"/>
    </row>
    <row r="68" spans="2:30" hidden="1" outlineLevel="1" x14ac:dyDescent="0.25">
      <c r="B68" s="11"/>
      <c r="C68" s="5" t="s">
        <v>313</v>
      </c>
      <c r="D68" s="11"/>
      <c r="E68" s="11"/>
      <c r="F68" s="29"/>
      <c r="G68" s="22"/>
      <c r="H68" s="169">
        <f t="shared" si="34"/>
        <v>0.75</v>
      </c>
      <c r="I68" s="75">
        <f t="shared" si="35"/>
        <v>0</v>
      </c>
      <c r="J68" s="171"/>
      <c r="L68" s="11"/>
      <c r="M68" s="5" t="s">
        <v>313</v>
      </c>
      <c r="N68" s="11"/>
      <c r="O68" s="11"/>
      <c r="P68" s="29"/>
      <c r="Q68" s="22"/>
      <c r="R68" s="169">
        <f t="shared" si="36"/>
        <v>0.75</v>
      </c>
      <c r="S68" s="75">
        <f t="shared" si="37"/>
        <v>0</v>
      </c>
      <c r="T68" s="171"/>
      <c r="V68" s="41" t="s">
        <v>283</v>
      </c>
      <c r="W68" s="5" t="s">
        <v>381</v>
      </c>
      <c r="X68" s="41"/>
      <c r="Y68" s="41"/>
      <c r="Z68" s="29"/>
      <c r="AA68" s="22"/>
      <c r="AB68" s="169">
        <f t="shared" si="38"/>
        <v>0.75</v>
      </c>
      <c r="AC68" s="75">
        <f t="shared" si="39"/>
        <v>0</v>
      </c>
      <c r="AD68" s="171"/>
    </row>
    <row r="69" spans="2:30" hidden="1" outlineLevel="1" x14ac:dyDescent="0.25">
      <c r="B69" s="11"/>
      <c r="C69" s="5" t="s">
        <v>313</v>
      </c>
      <c r="D69" s="11"/>
      <c r="E69" s="11"/>
      <c r="F69" s="29"/>
      <c r="G69" s="22"/>
      <c r="H69" s="169">
        <f t="shared" si="34"/>
        <v>0.75</v>
      </c>
      <c r="I69" s="75">
        <f t="shared" si="35"/>
        <v>0</v>
      </c>
      <c r="J69" s="171"/>
      <c r="L69" s="11"/>
      <c r="M69" s="5" t="s">
        <v>313</v>
      </c>
      <c r="N69" s="11"/>
      <c r="O69" s="11"/>
      <c r="P69" s="29"/>
      <c r="Q69" s="22"/>
      <c r="R69" s="169">
        <f t="shared" si="36"/>
        <v>0.75</v>
      </c>
      <c r="S69" s="75">
        <f t="shared" si="37"/>
        <v>0</v>
      </c>
      <c r="T69" s="171"/>
      <c r="V69" s="41" t="s">
        <v>283</v>
      </c>
      <c r="W69" s="5" t="s">
        <v>381</v>
      </c>
      <c r="X69" s="41"/>
      <c r="Y69" s="41"/>
      <c r="Z69" s="29"/>
      <c r="AA69" s="22"/>
      <c r="AB69" s="169">
        <f t="shared" si="38"/>
        <v>0.75</v>
      </c>
      <c r="AC69" s="75">
        <f t="shared" si="39"/>
        <v>0</v>
      </c>
      <c r="AD69" s="171"/>
    </row>
    <row r="70" spans="2:30" hidden="1" outlineLevel="1" x14ac:dyDescent="0.25">
      <c r="B70" s="11"/>
      <c r="C70" s="5" t="s">
        <v>313</v>
      </c>
      <c r="D70" s="11"/>
      <c r="E70" s="11"/>
      <c r="F70" s="29"/>
      <c r="G70" s="22"/>
      <c r="H70" s="169">
        <f t="shared" si="34"/>
        <v>0.75</v>
      </c>
      <c r="I70" s="75">
        <f t="shared" si="35"/>
        <v>0</v>
      </c>
      <c r="J70" s="171"/>
      <c r="L70" s="11"/>
      <c r="M70" s="5" t="s">
        <v>313</v>
      </c>
      <c r="N70" s="11"/>
      <c r="O70" s="11"/>
      <c r="P70" s="29"/>
      <c r="Q70" s="22"/>
      <c r="R70" s="169">
        <f t="shared" si="36"/>
        <v>0.75</v>
      </c>
      <c r="S70" s="75">
        <f t="shared" si="37"/>
        <v>0</v>
      </c>
      <c r="T70" s="171"/>
      <c r="V70" s="41" t="s">
        <v>283</v>
      </c>
      <c r="W70" s="5" t="s">
        <v>381</v>
      </c>
      <c r="X70" s="41"/>
      <c r="Y70" s="41"/>
      <c r="Z70" s="29"/>
      <c r="AA70" s="22"/>
      <c r="AB70" s="169">
        <f t="shared" si="38"/>
        <v>0.75</v>
      </c>
      <c r="AC70" s="75">
        <f t="shared" si="39"/>
        <v>0</v>
      </c>
      <c r="AD70" s="171"/>
    </row>
    <row r="71" spans="2:30" hidden="1" outlineLevel="1" x14ac:dyDescent="0.25">
      <c r="B71" s="11"/>
      <c r="C71" s="5" t="s">
        <v>313</v>
      </c>
      <c r="D71" s="11"/>
      <c r="E71" s="11"/>
      <c r="F71" s="29"/>
      <c r="G71" s="22"/>
      <c r="H71" s="169">
        <f t="shared" si="34"/>
        <v>0.75</v>
      </c>
      <c r="I71" s="75">
        <f t="shared" si="35"/>
        <v>0</v>
      </c>
      <c r="J71" s="171"/>
      <c r="L71" s="11"/>
      <c r="M71" s="5" t="s">
        <v>313</v>
      </c>
      <c r="N71" s="11"/>
      <c r="O71" s="11"/>
      <c r="P71" s="29"/>
      <c r="Q71" s="22"/>
      <c r="R71" s="169">
        <f t="shared" si="36"/>
        <v>0.75</v>
      </c>
      <c r="S71" s="75">
        <f t="shared" si="37"/>
        <v>0</v>
      </c>
      <c r="T71" s="171"/>
      <c r="V71" s="41" t="s">
        <v>283</v>
      </c>
      <c r="W71" s="5" t="s">
        <v>381</v>
      </c>
      <c r="X71" s="41"/>
      <c r="Y71" s="41"/>
      <c r="Z71" s="29"/>
      <c r="AA71" s="22"/>
      <c r="AB71" s="169">
        <f t="shared" si="38"/>
        <v>0.75</v>
      </c>
      <c r="AC71" s="75">
        <f t="shared" si="39"/>
        <v>0</v>
      </c>
      <c r="AD71" s="171"/>
    </row>
    <row r="72" spans="2:30" hidden="1" outlineLevel="1" x14ac:dyDescent="0.25">
      <c r="B72" s="11"/>
      <c r="C72" s="5" t="s">
        <v>313</v>
      </c>
      <c r="D72" s="11"/>
      <c r="E72" s="11"/>
      <c r="F72" s="29"/>
      <c r="G72" s="22"/>
      <c r="H72" s="169">
        <f t="shared" si="34"/>
        <v>0.75</v>
      </c>
      <c r="I72" s="75">
        <f t="shared" si="35"/>
        <v>0</v>
      </c>
      <c r="J72" s="171"/>
      <c r="L72" s="11"/>
      <c r="M72" s="5" t="s">
        <v>313</v>
      </c>
      <c r="N72" s="11"/>
      <c r="O72" s="11"/>
      <c r="P72" s="29"/>
      <c r="Q72" s="22"/>
      <c r="R72" s="169">
        <f t="shared" si="36"/>
        <v>0.75</v>
      </c>
      <c r="S72" s="75">
        <f t="shared" si="37"/>
        <v>0</v>
      </c>
      <c r="T72" s="171"/>
      <c r="V72" s="41" t="s">
        <v>283</v>
      </c>
      <c r="W72" s="5" t="s">
        <v>381</v>
      </c>
      <c r="X72" s="41"/>
      <c r="Y72" s="41"/>
      <c r="Z72" s="29"/>
      <c r="AA72" s="22"/>
      <c r="AB72" s="169">
        <f t="shared" si="38"/>
        <v>0.75</v>
      </c>
      <c r="AC72" s="75">
        <f t="shared" si="39"/>
        <v>0</v>
      </c>
      <c r="AD72" s="171"/>
    </row>
    <row r="73" spans="2:30" hidden="1" outlineLevel="1" x14ac:dyDescent="0.25">
      <c r="B73" s="11"/>
      <c r="C73" s="5" t="s">
        <v>313</v>
      </c>
      <c r="D73" s="11"/>
      <c r="E73" s="11"/>
      <c r="F73" s="29"/>
      <c r="G73" s="22"/>
      <c r="H73" s="169">
        <f t="shared" si="34"/>
        <v>0.75</v>
      </c>
      <c r="I73" s="75">
        <f t="shared" si="35"/>
        <v>0</v>
      </c>
      <c r="J73" s="171"/>
      <c r="L73" s="11"/>
      <c r="M73" s="5" t="s">
        <v>313</v>
      </c>
      <c r="N73" s="11"/>
      <c r="O73" s="11"/>
      <c r="P73" s="29"/>
      <c r="Q73" s="22"/>
      <c r="R73" s="169">
        <f t="shared" si="36"/>
        <v>0.75</v>
      </c>
      <c r="S73" s="75">
        <f t="shared" si="37"/>
        <v>0</v>
      </c>
      <c r="T73" s="171"/>
      <c r="V73" s="41" t="s">
        <v>283</v>
      </c>
      <c r="W73" s="5" t="s">
        <v>381</v>
      </c>
      <c r="X73" s="41"/>
      <c r="Y73" s="41"/>
      <c r="Z73" s="29"/>
      <c r="AA73" s="22"/>
      <c r="AB73" s="169">
        <f t="shared" si="38"/>
        <v>0.75</v>
      </c>
      <c r="AC73" s="75">
        <f t="shared" si="39"/>
        <v>0</v>
      </c>
      <c r="AD73" s="171"/>
    </row>
    <row r="74" spans="2:30" hidden="1" outlineLevel="1" x14ac:dyDescent="0.25">
      <c r="B74" s="11"/>
      <c r="C74" s="5" t="s">
        <v>313</v>
      </c>
      <c r="D74" s="11"/>
      <c r="E74" s="11"/>
      <c r="F74" s="29"/>
      <c r="G74" s="22"/>
      <c r="H74" s="169">
        <f t="shared" si="34"/>
        <v>0.75</v>
      </c>
      <c r="I74" s="75">
        <f t="shared" si="35"/>
        <v>0</v>
      </c>
      <c r="J74" s="171"/>
      <c r="L74" s="11"/>
      <c r="M74" s="5" t="s">
        <v>313</v>
      </c>
      <c r="N74" s="11"/>
      <c r="O74" s="11"/>
      <c r="P74" s="29"/>
      <c r="Q74" s="22"/>
      <c r="R74" s="169">
        <f t="shared" si="36"/>
        <v>0.75</v>
      </c>
      <c r="S74" s="75">
        <f t="shared" si="37"/>
        <v>0</v>
      </c>
      <c r="T74" s="171"/>
      <c r="V74" s="41" t="s">
        <v>283</v>
      </c>
      <c r="W74" s="5" t="s">
        <v>381</v>
      </c>
      <c r="X74" s="41"/>
      <c r="Y74" s="41"/>
      <c r="Z74" s="29"/>
      <c r="AA74" s="22"/>
      <c r="AB74" s="169">
        <f t="shared" si="38"/>
        <v>0.75</v>
      </c>
      <c r="AC74" s="75">
        <f t="shared" si="39"/>
        <v>0</v>
      </c>
      <c r="AD74" s="171"/>
    </row>
    <row r="75" spans="2:30" hidden="1" outlineLevel="1" x14ac:dyDescent="0.25">
      <c r="B75" s="11"/>
      <c r="C75" s="5" t="s">
        <v>313</v>
      </c>
      <c r="D75" s="11"/>
      <c r="E75" s="11"/>
      <c r="F75" s="29"/>
      <c r="G75" s="22"/>
      <c r="H75" s="169">
        <f t="shared" si="34"/>
        <v>0.75</v>
      </c>
      <c r="I75" s="75">
        <f t="shared" si="35"/>
        <v>0</v>
      </c>
      <c r="J75" s="171"/>
      <c r="L75" s="11"/>
      <c r="M75" s="5" t="s">
        <v>313</v>
      </c>
      <c r="N75" s="11"/>
      <c r="O75" s="11"/>
      <c r="P75" s="29"/>
      <c r="Q75" s="22"/>
      <c r="R75" s="169">
        <f t="shared" si="36"/>
        <v>0.75</v>
      </c>
      <c r="S75" s="75">
        <f t="shared" si="37"/>
        <v>0</v>
      </c>
      <c r="T75" s="171"/>
      <c r="V75" s="41" t="s">
        <v>283</v>
      </c>
      <c r="W75" s="5" t="s">
        <v>381</v>
      </c>
      <c r="X75" s="41"/>
      <c r="Y75" s="41"/>
      <c r="Z75" s="29"/>
      <c r="AA75" s="22"/>
      <c r="AB75" s="169">
        <f t="shared" si="38"/>
        <v>0.75</v>
      </c>
      <c r="AC75" s="75">
        <f t="shared" si="39"/>
        <v>0</v>
      </c>
      <c r="AD75" s="171"/>
    </row>
    <row r="76" spans="2:30" hidden="1" outlineLevel="1" x14ac:dyDescent="0.25">
      <c r="B76" s="11"/>
      <c r="C76" s="5" t="s">
        <v>313</v>
      </c>
      <c r="D76" s="11"/>
      <c r="E76" s="11"/>
      <c r="F76" s="29"/>
      <c r="G76" s="22"/>
      <c r="H76" s="169">
        <f t="shared" si="34"/>
        <v>0.75</v>
      </c>
      <c r="I76" s="75">
        <f t="shared" si="35"/>
        <v>0</v>
      </c>
      <c r="J76" s="171"/>
      <c r="L76" s="11"/>
      <c r="M76" s="5" t="s">
        <v>313</v>
      </c>
      <c r="N76" s="11"/>
      <c r="O76" s="11"/>
      <c r="P76" s="29"/>
      <c r="Q76" s="22"/>
      <c r="R76" s="169">
        <f t="shared" si="36"/>
        <v>0.75</v>
      </c>
      <c r="S76" s="75">
        <f t="shared" si="37"/>
        <v>0</v>
      </c>
      <c r="T76" s="171"/>
      <c r="V76" s="41" t="s">
        <v>283</v>
      </c>
      <c r="W76" s="5" t="s">
        <v>381</v>
      </c>
      <c r="X76" s="41"/>
      <c r="Y76" s="41"/>
      <c r="Z76" s="29"/>
      <c r="AA76" s="22"/>
      <c r="AB76" s="169">
        <f t="shared" si="38"/>
        <v>0.75</v>
      </c>
      <c r="AC76" s="75">
        <f t="shared" si="39"/>
        <v>0</v>
      </c>
      <c r="AD76" s="171"/>
    </row>
    <row r="77" spans="2:30" s="24" customFormat="1" collapsed="1" x14ac:dyDescent="0.25">
      <c r="B77" s="8" t="str">
        <f>"Total "&amp;B61</f>
        <v>Total Facility (Overdraft)</v>
      </c>
      <c r="C77" s="25"/>
      <c r="D77" s="28">
        <f>SUM(D62:D76)</f>
        <v>0</v>
      </c>
      <c r="E77" s="28">
        <f>SUM(E62:E76)</f>
        <v>0</v>
      </c>
      <c r="F77" s="30"/>
      <c r="G77" s="25"/>
      <c r="H77" s="168">
        <v>0.75</v>
      </c>
      <c r="I77" s="28">
        <f>SUM(I62:I76)</f>
        <v>0</v>
      </c>
      <c r="J77" s="170"/>
      <c r="L77" s="8" t="str">
        <f>"Total "&amp;L61</f>
        <v>Total Facility (Overdraft)</v>
      </c>
      <c r="M77" s="25"/>
      <c r="N77" s="28">
        <f>SUM(N62:N76)</f>
        <v>0</v>
      </c>
      <c r="O77" s="28">
        <f>SUM(O62:O76)</f>
        <v>0</v>
      </c>
      <c r="P77" s="30"/>
      <c r="Q77" s="25"/>
      <c r="R77" s="168">
        <v>0.75</v>
      </c>
      <c r="S77" s="28">
        <f>SUM(S62:S76)</f>
        <v>0</v>
      </c>
      <c r="T77" s="170"/>
      <c r="V77" s="8" t="str">
        <f>"Total "&amp;V61</f>
        <v>Total Facility (Overdraft)</v>
      </c>
      <c r="W77" s="25"/>
      <c r="X77" s="28">
        <f>SUM(X62:X76)</f>
        <v>0</v>
      </c>
      <c r="Y77" s="28">
        <f>SUM(Y62:Y76)</f>
        <v>0</v>
      </c>
      <c r="Z77" s="30"/>
      <c r="AA77" s="25"/>
      <c r="AB77" s="168">
        <v>0.75</v>
      </c>
      <c r="AC77" s="28">
        <f>SUM(AC62:AC76)</f>
        <v>0</v>
      </c>
      <c r="AD77" s="170"/>
    </row>
    <row r="79" spans="2:30" s="20" customFormat="1" ht="38.25" x14ac:dyDescent="0.25">
      <c r="B79" s="27" t="s">
        <v>382</v>
      </c>
      <c r="C79" s="3" t="str">
        <f>C$61</f>
        <v>Source</v>
      </c>
      <c r="D79" s="3" t="str">
        <f t="shared" ref="D79:J79" si="40">D$61</f>
        <v>Limit (A)</v>
      </c>
      <c r="E79" s="3" t="str">
        <f t="shared" si="40"/>
        <v>Outstanding (A1)</v>
      </c>
      <c r="F79" s="3" t="str">
        <f t="shared" si="40"/>
        <v>Monthly Repayment (B)</v>
      </c>
      <c r="G79" s="3" t="str">
        <f t="shared" si="40"/>
        <v>Interest Rate (C)</v>
      </c>
      <c r="H79" s="3" t="str">
        <f t="shared" si="40"/>
        <v>Factor (D)</v>
      </c>
      <c r="I79" s="3" t="str">
        <f t="shared" si="40"/>
        <v>Interest (E) = (A or A1) * (C) * (D)</v>
      </c>
      <c r="J79" s="3" t="str">
        <f t="shared" si="40"/>
        <v>Code Of Conduct</v>
      </c>
      <c r="L79" s="175" t="str">
        <f>B79</f>
        <v>Facility (Overdraft - Temporary)</v>
      </c>
      <c r="M79" s="176" t="str">
        <f t="shared" ref="M79" si="41">C79</f>
        <v>Source</v>
      </c>
      <c r="N79" s="176" t="str">
        <f t="shared" ref="N79" si="42">D79</f>
        <v>Limit (A)</v>
      </c>
      <c r="O79" s="176" t="str">
        <f t="shared" ref="O79" si="43">E79</f>
        <v>Outstanding (A1)</v>
      </c>
      <c r="P79" s="176" t="str">
        <f t="shared" ref="P79" si="44">F79</f>
        <v>Monthly Repayment (B)</v>
      </c>
      <c r="Q79" s="176" t="str">
        <f t="shared" ref="Q79" si="45">G79</f>
        <v>Interest Rate (C)</v>
      </c>
      <c r="R79" s="176" t="str">
        <f t="shared" ref="R79" si="46">H79</f>
        <v>Factor (D)</v>
      </c>
      <c r="S79" s="176" t="str">
        <f t="shared" ref="S79" si="47">I79</f>
        <v>Interest (E) = (A or A1) * (C) * (D)</v>
      </c>
      <c r="T79" s="176" t="str">
        <f t="shared" ref="T79" si="48">J79</f>
        <v>Code Of Conduct</v>
      </c>
      <c r="V79" s="175" t="str">
        <f>L79</f>
        <v>Facility (Overdraft - Temporary)</v>
      </c>
      <c r="W79" s="176" t="str">
        <f t="shared" ref="W79" si="49">M79</f>
        <v>Source</v>
      </c>
      <c r="X79" s="176" t="str">
        <f t="shared" ref="X79" si="50">N79</f>
        <v>Limit (A)</v>
      </c>
      <c r="Y79" s="176" t="str">
        <f t="shared" ref="Y79" si="51">O79</f>
        <v>Outstanding (A1)</v>
      </c>
      <c r="Z79" s="176" t="str">
        <f t="shared" ref="Z79" si="52">P79</f>
        <v>Monthly Repayment (B)</v>
      </c>
      <c r="AA79" s="176" t="str">
        <f t="shared" ref="AA79" si="53">Q79</f>
        <v>Interest Rate (C)</v>
      </c>
      <c r="AB79" s="176" t="str">
        <f t="shared" ref="AB79" si="54">R79</f>
        <v>Factor (D)</v>
      </c>
      <c r="AC79" s="176" t="str">
        <f t="shared" ref="AC79" si="55">S79</f>
        <v>Interest (E) = (A or A1) * (C) * (D)</v>
      </c>
      <c r="AD79" s="176" t="str">
        <f t="shared" ref="AD79" si="56">T79</f>
        <v>Code Of Conduct</v>
      </c>
    </row>
    <row r="80" spans="2:30" x14ac:dyDescent="0.25">
      <c r="B80" s="11"/>
      <c r="C80" s="5" t="s">
        <v>313</v>
      </c>
      <c r="D80" s="11"/>
      <c r="E80" s="11"/>
      <c r="F80" s="29"/>
      <c r="G80" s="22"/>
      <c r="H80" s="169">
        <f>H$95</f>
        <v>1</v>
      </c>
      <c r="I80" s="75">
        <f>D80*G80*H80</f>
        <v>0</v>
      </c>
      <c r="J80" s="171"/>
      <c r="L80" s="11"/>
      <c r="M80" s="5" t="s">
        <v>310</v>
      </c>
      <c r="N80" s="11"/>
      <c r="O80" s="11"/>
      <c r="P80" s="29"/>
      <c r="Q80" s="22"/>
      <c r="R80" s="169">
        <f>R$95</f>
        <v>1</v>
      </c>
      <c r="S80" s="75">
        <f>N80*Q80*R80</f>
        <v>0</v>
      </c>
      <c r="T80" s="171"/>
      <c r="V80" s="41" t="s">
        <v>283</v>
      </c>
      <c r="W80" s="5" t="s">
        <v>381</v>
      </c>
      <c r="X80" s="41"/>
      <c r="Y80" s="41"/>
      <c r="Z80" s="29"/>
      <c r="AA80" s="22"/>
      <c r="AB80" s="169">
        <f>AB$95</f>
        <v>1</v>
      </c>
      <c r="AC80" s="75">
        <f>X80*AA80*AB80</f>
        <v>0</v>
      </c>
      <c r="AD80" s="171"/>
    </row>
    <row r="81" spans="2:30" x14ac:dyDescent="0.25">
      <c r="B81" s="11"/>
      <c r="C81" s="5" t="s">
        <v>313</v>
      </c>
      <c r="D81" s="11"/>
      <c r="E81" s="11"/>
      <c r="F81" s="29"/>
      <c r="G81" s="22"/>
      <c r="H81" s="169">
        <f t="shared" ref="H81:H94" si="57">H$95</f>
        <v>1</v>
      </c>
      <c r="I81" s="75">
        <f t="shared" ref="I81:I94" si="58">D81*G81*H81</f>
        <v>0</v>
      </c>
      <c r="J81" s="171"/>
      <c r="L81" s="11"/>
      <c r="M81" s="5" t="s">
        <v>313</v>
      </c>
      <c r="N81" s="11"/>
      <c r="O81" s="11"/>
      <c r="P81" s="29"/>
      <c r="Q81" s="22"/>
      <c r="R81" s="169">
        <f t="shared" ref="R81:R94" si="59">R$95</f>
        <v>1</v>
      </c>
      <c r="S81" s="75">
        <f t="shared" ref="S81:S94" si="60">N81*Q81*R81</f>
        <v>0</v>
      </c>
      <c r="T81" s="171"/>
      <c r="V81" s="41" t="s">
        <v>283</v>
      </c>
      <c r="W81" s="5" t="s">
        <v>381</v>
      </c>
      <c r="X81" s="41"/>
      <c r="Y81" s="41"/>
      <c r="Z81" s="29"/>
      <c r="AA81" s="22"/>
      <c r="AB81" s="169">
        <f t="shared" ref="AB81:AB94" si="61">AB$95</f>
        <v>1</v>
      </c>
      <c r="AC81" s="75">
        <f t="shared" ref="AC81:AC94" si="62">X81*AA81*AB81</f>
        <v>0</v>
      </c>
      <c r="AD81" s="171"/>
    </row>
    <row r="82" spans="2:30" x14ac:dyDescent="0.25">
      <c r="B82" s="11"/>
      <c r="C82" s="5" t="s">
        <v>313</v>
      </c>
      <c r="D82" s="11"/>
      <c r="E82" s="11"/>
      <c r="F82" s="29"/>
      <c r="G82" s="22"/>
      <c r="H82" s="169">
        <f t="shared" si="57"/>
        <v>1</v>
      </c>
      <c r="I82" s="75">
        <f t="shared" si="58"/>
        <v>0</v>
      </c>
      <c r="J82" s="171"/>
      <c r="L82" s="11"/>
      <c r="M82" s="5" t="s">
        <v>313</v>
      </c>
      <c r="N82" s="11"/>
      <c r="O82" s="11"/>
      <c r="P82" s="29"/>
      <c r="Q82" s="22"/>
      <c r="R82" s="169">
        <f t="shared" si="59"/>
        <v>1</v>
      </c>
      <c r="S82" s="75">
        <f t="shared" si="60"/>
        <v>0</v>
      </c>
      <c r="T82" s="171"/>
      <c r="V82" s="41" t="s">
        <v>283</v>
      </c>
      <c r="W82" s="5" t="s">
        <v>381</v>
      </c>
      <c r="X82" s="41"/>
      <c r="Y82" s="41"/>
      <c r="Z82" s="29"/>
      <c r="AA82" s="22"/>
      <c r="AB82" s="169">
        <f t="shared" si="61"/>
        <v>1</v>
      </c>
      <c r="AC82" s="75">
        <f t="shared" si="62"/>
        <v>0</v>
      </c>
      <c r="AD82" s="171"/>
    </row>
    <row r="83" spans="2:30" x14ac:dyDescent="0.25">
      <c r="B83" s="11"/>
      <c r="C83" s="5" t="s">
        <v>313</v>
      </c>
      <c r="D83" s="11"/>
      <c r="E83" s="11"/>
      <c r="F83" s="29"/>
      <c r="G83" s="22"/>
      <c r="H83" s="169">
        <f t="shared" si="57"/>
        <v>1</v>
      </c>
      <c r="I83" s="75">
        <f t="shared" si="58"/>
        <v>0</v>
      </c>
      <c r="J83" s="171"/>
      <c r="L83" s="11"/>
      <c r="M83" s="5" t="s">
        <v>313</v>
      </c>
      <c r="N83" s="11"/>
      <c r="O83" s="11"/>
      <c r="P83" s="29"/>
      <c r="Q83" s="22"/>
      <c r="R83" s="169">
        <f t="shared" si="59"/>
        <v>1</v>
      </c>
      <c r="S83" s="75">
        <f t="shared" si="60"/>
        <v>0</v>
      </c>
      <c r="T83" s="171"/>
      <c r="V83" s="41" t="s">
        <v>283</v>
      </c>
      <c r="W83" s="5" t="s">
        <v>381</v>
      </c>
      <c r="X83" s="41"/>
      <c r="Y83" s="41"/>
      <c r="Z83" s="29"/>
      <c r="AA83" s="22"/>
      <c r="AB83" s="169">
        <f t="shared" si="61"/>
        <v>1</v>
      </c>
      <c r="AC83" s="75">
        <f t="shared" si="62"/>
        <v>0</v>
      </c>
      <c r="AD83" s="171"/>
    </row>
    <row r="84" spans="2:30" x14ac:dyDescent="0.25">
      <c r="B84" s="11"/>
      <c r="C84" s="5" t="s">
        <v>313</v>
      </c>
      <c r="D84" s="11"/>
      <c r="E84" s="11"/>
      <c r="F84" s="29"/>
      <c r="G84" s="22"/>
      <c r="H84" s="169">
        <f t="shared" si="57"/>
        <v>1</v>
      </c>
      <c r="I84" s="75">
        <f t="shared" si="58"/>
        <v>0</v>
      </c>
      <c r="J84" s="171"/>
      <c r="L84" s="11"/>
      <c r="M84" s="5" t="s">
        <v>313</v>
      </c>
      <c r="N84" s="11"/>
      <c r="O84" s="11"/>
      <c r="P84" s="29"/>
      <c r="Q84" s="22"/>
      <c r="R84" s="169">
        <f t="shared" si="59"/>
        <v>1</v>
      </c>
      <c r="S84" s="75">
        <f t="shared" si="60"/>
        <v>0</v>
      </c>
      <c r="T84" s="171"/>
      <c r="V84" s="41" t="s">
        <v>283</v>
      </c>
      <c r="W84" s="5" t="s">
        <v>381</v>
      </c>
      <c r="X84" s="41"/>
      <c r="Y84" s="41"/>
      <c r="Z84" s="29"/>
      <c r="AA84" s="22"/>
      <c r="AB84" s="169">
        <f t="shared" si="61"/>
        <v>1</v>
      </c>
      <c r="AC84" s="75">
        <f t="shared" si="62"/>
        <v>0</v>
      </c>
      <c r="AD84" s="171"/>
    </row>
    <row r="85" spans="2:30" x14ac:dyDescent="0.25">
      <c r="B85" s="11"/>
      <c r="C85" s="5" t="s">
        <v>313</v>
      </c>
      <c r="D85" s="11"/>
      <c r="E85" s="11"/>
      <c r="F85" s="29"/>
      <c r="G85" s="22"/>
      <c r="H85" s="169">
        <f t="shared" si="57"/>
        <v>1</v>
      </c>
      <c r="I85" s="75">
        <f t="shared" si="58"/>
        <v>0</v>
      </c>
      <c r="J85" s="171"/>
      <c r="L85" s="11"/>
      <c r="M85" s="5" t="s">
        <v>313</v>
      </c>
      <c r="N85" s="11"/>
      <c r="O85" s="11"/>
      <c r="P85" s="29"/>
      <c r="Q85" s="22"/>
      <c r="R85" s="169">
        <f t="shared" si="59"/>
        <v>1</v>
      </c>
      <c r="S85" s="75">
        <f t="shared" si="60"/>
        <v>0</v>
      </c>
      <c r="T85" s="171"/>
      <c r="V85" s="41" t="s">
        <v>283</v>
      </c>
      <c r="W85" s="5" t="s">
        <v>381</v>
      </c>
      <c r="X85" s="41"/>
      <c r="Y85" s="41"/>
      <c r="Z85" s="29"/>
      <c r="AA85" s="22"/>
      <c r="AB85" s="169">
        <f t="shared" si="61"/>
        <v>1</v>
      </c>
      <c r="AC85" s="75">
        <f t="shared" si="62"/>
        <v>0</v>
      </c>
      <c r="AD85" s="171"/>
    </row>
    <row r="86" spans="2:30" hidden="1" outlineLevel="1" x14ac:dyDescent="0.25">
      <c r="B86" s="11"/>
      <c r="C86" s="5" t="s">
        <v>313</v>
      </c>
      <c r="D86" s="11"/>
      <c r="E86" s="11"/>
      <c r="F86" s="29"/>
      <c r="G86" s="22"/>
      <c r="H86" s="169">
        <f t="shared" si="57"/>
        <v>1</v>
      </c>
      <c r="I86" s="75">
        <f t="shared" si="58"/>
        <v>0</v>
      </c>
      <c r="J86" s="171"/>
      <c r="L86" s="11"/>
      <c r="M86" s="5" t="s">
        <v>313</v>
      </c>
      <c r="N86" s="11"/>
      <c r="O86" s="11"/>
      <c r="P86" s="29"/>
      <c r="Q86" s="22"/>
      <c r="R86" s="169">
        <f t="shared" si="59"/>
        <v>1</v>
      </c>
      <c r="S86" s="75">
        <f t="shared" si="60"/>
        <v>0</v>
      </c>
      <c r="T86" s="171"/>
      <c r="V86" s="41" t="s">
        <v>283</v>
      </c>
      <c r="W86" s="5" t="s">
        <v>381</v>
      </c>
      <c r="X86" s="41"/>
      <c r="Y86" s="41"/>
      <c r="Z86" s="29"/>
      <c r="AA86" s="22"/>
      <c r="AB86" s="169">
        <f t="shared" si="61"/>
        <v>1</v>
      </c>
      <c r="AC86" s="75">
        <f t="shared" si="62"/>
        <v>0</v>
      </c>
      <c r="AD86" s="171"/>
    </row>
    <row r="87" spans="2:30" hidden="1" outlineLevel="1" x14ac:dyDescent="0.25">
      <c r="B87" s="11"/>
      <c r="C87" s="5" t="s">
        <v>313</v>
      </c>
      <c r="D87" s="11"/>
      <c r="E87" s="11"/>
      <c r="F87" s="29"/>
      <c r="G87" s="22"/>
      <c r="H87" s="169">
        <f t="shared" si="57"/>
        <v>1</v>
      </c>
      <c r="I87" s="75">
        <f t="shared" si="58"/>
        <v>0</v>
      </c>
      <c r="J87" s="171"/>
      <c r="L87" s="11"/>
      <c r="M87" s="5" t="s">
        <v>313</v>
      </c>
      <c r="N87" s="11"/>
      <c r="O87" s="11"/>
      <c r="P87" s="29"/>
      <c r="Q87" s="22"/>
      <c r="R87" s="169">
        <f t="shared" si="59"/>
        <v>1</v>
      </c>
      <c r="S87" s="75">
        <f t="shared" si="60"/>
        <v>0</v>
      </c>
      <c r="T87" s="171"/>
      <c r="V87" s="41" t="s">
        <v>283</v>
      </c>
      <c r="W87" s="5" t="s">
        <v>381</v>
      </c>
      <c r="X87" s="41"/>
      <c r="Y87" s="41"/>
      <c r="Z87" s="29"/>
      <c r="AA87" s="22"/>
      <c r="AB87" s="169">
        <f t="shared" si="61"/>
        <v>1</v>
      </c>
      <c r="AC87" s="75">
        <f t="shared" si="62"/>
        <v>0</v>
      </c>
      <c r="AD87" s="171"/>
    </row>
    <row r="88" spans="2:30" hidden="1" outlineLevel="1" x14ac:dyDescent="0.25">
      <c r="B88" s="11"/>
      <c r="C88" s="5" t="s">
        <v>313</v>
      </c>
      <c r="D88" s="11"/>
      <c r="E88" s="11"/>
      <c r="F88" s="29"/>
      <c r="G88" s="22"/>
      <c r="H88" s="169">
        <f t="shared" si="57"/>
        <v>1</v>
      </c>
      <c r="I88" s="75">
        <f t="shared" si="58"/>
        <v>0</v>
      </c>
      <c r="J88" s="171"/>
      <c r="L88" s="11"/>
      <c r="M88" s="5" t="s">
        <v>313</v>
      </c>
      <c r="N88" s="11"/>
      <c r="O88" s="11"/>
      <c r="P88" s="29"/>
      <c r="Q88" s="22"/>
      <c r="R88" s="169">
        <f t="shared" si="59"/>
        <v>1</v>
      </c>
      <c r="S88" s="75">
        <f t="shared" si="60"/>
        <v>0</v>
      </c>
      <c r="T88" s="171"/>
      <c r="V88" s="41" t="s">
        <v>283</v>
      </c>
      <c r="W88" s="5" t="s">
        <v>381</v>
      </c>
      <c r="X88" s="41"/>
      <c r="Y88" s="41"/>
      <c r="Z88" s="29"/>
      <c r="AA88" s="22"/>
      <c r="AB88" s="169">
        <f t="shared" si="61"/>
        <v>1</v>
      </c>
      <c r="AC88" s="75">
        <f t="shared" si="62"/>
        <v>0</v>
      </c>
      <c r="AD88" s="171"/>
    </row>
    <row r="89" spans="2:30" hidden="1" outlineLevel="1" x14ac:dyDescent="0.25">
      <c r="B89" s="11"/>
      <c r="C89" s="5" t="s">
        <v>313</v>
      </c>
      <c r="D89" s="11"/>
      <c r="E89" s="11"/>
      <c r="F89" s="29"/>
      <c r="G89" s="22"/>
      <c r="H89" s="169">
        <f t="shared" si="57"/>
        <v>1</v>
      </c>
      <c r="I89" s="75">
        <f t="shared" si="58"/>
        <v>0</v>
      </c>
      <c r="J89" s="171"/>
      <c r="L89" s="11"/>
      <c r="M89" s="5" t="s">
        <v>313</v>
      </c>
      <c r="N89" s="11"/>
      <c r="O89" s="11"/>
      <c r="P89" s="29"/>
      <c r="Q89" s="22"/>
      <c r="R89" s="169">
        <f t="shared" si="59"/>
        <v>1</v>
      </c>
      <c r="S89" s="75">
        <f t="shared" si="60"/>
        <v>0</v>
      </c>
      <c r="T89" s="171"/>
      <c r="V89" s="41" t="s">
        <v>283</v>
      </c>
      <c r="W89" s="5" t="s">
        <v>381</v>
      </c>
      <c r="X89" s="41"/>
      <c r="Y89" s="41"/>
      <c r="Z89" s="29"/>
      <c r="AA89" s="22"/>
      <c r="AB89" s="169">
        <f t="shared" si="61"/>
        <v>1</v>
      </c>
      <c r="AC89" s="75">
        <f t="shared" si="62"/>
        <v>0</v>
      </c>
      <c r="AD89" s="171"/>
    </row>
    <row r="90" spans="2:30" hidden="1" outlineLevel="1" x14ac:dyDescent="0.25">
      <c r="B90" s="11"/>
      <c r="C90" s="5" t="s">
        <v>313</v>
      </c>
      <c r="D90" s="11"/>
      <c r="E90" s="11"/>
      <c r="F90" s="29"/>
      <c r="G90" s="22"/>
      <c r="H90" s="169">
        <f t="shared" si="57"/>
        <v>1</v>
      </c>
      <c r="I90" s="75">
        <f t="shared" si="58"/>
        <v>0</v>
      </c>
      <c r="J90" s="171"/>
      <c r="L90" s="11"/>
      <c r="M90" s="5" t="s">
        <v>313</v>
      </c>
      <c r="N90" s="11"/>
      <c r="O90" s="11"/>
      <c r="P90" s="29"/>
      <c r="Q90" s="22"/>
      <c r="R90" s="169">
        <f t="shared" si="59"/>
        <v>1</v>
      </c>
      <c r="S90" s="75">
        <f t="shared" si="60"/>
        <v>0</v>
      </c>
      <c r="T90" s="171"/>
      <c r="V90" s="41" t="s">
        <v>283</v>
      </c>
      <c r="W90" s="5" t="s">
        <v>381</v>
      </c>
      <c r="X90" s="41"/>
      <c r="Y90" s="41"/>
      <c r="Z90" s="29"/>
      <c r="AA90" s="22"/>
      <c r="AB90" s="169">
        <f t="shared" si="61"/>
        <v>1</v>
      </c>
      <c r="AC90" s="75">
        <f t="shared" si="62"/>
        <v>0</v>
      </c>
      <c r="AD90" s="171"/>
    </row>
    <row r="91" spans="2:30" hidden="1" outlineLevel="1" x14ac:dyDescent="0.25">
      <c r="B91" s="11"/>
      <c r="C91" s="5" t="s">
        <v>313</v>
      </c>
      <c r="D91" s="11"/>
      <c r="E91" s="11"/>
      <c r="F91" s="29"/>
      <c r="G91" s="22"/>
      <c r="H91" s="169">
        <f t="shared" si="57"/>
        <v>1</v>
      </c>
      <c r="I91" s="75">
        <f t="shared" si="58"/>
        <v>0</v>
      </c>
      <c r="J91" s="171"/>
      <c r="L91" s="11"/>
      <c r="M91" s="5" t="s">
        <v>313</v>
      </c>
      <c r="N91" s="11"/>
      <c r="O91" s="11"/>
      <c r="P91" s="29"/>
      <c r="Q91" s="22"/>
      <c r="R91" s="169">
        <f t="shared" si="59"/>
        <v>1</v>
      </c>
      <c r="S91" s="75">
        <f t="shared" si="60"/>
        <v>0</v>
      </c>
      <c r="T91" s="171"/>
      <c r="V91" s="41" t="s">
        <v>283</v>
      </c>
      <c r="W91" s="5" t="s">
        <v>381</v>
      </c>
      <c r="X91" s="41"/>
      <c r="Y91" s="41"/>
      <c r="Z91" s="29"/>
      <c r="AA91" s="22"/>
      <c r="AB91" s="169">
        <f t="shared" si="61"/>
        <v>1</v>
      </c>
      <c r="AC91" s="75">
        <f t="shared" si="62"/>
        <v>0</v>
      </c>
      <c r="AD91" s="171"/>
    </row>
    <row r="92" spans="2:30" hidden="1" outlineLevel="1" x14ac:dyDescent="0.25">
      <c r="B92" s="11"/>
      <c r="C92" s="5" t="s">
        <v>313</v>
      </c>
      <c r="D92" s="11"/>
      <c r="E92" s="11"/>
      <c r="F92" s="29"/>
      <c r="G92" s="22"/>
      <c r="H92" s="169">
        <f t="shared" si="57"/>
        <v>1</v>
      </c>
      <c r="I92" s="75">
        <f t="shared" si="58"/>
        <v>0</v>
      </c>
      <c r="J92" s="171"/>
      <c r="L92" s="11"/>
      <c r="M92" s="5" t="s">
        <v>313</v>
      </c>
      <c r="N92" s="11"/>
      <c r="O92" s="11"/>
      <c r="P92" s="29"/>
      <c r="Q92" s="22"/>
      <c r="R92" s="169">
        <f t="shared" si="59"/>
        <v>1</v>
      </c>
      <c r="S92" s="75">
        <f t="shared" si="60"/>
        <v>0</v>
      </c>
      <c r="T92" s="171"/>
      <c r="V92" s="41" t="s">
        <v>283</v>
      </c>
      <c r="W92" s="5" t="s">
        <v>381</v>
      </c>
      <c r="X92" s="41"/>
      <c r="Y92" s="41"/>
      <c r="Z92" s="29"/>
      <c r="AA92" s="22"/>
      <c r="AB92" s="169">
        <f t="shared" si="61"/>
        <v>1</v>
      </c>
      <c r="AC92" s="75">
        <f t="shared" si="62"/>
        <v>0</v>
      </c>
      <c r="AD92" s="171"/>
    </row>
    <row r="93" spans="2:30" hidden="1" outlineLevel="1" x14ac:dyDescent="0.25">
      <c r="B93" s="11"/>
      <c r="C93" s="5" t="s">
        <v>313</v>
      </c>
      <c r="D93" s="11"/>
      <c r="E93" s="11"/>
      <c r="F93" s="29"/>
      <c r="G93" s="22"/>
      <c r="H93" s="169">
        <f t="shared" si="57"/>
        <v>1</v>
      </c>
      <c r="I93" s="75">
        <f t="shared" si="58"/>
        <v>0</v>
      </c>
      <c r="J93" s="171"/>
      <c r="L93" s="11"/>
      <c r="M93" s="5" t="s">
        <v>313</v>
      </c>
      <c r="N93" s="11"/>
      <c r="O93" s="11"/>
      <c r="P93" s="29"/>
      <c r="Q93" s="22"/>
      <c r="R93" s="169">
        <f t="shared" si="59"/>
        <v>1</v>
      </c>
      <c r="S93" s="75">
        <f t="shared" si="60"/>
        <v>0</v>
      </c>
      <c r="T93" s="171"/>
      <c r="V93" s="41" t="s">
        <v>283</v>
      </c>
      <c r="W93" s="5" t="s">
        <v>381</v>
      </c>
      <c r="X93" s="41"/>
      <c r="Y93" s="41"/>
      <c r="Z93" s="29"/>
      <c r="AA93" s="22"/>
      <c r="AB93" s="169">
        <f t="shared" si="61"/>
        <v>1</v>
      </c>
      <c r="AC93" s="75">
        <f t="shared" si="62"/>
        <v>0</v>
      </c>
      <c r="AD93" s="171"/>
    </row>
    <row r="94" spans="2:30" hidden="1" outlineLevel="1" x14ac:dyDescent="0.25">
      <c r="B94" s="11"/>
      <c r="C94" s="5" t="s">
        <v>313</v>
      </c>
      <c r="D94" s="11"/>
      <c r="E94" s="11"/>
      <c r="F94" s="29"/>
      <c r="G94" s="22"/>
      <c r="H94" s="169">
        <f t="shared" si="57"/>
        <v>1</v>
      </c>
      <c r="I94" s="75">
        <f t="shared" si="58"/>
        <v>0</v>
      </c>
      <c r="J94" s="171"/>
      <c r="L94" s="11"/>
      <c r="M94" s="5" t="s">
        <v>313</v>
      </c>
      <c r="N94" s="11"/>
      <c r="O94" s="11"/>
      <c r="P94" s="29"/>
      <c r="Q94" s="22"/>
      <c r="R94" s="169">
        <f t="shared" si="59"/>
        <v>1</v>
      </c>
      <c r="S94" s="75">
        <f t="shared" si="60"/>
        <v>0</v>
      </c>
      <c r="T94" s="171"/>
      <c r="V94" s="41" t="s">
        <v>283</v>
      </c>
      <c r="W94" s="5" t="s">
        <v>381</v>
      </c>
      <c r="X94" s="41"/>
      <c r="Y94" s="41"/>
      <c r="Z94" s="29"/>
      <c r="AA94" s="22"/>
      <c r="AB94" s="169">
        <f t="shared" si="61"/>
        <v>1</v>
      </c>
      <c r="AC94" s="75">
        <f t="shared" si="62"/>
        <v>0</v>
      </c>
      <c r="AD94" s="171"/>
    </row>
    <row r="95" spans="2:30" s="24" customFormat="1" collapsed="1" x14ac:dyDescent="0.25">
      <c r="B95" s="8" t="str">
        <f>"Total "&amp;B79</f>
        <v>Total Facility (Overdraft - Temporary)</v>
      </c>
      <c r="C95" s="25"/>
      <c r="D95" s="28">
        <f>SUM(D80:D94)</f>
        <v>0</v>
      </c>
      <c r="E95" s="28">
        <f>SUM(E80:E94)</f>
        <v>0</v>
      </c>
      <c r="F95" s="30"/>
      <c r="G95" s="25"/>
      <c r="H95" s="168">
        <v>1</v>
      </c>
      <c r="I95" s="28">
        <f>SUM(I80:I94)</f>
        <v>0</v>
      </c>
      <c r="J95" s="170"/>
      <c r="L95" s="8" t="str">
        <f>"Total "&amp;L79</f>
        <v>Total Facility (Overdraft - Temporary)</v>
      </c>
      <c r="M95" s="25"/>
      <c r="N95" s="28">
        <f>SUM(N80:N94)</f>
        <v>0</v>
      </c>
      <c r="O95" s="28">
        <f>SUM(O80:O94)</f>
        <v>0</v>
      </c>
      <c r="P95" s="30"/>
      <c r="Q95" s="25"/>
      <c r="R95" s="168">
        <v>1</v>
      </c>
      <c r="S95" s="28">
        <f>SUM(S80:S94)</f>
        <v>0</v>
      </c>
      <c r="T95" s="170"/>
      <c r="V95" s="8" t="str">
        <f>"Total "&amp;V79</f>
        <v>Total Facility (Overdraft - Temporary)</v>
      </c>
      <c r="W95" s="25"/>
      <c r="X95" s="28">
        <f>SUM(X80:X94)</f>
        <v>0</v>
      </c>
      <c r="Y95" s="28">
        <f>SUM(Y80:Y94)</f>
        <v>0</v>
      </c>
      <c r="Z95" s="30"/>
      <c r="AA95" s="25"/>
      <c r="AB95" s="168">
        <v>1</v>
      </c>
      <c r="AC95" s="28">
        <f>SUM(AC80:AC94)</f>
        <v>0</v>
      </c>
      <c r="AD95" s="170"/>
    </row>
    <row r="97" spans="2:30" s="20" customFormat="1" ht="38.25" x14ac:dyDescent="0.25">
      <c r="B97" s="27" t="s">
        <v>383</v>
      </c>
      <c r="C97" s="3" t="str">
        <f>C$61</f>
        <v>Source</v>
      </c>
      <c r="D97" s="3" t="str">
        <f t="shared" ref="D97:J97" si="63">D$61</f>
        <v>Limit (A)</v>
      </c>
      <c r="E97" s="3" t="str">
        <f t="shared" si="63"/>
        <v>Outstanding (A1)</v>
      </c>
      <c r="F97" s="3" t="str">
        <f t="shared" si="63"/>
        <v>Monthly Repayment (B)</v>
      </c>
      <c r="G97" s="3" t="str">
        <f t="shared" si="63"/>
        <v>Interest Rate (C)</v>
      </c>
      <c r="H97" s="3" t="str">
        <f t="shared" si="63"/>
        <v>Factor (D)</v>
      </c>
      <c r="I97" s="3" t="str">
        <f t="shared" si="63"/>
        <v>Interest (E) = (A or A1) * (C) * (D)</v>
      </c>
      <c r="J97" s="3" t="str">
        <f t="shared" si="63"/>
        <v>Code Of Conduct</v>
      </c>
      <c r="L97" s="175" t="str">
        <f>B97</f>
        <v>Facility (Bank Guarantee)</v>
      </c>
      <c r="M97" s="176" t="str">
        <f t="shared" ref="M97" si="64">C97</f>
        <v>Source</v>
      </c>
      <c r="N97" s="176" t="str">
        <f t="shared" ref="N97" si="65">D97</f>
        <v>Limit (A)</v>
      </c>
      <c r="O97" s="176" t="str">
        <f t="shared" ref="O97" si="66">E97</f>
        <v>Outstanding (A1)</v>
      </c>
      <c r="P97" s="176" t="str">
        <f t="shared" ref="P97" si="67">F97</f>
        <v>Monthly Repayment (B)</v>
      </c>
      <c r="Q97" s="176" t="str">
        <f t="shared" ref="Q97" si="68">G97</f>
        <v>Interest Rate (C)</v>
      </c>
      <c r="R97" s="176" t="str">
        <f t="shared" ref="R97" si="69">H97</f>
        <v>Factor (D)</v>
      </c>
      <c r="S97" s="176" t="str">
        <f t="shared" ref="S97" si="70">I97</f>
        <v>Interest (E) = (A or A1) * (C) * (D)</v>
      </c>
      <c r="T97" s="176" t="str">
        <f t="shared" ref="T97" si="71">J97</f>
        <v>Code Of Conduct</v>
      </c>
      <c r="V97" s="175" t="str">
        <f>L97</f>
        <v>Facility (Bank Guarantee)</v>
      </c>
      <c r="W97" s="176" t="str">
        <f t="shared" ref="W97" si="72">M97</f>
        <v>Source</v>
      </c>
      <c r="X97" s="176" t="str">
        <f t="shared" ref="X97" si="73">N97</f>
        <v>Limit (A)</v>
      </c>
      <c r="Y97" s="176" t="str">
        <f t="shared" ref="Y97" si="74">O97</f>
        <v>Outstanding (A1)</v>
      </c>
      <c r="Z97" s="176" t="str">
        <f t="shared" ref="Z97" si="75">P97</f>
        <v>Monthly Repayment (B)</v>
      </c>
      <c r="AA97" s="176" t="str">
        <f t="shared" ref="AA97" si="76">Q97</f>
        <v>Interest Rate (C)</v>
      </c>
      <c r="AB97" s="176" t="str">
        <f t="shared" ref="AB97" si="77">R97</f>
        <v>Factor (D)</v>
      </c>
      <c r="AC97" s="176" t="str">
        <f t="shared" ref="AC97" si="78">S97</f>
        <v>Interest (E) = (A or A1) * (C) * (D)</v>
      </c>
      <c r="AD97" s="176" t="str">
        <f t="shared" ref="AD97" si="79">T97</f>
        <v>Code Of Conduct</v>
      </c>
    </row>
    <row r="98" spans="2:30" x14ac:dyDescent="0.25">
      <c r="B98" s="11"/>
      <c r="C98" s="5" t="s">
        <v>313</v>
      </c>
      <c r="D98" s="11"/>
      <c r="E98" s="11"/>
      <c r="F98" s="29"/>
      <c r="G98" s="22"/>
      <c r="H98" s="169">
        <f>H$113</f>
        <v>1</v>
      </c>
      <c r="I98" s="75">
        <f>D98*G98*H98</f>
        <v>0</v>
      </c>
      <c r="J98" s="171"/>
      <c r="L98" s="11"/>
      <c r="M98" s="5" t="s">
        <v>313</v>
      </c>
      <c r="N98" s="11"/>
      <c r="O98" s="11"/>
      <c r="P98" s="29"/>
      <c r="Q98" s="22"/>
      <c r="R98" s="169">
        <f>R$113</f>
        <v>1</v>
      </c>
      <c r="S98" s="75">
        <f>N98*Q98*R98</f>
        <v>0</v>
      </c>
      <c r="T98" s="171"/>
      <c r="V98" s="41" t="s">
        <v>283</v>
      </c>
      <c r="W98" s="5" t="s">
        <v>381</v>
      </c>
      <c r="X98" s="41"/>
      <c r="Y98" s="41"/>
      <c r="Z98" s="29"/>
      <c r="AA98" s="22"/>
      <c r="AB98" s="169">
        <f>AB$113</f>
        <v>1</v>
      </c>
      <c r="AC98" s="75">
        <f>X98*AA98*AB98</f>
        <v>0</v>
      </c>
      <c r="AD98" s="171"/>
    </row>
    <row r="99" spans="2:30" x14ac:dyDescent="0.25">
      <c r="B99" s="11"/>
      <c r="C99" s="5" t="s">
        <v>313</v>
      </c>
      <c r="D99" s="11"/>
      <c r="E99" s="11"/>
      <c r="F99" s="29"/>
      <c r="G99" s="22"/>
      <c r="H99" s="169">
        <f t="shared" ref="H99:H112" si="80">H$113</f>
        <v>1</v>
      </c>
      <c r="I99" s="75">
        <f t="shared" ref="I99:I112" si="81">D99*G99*H99</f>
        <v>0</v>
      </c>
      <c r="J99" s="171"/>
      <c r="L99" s="11"/>
      <c r="M99" s="5" t="s">
        <v>313</v>
      </c>
      <c r="N99" s="11"/>
      <c r="O99" s="11"/>
      <c r="P99" s="29"/>
      <c r="Q99" s="22"/>
      <c r="R99" s="169">
        <f t="shared" ref="R99:R112" si="82">R$113</f>
        <v>1</v>
      </c>
      <c r="S99" s="75">
        <f t="shared" ref="S99:S112" si="83">N99*Q99*R99</f>
        <v>0</v>
      </c>
      <c r="T99" s="171"/>
      <c r="V99" s="41" t="s">
        <v>283</v>
      </c>
      <c r="W99" s="5" t="s">
        <v>381</v>
      </c>
      <c r="X99" s="41"/>
      <c r="Y99" s="41"/>
      <c r="Z99" s="29"/>
      <c r="AA99" s="22"/>
      <c r="AB99" s="169">
        <f t="shared" ref="AB99:AB112" si="84">AB$113</f>
        <v>1</v>
      </c>
      <c r="AC99" s="75">
        <f t="shared" ref="AC99:AC112" si="85">X99*AA99*AB99</f>
        <v>0</v>
      </c>
      <c r="AD99" s="171"/>
    </row>
    <row r="100" spans="2:30" x14ac:dyDescent="0.25">
      <c r="B100" s="11"/>
      <c r="C100" s="5" t="s">
        <v>313</v>
      </c>
      <c r="D100" s="11"/>
      <c r="E100" s="11"/>
      <c r="F100" s="29"/>
      <c r="G100" s="22"/>
      <c r="H100" s="169">
        <f t="shared" si="80"/>
        <v>1</v>
      </c>
      <c r="I100" s="75">
        <f t="shared" si="81"/>
        <v>0</v>
      </c>
      <c r="J100" s="171"/>
      <c r="L100" s="11"/>
      <c r="M100" s="5" t="s">
        <v>313</v>
      </c>
      <c r="N100" s="11"/>
      <c r="O100" s="11"/>
      <c r="P100" s="29"/>
      <c r="Q100" s="22"/>
      <c r="R100" s="169">
        <f t="shared" si="82"/>
        <v>1</v>
      </c>
      <c r="S100" s="75">
        <f t="shared" si="83"/>
        <v>0</v>
      </c>
      <c r="T100" s="171"/>
      <c r="V100" s="41" t="s">
        <v>283</v>
      </c>
      <c r="W100" s="5" t="s">
        <v>381</v>
      </c>
      <c r="X100" s="41"/>
      <c r="Y100" s="41"/>
      <c r="Z100" s="29"/>
      <c r="AA100" s="22"/>
      <c r="AB100" s="169">
        <f t="shared" si="84"/>
        <v>1</v>
      </c>
      <c r="AC100" s="75">
        <f t="shared" si="85"/>
        <v>0</v>
      </c>
      <c r="AD100" s="171"/>
    </row>
    <row r="101" spans="2:30" x14ac:dyDescent="0.25">
      <c r="B101" s="11"/>
      <c r="C101" s="5" t="s">
        <v>313</v>
      </c>
      <c r="D101" s="11"/>
      <c r="E101" s="11"/>
      <c r="F101" s="29"/>
      <c r="G101" s="22"/>
      <c r="H101" s="169">
        <f t="shared" si="80"/>
        <v>1</v>
      </c>
      <c r="I101" s="75">
        <f t="shared" si="81"/>
        <v>0</v>
      </c>
      <c r="J101" s="171"/>
      <c r="L101" s="11"/>
      <c r="M101" s="5" t="s">
        <v>313</v>
      </c>
      <c r="N101" s="11"/>
      <c r="O101" s="11"/>
      <c r="P101" s="29"/>
      <c r="Q101" s="22"/>
      <c r="R101" s="169">
        <f t="shared" si="82"/>
        <v>1</v>
      </c>
      <c r="S101" s="75">
        <f t="shared" si="83"/>
        <v>0</v>
      </c>
      <c r="T101" s="171"/>
      <c r="V101" s="41" t="s">
        <v>283</v>
      </c>
      <c r="W101" s="5" t="s">
        <v>381</v>
      </c>
      <c r="X101" s="41"/>
      <c r="Y101" s="41"/>
      <c r="Z101" s="29"/>
      <c r="AA101" s="22"/>
      <c r="AB101" s="169">
        <f t="shared" si="84"/>
        <v>1</v>
      </c>
      <c r="AC101" s="75">
        <f t="shared" si="85"/>
        <v>0</v>
      </c>
      <c r="AD101" s="171"/>
    </row>
    <row r="102" spans="2:30" x14ac:dyDescent="0.25">
      <c r="B102" s="11"/>
      <c r="C102" s="5" t="s">
        <v>313</v>
      </c>
      <c r="D102" s="11"/>
      <c r="E102" s="11"/>
      <c r="F102" s="29"/>
      <c r="G102" s="22"/>
      <c r="H102" s="169">
        <f t="shared" si="80"/>
        <v>1</v>
      </c>
      <c r="I102" s="75">
        <f t="shared" si="81"/>
        <v>0</v>
      </c>
      <c r="J102" s="171"/>
      <c r="L102" s="11"/>
      <c r="M102" s="5" t="s">
        <v>313</v>
      </c>
      <c r="N102" s="11"/>
      <c r="O102" s="11"/>
      <c r="P102" s="29"/>
      <c r="Q102" s="22"/>
      <c r="R102" s="169">
        <f t="shared" si="82"/>
        <v>1</v>
      </c>
      <c r="S102" s="75">
        <f t="shared" si="83"/>
        <v>0</v>
      </c>
      <c r="T102" s="171"/>
      <c r="V102" s="41" t="s">
        <v>283</v>
      </c>
      <c r="W102" s="5" t="s">
        <v>381</v>
      </c>
      <c r="X102" s="41"/>
      <c r="Y102" s="41"/>
      <c r="Z102" s="29"/>
      <c r="AA102" s="22"/>
      <c r="AB102" s="169">
        <f t="shared" si="84"/>
        <v>1</v>
      </c>
      <c r="AC102" s="75">
        <f t="shared" si="85"/>
        <v>0</v>
      </c>
      <c r="AD102" s="171"/>
    </row>
    <row r="103" spans="2:30" x14ac:dyDescent="0.25">
      <c r="B103" s="11"/>
      <c r="C103" s="5" t="s">
        <v>313</v>
      </c>
      <c r="D103" s="11"/>
      <c r="E103" s="11"/>
      <c r="F103" s="29"/>
      <c r="G103" s="22"/>
      <c r="H103" s="169">
        <f t="shared" si="80"/>
        <v>1</v>
      </c>
      <c r="I103" s="75">
        <f t="shared" si="81"/>
        <v>0</v>
      </c>
      <c r="J103" s="171"/>
      <c r="L103" s="11"/>
      <c r="M103" s="5" t="s">
        <v>313</v>
      </c>
      <c r="N103" s="11"/>
      <c r="O103" s="11"/>
      <c r="P103" s="29"/>
      <c r="Q103" s="22"/>
      <c r="R103" s="169">
        <f t="shared" si="82"/>
        <v>1</v>
      </c>
      <c r="S103" s="75">
        <f t="shared" si="83"/>
        <v>0</v>
      </c>
      <c r="T103" s="171"/>
      <c r="V103" s="41" t="s">
        <v>283</v>
      </c>
      <c r="W103" s="5" t="s">
        <v>381</v>
      </c>
      <c r="X103" s="41"/>
      <c r="Y103" s="41"/>
      <c r="Z103" s="29"/>
      <c r="AA103" s="22"/>
      <c r="AB103" s="169">
        <f t="shared" si="84"/>
        <v>1</v>
      </c>
      <c r="AC103" s="75">
        <f t="shared" si="85"/>
        <v>0</v>
      </c>
      <c r="AD103" s="171"/>
    </row>
    <row r="104" spans="2:30" hidden="1" outlineLevel="1" x14ac:dyDescent="0.25">
      <c r="B104" s="11"/>
      <c r="C104" s="5" t="s">
        <v>313</v>
      </c>
      <c r="D104" s="11"/>
      <c r="E104" s="11"/>
      <c r="F104" s="29"/>
      <c r="G104" s="22"/>
      <c r="H104" s="169">
        <f t="shared" si="80"/>
        <v>1</v>
      </c>
      <c r="I104" s="75">
        <f t="shared" si="81"/>
        <v>0</v>
      </c>
      <c r="J104" s="171"/>
      <c r="L104" s="11"/>
      <c r="M104" s="5" t="s">
        <v>313</v>
      </c>
      <c r="N104" s="11"/>
      <c r="O104" s="11"/>
      <c r="P104" s="29"/>
      <c r="Q104" s="22"/>
      <c r="R104" s="169">
        <f t="shared" si="82"/>
        <v>1</v>
      </c>
      <c r="S104" s="75">
        <f t="shared" si="83"/>
        <v>0</v>
      </c>
      <c r="T104" s="171"/>
      <c r="V104" s="41" t="s">
        <v>283</v>
      </c>
      <c r="W104" s="5" t="s">
        <v>381</v>
      </c>
      <c r="X104" s="41"/>
      <c r="Y104" s="41"/>
      <c r="Z104" s="29"/>
      <c r="AA104" s="22"/>
      <c r="AB104" s="169">
        <f t="shared" si="84"/>
        <v>1</v>
      </c>
      <c r="AC104" s="75">
        <f t="shared" si="85"/>
        <v>0</v>
      </c>
      <c r="AD104" s="171"/>
    </row>
    <row r="105" spans="2:30" hidden="1" outlineLevel="1" x14ac:dyDescent="0.25">
      <c r="B105" s="11"/>
      <c r="C105" s="5" t="s">
        <v>313</v>
      </c>
      <c r="D105" s="11"/>
      <c r="E105" s="11"/>
      <c r="F105" s="29"/>
      <c r="G105" s="22"/>
      <c r="H105" s="169">
        <f t="shared" si="80"/>
        <v>1</v>
      </c>
      <c r="I105" s="75">
        <f t="shared" si="81"/>
        <v>0</v>
      </c>
      <c r="J105" s="171"/>
      <c r="L105" s="11"/>
      <c r="M105" s="5" t="s">
        <v>313</v>
      </c>
      <c r="N105" s="11"/>
      <c r="O105" s="11"/>
      <c r="P105" s="29"/>
      <c r="Q105" s="22"/>
      <c r="R105" s="169">
        <f t="shared" si="82"/>
        <v>1</v>
      </c>
      <c r="S105" s="75">
        <f t="shared" si="83"/>
        <v>0</v>
      </c>
      <c r="T105" s="171"/>
      <c r="V105" s="41" t="s">
        <v>283</v>
      </c>
      <c r="W105" s="5" t="s">
        <v>381</v>
      </c>
      <c r="X105" s="41"/>
      <c r="Y105" s="41"/>
      <c r="Z105" s="29"/>
      <c r="AA105" s="22"/>
      <c r="AB105" s="169">
        <f t="shared" si="84"/>
        <v>1</v>
      </c>
      <c r="AC105" s="75">
        <f t="shared" si="85"/>
        <v>0</v>
      </c>
      <c r="AD105" s="171"/>
    </row>
    <row r="106" spans="2:30" hidden="1" outlineLevel="1" x14ac:dyDescent="0.25">
      <c r="B106" s="11"/>
      <c r="C106" s="5" t="s">
        <v>313</v>
      </c>
      <c r="D106" s="11"/>
      <c r="E106" s="11"/>
      <c r="F106" s="29"/>
      <c r="G106" s="22"/>
      <c r="H106" s="169">
        <f t="shared" si="80"/>
        <v>1</v>
      </c>
      <c r="I106" s="75">
        <f t="shared" si="81"/>
        <v>0</v>
      </c>
      <c r="J106" s="171"/>
      <c r="L106" s="11"/>
      <c r="M106" s="5" t="s">
        <v>313</v>
      </c>
      <c r="N106" s="11"/>
      <c r="O106" s="11"/>
      <c r="P106" s="29"/>
      <c r="Q106" s="22"/>
      <c r="R106" s="169">
        <f t="shared" si="82"/>
        <v>1</v>
      </c>
      <c r="S106" s="75">
        <f t="shared" si="83"/>
        <v>0</v>
      </c>
      <c r="T106" s="171"/>
      <c r="V106" s="41" t="s">
        <v>283</v>
      </c>
      <c r="W106" s="5" t="s">
        <v>381</v>
      </c>
      <c r="X106" s="41"/>
      <c r="Y106" s="41"/>
      <c r="Z106" s="29"/>
      <c r="AA106" s="22"/>
      <c r="AB106" s="169">
        <f t="shared" si="84"/>
        <v>1</v>
      </c>
      <c r="AC106" s="75">
        <f t="shared" si="85"/>
        <v>0</v>
      </c>
      <c r="AD106" s="171"/>
    </row>
    <row r="107" spans="2:30" hidden="1" outlineLevel="1" x14ac:dyDescent="0.25">
      <c r="B107" s="11"/>
      <c r="C107" s="5" t="s">
        <v>313</v>
      </c>
      <c r="D107" s="11"/>
      <c r="E107" s="11"/>
      <c r="F107" s="29"/>
      <c r="G107" s="22"/>
      <c r="H107" s="169">
        <f t="shared" si="80"/>
        <v>1</v>
      </c>
      <c r="I107" s="75">
        <f t="shared" si="81"/>
        <v>0</v>
      </c>
      <c r="J107" s="171"/>
      <c r="L107" s="11"/>
      <c r="M107" s="5" t="s">
        <v>313</v>
      </c>
      <c r="N107" s="11"/>
      <c r="O107" s="11"/>
      <c r="P107" s="29"/>
      <c r="Q107" s="22"/>
      <c r="R107" s="169">
        <f t="shared" si="82"/>
        <v>1</v>
      </c>
      <c r="S107" s="75">
        <f t="shared" si="83"/>
        <v>0</v>
      </c>
      <c r="T107" s="171"/>
      <c r="V107" s="41" t="s">
        <v>283</v>
      </c>
      <c r="W107" s="5" t="s">
        <v>381</v>
      </c>
      <c r="X107" s="41"/>
      <c r="Y107" s="41"/>
      <c r="Z107" s="29"/>
      <c r="AA107" s="22"/>
      <c r="AB107" s="169">
        <f t="shared" si="84"/>
        <v>1</v>
      </c>
      <c r="AC107" s="75">
        <f t="shared" si="85"/>
        <v>0</v>
      </c>
      <c r="AD107" s="171"/>
    </row>
    <row r="108" spans="2:30" hidden="1" outlineLevel="1" x14ac:dyDescent="0.25">
      <c r="B108" s="11"/>
      <c r="C108" s="5" t="s">
        <v>313</v>
      </c>
      <c r="D108" s="11"/>
      <c r="E108" s="11"/>
      <c r="F108" s="29"/>
      <c r="G108" s="22"/>
      <c r="H108" s="169">
        <f t="shared" si="80"/>
        <v>1</v>
      </c>
      <c r="I108" s="75">
        <f t="shared" si="81"/>
        <v>0</v>
      </c>
      <c r="J108" s="171"/>
      <c r="L108" s="11"/>
      <c r="M108" s="5" t="s">
        <v>313</v>
      </c>
      <c r="N108" s="11"/>
      <c r="O108" s="11"/>
      <c r="P108" s="29"/>
      <c r="Q108" s="22"/>
      <c r="R108" s="169">
        <f t="shared" si="82"/>
        <v>1</v>
      </c>
      <c r="S108" s="75">
        <f t="shared" si="83"/>
        <v>0</v>
      </c>
      <c r="T108" s="171"/>
      <c r="V108" s="41" t="s">
        <v>283</v>
      </c>
      <c r="W108" s="5" t="s">
        <v>381</v>
      </c>
      <c r="X108" s="41"/>
      <c r="Y108" s="41"/>
      <c r="Z108" s="29"/>
      <c r="AA108" s="22"/>
      <c r="AB108" s="169">
        <f t="shared" si="84"/>
        <v>1</v>
      </c>
      <c r="AC108" s="75">
        <f t="shared" si="85"/>
        <v>0</v>
      </c>
      <c r="AD108" s="171"/>
    </row>
    <row r="109" spans="2:30" hidden="1" outlineLevel="1" x14ac:dyDescent="0.25">
      <c r="B109" s="11"/>
      <c r="C109" s="5" t="s">
        <v>313</v>
      </c>
      <c r="D109" s="11"/>
      <c r="E109" s="11"/>
      <c r="F109" s="29"/>
      <c r="G109" s="22"/>
      <c r="H109" s="169">
        <f t="shared" si="80"/>
        <v>1</v>
      </c>
      <c r="I109" s="75">
        <f t="shared" si="81"/>
        <v>0</v>
      </c>
      <c r="J109" s="171"/>
      <c r="L109" s="11"/>
      <c r="M109" s="5" t="s">
        <v>313</v>
      </c>
      <c r="N109" s="11"/>
      <c r="O109" s="11"/>
      <c r="P109" s="29"/>
      <c r="Q109" s="22"/>
      <c r="R109" s="169">
        <f t="shared" si="82"/>
        <v>1</v>
      </c>
      <c r="S109" s="75">
        <f t="shared" si="83"/>
        <v>0</v>
      </c>
      <c r="T109" s="171"/>
      <c r="V109" s="41" t="s">
        <v>283</v>
      </c>
      <c r="W109" s="5" t="s">
        <v>381</v>
      </c>
      <c r="X109" s="41"/>
      <c r="Y109" s="41"/>
      <c r="Z109" s="29"/>
      <c r="AA109" s="22"/>
      <c r="AB109" s="169">
        <f t="shared" si="84"/>
        <v>1</v>
      </c>
      <c r="AC109" s="75">
        <f t="shared" si="85"/>
        <v>0</v>
      </c>
      <c r="AD109" s="171"/>
    </row>
    <row r="110" spans="2:30" hidden="1" outlineLevel="1" x14ac:dyDescent="0.25">
      <c r="B110" s="11"/>
      <c r="C110" s="5" t="s">
        <v>313</v>
      </c>
      <c r="D110" s="11"/>
      <c r="E110" s="11"/>
      <c r="F110" s="29"/>
      <c r="G110" s="22"/>
      <c r="H110" s="169">
        <f t="shared" si="80"/>
        <v>1</v>
      </c>
      <c r="I110" s="75">
        <f t="shared" si="81"/>
        <v>0</v>
      </c>
      <c r="J110" s="171"/>
      <c r="L110" s="11"/>
      <c r="M110" s="5" t="s">
        <v>313</v>
      </c>
      <c r="N110" s="11"/>
      <c r="O110" s="11"/>
      <c r="P110" s="29"/>
      <c r="Q110" s="22"/>
      <c r="R110" s="169">
        <f t="shared" si="82"/>
        <v>1</v>
      </c>
      <c r="S110" s="75">
        <f t="shared" si="83"/>
        <v>0</v>
      </c>
      <c r="T110" s="171"/>
      <c r="V110" s="41" t="s">
        <v>283</v>
      </c>
      <c r="W110" s="5" t="s">
        <v>381</v>
      </c>
      <c r="X110" s="41"/>
      <c r="Y110" s="41"/>
      <c r="Z110" s="29"/>
      <c r="AA110" s="22"/>
      <c r="AB110" s="169">
        <f t="shared" si="84"/>
        <v>1</v>
      </c>
      <c r="AC110" s="75">
        <f t="shared" si="85"/>
        <v>0</v>
      </c>
      <c r="AD110" s="171"/>
    </row>
    <row r="111" spans="2:30" hidden="1" outlineLevel="1" x14ac:dyDescent="0.25">
      <c r="B111" s="11"/>
      <c r="C111" s="5" t="s">
        <v>313</v>
      </c>
      <c r="D111" s="11"/>
      <c r="E111" s="11"/>
      <c r="F111" s="29"/>
      <c r="G111" s="22"/>
      <c r="H111" s="169">
        <f t="shared" si="80"/>
        <v>1</v>
      </c>
      <c r="I111" s="75">
        <f t="shared" si="81"/>
        <v>0</v>
      </c>
      <c r="J111" s="171"/>
      <c r="L111" s="11"/>
      <c r="M111" s="5" t="s">
        <v>313</v>
      </c>
      <c r="N111" s="11"/>
      <c r="O111" s="11"/>
      <c r="P111" s="29"/>
      <c r="Q111" s="22"/>
      <c r="R111" s="169">
        <f t="shared" si="82"/>
        <v>1</v>
      </c>
      <c r="S111" s="75">
        <f t="shared" si="83"/>
        <v>0</v>
      </c>
      <c r="T111" s="171"/>
      <c r="V111" s="41" t="s">
        <v>283</v>
      </c>
      <c r="W111" s="5" t="s">
        <v>381</v>
      </c>
      <c r="X111" s="41"/>
      <c r="Y111" s="41"/>
      <c r="Z111" s="29"/>
      <c r="AA111" s="22"/>
      <c r="AB111" s="169">
        <f t="shared" si="84"/>
        <v>1</v>
      </c>
      <c r="AC111" s="75">
        <f t="shared" si="85"/>
        <v>0</v>
      </c>
      <c r="AD111" s="171"/>
    </row>
    <row r="112" spans="2:30" hidden="1" outlineLevel="1" x14ac:dyDescent="0.25">
      <c r="B112" s="11"/>
      <c r="C112" s="5" t="s">
        <v>313</v>
      </c>
      <c r="D112" s="11"/>
      <c r="E112" s="11"/>
      <c r="F112" s="29"/>
      <c r="G112" s="22"/>
      <c r="H112" s="169">
        <f t="shared" si="80"/>
        <v>1</v>
      </c>
      <c r="I112" s="75">
        <f t="shared" si="81"/>
        <v>0</v>
      </c>
      <c r="J112" s="171"/>
      <c r="L112" s="11"/>
      <c r="M112" s="5" t="s">
        <v>313</v>
      </c>
      <c r="N112" s="11"/>
      <c r="O112" s="11"/>
      <c r="P112" s="29"/>
      <c r="Q112" s="22"/>
      <c r="R112" s="169">
        <f t="shared" si="82"/>
        <v>1</v>
      </c>
      <c r="S112" s="75">
        <f t="shared" si="83"/>
        <v>0</v>
      </c>
      <c r="T112" s="171"/>
      <c r="V112" s="41" t="s">
        <v>283</v>
      </c>
      <c r="W112" s="5" t="s">
        <v>381</v>
      </c>
      <c r="X112" s="41"/>
      <c r="Y112" s="41"/>
      <c r="Z112" s="29"/>
      <c r="AA112" s="22"/>
      <c r="AB112" s="169">
        <f t="shared" si="84"/>
        <v>1</v>
      </c>
      <c r="AC112" s="75">
        <f t="shared" si="85"/>
        <v>0</v>
      </c>
      <c r="AD112" s="171"/>
    </row>
    <row r="113" spans="2:30" s="24" customFormat="1" collapsed="1" x14ac:dyDescent="0.25">
      <c r="B113" s="8" t="str">
        <f>"Total "&amp;B97</f>
        <v>Total Facility (Bank Guarantee)</v>
      </c>
      <c r="C113" s="25"/>
      <c r="D113" s="28">
        <f>SUM(D98:D112)</f>
        <v>0</v>
      </c>
      <c r="E113" s="28">
        <f>SUM(E98:E112)</f>
        <v>0</v>
      </c>
      <c r="F113" s="30"/>
      <c r="G113" s="25"/>
      <c r="H113" s="168">
        <v>1</v>
      </c>
      <c r="I113" s="28">
        <f>SUM(I98:I112)</f>
        <v>0</v>
      </c>
      <c r="J113" s="170"/>
      <c r="L113" s="8" t="str">
        <f>"Total "&amp;L97</f>
        <v>Total Facility (Bank Guarantee)</v>
      </c>
      <c r="M113" s="25"/>
      <c r="N113" s="28">
        <f>SUM(N98:N112)</f>
        <v>0</v>
      </c>
      <c r="O113" s="28">
        <f>SUM(O98:O112)</f>
        <v>0</v>
      </c>
      <c r="P113" s="30"/>
      <c r="Q113" s="25"/>
      <c r="R113" s="168">
        <v>1</v>
      </c>
      <c r="S113" s="28">
        <f>SUM(S98:S112)</f>
        <v>0</v>
      </c>
      <c r="T113" s="170"/>
      <c r="V113" s="8" t="str">
        <f>"Total "&amp;V97</f>
        <v>Total Facility (Bank Guarantee)</v>
      </c>
      <c r="W113" s="25"/>
      <c r="X113" s="28">
        <f>SUM(X98:X112)</f>
        <v>0</v>
      </c>
      <c r="Y113" s="28">
        <f>SUM(Y98:Y112)</f>
        <v>0</v>
      </c>
      <c r="Z113" s="30"/>
      <c r="AA113" s="25"/>
      <c r="AB113" s="168">
        <v>1</v>
      </c>
      <c r="AC113" s="28">
        <f>SUM(AC98:AC112)</f>
        <v>0</v>
      </c>
      <c r="AD113" s="170"/>
    </row>
    <row r="115" spans="2:30" s="20" customFormat="1" ht="38.25" x14ac:dyDescent="0.25">
      <c r="B115" s="27" t="s">
        <v>384</v>
      </c>
      <c r="C115" s="3" t="str">
        <f>C$61</f>
        <v>Source</v>
      </c>
      <c r="D115" s="3" t="str">
        <f t="shared" ref="D115:J115" si="86">D$61</f>
        <v>Limit (A)</v>
      </c>
      <c r="E115" s="3" t="str">
        <f t="shared" si="86"/>
        <v>Outstanding (A1)</v>
      </c>
      <c r="F115" s="3" t="str">
        <f t="shared" si="86"/>
        <v>Monthly Repayment (B)</v>
      </c>
      <c r="G115" s="3" t="str">
        <f t="shared" si="86"/>
        <v>Interest Rate (C)</v>
      </c>
      <c r="H115" s="3" t="str">
        <f t="shared" si="86"/>
        <v>Factor (D)</v>
      </c>
      <c r="I115" s="3" t="str">
        <f t="shared" si="86"/>
        <v>Interest (E) = (A or A1) * (C) * (D)</v>
      </c>
      <c r="J115" s="3" t="str">
        <f t="shared" si="86"/>
        <v>Code Of Conduct</v>
      </c>
      <c r="L115" s="175" t="str">
        <f>B115</f>
        <v>Facility (Bank Trade - Funded)</v>
      </c>
      <c r="M115" s="176" t="str">
        <f t="shared" ref="M115" si="87">C115</f>
        <v>Source</v>
      </c>
      <c r="N115" s="176" t="str">
        <f t="shared" ref="N115" si="88">D115</f>
        <v>Limit (A)</v>
      </c>
      <c r="O115" s="176" t="str">
        <f t="shared" ref="O115" si="89">E115</f>
        <v>Outstanding (A1)</v>
      </c>
      <c r="P115" s="176" t="str">
        <f t="shared" ref="P115" si="90">F115</f>
        <v>Monthly Repayment (B)</v>
      </c>
      <c r="Q115" s="176" t="str">
        <f t="shared" ref="Q115" si="91">G115</f>
        <v>Interest Rate (C)</v>
      </c>
      <c r="R115" s="176" t="str">
        <f t="shared" ref="R115" si="92">H115</f>
        <v>Factor (D)</v>
      </c>
      <c r="S115" s="176" t="str">
        <f t="shared" ref="S115" si="93">I115</f>
        <v>Interest (E) = (A or A1) * (C) * (D)</v>
      </c>
      <c r="T115" s="176" t="str">
        <f t="shared" ref="T115" si="94">J115</f>
        <v>Code Of Conduct</v>
      </c>
      <c r="V115" s="175" t="str">
        <f>L115</f>
        <v>Facility (Bank Trade - Funded)</v>
      </c>
      <c r="W115" s="176" t="str">
        <f t="shared" ref="W115" si="95">M115</f>
        <v>Source</v>
      </c>
      <c r="X115" s="176" t="str">
        <f t="shared" ref="X115" si="96">N115</f>
        <v>Limit (A)</v>
      </c>
      <c r="Y115" s="176" t="str">
        <f t="shared" ref="Y115" si="97">O115</f>
        <v>Outstanding (A1)</v>
      </c>
      <c r="Z115" s="176" t="str">
        <f t="shared" ref="Z115" si="98">P115</f>
        <v>Monthly Repayment (B)</v>
      </c>
      <c r="AA115" s="176" t="str">
        <f t="shared" ref="AA115" si="99">Q115</f>
        <v>Interest Rate (C)</v>
      </c>
      <c r="AB115" s="176" t="str">
        <f t="shared" ref="AB115" si="100">R115</f>
        <v>Factor (D)</v>
      </c>
      <c r="AC115" s="176" t="str">
        <f t="shared" ref="AC115" si="101">S115</f>
        <v>Interest (E) = (A or A1) * (C) * (D)</v>
      </c>
      <c r="AD115" s="176" t="str">
        <f t="shared" ref="AD115" si="102">T115</f>
        <v>Code Of Conduct</v>
      </c>
    </row>
    <row r="116" spans="2:30" x14ac:dyDescent="0.25">
      <c r="B116" s="11" t="s">
        <v>924</v>
      </c>
      <c r="C116" s="5" t="s">
        <v>381</v>
      </c>
      <c r="D116" s="11">
        <v>750000</v>
      </c>
      <c r="E116" s="11">
        <v>599055</v>
      </c>
      <c r="F116" s="29"/>
      <c r="G116" s="22">
        <v>0.03</v>
      </c>
      <c r="H116" s="169">
        <f>H$131</f>
        <v>0.8</v>
      </c>
      <c r="I116" s="75">
        <f>D116*G116*H116</f>
        <v>18000</v>
      </c>
      <c r="J116" s="171"/>
      <c r="L116" s="11"/>
      <c r="M116" s="5" t="s">
        <v>310</v>
      </c>
      <c r="N116" s="11"/>
      <c r="O116" s="11"/>
      <c r="P116" s="29"/>
      <c r="Q116" s="22"/>
      <c r="R116" s="169">
        <f>R$131</f>
        <v>0.8</v>
      </c>
      <c r="S116" s="75">
        <f>N116*Q116*R116</f>
        <v>0</v>
      </c>
      <c r="T116" s="171"/>
      <c r="V116" s="41" t="s">
        <v>283</v>
      </c>
      <c r="W116" s="5" t="s">
        <v>381</v>
      </c>
      <c r="X116" s="41"/>
      <c r="Y116" s="41"/>
      <c r="Z116" s="29"/>
      <c r="AA116" s="22"/>
      <c r="AB116" s="169">
        <f>AB$131</f>
        <v>0.8</v>
      </c>
      <c r="AC116" s="75">
        <f>X116*AA116*AB116</f>
        <v>0</v>
      </c>
      <c r="AD116" s="171"/>
    </row>
    <row r="117" spans="2:30" x14ac:dyDescent="0.25">
      <c r="B117" s="11"/>
      <c r="C117" s="5" t="s">
        <v>313</v>
      </c>
      <c r="D117" s="11"/>
      <c r="E117" s="11"/>
      <c r="F117" s="29"/>
      <c r="G117" s="22"/>
      <c r="H117" s="169">
        <f t="shared" ref="H117:H130" si="103">H$131</f>
        <v>0.8</v>
      </c>
      <c r="I117" s="75">
        <f t="shared" ref="I117:I130" si="104">D117*G117*H117</f>
        <v>0</v>
      </c>
      <c r="J117" s="171"/>
      <c r="L117" s="11"/>
      <c r="M117" s="5" t="s">
        <v>313</v>
      </c>
      <c r="N117" s="11"/>
      <c r="O117" s="11"/>
      <c r="P117" s="29"/>
      <c r="Q117" s="22"/>
      <c r="R117" s="169">
        <f t="shared" ref="R117:R130" si="105">R$131</f>
        <v>0.8</v>
      </c>
      <c r="S117" s="75">
        <f t="shared" ref="S117:S130" si="106">N117*Q117*R117</f>
        <v>0</v>
      </c>
      <c r="T117" s="171"/>
      <c r="V117" s="41" t="s">
        <v>283</v>
      </c>
      <c r="W117" s="5" t="s">
        <v>381</v>
      </c>
      <c r="X117" s="41"/>
      <c r="Y117" s="41"/>
      <c r="Z117" s="29"/>
      <c r="AA117" s="22"/>
      <c r="AB117" s="169">
        <f t="shared" ref="AB117:AB130" si="107">AB$131</f>
        <v>0.8</v>
      </c>
      <c r="AC117" s="75">
        <f t="shared" ref="AC117:AC130" si="108">X117*AA117*AB117</f>
        <v>0</v>
      </c>
      <c r="AD117" s="171"/>
    </row>
    <row r="118" spans="2:30" x14ac:dyDescent="0.25">
      <c r="B118" s="11"/>
      <c r="C118" s="5" t="s">
        <v>313</v>
      </c>
      <c r="D118" s="11"/>
      <c r="E118" s="11"/>
      <c r="F118" s="29"/>
      <c r="G118" s="22"/>
      <c r="H118" s="169">
        <f t="shared" si="103"/>
        <v>0.8</v>
      </c>
      <c r="I118" s="75">
        <f t="shared" si="104"/>
        <v>0</v>
      </c>
      <c r="J118" s="171"/>
      <c r="L118" s="11"/>
      <c r="M118" s="5" t="s">
        <v>313</v>
      </c>
      <c r="N118" s="11"/>
      <c r="O118" s="11"/>
      <c r="P118" s="29"/>
      <c r="Q118" s="22"/>
      <c r="R118" s="169">
        <f t="shared" si="105"/>
        <v>0.8</v>
      </c>
      <c r="S118" s="75">
        <f t="shared" si="106"/>
        <v>0</v>
      </c>
      <c r="T118" s="171"/>
      <c r="V118" s="41" t="s">
        <v>283</v>
      </c>
      <c r="W118" s="5" t="s">
        <v>381</v>
      </c>
      <c r="X118" s="41"/>
      <c r="Y118" s="41"/>
      <c r="Z118" s="29"/>
      <c r="AA118" s="22"/>
      <c r="AB118" s="169">
        <f t="shared" si="107"/>
        <v>0.8</v>
      </c>
      <c r="AC118" s="75">
        <f t="shared" si="108"/>
        <v>0</v>
      </c>
      <c r="AD118" s="171"/>
    </row>
    <row r="119" spans="2:30" x14ac:dyDescent="0.25">
      <c r="B119" s="11"/>
      <c r="C119" s="5" t="s">
        <v>313</v>
      </c>
      <c r="D119" s="11"/>
      <c r="E119" s="11"/>
      <c r="F119" s="29"/>
      <c r="G119" s="22"/>
      <c r="H119" s="169">
        <f t="shared" si="103"/>
        <v>0.8</v>
      </c>
      <c r="I119" s="75">
        <f t="shared" si="104"/>
        <v>0</v>
      </c>
      <c r="J119" s="171"/>
      <c r="L119" s="11"/>
      <c r="M119" s="5" t="s">
        <v>313</v>
      </c>
      <c r="N119" s="11"/>
      <c r="O119" s="11"/>
      <c r="P119" s="29"/>
      <c r="Q119" s="22"/>
      <c r="R119" s="169">
        <f t="shared" si="105"/>
        <v>0.8</v>
      </c>
      <c r="S119" s="75">
        <f t="shared" si="106"/>
        <v>0</v>
      </c>
      <c r="T119" s="171"/>
      <c r="V119" s="41" t="s">
        <v>283</v>
      </c>
      <c r="W119" s="5" t="s">
        <v>381</v>
      </c>
      <c r="X119" s="41"/>
      <c r="Y119" s="41"/>
      <c r="Z119" s="29"/>
      <c r="AA119" s="22"/>
      <c r="AB119" s="169">
        <f t="shared" si="107"/>
        <v>0.8</v>
      </c>
      <c r="AC119" s="75">
        <f t="shared" si="108"/>
        <v>0</v>
      </c>
      <c r="AD119" s="171"/>
    </row>
    <row r="120" spans="2:30" x14ac:dyDescent="0.25">
      <c r="B120" s="11"/>
      <c r="C120" s="5" t="s">
        <v>313</v>
      </c>
      <c r="D120" s="11"/>
      <c r="E120" s="11"/>
      <c r="F120" s="29"/>
      <c r="G120" s="22"/>
      <c r="H120" s="169">
        <f t="shared" si="103"/>
        <v>0.8</v>
      </c>
      <c r="I120" s="75">
        <f t="shared" si="104"/>
        <v>0</v>
      </c>
      <c r="J120" s="171"/>
      <c r="L120" s="11"/>
      <c r="M120" s="5" t="s">
        <v>313</v>
      </c>
      <c r="N120" s="11"/>
      <c r="O120" s="11"/>
      <c r="P120" s="29"/>
      <c r="Q120" s="22"/>
      <c r="R120" s="169">
        <f t="shared" si="105"/>
        <v>0.8</v>
      </c>
      <c r="S120" s="75">
        <f t="shared" si="106"/>
        <v>0</v>
      </c>
      <c r="T120" s="171"/>
      <c r="V120" s="41" t="s">
        <v>283</v>
      </c>
      <c r="W120" s="5" t="s">
        <v>381</v>
      </c>
      <c r="X120" s="41"/>
      <c r="Y120" s="41"/>
      <c r="Z120" s="29"/>
      <c r="AA120" s="22"/>
      <c r="AB120" s="169">
        <f t="shared" si="107"/>
        <v>0.8</v>
      </c>
      <c r="AC120" s="75">
        <f t="shared" si="108"/>
        <v>0</v>
      </c>
      <c r="AD120" s="171"/>
    </row>
    <row r="121" spans="2:30" x14ac:dyDescent="0.25">
      <c r="B121" s="11"/>
      <c r="C121" s="5" t="s">
        <v>313</v>
      </c>
      <c r="D121" s="11"/>
      <c r="E121" s="11"/>
      <c r="F121" s="29"/>
      <c r="G121" s="22"/>
      <c r="H121" s="169">
        <f t="shared" si="103"/>
        <v>0.8</v>
      </c>
      <c r="I121" s="75">
        <f t="shared" si="104"/>
        <v>0</v>
      </c>
      <c r="J121" s="171"/>
      <c r="L121" s="11"/>
      <c r="M121" s="5" t="s">
        <v>313</v>
      </c>
      <c r="N121" s="11"/>
      <c r="O121" s="11"/>
      <c r="P121" s="29"/>
      <c r="Q121" s="22"/>
      <c r="R121" s="169">
        <f t="shared" si="105"/>
        <v>0.8</v>
      </c>
      <c r="S121" s="75">
        <f t="shared" si="106"/>
        <v>0</v>
      </c>
      <c r="T121" s="171"/>
      <c r="V121" s="41" t="s">
        <v>283</v>
      </c>
      <c r="W121" s="5" t="s">
        <v>381</v>
      </c>
      <c r="X121" s="41"/>
      <c r="Y121" s="41"/>
      <c r="Z121" s="29"/>
      <c r="AA121" s="22"/>
      <c r="AB121" s="169">
        <f t="shared" si="107"/>
        <v>0.8</v>
      </c>
      <c r="AC121" s="75">
        <f t="shared" si="108"/>
        <v>0</v>
      </c>
      <c r="AD121" s="171"/>
    </row>
    <row r="122" spans="2:30" hidden="1" outlineLevel="1" x14ac:dyDescent="0.25">
      <c r="B122" s="11"/>
      <c r="C122" s="5" t="s">
        <v>313</v>
      </c>
      <c r="D122" s="11"/>
      <c r="E122" s="11"/>
      <c r="F122" s="29"/>
      <c r="G122" s="22"/>
      <c r="H122" s="169">
        <f t="shared" si="103"/>
        <v>0.8</v>
      </c>
      <c r="I122" s="75">
        <f t="shared" si="104"/>
        <v>0</v>
      </c>
      <c r="J122" s="171"/>
      <c r="L122" s="11"/>
      <c r="M122" s="5" t="s">
        <v>313</v>
      </c>
      <c r="N122" s="11"/>
      <c r="O122" s="11"/>
      <c r="P122" s="29"/>
      <c r="Q122" s="22"/>
      <c r="R122" s="169">
        <f t="shared" si="105"/>
        <v>0.8</v>
      </c>
      <c r="S122" s="75">
        <f t="shared" si="106"/>
        <v>0</v>
      </c>
      <c r="T122" s="171"/>
      <c r="V122" s="41" t="s">
        <v>283</v>
      </c>
      <c r="W122" s="5" t="s">
        <v>381</v>
      </c>
      <c r="X122" s="41"/>
      <c r="Y122" s="41"/>
      <c r="Z122" s="29"/>
      <c r="AA122" s="22"/>
      <c r="AB122" s="169">
        <f t="shared" si="107"/>
        <v>0.8</v>
      </c>
      <c r="AC122" s="75">
        <f t="shared" si="108"/>
        <v>0</v>
      </c>
      <c r="AD122" s="171"/>
    </row>
    <row r="123" spans="2:30" hidden="1" outlineLevel="1" x14ac:dyDescent="0.25">
      <c r="B123" s="11"/>
      <c r="C123" s="5" t="s">
        <v>313</v>
      </c>
      <c r="D123" s="11"/>
      <c r="E123" s="11"/>
      <c r="F123" s="29"/>
      <c r="G123" s="22"/>
      <c r="H123" s="169">
        <f t="shared" si="103"/>
        <v>0.8</v>
      </c>
      <c r="I123" s="75">
        <f t="shared" si="104"/>
        <v>0</v>
      </c>
      <c r="J123" s="171"/>
      <c r="L123" s="11"/>
      <c r="M123" s="5" t="s">
        <v>313</v>
      </c>
      <c r="N123" s="11"/>
      <c r="O123" s="11"/>
      <c r="P123" s="29"/>
      <c r="Q123" s="22"/>
      <c r="R123" s="169">
        <f t="shared" si="105"/>
        <v>0.8</v>
      </c>
      <c r="S123" s="75">
        <f t="shared" si="106"/>
        <v>0</v>
      </c>
      <c r="T123" s="171"/>
      <c r="V123" s="41" t="s">
        <v>283</v>
      </c>
      <c r="W123" s="5" t="s">
        <v>381</v>
      </c>
      <c r="X123" s="41"/>
      <c r="Y123" s="41"/>
      <c r="Z123" s="29"/>
      <c r="AA123" s="22"/>
      <c r="AB123" s="169">
        <f t="shared" si="107"/>
        <v>0.8</v>
      </c>
      <c r="AC123" s="75">
        <f t="shared" si="108"/>
        <v>0</v>
      </c>
      <c r="AD123" s="171"/>
    </row>
    <row r="124" spans="2:30" hidden="1" outlineLevel="1" x14ac:dyDescent="0.25">
      <c r="B124" s="11"/>
      <c r="C124" s="5" t="s">
        <v>313</v>
      </c>
      <c r="D124" s="11"/>
      <c r="E124" s="11"/>
      <c r="F124" s="29"/>
      <c r="G124" s="22"/>
      <c r="H124" s="169">
        <f t="shared" si="103"/>
        <v>0.8</v>
      </c>
      <c r="I124" s="75">
        <f t="shared" si="104"/>
        <v>0</v>
      </c>
      <c r="J124" s="171"/>
      <c r="L124" s="11"/>
      <c r="M124" s="5" t="s">
        <v>313</v>
      </c>
      <c r="N124" s="11"/>
      <c r="O124" s="11"/>
      <c r="P124" s="29"/>
      <c r="Q124" s="22"/>
      <c r="R124" s="169">
        <f t="shared" si="105"/>
        <v>0.8</v>
      </c>
      <c r="S124" s="75">
        <f t="shared" si="106"/>
        <v>0</v>
      </c>
      <c r="T124" s="171"/>
      <c r="V124" s="41" t="s">
        <v>283</v>
      </c>
      <c r="W124" s="5" t="s">
        <v>381</v>
      </c>
      <c r="X124" s="41"/>
      <c r="Y124" s="41"/>
      <c r="Z124" s="29"/>
      <c r="AA124" s="22"/>
      <c r="AB124" s="169">
        <f t="shared" si="107"/>
        <v>0.8</v>
      </c>
      <c r="AC124" s="75">
        <f t="shared" si="108"/>
        <v>0</v>
      </c>
      <c r="AD124" s="171"/>
    </row>
    <row r="125" spans="2:30" hidden="1" outlineLevel="1" x14ac:dyDescent="0.25">
      <c r="B125" s="11"/>
      <c r="C125" s="5" t="s">
        <v>313</v>
      </c>
      <c r="D125" s="11"/>
      <c r="E125" s="11"/>
      <c r="F125" s="29"/>
      <c r="G125" s="22"/>
      <c r="H125" s="169">
        <f t="shared" si="103"/>
        <v>0.8</v>
      </c>
      <c r="I125" s="75">
        <f t="shared" si="104"/>
        <v>0</v>
      </c>
      <c r="J125" s="171"/>
      <c r="L125" s="11"/>
      <c r="M125" s="5" t="s">
        <v>313</v>
      </c>
      <c r="N125" s="11"/>
      <c r="O125" s="11"/>
      <c r="P125" s="29"/>
      <c r="Q125" s="22"/>
      <c r="R125" s="169">
        <f t="shared" si="105"/>
        <v>0.8</v>
      </c>
      <c r="S125" s="75">
        <f t="shared" si="106"/>
        <v>0</v>
      </c>
      <c r="T125" s="171"/>
      <c r="V125" s="41" t="s">
        <v>283</v>
      </c>
      <c r="W125" s="5" t="s">
        <v>381</v>
      </c>
      <c r="X125" s="41"/>
      <c r="Y125" s="41"/>
      <c r="Z125" s="29"/>
      <c r="AA125" s="22"/>
      <c r="AB125" s="169">
        <f t="shared" si="107"/>
        <v>0.8</v>
      </c>
      <c r="AC125" s="75">
        <f t="shared" si="108"/>
        <v>0</v>
      </c>
      <c r="AD125" s="171"/>
    </row>
    <row r="126" spans="2:30" hidden="1" outlineLevel="1" x14ac:dyDescent="0.25">
      <c r="B126" s="11"/>
      <c r="C126" s="5" t="s">
        <v>313</v>
      </c>
      <c r="D126" s="11"/>
      <c r="E126" s="11"/>
      <c r="F126" s="29"/>
      <c r="G126" s="22"/>
      <c r="H126" s="169">
        <f t="shared" si="103"/>
        <v>0.8</v>
      </c>
      <c r="I126" s="75">
        <f t="shared" si="104"/>
        <v>0</v>
      </c>
      <c r="J126" s="171"/>
      <c r="L126" s="11"/>
      <c r="M126" s="5" t="s">
        <v>313</v>
      </c>
      <c r="N126" s="11"/>
      <c r="O126" s="11"/>
      <c r="P126" s="29"/>
      <c r="Q126" s="22"/>
      <c r="R126" s="169">
        <f t="shared" si="105"/>
        <v>0.8</v>
      </c>
      <c r="S126" s="75">
        <f t="shared" si="106"/>
        <v>0</v>
      </c>
      <c r="T126" s="171"/>
      <c r="V126" s="41" t="s">
        <v>283</v>
      </c>
      <c r="W126" s="5" t="s">
        <v>381</v>
      </c>
      <c r="X126" s="41"/>
      <c r="Y126" s="41"/>
      <c r="Z126" s="29"/>
      <c r="AA126" s="22"/>
      <c r="AB126" s="169">
        <f t="shared" si="107"/>
        <v>0.8</v>
      </c>
      <c r="AC126" s="75">
        <f t="shared" si="108"/>
        <v>0</v>
      </c>
      <c r="AD126" s="171"/>
    </row>
    <row r="127" spans="2:30" hidden="1" outlineLevel="1" x14ac:dyDescent="0.25">
      <c r="B127" s="11"/>
      <c r="C127" s="5" t="s">
        <v>313</v>
      </c>
      <c r="D127" s="11"/>
      <c r="E127" s="11"/>
      <c r="F127" s="29"/>
      <c r="G127" s="22"/>
      <c r="H127" s="169">
        <f t="shared" si="103"/>
        <v>0.8</v>
      </c>
      <c r="I127" s="75">
        <f t="shared" si="104"/>
        <v>0</v>
      </c>
      <c r="J127" s="171"/>
      <c r="L127" s="11"/>
      <c r="M127" s="5" t="s">
        <v>313</v>
      </c>
      <c r="N127" s="11"/>
      <c r="O127" s="11"/>
      <c r="P127" s="29"/>
      <c r="Q127" s="22"/>
      <c r="R127" s="169">
        <f t="shared" si="105"/>
        <v>0.8</v>
      </c>
      <c r="S127" s="75">
        <f t="shared" si="106"/>
        <v>0</v>
      </c>
      <c r="T127" s="171"/>
      <c r="V127" s="41" t="s">
        <v>283</v>
      </c>
      <c r="W127" s="5" t="s">
        <v>381</v>
      </c>
      <c r="X127" s="41"/>
      <c r="Y127" s="41"/>
      <c r="Z127" s="29"/>
      <c r="AA127" s="22"/>
      <c r="AB127" s="169">
        <f t="shared" si="107"/>
        <v>0.8</v>
      </c>
      <c r="AC127" s="75">
        <f t="shared" si="108"/>
        <v>0</v>
      </c>
      <c r="AD127" s="171"/>
    </row>
    <row r="128" spans="2:30" hidden="1" outlineLevel="1" x14ac:dyDescent="0.25">
      <c r="B128" s="11"/>
      <c r="C128" s="5" t="s">
        <v>313</v>
      </c>
      <c r="D128" s="11"/>
      <c r="E128" s="11"/>
      <c r="F128" s="29"/>
      <c r="G128" s="22"/>
      <c r="H128" s="169">
        <f t="shared" si="103"/>
        <v>0.8</v>
      </c>
      <c r="I128" s="75">
        <f t="shared" si="104"/>
        <v>0</v>
      </c>
      <c r="J128" s="171"/>
      <c r="L128" s="11"/>
      <c r="M128" s="5" t="s">
        <v>313</v>
      </c>
      <c r="N128" s="11"/>
      <c r="O128" s="11"/>
      <c r="P128" s="29"/>
      <c r="Q128" s="22"/>
      <c r="R128" s="169">
        <f t="shared" si="105"/>
        <v>0.8</v>
      </c>
      <c r="S128" s="75">
        <f t="shared" si="106"/>
        <v>0</v>
      </c>
      <c r="T128" s="171"/>
      <c r="V128" s="41" t="s">
        <v>283</v>
      </c>
      <c r="W128" s="5" t="s">
        <v>381</v>
      </c>
      <c r="X128" s="41"/>
      <c r="Y128" s="41"/>
      <c r="Z128" s="29"/>
      <c r="AA128" s="22"/>
      <c r="AB128" s="169">
        <f t="shared" si="107"/>
        <v>0.8</v>
      </c>
      <c r="AC128" s="75">
        <f t="shared" si="108"/>
        <v>0</v>
      </c>
      <c r="AD128" s="171"/>
    </row>
    <row r="129" spans="2:30" hidden="1" outlineLevel="1" x14ac:dyDescent="0.25">
      <c r="B129" s="11"/>
      <c r="C129" s="5" t="s">
        <v>313</v>
      </c>
      <c r="D129" s="11"/>
      <c r="E129" s="11"/>
      <c r="F129" s="29"/>
      <c r="G129" s="22"/>
      <c r="H129" s="169">
        <f t="shared" si="103"/>
        <v>0.8</v>
      </c>
      <c r="I129" s="75">
        <f t="shared" si="104"/>
        <v>0</v>
      </c>
      <c r="J129" s="171"/>
      <c r="L129" s="11"/>
      <c r="M129" s="5" t="s">
        <v>313</v>
      </c>
      <c r="N129" s="11"/>
      <c r="O129" s="11"/>
      <c r="P129" s="29"/>
      <c r="Q129" s="22"/>
      <c r="R129" s="169">
        <f t="shared" si="105"/>
        <v>0.8</v>
      </c>
      <c r="S129" s="75">
        <f t="shared" si="106"/>
        <v>0</v>
      </c>
      <c r="T129" s="171"/>
      <c r="V129" s="41" t="s">
        <v>283</v>
      </c>
      <c r="W129" s="5" t="s">
        <v>381</v>
      </c>
      <c r="X129" s="41"/>
      <c r="Y129" s="41"/>
      <c r="Z129" s="29"/>
      <c r="AA129" s="22"/>
      <c r="AB129" s="169">
        <f t="shared" si="107"/>
        <v>0.8</v>
      </c>
      <c r="AC129" s="75">
        <f t="shared" si="108"/>
        <v>0</v>
      </c>
      <c r="AD129" s="171"/>
    </row>
    <row r="130" spans="2:30" hidden="1" outlineLevel="1" x14ac:dyDescent="0.25">
      <c r="B130" s="11"/>
      <c r="C130" s="5" t="s">
        <v>313</v>
      </c>
      <c r="D130" s="11"/>
      <c r="E130" s="11"/>
      <c r="F130" s="29"/>
      <c r="G130" s="22"/>
      <c r="H130" s="169">
        <f t="shared" si="103"/>
        <v>0.8</v>
      </c>
      <c r="I130" s="75">
        <f t="shared" si="104"/>
        <v>0</v>
      </c>
      <c r="J130" s="171"/>
      <c r="L130" s="11"/>
      <c r="M130" s="5" t="s">
        <v>313</v>
      </c>
      <c r="N130" s="11"/>
      <c r="O130" s="11"/>
      <c r="P130" s="29"/>
      <c r="Q130" s="22"/>
      <c r="R130" s="169">
        <f t="shared" si="105"/>
        <v>0.8</v>
      </c>
      <c r="S130" s="75">
        <f t="shared" si="106"/>
        <v>0</v>
      </c>
      <c r="T130" s="171"/>
      <c r="V130" s="41" t="s">
        <v>283</v>
      </c>
      <c r="W130" s="5" t="s">
        <v>381</v>
      </c>
      <c r="X130" s="41"/>
      <c r="Y130" s="41"/>
      <c r="Z130" s="29"/>
      <c r="AA130" s="22"/>
      <c r="AB130" s="169">
        <f t="shared" si="107"/>
        <v>0.8</v>
      </c>
      <c r="AC130" s="75">
        <f t="shared" si="108"/>
        <v>0</v>
      </c>
      <c r="AD130" s="171"/>
    </row>
    <row r="131" spans="2:30" s="24" customFormat="1" collapsed="1" x14ac:dyDescent="0.25">
      <c r="B131" s="8" t="str">
        <f>"Total "&amp;B115</f>
        <v>Total Facility (Bank Trade - Funded)</v>
      </c>
      <c r="C131" s="25"/>
      <c r="D131" s="28">
        <f>SUM(D116:D130)</f>
        <v>750000</v>
      </c>
      <c r="E131" s="28">
        <f>SUM(E116:E130)</f>
        <v>599055</v>
      </c>
      <c r="F131" s="30"/>
      <c r="G131" s="25"/>
      <c r="H131" s="168">
        <v>0.8</v>
      </c>
      <c r="I131" s="28">
        <f>SUM(I116:I130)</f>
        <v>18000</v>
      </c>
      <c r="J131" s="170"/>
      <c r="L131" s="8" t="str">
        <f>"Total "&amp;L115</f>
        <v>Total Facility (Bank Trade - Funded)</v>
      </c>
      <c r="M131" s="25"/>
      <c r="N131" s="28">
        <f>SUM(N116:N130)</f>
        <v>0</v>
      </c>
      <c r="O131" s="28">
        <f>SUM(O116:O130)</f>
        <v>0</v>
      </c>
      <c r="P131" s="30"/>
      <c r="Q131" s="25"/>
      <c r="R131" s="168">
        <v>0.8</v>
      </c>
      <c r="S131" s="28">
        <f>SUM(S116:S130)</f>
        <v>0</v>
      </c>
      <c r="T131" s="170"/>
      <c r="V131" s="8" t="str">
        <f>"Total "&amp;V115</f>
        <v>Total Facility (Bank Trade - Funded)</v>
      </c>
      <c r="W131" s="25"/>
      <c r="X131" s="28">
        <f>SUM(X116:X130)</f>
        <v>0</v>
      </c>
      <c r="Y131" s="28">
        <f>SUM(Y116:Y130)</f>
        <v>0</v>
      </c>
      <c r="Z131" s="30"/>
      <c r="AA131" s="25"/>
      <c r="AB131" s="168">
        <v>0.8</v>
      </c>
      <c r="AC131" s="28">
        <f>SUM(AC116:AC130)</f>
        <v>0</v>
      </c>
      <c r="AD131" s="170"/>
    </row>
    <row r="133" spans="2:30" s="20" customFormat="1" ht="38.25" x14ac:dyDescent="0.25">
      <c r="B133" s="27" t="s">
        <v>385</v>
      </c>
      <c r="C133" s="3" t="str">
        <f>C$61</f>
        <v>Source</v>
      </c>
      <c r="D133" s="3" t="str">
        <f t="shared" ref="D133:J133" si="109">D$61</f>
        <v>Limit (A)</v>
      </c>
      <c r="E133" s="3" t="str">
        <f t="shared" si="109"/>
        <v>Outstanding (A1)</v>
      </c>
      <c r="F133" s="3" t="str">
        <f t="shared" si="109"/>
        <v>Monthly Repayment (B)</v>
      </c>
      <c r="G133" s="3" t="str">
        <f t="shared" si="109"/>
        <v>Interest Rate (C)</v>
      </c>
      <c r="H133" s="3" t="str">
        <f t="shared" si="109"/>
        <v>Factor (D)</v>
      </c>
      <c r="I133" s="3" t="str">
        <f t="shared" si="109"/>
        <v>Interest (E) = (A or A1) * (C) * (D)</v>
      </c>
      <c r="J133" s="3" t="str">
        <f t="shared" si="109"/>
        <v>Code Of Conduct</v>
      </c>
      <c r="L133" s="175" t="str">
        <f>B133</f>
        <v>Facility (Bank Trade - Non Funded)</v>
      </c>
      <c r="M133" s="176" t="str">
        <f t="shared" ref="M133" si="110">C133</f>
        <v>Source</v>
      </c>
      <c r="N133" s="176" t="str">
        <f t="shared" ref="N133" si="111">D133</f>
        <v>Limit (A)</v>
      </c>
      <c r="O133" s="176" t="str">
        <f t="shared" ref="O133" si="112">E133</f>
        <v>Outstanding (A1)</v>
      </c>
      <c r="P133" s="176" t="str">
        <f t="shared" ref="P133" si="113">F133</f>
        <v>Monthly Repayment (B)</v>
      </c>
      <c r="Q133" s="176" t="str">
        <f t="shared" ref="Q133" si="114">G133</f>
        <v>Interest Rate (C)</v>
      </c>
      <c r="R133" s="176" t="str">
        <f t="shared" ref="R133" si="115">H133</f>
        <v>Factor (D)</v>
      </c>
      <c r="S133" s="176" t="str">
        <f t="shared" ref="S133" si="116">I133</f>
        <v>Interest (E) = (A or A1) * (C) * (D)</v>
      </c>
      <c r="T133" s="176" t="str">
        <f t="shared" ref="T133" si="117">J133</f>
        <v>Code Of Conduct</v>
      </c>
      <c r="V133" s="175" t="str">
        <f>L133</f>
        <v>Facility (Bank Trade - Non Funded)</v>
      </c>
      <c r="W133" s="176" t="str">
        <f t="shared" ref="W133" si="118">M133</f>
        <v>Source</v>
      </c>
      <c r="X133" s="176" t="str">
        <f t="shared" ref="X133" si="119">N133</f>
        <v>Limit (A)</v>
      </c>
      <c r="Y133" s="176" t="str">
        <f t="shared" ref="Y133" si="120">O133</f>
        <v>Outstanding (A1)</v>
      </c>
      <c r="Z133" s="176" t="str">
        <f t="shared" ref="Z133" si="121">P133</f>
        <v>Monthly Repayment (B)</v>
      </c>
      <c r="AA133" s="176" t="str">
        <f t="shared" ref="AA133" si="122">Q133</f>
        <v>Interest Rate (C)</v>
      </c>
      <c r="AB133" s="176" t="str">
        <f t="shared" ref="AB133" si="123">R133</f>
        <v>Factor (D)</v>
      </c>
      <c r="AC133" s="176" t="str">
        <f t="shared" ref="AC133" si="124">S133</f>
        <v>Interest (E) = (A or A1) * (C) * (D)</v>
      </c>
      <c r="AD133" s="176" t="str">
        <f t="shared" ref="AD133" si="125">T133</f>
        <v>Code Of Conduct</v>
      </c>
    </row>
    <row r="134" spans="2:30" x14ac:dyDescent="0.25">
      <c r="B134" s="11"/>
      <c r="C134" s="5" t="s">
        <v>313</v>
      </c>
      <c r="D134" s="11"/>
      <c r="E134" s="11"/>
      <c r="F134" s="29"/>
      <c r="G134" s="22"/>
      <c r="H134" s="169">
        <f>H$149</f>
        <v>1</v>
      </c>
      <c r="I134" s="75">
        <f>D134*G134*H134</f>
        <v>0</v>
      </c>
      <c r="J134" s="171"/>
      <c r="L134" s="11"/>
      <c r="M134" s="5" t="s">
        <v>310</v>
      </c>
      <c r="N134" s="11"/>
      <c r="O134" s="11"/>
      <c r="P134" s="29"/>
      <c r="Q134" s="22"/>
      <c r="R134" s="169">
        <f>R$149</f>
        <v>1</v>
      </c>
      <c r="S134" s="75">
        <f>N134*Q134*R134</f>
        <v>0</v>
      </c>
      <c r="T134" s="171"/>
      <c r="V134" s="41" t="s">
        <v>283</v>
      </c>
      <c r="W134" s="5" t="s">
        <v>381</v>
      </c>
      <c r="X134" s="41"/>
      <c r="Y134" s="41"/>
      <c r="Z134" s="29"/>
      <c r="AA134" s="22"/>
      <c r="AB134" s="169">
        <f>AB$149</f>
        <v>1</v>
      </c>
      <c r="AC134" s="75">
        <f>X134*AA134*AB134</f>
        <v>0</v>
      </c>
      <c r="AD134" s="171"/>
    </row>
    <row r="135" spans="2:30" x14ac:dyDescent="0.25">
      <c r="B135" s="11"/>
      <c r="C135" s="5" t="s">
        <v>313</v>
      </c>
      <c r="D135" s="11"/>
      <c r="E135" s="11"/>
      <c r="F135" s="29"/>
      <c r="G135" s="22"/>
      <c r="H135" s="169">
        <f t="shared" ref="H135:H148" si="126">H$149</f>
        <v>1</v>
      </c>
      <c r="I135" s="75">
        <f t="shared" ref="I135:I148" si="127">D135*G135*H135</f>
        <v>0</v>
      </c>
      <c r="J135" s="171"/>
      <c r="L135" s="11"/>
      <c r="M135" s="5" t="s">
        <v>313</v>
      </c>
      <c r="N135" s="11"/>
      <c r="O135" s="11"/>
      <c r="P135" s="29"/>
      <c r="Q135" s="22"/>
      <c r="R135" s="169">
        <f t="shared" ref="R135:R148" si="128">R$149</f>
        <v>1</v>
      </c>
      <c r="S135" s="75">
        <f t="shared" ref="S135:S148" si="129">N135*Q135*R135</f>
        <v>0</v>
      </c>
      <c r="T135" s="171"/>
      <c r="V135" s="41" t="s">
        <v>283</v>
      </c>
      <c r="W135" s="5" t="s">
        <v>381</v>
      </c>
      <c r="X135" s="41"/>
      <c r="Y135" s="41"/>
      <c r="Z135" s="29"/>
      <c r="AA135" s="22"/>
      <c r="AB135" s="169">
        <f t="shared" ref="AB135:AB148" si="130">AB$149</f>
        <v>1</v>
      </c>
      <c r="AC135" s="75">
        <f t="shared" ref="AC135:AC148" si="131">X135*AA135*AB135</f>
        <v>0</v>
      </c>
      <c r="AD135" s="171"/>
    </row>
    <row r="136" spans="2:30" x14ac:dyDescent="0.25">
      <c r="B136" s="11"/>
      <c r="C136" s="5" t="s">
        <v>313</v>
      </c>
      <c r="D136" s="11"/>
      <c r="E136" s="11"/>
      <c r="F136" s="29"/>
      <c r="G136" s="22"/>
      <c r="H136" s="169">
        <f t="shared" si="126"/>
        <v>1</v>
      </c>
      <c r="I136" s="75">
        <f t="shared" si="127"/>
        <v>0</v>
      </c>
      <c r="J136" s="171"/>
      <c r="L136" s="11"/>
      <c r="M136" s="5" t="s">
        <v>313</v>
      </c>
      <c r="N136" s="11"/>
      <c r="O136" s="11"/>
      <c r="P136" s="29"/>
      <c r="Q136" s="22"/>
      <c r="R136" s="169">
        <f t="shared" si="128"/>
        <v>1</v>
      </c>
      <c r="S136" s="75">
        <f t="shared" si="129"/>
        <v>0</v>
      </c>
      <c r="T136" s="171"/>
      <c r="V136" s="41" t="s">
        <v>283</v>
      </c>
      <c r="W136" s="5" t="s">
        <v>381</v>
      </c>
      <c r="X136" s="41"/>
      <c r="Y136" s="41"/>
      <c r="Z136" s="29"/>
      <c r="AA136" s="22"/>
      <c r="AB136" s="169">
        <f t="shared" si="130"/>
        <v>1</v>
      </c>
      <c r="AC136" s="75">
        <f t="shared" si="131"/>
        <v>0</v>
      </c>
      <c r="AD136" s="171"/>
    </row>
    <row r="137" spans="2:30" x14ac:dyDescent="0.25">
      <c r="B137" s="11"/>
      <c r="C137" s="5" t="s">
        <v>313</v>
      </c>
      <c r="D137" s="11"/>
      <c r="E137" s="11"/>
      <c r="F137" s="29"/>
      <c r="G137" s="22"/>
      <c r="H137" s="169">
        <f t="shared" si="126"/>
        <v>1</v>
      </c>
      <c r="I137" s="75">
        <f t="shared" si="127"/>
        <v>0</v>
      </c>
      <c r="J137" s="171"/>
      <c r="L137" s="11"/>
      <c r="M137" s="5" t="s">
        <v>313</v>
      </c>
      <c r="N137" s="11"/>
      <c r="O137" s="11"/>
      <c r="P137" s="29"/>
      <c r="Q137" s="22"/>
      <c r="R137" s="169">
        <f t="shared" si="128"/>
        <v>1</v>
      </c>
      <c r="S137" s="75">
        <f t="shared" si="129"/>
        <v>0</v>
      </c>
      <c r="T137" s="171"/>
      <c r="V137" s="41" t="s">
        <v>283</v>
      </c>
      <c r="W137" s="5" t="s">
        <v>381</v>
      </c>
      <c r="X137" s="41"/>
      <c r="Y137" s="41"/>
      <c r="Z137" s="29"/>
      <c r="AA137" s="22"/>
      <c r="AB137" s="169">
        <f t="shared" si="130"/>
        <v>1</v>
      </c>
      <c r="AC137" s="75">
        <f t="shared" si="131"/>
        <v>0</v>
      </c>
      <c r="AD137" s="171"/>
    </row>
    <row r="138" spans="2:30" x14ac:dyDescent="0.25">
      <c r="B138" s="11"/>
      <c r="C138" s="5" t="s">
        <v>313</v>
      </c>
      <c r="D138" s="11"/>
      <c r="E138" s="11"/>
      <c r="F138" s="29"/>
      <c r="G138" s="22"/>
      <c r="H138" s="169">
        <f t="shared" si="126"/>
        <v>1</v>
      </c>
      <c r="I138" s="75">
        <f t="shared" si="127"/>
        <v>0</v>
      </c>
      <c r="J138" s="171"/>
      <c r="L138" s="11"/>
      <c r="M138" s="5" t="s">
        <v>313</v>
      </c>
      <c r="N138" s="11"/>
      <c r="O138" s="11"/>
      <c r="P138" s="29"/>
      <c r="Q138" s="22"/>
      <c r="R138" s="169">
        <f t="shared" si="128"/>
        <v>1</v>
      </c>
      <c r="S138" s="75">
        <f t="shared" si="129"/>
        <v>0</v>
      </c>
      <c r="T138" s="171"/>
      <c r="V138" s="41" t="s">
        <v>283</v>
      </c>
      <c r="W138" s="5" t="s">
        <v>381</v>
      </c>
      <c r="X138" s="41"/>
      <c r="Y138" s="41"/>
      <c r="Z138" s="29"/>
      <c r="AA138" s="22"/>
      <c r="AB138" s="169">
        <f t="shared" si="130"/>
        <v>1</v>
      </c>
      <c r="AC138" s="75">
        <f t="shared" si="131"/>
        <v>0</v>
      </c>
      <c r="AD138" s="171"/>
    </row>
    <row r="139" spans="2:30" x14ac:dyDescent="0.25">
      <c r="B139" s="11"/>
      <c r="C139" s="5" t="s">
        <v>313</v>
      </c>
      <c r="D139" s="11"/>
      <c r="E139" s="11"/>
      <c r="F139" s="29"/>
      <c r="G139" s="22"/>
      <c r="H139" s="169">
        <f t="shared" si="126"/>
        <v>1</v>
      </c>
      <c r="I139" s="75">
        <f t="shared" si="127"/>
        <v>0</v>
      </c>
      <c r="J139" s="171"/>
      <c r="L139" s="11"/>
      <c r="M139" s="5" t="s">
        <v>313</v>
      </c>
      <c r="N139" s="11"/>
      <c r="O139" s="11"/>
      <c r="P139" s="29"/>
      <c r="Q139" s="22"/>
      <c r="R139" s="169">
        <f t="shared" si="128"/>
        <v>1</v>
      </c>
      <c r="S139" s="75">
        <f t="shared" si="129"/>
        <v>0</v>
      </c>
      <c r="T139" s="171"/>
      <c r="V139" s="41" t="s">
        <v>283</v>
      </c>
      <c r="W139" s="5" t="s">
        <v>381</v>
      </c>
      <c r="X139" s="41"/>
      <c r="Y139" s="41"/>
      <c r="Z139" s="29"/>
      <c r="AA139" s="22"/>
      <c r="AB139" s="169">
        <f t="shared" si="130"/>
        <v>1</v>
      </c>
      <c r="AC139" s="75">
        <f t="shared" si="131"/>
        <v>0</v>
      </c>
      <c r="AD139" s="171"/>
    </row>
    <row r="140" spans="2:30" hidden="1" outlineLevel="1" x14ac:dyDescent="0.25">
      <c r="B140" s="11"/>
      <c r="C140" s="5" t="s">
        <v>313</v>
      </c>
      <c r="D140" s="11"/>
      <c r="E140" s="11"/>
      <c r="F140" s="29"/>
      <c r="G140" s="22"/>
      <c r="H140" s="169">
        <f t="shared" si="126"/>
        <v>1</v>
      </c>
      <c r="I140" s="75">
        <f t="shared" si="127"/>
        <v>0</v>
      </c>
      <c r="J140" s="171"/>
      <c r="L140" s="11"/>
      <c r="M140" s="5" t="s">
        <v>313</v>
      </c>
      <c r="N140" s="11"/>
      <c r="O140" s="11"/>
      <c r="P140" s="29"/>
      <c r="Q140" s="22"/>
      <c r="R140" s="169">
        <f t="shared" si="128"/>
        <v>1</v>
      </c>
      <c r="S140" s="75">
        <f t="shared" si="129"/>
        <v>0</v>
      </c>
      <c r="T140" s="171"/>
      <c r="V140" s="41" t="s">
        <v>283</v>
      </c>
      <c r="W140" s="5" t="s">
        <v>381</v>
      </c>
      <c r="X140" s="41"/>
      <c r="Y140" s="41"/>
      <c r="Z140" s="29"/>
      <c r="AA140" s="22"/>
      <c r="AB140" s="169">
        <f t="shared" si="130"/>
        <v>1</v>
      </c>
      <c r="AC140" s="75">
        <f t="shared" si="131"/>
        <v>0</v>
      </c>
      <c r="AD140" s="171"/>
    </row>
    <row r="141" spans="2:30" hidden="1" outlineLevel="1" x14ac:dyDescent="0.25">
      <c r="B141" s="11"/>
      <c r="C141" s="5" t="s">
        <v>313</v>
      </c>
      <c r="D141" s="11"/>
      <c r="E141" s="11"/>
      <c r="F141" s="29"/>
      <c r="G141" s="22"/>
      <c r="H141" s="169">
        <f t="shared" si="126"/>
        <v>1</v>
      </c>
      <c r="I141" s="75">
        <f t="shared" si="127"/>
        <v>0</v>
      </c>
      <c r="J141" s="171"/>
      <c r="L141" s="11"/>
      <c r="M141" s="5" t="s">
        <v>313</v>
      </c>
      <c r="N141" s="11"/>
      <c r="O141" s="11"/>
      <c r="P141" s="29"/>
      <c r="Q141" s="22"/>
      <c r="R141" s="169">
        <f t="shared" si="128"/>
        <v>1</v>
      </c>
      <c r="S141" s="75">
        <f t="shared" si="129"/>
        <v>0</v>
      </c>
      <c r="T141" s="171"/>
      <c r="V141" s="41" t="s">
        <v>283</v>
      </c>
      <c r="W141" s="5" t="s">
        <v>381</v>
      </c>
      <c r="X141" s="41"/>
      <c r="Y141" s="41"/>
      <c r="Z141" s="29"/>
      <c r="AA141" s="22"/>
      <c r="AB141" s="169">
        <f t="shared" si="130"/>
        <v>1</v>
      </c>
      <c r="AC141" s="75">
        <f t="shared" si="131"/>
        <v>0</v>
      </c>
      <c r="AD141" s="171"/>
    </row>
    <row r="142" spans="2:30" hidden="1" outlineLevel="1" x14ac:dyDescent="0.25">
      <c r="B142" s="11"/>
      <c r="C142" s="5" t="s">
        <v>313</v>
      </c>
      <c r="D142" s="11"/>
      <c r="E142" s="11"/>
      <c r="F142" s="29"/>
      <c r="G142" s="22"/>
      <c r="H142" s="169">
        <f t="shared" si="126"/>
        <v>1</v>
      </c>
      <c r="I142" s="75">
        <f t="shared" si="127"/>
        <v>0</v>
      </c>
      <c r="J142" s="171"/>
      <c r="L142" s="11"/>
      <c r="M142" s="5" t="s">
        <v>313</v>
      </c>
      <c r="N142" s="11"/>
      <c r="O142" s="11"/>
      <c r="P142" s="29"/>
      <c r="Q142" s="22"/>
      <c r="R142" s="169">
        <f t="shared" si="128"/>
        <v>1</v>
      </c>
      <c r="S142" s="75">
        <f t="shared" si="129"/>
        <v>0</v>
      </c>
      <c r="T142" s="171"/>
      <c r="V142" s="41" t="s">
        <v>283</v>
      </c>
      <c r="W142" s="5" t="s">
        <v>381</v>
      </c>
      <c r="X142" s="41"/>
      <c r="Y142" s="41"/>
      <c r="Z142" s="29"/>
      <c r="AA142" s="22"/>
      <c r="AB142" s="169">
        <f t="shared" si="130"/>
        <v>1</v>
      </c>
      <c r="AC142" s="75">
        <f t="shared" si="131"/>
        <v>0</v>
      </c>
      <c r="AD142" s="171"/>
    </row>
    <row r="143" spans="2:30" hidden="1" outlineLevel="1" x14ac:dyDescent="0.25">
      <c r="B143" s="11"/>
      <c r="C143" s="5" t="s">
        <v>313</v>
      </c>
      <c r="D143" s="11"/>
      <c r="E143" s="11"/>
      <c r="F143" s="29"/>
      <c r="G143" s="22"/>
      <c r="H143" s="169">
        <f t="shared" si="126"/>
        <v>1</v>
      </c>
      <c r="I143" s="75">
        <f t="shared" si="127"/>
        <v>0</v>
      </c>
      <c r="J143" s="171"/>
      <c r="L143" s="11"/>
      <c r="M143" s="5" t="s">
        <v>313</v>
      </c>
      <c r="N143" s="11"/>
      <c r="O143" s="11"/>
      <c r="P143" s="29"/>
      <c r="Q143" s="22"/>
      <c r="R143" s="169">
        <f t="shared" si="128"/>
        <v>1</v>
      </c>
      <c r="S143" s="75">
        <f t="shared" si="129"/>
        <v>0</v>
      </c>
      <c r="T143" s="171"/>
      <c r="V143" s="41" t="s">
        <v>283</v>
      </c>
      <c r="W143" s="5" t="s">
        <v>381</v>
      </c>
      <c r="X143" s="41"/>
      <c r="Y143" s="41"/>
      <c r="Z143" s="29"/>
      <c r="AA143" s="22"/>
      <c r="AB143" s="169">
        <f t="shared" si="130"/>
        <v>1</v>
      </c>
      <c r="AC143" s="75">
        <f t="shared" si="131"/>
        <v>0</v>
      </c>
      <c r="AD143" s="171"/>
    </row>
    <row r="144" spans="2:30" hidden="1" outlineLevel="1" x14ac:dyDescent="0.25">
      <c r="B144" s="11"/>
      <c r="C144" s="5" t="s">
        <v>313</v>
      </c>
      <c r="D144" s="11"/>
      <c r="E144" s="11"/>
      <c r="F144" s="29"/>
      <c r="G144" s="22"/>
      <c r="H144" s="169">
        <f t="shared" si="126"/>
        <v>1</v>
      </c>
      <c r="I144" s="75">
        <f t="shared" si="127"/>
        <v>0</v>
      </c>
      <c r="J144" s="171"/>
      <c r="L144" s="11"/>
      <c r="M144" s="5" t="s">
        <v>313</v>
      </c>
      <c r="N144" s="11"/>
      <c r="O144" s="11"/>
      <c r="P144" s="29"/>
      <c r="Q144" s="22"/>
      <c r="R144" s="169">
        <f t="shared" si="128"/>
        <v>1</v>
      </c>
      <c r="S144" s="75">
        <f t="shared" si="129"/>
        <v>0</v>
      </c>
      <c r="T144" s="171"/>
      <c r="V144" s="41" t="s">
        <v>283</v>
      </c>
      <c r="W144" s="5" t="s">
        <v>381</v>
      </c>
      <c r="X144" s="41"/>
      <c r="Y144" s="41"/>
      <c r="Z144" s="29"/>
      <c r="AA144" s="22"/>
      <c r="AB144" s="169">
        <f t="shared" si="130"/>
        <v>1</v>
      </c>
      <c r="AC144" s="75">
        <f t="shared" si="131"/>
        <v>0</v>
      </c>
      <c r="AD144" s="171"/>
    </row>
    <row r="145" spans="2:30" hidden="1" outlineLevel="1" x14ac:dyDescent="0.25">
      <c r="B145" s="11"/>
      <c r="C145" s="5" t="s">
        <v>313</v>
      </c>
      <c r="D145" s="11"/>
      <c r="E145" s="11"/>
      <c r="F145" s="29"/>
      <c r="G145" s="22"/>
      <c r="H145" s="169">
        <f t="shared" si="126"/>
        <v>1</v>
      </c>
      <c r="I145" s="75">
        <f t="shared" si="127"/>
        <v>0</v>
      </c>
      <c r="J145" s="171"/>
      <c r="L145" s="11"/>
      <c r="M145" s="5" t="s">
        <v>313</v>
      </c>
      <c r="N145" s="11"/>
      <c r="O145" s="11"/>
      <c r="P145" s="29"/>
      <c r="Q145" s="22"/>
      <c r="R145" s="169">
        <f t="shared" si="128"/>
        <v>1</v>
      </c>
      <c r="S145" s="75">
        <f t="shared" si="129"/>
        <v>0</v>
      </c>
      <c r="T145" s="171"/>
      <c r="V145" s="41" t="s">
        <v>283</v>
      </c>
      <c r="W145" s="5" t="s">
        <v>381</v>
      </c>
      <c r="X145" s="41"/>
      <c r="Y145" s="41"/>
      <c r="Z145" s="29"/>
      <c r="AA145" s="22"/>
      <c r="AB145" s="169">
        <f t="shared" si="130"/>
        <v>1</v>
      </c>
      <c r="AC145" s="75">
        <f t="shared" si="131"/>
        <v>0</v>
      </c>
      <c r="AD145" s="171"/>
    </row>
    <row r="146" spans="2:30" hidden="1" outlineLevel="1" x14ac:dyDescent="0.25">
      <c r="B146" s="11"/>
      <c r="C146" s="5" t="s">
        <v>313</v>
      </c>
      <c r="D146" s="11"/>
      <c r="E146" s="11"/>
      <c r="F146" s="29"/>
      <c r="G146" s="22"/>
      <c r="H146" s="169">
        <f t="shared" si="126"/>
        <v>1</v>
      </c>
      <c r="I146" s="75">
        <f t="shared" si="127"/>
        <v>0</v>
      </c>
      <c r="J146" s="171"/>
      <c r="L146" s="11"/>
      <c r="M146" s="5" t="s">
        <v>313</v>
      </c>
      <c r="N146" s="11"/>
      <c r="O146" s="11"/>
      <c r="P146" s="29"/>
      <c r="Q146" s="22"/>
      <c r="R146" s="169">
        <f t="shared" si="128"/>
        <v>1</v>
      </c>
      <c r="S146" s="75">
        <f t="shared" si="129"/>
        <v>0</v>
      </c>
      <c r="T146" s="171"/>
      <c r="V146" s="41" t="s">
        <v>283</v>
      </c>
      <c r="W146" s="5" t="s">
        <v>381</v>
      </c>
      <c r="X146" s="41"/>
      <c r="Y146" s="41"/>
      <c r="Z146" s="29"/>
      <c r="AA146" s="22"/>
      <c r="AB146" s="169">
        <f t="shared" si="130"/>
        <v>1</v>
      </c>
      <c r="AC146" s="75">
        <f t="shared" si="131"/>
        <v>0</v>
      </c>
      <c r="AD146" s="171"/>
    </row>
    <row r="147" spans="2:30" hidden="1" outlineLevel="1" x14ac:dyDescent="0.25">
      <c r="B147" s="11"/>
      <c r="C147" s="5" t="s">
        <v>313</v>
      </c>
      <c r="D147" s="11"/>
      <c r="E147" s="11"/>
      <c r="F147" s="29"/>
      <c r="G147" s="22"/>
      <c r="H147" s="169">
        <f t="shared" si="126"/>
        <v>1</v>
      </c>
      <c r="I147" s="75">
        <f t="shared" si="127"/>
        <v>0</v>
      </c>
      <c r="J147" s="171"/>
      <c r="L147" s="11"/>
      <c r="M147" s="5" t="s">
        <v>313</v>
      </c>
      <c r="N147" s="11"/>
      <c r="O147" s="11"/>
      <c r="P147" s="29"/>
      <c r="Q147" s="22"/>
      <c r="R147" s="169">
        <f t="shared" si="128"/>
        <v>1</v>
      </c>
      <c r="S147" s="75">
        <f t="shared" si="129"/>
        <v>0</v>
      </c>
      <c r="T147" s="171"/>
      <c r="V147" s="41" t="s">
        <v>283</v>
      </c>
      <c r="W147" s="5" t="s">
        <v>381</v>
      </c>
      <c r="X147" s="41"/>
      <c r="Y147" s="41"/>
      <c r="Z147" s="29"/>
      <c r="AA147" s="22"/>
      <c r="AB147" s="169">
        <f t="shared" si="130"/>
        <v>1</v>
      </c>
      <c r="AC147" s="75">
        <f t="shared" si="131"/>
        <v>0</v>
      </c>
      <c r="AD147" s="171"/>
    </row>
    <row r="148" spans="2:30" hidden="1" outlineLevel="1" x14ac:dyDescent="0.25">
      <c r="B148" s="11"/>
      <c r="C148" s="5" t="s">
        <v>313</v>
      </c>
      <c r="D148" s="11"/>
      <c r="E148" s="11"/>
      <c r="F148" s="29"/>
      <c r="G148" s="22"/>
      <c r="H148" s="169">
        <f t="shared" si="126"/>
        <v>1</v>
      </c>
      <c r="I148" s="75">
        <f t="shared" si="127"/>
        <v>0</v>
      </c>
      <c r="J148" s="171"/>
      <c r="L148" s="11"/>
      <c r="M148" s="5" t="s">
        <v>313</v>
      </c>
      <c r="N148" s="11"/>
      <c r="O148" s="11"/>
      <c r="P148" s="29"/>
      <c r="Q148" s="22"/>
      <c r="R148" s="169">
        <f t="shared" si="128"/>
        <v>1</v>
      </c>
      <c r="S148" s="75">
        <f t="shared" si="129"/>
        <v>0</v>
      </c>
      <c r="T148" s="171"/>
      <c r="V148" s="41" t="s">
        <v>283</v>
      </c>
      <c r="W148" s="5" t="s">
        <v>381</v>
      </c>
      <c r="X148" s="41"/>
      <c r="Y148" s="41"/>
      <c r="Z148" s="29"/>
      <c r="AA148" s="22"/>
      <c r="AB148" s="169">
        <f t="shared" si="130"/>
        <v>1</v>
      </c>
      <c r="AC148" s="75">
        <f t="shared" si="131"/>
        <v>0</v>
      </c>
      <c r="AD148" s="171"/>
    </row>
    <row r="149" spans="2:30" s="24" customFormat="1" collapsed="1" x14ac:dyDescent="0.25">
      <c r="B149" s="8" t="str">
        <f>"Total "&amp;B133</f>
        <v>Total Facility (Bank Trade - Non Funded)</v>
      </c>
      <c r="C149" s="25"/>
      <c r="D149" s="28">
        <f>SUM(D134:D148)</f>
        <v>0</v>
      </c>
      <c r="E149" s="28">
        <f>SUM(E134:E148)</f>
        <v>0</v>
      </c>
      <c r="F149" s="30"/>
      <c r="G149" s="25"/>
      <c r="H149" s="168">
        <v>1</v>
      </c>
      <c r="I149" s="28">
        <f>SUM(I134:I148)</f>
        <v>0</v>
      </c>
      <c r="J149" s="170"/>
      <c r="L149" s="8" t="str">
        <f>"Total "&amp;L133</f>
        <v>Total Facility (Bank Trade - Non Funded)</v>
      </c>
      <c r="M149" s="25"/>
      <c r="N149" s="28">
        <f>SUM(N134:N148)</f>
        <v>0</v>
      </c>
      <c r="O149" s="28">
        <f>SUM(O134:O148)</f>
        <v>0</v>
      </c>
      <c r="P149" s="30"/>
      <c r="Q149" s="25"/>
      <c r="R149" s="168">
        <v>1</v>
      </c>
      <c r="S149" s="28">
        <f>SUM(S134:S148)</f>
        <v>0</v>
      </c>
      <c r="T149" s="170"/>
      <c r="V149" s="8" t="str">
        <f>"Total "&amp;V133</f>
        <v>Total Facility (Bank Trade - Non Funded)</v>
      </c>
      <c r="W149" s="25"/>
      <c r="X149" s="28">
        <f>SUM(X134:X148)</f>
        <v>0</v>
      </c>
      <c r="Y149" s="28">
        <f>SUM(Y134:Y148)</f>
        <v>0</v>
      </c>
      <c r="Z149" s="30"/>
      <c r="AA149" s="25"/>
      <c r="AB149" s="168">
        <v>1</v>
      </c>
      <c r="AC149" s="28">
        <f>SUM(AC134:AC148)</f>
        <v>0</v>
      </c>
      <c r="AD149" s="170"/>
    </row>
    <row r="151" spans="2:30" s="20" customFormat="1" ht="38.25" x14ac:dyDescent="0.25">
      <c r="B151" s="27" t="s">
        <v>386</v>
      </c>
      <c r="C151" s="3" t="str">
        <f>C$61</f>
        <v>Source</v>
      </c>
      <c r="D151" s="3" t="str">
        <f t="shared" ref="D151:J151" si="132">D$61</f>
        <v>Limit (A)</v>
      </c>
      <c r="E151" s="3" t="str">
        <f t="shared" si="132"/>
        <v>Outstanding (A1)</v>
      </c>
      <c r="F151" s="3" t="str">
        <f t="shared" si="132"/>
        <v>Monthly Repayment (B)</v>
      </c>
      <c r="G151" s="3" t="str">
        <f t="shared" si="132"/>
        <v>Interest Rate (C)</v>
      </c>
      <c r="H151" s="3" t="str">
        <f t="shared" si="132"/>
        <v>Factor (D)</v>
      </c>
      <c r="I151" s="3" t="str">
        <f t="shared" si="132"/>
        <v>Interest (E) = (A or A1) * (C) * (D)</v>
      </c>
      <c r="J151" s="3" t="str">
        <f t="shared" si="132"/>
        <v>Code Of Conduct</v>
      </c>
      <c r="L151" s="175" t="str">
        <f>B151</f>
        <v>Facility (Revolving Credit)</v>
      </c>
      <c r="M151" s="176" t="str">
        <f t="shared" ref="M151" si="133">C151</f>
        <v>Source</v>
      </c>
      <c r="N151" s="176" t="str">
        <f t="shared" ref="N151" si="134">D151</f>
        <v>Limit (A)</v>
      </c>
      <c r="O151" s="176" t="str">
        <f t="shared" ref="O151" si="135">E151</f>
        <v>Outstanding (A1)</v>
      </c>
      <c r="P151" s="176" t="str">
        <f t="shared" ref="P151" si="136">F151</f>
        <v>Monthly Repayment (B)</v>
      </c>
      <c r="Q151" s="176" t="str">
        <f t="shared" ref="Q151" si="137">G151</f>
        <v>Interest Rate (C)</v>
      </c>
      <c r="R151" s="176" t="str">
        <f t="shared" ref="R151" si="138">H151</f>
        <v>Factor (D)</v>
      </c>
      <c r="S151" s="176" t="str">
        <f t="shared" ref="S151" si="139">I151</f>
        <v>Interest (E) = (A or A1) * (C) * (D)</v>
      </c>
      <c r="T151" s="176" t="str">
        <f t="shared" ref="T151" si="140">J151</f>
        <v>Code Of Conduct</v>
      </c>
      <c r="V151" s="175" t="str">
        <f>L151</f>
        <v>Facility (Revolving Credit)</v>
      </c>
      <c r="W151" s="176" t="str">
        <f t="shared" ref="W151" si="141">M151</f>
        <v>Source</v>
      </c>
      <c r="X151" s="176" t="str">
        <f t="shared" ref="X151" si="142">N151</f>
        <v>Limit (A)</v>
      </c>
      <c r="Y151" s="176" t="str">
        <f t="shared" ref="Y151" si="143">O151</f>
        <v>Outstanding (A1)</v>
      </c>
      <c r="Z151" s="176" t="str">
        <f t="shared" ref="Z151" si="144">P151</f>
        <v>Monthly Repayment (B)</v>
      </c>
      <c r="AA151" s="176" t="str">
        <f t="shared" ref="AA151" si="145">Q151</f>
        <v>Interest Rate (C)</v>
      </c>
      <c r="AB151" s="176" t="str">
        <f t="shared" ref="AB151" si="146">R151</f>
        <v>Factor (D)</v>
      </c>
      <c r="AC151" s="176" t="str">
        <f t="shared" ref="AC151" si="147">S151</f>
        <v>Interest (E) = (A or A1) * (C) * (D)</v>
      </c>
      <c r="AD151" s="176" t="str">
        <f t="shared" ref="AD151" si="148">T151</f>
        <v>Code Of Conduct</v>
      </c>
    </row>
    <row r="152" spans="2:30" x14ac:dyDescent="0.25">
      <c r="B152" s="11" t="s">
        <v>925</v>
      </c>
      <c r="C152" s="5" t="s">
        <v>310</v>
      </c>
      <c r="D152" s="11">
        <v>134000</v>
      </c>
      <c r="E152" s="11">
        <v>134000</v>
      </c>
      <c r="F152" s="29"/>
      <c r="G152" s="22">
        <v>0.18</v>
      </c>
      <c r="H152" s="169">
        <f>H$167</f>
        <v>1</v>
      </c>
      <c r="I152" s="75">
        <f>D152*G152*H152</f>
        <v>24120</v>
      </c>
      <c r="J152" s="171"/>
      <c r="L152" s="11"/>
      <c r="M152" s="5" t="s">
        <v>310</v>
      </c>
      <c r="N152" s="11"/>
      <c r="O152" s="11"/>
      <c r="P152" s="29"/>
      <c r="Q152" s="22"/>
      <c r="R152" s="169">
        <f>R$167</f>
        <v>1</v>
      </c>
      <c r="S152" s="75">
        <f>N152*Q152*R152</f>
        <v>0</v>
      </c>
      <c r="T152" s="171"/>
      <c r="V152" s="41" t="s">
        <v>283</v>
      </c>
      <c r="W152" s="5" t="s">
        <v>381</v>
      </c>
      <c r="X152" s="41"/>
      <c r="Y152" s="41"/>
      <c r="Z152" s="29"/>
      <c r="AA152" s="22"/>
      <c r="AB152" s="169">
        <f>AB$167</f>
        <v>1</v>
      </c>
      <c r="AC152" s="75">
        <f>X152*AA152*AB152</f>
        <v>0</v>
      </c>
      <c r="AD152" s="171"/>
    </row>
    <row r="153" spans="2:30" x14ac:dyDescent="0.25">
      <c r="B153" s="11"/>
      <c r="C153" s="5" t="s">
        <v>313</v>
      </c>
      <c r="D153" s="11"/>
      <c r="E153" s="11"/>
      <c r="F153" s="29"/>
      <c r="G153" s="22"/>
      <c r="H153" s="169">
        <f t="shared" ref="H153:H166" si="149">H$167</f>
        <v>1</v>
      </c>
      <c r="I153" s="75">
        <f t="shared" ref="I153:I166" si="150">D153*G153*H153</f>
        <v>0</v>
      </c>
      <c r="J153" s="171"/>
      <c r="L153" s="11"/>
      <c r="M153" s="5" t="s">
        <v>313</v>
      </c>
      <c r="N153" s="11"/>
      <c r="O153" s="11"/>
      <c r="P153" s="29"/>
      <c r="Q153" s="22"/>
      <c r="R153" s="169">
        <f t="shared" ref="R153:R166" si="151">R$167</f>
        <v>1</v>
      </c>
      <c r="S153" s="75">
        <f t="shared" ref="S153:S166" si="152">N153*Q153*R153</f>
        <v>0</v>
      </c>
      <c r="T153" s="171"/>
      <c r="V153" s="41" t="s">
        <v>283</v>
      </c>
      <c r="W153" s="5" t="s">
        <v>381</v>
      </c>
      <c r="X153" s="41"/>
      <c r="Y153" s="41"/>
      <c r="Z153" s="29"/>
      <c r="AA153" s="22"/>
      <c r="AB153" s="169">
        <f t="shared" ref="AB153:AB166" si="153">AB$167</f>
        <v>1</v>
      </c>
      <c r="AC153" s="75">
        <f t="shared" ref="AC153:AC166" si="154">X153*AA153*AB153</f>
        <v>0</v>
      </c>
      <c r="AD153" s="171"/>
    </row>
    <row r="154" spans="2:30" x14ac:dyDescent="0.25">
      <c r="B154" s="11"/>
      <c r="C154" s="5" t="s">
        <v>313</v>
      </c>
      <c r="D154" s="11"/>
      <c r="E154" s="11"/>
      <c r="F154" s="29"/>
      <c r="G154" s="22"/>
      <c r="H154" s="169">
        <f t="shared" si="149"/>
        <v>1</v>
      </c>
      <c r="I154" s="75">
        <f t="shared" si="150"/>
        <v>0</v>
      </c>
      <c r="J154" s="171"/>
      <c r="L154" s="11"/>
      <c r="M154" s="5" t="s">
        <v>313</v>
      </c>
      <c r="N154" s="11"/>
      <c r="O154" s="11"/>
      <c r="P154" s="29"/>
      <c r="Q154" s="22"/>
      <c r="R154" s="169">
        <f t="shared" si="151"/>
        <v>1</v>
      </c>
      <c r="S154" s="75">
        <f t="shared" si="152"/>
        <v>0</v>
      </c>
      <c r="T154" s="171"/>
      <c r="V154" s="41" t="s">
        <v>283</v>
      </c>
      <c r="W154" s="5" t="s">
        <v>381</v>
      </c>
      <c r="X154" s="41"/>
      <c r="Y154" s="41"/>
      <c r="Z154" s="29"/>
      <c r="AA154" s="22"/>
      <c r="AB154" s="169">
        <f t="shared" si="153"/>
        <v>1</v>
      </c>
      <c r="AC154" s="75">
        <f t="shared" si="154"/>
        <v>0</v>
      </c>
      <c r="AD154" s="171"/>
    </row>
    <row r="155" spans="2:30" x14ac:dyDescent="0.25">
      <c r="B155" s="11"/>
      <c r="C155" s="5" t="s">
        <v>313</v>
      </c>
      <c r="D155" s="11"/>
      <c r="E155" s="11"/>
      <c r="F155" s="29"/>
      <c r="G155" s="22"/>
      <c r="H155" s="169">
        <f t="shared" si="149"/>
        <v>1</v>
      </c>
      <c r="I155" s="75">
        <f t="shared" si="150"/>
        <v>0</v>
      </c>
      <c r="J155" s="171"/>
      <c r="L155" s="11"/>
      <c r="M155" s="5" t="s">
        <v>313</v>
      </c>
      <c r="N155" s="11"/>
      <c r="O155" s="11"/>
      <c r="P155" s="29"/>
      <c r="Q155" s="22"/>
      <c r="R155" s="169">
        <f t="shared" si="151"/>
        <v>1</v>
      </c>
      <c r="S155" s="75">
        <f t="shared" si="152"/>
        <v>0</v>
      </c>
      <c r="T155" s="171"/>
      <c r="V155" s="41" t="s">
        <v>283</v>
      </c>
      <c r="W155" s="5" t="s">
        <v>381</v>
      </c>
      <c r="X155" s="41"/>
      <c r="Y155" s="41"/>
      <c r="Z155" s="29"/>
      <c r="AA155" s="22"/>
      <c r="AB155" s="169">
        <f t="shared" si="153"/>
        <v>1</v>
      </c>
      <c r="AC155" s="75">
        <f t="shared" si="154"/>
        <v>0</v>
      </c>
      <c r="AD155" s="171"/>
    </row>
    <row r="156" spans="2:30" x14ac:dyDescent="0.25">
      <c r="B156" s="11"/>
      <c r="C156" s="5" t="s">
        <v>313</v>
      </c>
      <c r="D156" s="11"/>
      <c r="E156" s="11"/>
      <c r="F156" s="29"/>
      <c r="G156" s="22"/>
      <c r="H156" s="169">
        <f t="shared" si="149"/>
        <v>1</v>
      </c>
      <c r="I156" s="75">
        <f t="shared" si="150"/>
        <v>0</v>
      </c>
      <c r="J156" s="171"/>
      <c r="L156" s="11"/>
      <c r="M156" s="5" t="s">
        <v>313</v>
      </c>
      <c r="N156" s="11"/>
      <c r="O156" s="11"/>
      <c r="P156" s="29"/>
      <c r="Q156" s="22"/>
      <c r="R156" s="169">
        <f t="shared" si="151"/>
        <v>1</v>
      </c>
      <c r="S156" s="75">
        <f t="shared" si="152"/>
        <v>0</v>
      </c>
      <c r="T156" s="171"/>
      <c r="V156" s="41" t="s">
        <v>283</v>
      </c>
      <c r="W156" s="5" t="s">
        <v>381</v>
      </c>
      <c r="X156" s="41"/>
      <c r="Y156" s="41"/>
      <c r="Z156" s="29"/>
      <c r="AA156" s="22"/>
      <c r="AB156" s="169">
        <f t="shared" si="153"/>
        <v>1</v>
      </c>
      <c r="AC156" s="75">
        <f t="shared" si="154"/>
        <v>0</v>
      </c>
      <c r="AD156" s="171"/>
    </row>
    <row r="157" spans="2:30" x14ac:dyDescent="0.25">
      <c r="B157" s="11"/>
      <c r="C157" s="5" t="s">
        <v>313</v>
      </c>
      <c r="D157" s="11"/>
      <c r="E157" s="11"/>
      <c r="F157" s="29"/>
      <c r="G157" s="22"/>
      <c r="H157" s="169">
        <f t="shared" si="149"/>
        <v>1</v>
      </c>
      <c r="I157" s="75">
        <f t="shared" si="150"/>
        <v>0</v>
      </c>
      <c r="J157" s="171"/>
      <c r="L157" s="11"/>
      <c r="M157" s="5" t="s">
        <v>313</v>
      </c>
      <c r="N157" s="11"/>
      <c r="O157" s="11"/>
      <c r="P157" s="29"/>
      <c r="Q157" s="22"/>
      <c r="R157" s="169">
        <f t="shared" si="151"/>
        <v>1</v>
      </c>
      <c r="S157" s="75">
        <f t="shared" si="152"/>
        <v>0</v>
      </c>
      <c r="T157" s="171"/>
      <c r="V157" s="41" t="s">
        <v>283</v>
      </c>
      <c r="W157" s="5" t="s">
        <v>381</v>
      </c>
      <c r="X157" s="41"/>
      <c r="Y157" s="41"/>
      <c r="Z157" s="29"/>
      <c r="AA157" s="22"/>
      <c r="AB157" s="169">
        <f t="shared" si="153"/>
        <v>1</v>
      </c>
      <c r="AC157" s="75">
        <f t="shared" si="154"/>
        <v>0</v>
      </c>
      <c r="AD157" s="171"/>
    </row>
    <row r="158" spans="2:30" hidden="1" outlineLevel="1" x14ac:dyDescent="0.25">
      <c r="B158" s="11"/>
      <c r="C158" s="5" t="s">
        <v>313</v>
      </c>
      <c r="D158" s="11"/>
      <c r="E158" s="11"/>
      <c r="F158" s="29"/>
      <c r="G158" s="22"/>
      <c r="H158" s="169">
        <f t="shared" si="149"/>
        <v>1</v>
      </c>
      <c r="I158" s="75">
        <f t="shared" si="150"/>
        <v>0</v>
      </c>
      <c r="J158" s="171"/>
      <c r="L158" s="11"/>
      <c r="M158" s="5" t="s">
        <v>313</v>
      </c>
      <c r="N158" s="11"/>
      <c r="O158" s="11"/>
      <c r="P158" s="29"/>
      <c r="Q158" s="22"/>
      <c r="R158" s="169">
        <f t="shared" si="151"/>
        <v>1</v>
      </c>
      <c r="S158" s="75">
        <f t="shared" si="152"/>
        <v>0</v>
      </c>
      <c r="T158" s="171"/>
      <c r="V158" s="41" t="s">
        <v>283</v>
      </c>
      <c r="W158" s="5" t="s">
        <v>381</v>
      </c>
      <c r="X158" s="41"/>
      <c r="Y158" s="41"/>
      <c r="Z158" s="29"/>
      <c r="AA158" s="22"/>
      <c r="AB158" s="169">
        <f t="shared" si="153"/>
        <v>1</v>
      </c>
      <c r="AC158" s="75">
        <f t="shared" si="154"/>
        <v>0</v>
      </c>
      <c r="AD158" s="171"/>
    </row>
    <row r="159" spans="2:30" hidden="1" outlineLevel="1" x14ac:dyDescent="0.25">
      <c r="B159" s="11"/>
      <c r="C159" s="5" t="s">
        <v>313</v>
      </c>
      <c r="D159" s="11"/>
      <c r="E159" s="11"/>
      <c r="F159" s="29"/>
      <c r="G159" s="22"/>
      <c r="H159" s="169">
        <f t="shared" si="149"/>
        <v>1</v>
      </c>
      <c r="I159" s="75">
        <f t="shared" si="150"/>
        <v>0</v>
      </c>
      <c r="J159" s="171"/>
      <c r="L159" s="11"/>
      <c r="M159" s="5" t="s">
        <v>313</v>
      </c>
      <c r="N159" s="11"/>
      <c r="O159" s="11"/>
      <c r="P159" s="29"/>
      <c r="Q159" s="22"/>
      <c r="R159" s="169">
        <f t="shared" si="151"/>
        <v>1</v>
      </c>
      <c r="S159" s="75">
        <f t="shared" si="152"/>
        <v>0</v>
      </c>
      <c r="T159" s="171"/>
      <c r="V159" s="41" t="s">
        <v>283</v>
      </c>
      <c r="W159" s="5" t="s">
        <v>381</v>
      </c>
      <c r="X159" s="41"/>
      <c r="Y159" s="41"/>
      <c r="Z159" s="29"/>
      <c r="AA159" s="22"/>
      <c r="AB159" s="169">
        <f t="shared" si="153"/>
        <v>1</v>
      </c>
      <c r="AC159" s="75">
        <f t="shared" si="154"/>
        <v>0</v>
      </c>
      <c r="AD159" s="171"/>
    </row>
    <row r="160" spans="2:30" hidden="1" outlineLevel="1" x14ac:dyDescent="0.25">
      <c r="B160" s="11"/>
      <c r="C160" s="5" t="s">
        <v>313</v>
      </c>
      <c r="D160" s="11"/>
      <c r="E160" s="11"/>
      <c r="F160" s="29"/>
      <c r="G160" s="22"/>
      <c r="H160" s="169">
        <f t="shared" si="149"/>
        <v>1</v>
      </c>
      <c r="I160" s="75">
        <f t="shared" si="150"/>
        <v>0</v>
      </c>
      <c r="J160" s="171"/>
      <c r="L160" s="11"/>
      <c r="M160" s="5" t="s">
        <v>313</v>
      </c>
      <c r="N160" s="11"/>
      <c r="O160" s="11"/>
      <c r="P160" s="29"/>
      <c r="Q160" s="22"/>
      <c r="R160" s="169">
        <f t="shared" si="151"/>
        <v>1</v>
      </c>
      <c r="S160" s="75">
        <f t="shared" si="152"/>
        <v>0</v>
      </c>
      <c r="T160" s="171"/>
      <c r="V160" s="41" t="s">
        <v>283</v>
      </c>
      <c r="W160" s="5" t="s">
        <v>381</v>
      </c>
      <c r="X160" s="41"/>
      <c r="Y160" s="41"/>
      <c r="Z160" s="29"/>
      <c r="AA160" s="22"/>
      <c r="AB160" s="169">
        <f t="shared" si="153"/>
        <v>1</v>
      </c>
      <c r="AC160" s="75">
        <f t="shared" si="154"/>
        <v>0</v>
      </c>
      <c r="AD160" s="171"/>
    </row>
    <row r="161" spans="2:30" hidden="1" outlineLevel="1" x14ac:dyDescent="0.25">
      <c r="B161" s="11"/>
      <c r="C161" s="5" t="s">
        <v>313</v>
      </c>
      <c r="D161" s="11"/>
      <c r="E161" s="11"/>
      <c r="F161" s="29"/>
      <c r="G161" s="22"/>
      <c r="H161" s="169">
        <f t="shared" si="149"/>
        <v>1</v>
      </c>
      <c r="I161" s="75">
        <f t="shared" si="150"/>
        <v>0</v>
      </c>
      <c r="J161" s="171"/>
      <c r="L161" s="11"/>
      <c r="M161" s="5" t="s">
        <v>313</v>
      </c>
      <c r="N161" s="11"/>
      <c r="O161" s="11"/>
      <c r="P161" s="29"/>
      <c r="Q161" s="22"/>
      <c r="R161" s="169">
        <f t="shared" si="151"/>
        <v>1</v>
      </c>
      <c r="S161" s="75">
        <f t="shared" si="152"/>
        <v>0</v>
      </c>
      <c r="T161" s="171"/>
      <c r="V161" s="41" t="s">
        <v>283</v>
      </c>
      <c r="W161" s="5" t="s">
        <v>381</v>
      </c>
      <c r="X161" s="41"/>
      <c r="Y161" s="41"/>
      <c r="Z161" s="29"/>
      <c r="AA161" s="22"/>
      <c r="AB161" s="169">
        <f t="shared" si="153"/>
        <v>1</v>
      </c>
      <c r="AC161" s="75">
        <f t="shared" si="154"/>
        <v>0</v>
      </c>
      <c r="AD161" s="171"/>
    </row>
    <row r="162" spans="2:30" hidden="1" outlineLevel="1" x14ac:dyDescent="0.25">
      <c r="B162" s="11"/>
      <c r="C162" s="5" t="s">
        <v>313</v>
      </c>
      <c r="D162" s="11"/>
      <c r="E162" s="11"/>
      <c r="F162" s="29"/>
      <c r="G162" s="22"/>
      <c r="H162" s="169">
        <f t="shared" si="149"/>
        <v>1</v>
      </c>
      <c r="I162" s="75">
        <f t="shared" si="150"/>
        <v>0</v>
      </c>
      <c r="J162" s="171"/>
      <c r="L162" s="11"/>
      <c r="M162" s="5" t="s">
        <v>313</v>
      </c>
      <c r="N162" s="11"/>
      <c r="O162" s="11"/>
      <c r="P162" s="29"/>
      <c r="Q162" s="22"/>
      <c r="R162" s="169">
        <f t="shared" si="151"/>
        <v>1</v>
      </c>
      <c r="S162" s="75">
        <f t="shared" si="152"/>
        <v>0</v>
      </c>
      <c r="T162" s="171"/>
      <c r="V162" s="41" t="s">
        <v>283</v>
      </c>
      <c r="W162" s="5" t="s">
        <v>381</v>
      </c>
      <c r="X162" s="41"/>
      <c r="Y162" s="41"/>
      <c r="Z162" s="29"/>
      <c r="AA162" s="22"/>
      <c r="AB162" s="169">
        <f t="shared" si="153"/>
        <v>1</v>
      </c>
      <c r="AC162" s="75">
        <f t="shared" si="154"/>
        <v>0</v>
      </c>
      <c r="AD162" s="171"/>
    </row>
    <row r="163" spans="2:30" hidden="1" outlineLevel="1" x14ac:dyDescent="0.25">
      <c r="B163" s="11"/>
      <c r="C163" s="5" t="s">
        <v>313</v>
      </c>
      <c r="D163" s="11"/>
      <c r="E163" s="11"/>
      <c r="F163" s="29"/>
      <c r="G163" s="22"/>
      <c r="H163" s="169">
        <f t="shared" si="149"/>
        <v>1</v>
      </c>
      <c r="I163" s="75">
        <f t="shared" si="150"/>
        <v>0</v>
      </c>
      <c r="J163" s="171"/>
      <c r="L163" s="11"/>
      <c r="M163" s="5" t="s">
        <v>313</v>
      </c>
      <c r="N163" s="11"/>
      <c r="O163" s="11"/>
      <c r="P163" s="29"/>
      <c r="Q163" s="22"/>
      <c r="R163" s="169">
        <f t="shared" si="151"/>
        <v>1</v>
      </c>
      <c r="S163" s="75">
        <f t="shared" si="152"/>
        <v>0</v>
      </c>
      <c r="T163" s="171"/>
      <c r="V163" s="41" t="s">
        <v>283</v>
      </c>
      <c r="W163" s="5" t="s">
        <v>381</v>
      </c>
      <c r="X163" s="41"/>
      <c r="Y163" s="41"/>
      <c r="Z163" s="29"/>
      <c r="AA163" s="22"/>
      <c r="AB163" s="169">
        <f t="shared" si="153"/>
        <v>1</v>
      </c>
      <c r="AC163" s="75">
        <f t="shared" si="154"/>
        <v>0</v>
      </c>
      <c r="AD163" s="171"/>
    </row>
    <row r="164" spans="2:30" hidden="1" outlineLevel="1" x14ac:dyDescent="0.25">
      <c r="B164" s="11"/>
      <c r="C164" s="5" t="s">
        <v>313</v>
      </c>
      <c r="D164" s="11"/>
      <c r="E164" s="11"/>
      <c r="F164" s="29"/>
      <c r="G164" s="22"/>
      <c r="H164" s="169">
        <f t="shared" si="149"/>
        <v>1</v>
      </c>
      <c r="I164" s="75">
        <f t="shared" si="150"/>
        <v>0</v>
      </c>
      <c r="J164" s="171"/>
      <c r="L164" s="11"/>
      <c r="M164" s="5" t="s">
        <v>313</v>
      </c>
      <c r="N164" s="11"/>
      <c r="O164" s="11"/>
      <c r="P164" s="29"/>
      <c r="Q164" s="22"/>
      <c r="R164" s="169">
        <f t="shared" si="151"/>
        <v>1</v>
      </c>
      <c r="S164" s="75">
        <f t="shared" si="152"/>
        <v>0</v>
      </c>
      <c r="T164" s="171"/>
      <c r="V164" s="41" t="s">
        <v>283</v>
      </c>
      <c r="W164" s="5" t="s">
        <v>381</v>
      </c>
      <c r="X164" s="41"/>
      <c r="Y164" s="41"/>
      <c r="Z164" s="29"/>
      <c r="AA164" s="22"/>
      <c r="AB164" s="169">
        <f t="shared" si="153"/>
        <v>1</v>
      </c>
      <c r="AC164" s="75">
        <f t="shared" si="154"/>
        <v>0</v>
      </c>
      <c r="AD164" s="171"/>
    </row>
    <row r="165" spans="2:30" hidden="1" outlineLevel="1" x14ac:dyDescent="0.25">
      <c r="B165" s="11"/>
      <c r="C165" s="5" t="s">
        <v>313</v>
      </c>
      <c r="D165" s="11"/>
      <c r="E165" s="11"/>
      <c r="F165" s="29"/>
      <c r="G165" s="22"/>
      <c r="H165" s="169">
        <f t="shared" si="149"/>
        <v>1</v>
      </c>
      <c r="I165" s="75">
        <f t="shared" si="150"/>
        <v>0</v>
      </c>
      <c r="J165" s="171"/>
      <c r="L165" s="11"/>
      <c r="M165" s="5" t="s">
        <v>313</v>
      </c>
      <c r="N165" s="11"/>
      <c r="O165" s="11"/>
      <c r="P165" s="29"/>
      <c r="Q165" s="22"/>
      <c r="R165" s="169">
        <f t="shared" si="151"/>
        <v>1</v>
      </c>
      <c r="S165" s="75">
        <f t="shared" si="152"/>
        <v>0</v>
      </c>
      <c r="T165" s="171"/>
      <c r="V165" s="41" t="s">
        <v>283</v>
      </c>
      <c r="W165" s="5" t="s">
        <v>381</v>
      </c>
      <c r="X165" s="41"/>
      <c r="Y165" s="41"/>
      <c r="Z165" s="29"/>
      <c r="AA165" s="22"/>
      <c r="AB165" s="169">
        <f t="shared" si="153"/>
        <v>1</v>
      </c>
      <c r="AC165" s="75">
        <f t="shared" si="154"/>
        <v>0</v>
      </c>
      <c r="AD165" s="171"/>
    </row>
    <row r="166" spans="2:30" hidden="1" outlineLevel="1" x14ac:dyDescent="0.25">
      <c r="B166" s="11"/>
      <c r="C166" s="5" t="s">
        <v>313</v>
      </c>
      <c r="D166" s="11"/>
      <c r="E166" s="11"/>
      <c r="F166" s="29"/>
      <c r="G166" s="22"/>
      <c r="H166" s="169">
        <f t="shared" si="149"/>
        <v>1</v>
      </c>
      <c r="I166" s="75">
        <f t="shared" si="150"/>
        <v>0</v>
      </c>
      <c r="J166" s="171"/>
      <c r="L166" s="11"/>
      <c r="M166" s="5" t="s">
        <v>313</v>
      </c>
      <c r="N166" s="11"/>
      <c r="O166" s="11"/>
      <c r="P166" s="29"/>
      <c r="Q166" s="22"/>
      <c r="R166" s="169">
        <f t="shared" si="151"/>
        <v>1</v>
      </c>
      <c r="S166" s="75">
        <f t="shared" si="152"/>
        <v>0</v>
      </c>
      <c r="T166" s="171"/>
      <c r="V166" s="41" t="s">
        <v>283</v>
      </c>
      <c r="W166" s="5" t="s">
        <v>381</v>
      </c>
      <c r="X166" s="41"/>
      <c r="Y166" s="41"/>
      <c r="Z166" s="29"/>
      <c r="AA166" s="22"/>
      <c r="AB166" s="169">
        <f t="shared" si="153"/>
        <v>1</v>
      </c>
      <c r="AC166" s="75">
        <f t="shared" si="154"/>
        <v>0</v>
      </c>
      <c r="AD166" s="171"/>
    </row>
    <row r="167" spans="2:30" s="24" customFormat="1" collapsed="1" x14ac:dyDescent="0.25">
      <c r="B167" s="8" t="str">
        <f>"Total "&amp;B151</f>
        <v>Total Facility (Revolving Credit)</v>
      </c>
      <c r="C167" s="25"/>
      <c r="D167" s="28">
        <f>SUM(D152:D166)</f>
        <v>134000</v>
      </c>
      <c r="E167" s="28">
        <f>SUM(E152:E166)</f>
        <v>134000</v>
      </c>
      <c r="F167" s="30"/>
      <c r="G167" s="25"/>
      <c r="H167" s="168">
        <v>1</v>
      </c>
      <c r="I167" s="28">
        <f>SUM(I152:I166)</f>
        <v>24120</v>
      </c>
      <c r="J167" s="170"/>
      <c r="L167" s="8" t="str">
        <f>"Total "&amp;L151</f>
        <v>Total Facility (Revolving Credit)</v>
      </c>
      <c r="M167" s="25"/>
      <c r="N167" s="28">
        <f>SUM(N152:N166)</f>
        <v>0</v>
      </c>
      <c r="O167" s="28">
        <f>SUM(O152:O166)</f>
        <v>0</v>
      </c>
      <c r="P167" s="30"/>
      <c r="Q167" s="25"/>
      <c r="R167" s="168">
        <v>1</v>
      </c>
      <c r="S167" s="28">
        <f>SUM(S152:S166)</f>
        <v>0</v>
      </c>
      <c r="T167" s="170"/>
      <c r="V167" s="8" t="str">
        <f>"Total "&amp;V151</f>
        <v>Total Facility (Revolving Credit)</v>
      </c>
      <c r="W167" s="25"/>
      <c r="X167" s="28">
        <f>SUM(X152:X166)</f>
        <v>0</v>
      </c>
      <c r="Y167" s="28">
        <f>SUM(Y152:Y166)</f>
        <v>0</v>
      </c>
      <c r="Z167" s="30"/>
      <c r="AA167" s="25"/>
      <c r="AB167" s="168">
        <v>1</v>
      </c>
      <c r="AC167" s="28">
        <f>SUM(AC152:AC166)</f>
        <v>0</v>
      </c>
      <c r="AD167" s="170"/>
    </row>
    <row r="169" spans="2:30" s="20" customFormat="1" ht="38.25" x14ac:dyDescent="0.25">
      <c r="B169" s="27" t="s">
        <v>387</v>
      </c>
      <c r="C169" s="3" t="str">
        <f>C$61</f>
        <v>Source</v>
      </c>
      <c r="D169" s="3" t="str">
        <f t="shared" ref="D169:J169" si="155">D$61</f>
        <v>Limit (A)</v>
      </c>
      <c r="E169" s="3" t="str">
        <f t="shared" si="155"/>
        <v>Outstanding (A1)</v>
      </c>
      <c r="F169" s="3" t="str">
        <f t="shared" si="155"/>
        <v>Monthly Repayment (B)</v>
      </c>
      <c r="G169" s="3" t="str">
        <f t="shared" si="155"/>
        <v>Interest Rate (C)</v>
      </c>
      <c r="H169" s="3" t="str">
        <f t="shared" si="155"/>
        <v>Factor (D)</v>
      </c>
      <c r="I169" s="3" t="str">
        <f t="shared" si="155"/>
        <v>Interest (E) = (A or A1) * (C) * (D)</v>
      </c>
      <c r="J169" s="3" t="str">
        <f t="shared" si="155"/>
        <v>Code Of Conduct</v>
      </c>
      <c r="L169" s="175" t="str">
        <f>B169</f>
        <v>Facility (Factoring)</v>
      </c>
      <c r="M169" s="176" t="str">
        <f t="shared" ref="M169" si="156">C169</f>
        <v>Source</v>
      </c>
      <c r="N169" s="176" t="str">
        <f t="shared" ref="N169" si="157">D169</f>
        <v>Limit (A)</v>
      </c>
      <c r="O169" s="176" t="str">
        <f t="shared" ref="O169" si="158">E169</f>
        <v>Outstanding (A1)</v>
      </c>
      <c r="P169" s="176" t="str">
        <f t="shared" ref="P169" si="159">F169</f>
        <v>Monthly Repayment (B)</v>
      </c>
      <c r="Q169" s="176" t="str">
        <f t="shared" ref="Q169" si="160">G169</f>
        <v>Interest Rate (C)</v>
      </c>
      <c r="R169" s="176" t="str">
        <f t="shared" ref="R169" si="161">H169</f>
        <v>Factor (D)</v>
      </c>
      <c r="S169" s="176" t="str">
        <f t="shared" ref="S169" si="162">I169</f>
        <v>Interest (E) = (A or A1) * (C) * (D)</v>
      </c>
      <c r="T169" s="176" t="str">
        <f t="shared" ref="T169" si="163">J169</f>
        <v>Code Of Conduct</v>
      </c>
      <c r="V169" s="175" t="str">
        <f>L169</f>
        <v>Facility (Factoring)</v>
      </c>
      <c r="W169" s="176" t="str">
        <f t="shared" ref="W169" si="164">M169</f>
        <v>Source</v>
      </c>
      <c r="X169" s="176" t="str">
        <f t="shared" ref="X169" si="165">N169</f>
        <v>Limit (A)</v>
      </c>
      <c r="Y169" s="176" t="str">
        <f t="shared" ref="Y169" si="166">O169</f>
        <v>Outstanding (A1)</v>
      </c>
      <c r="Z169" s="176" t="str">
        <f t="shared" ref="Z169" si="167">P169</f>
        <v>Monthly Repayment (B)</v>
      </c>
      <c r="AA169" s="176" t="str">
        <f t="shared" ref="AA169" si="168">Q169</f>
        <v>Interest Rate (C)</v>
      </c>
      <c r="AB169" s="176" t="str">
        <f t="shared" ref="AB169" si="169">R169</f>
        <v>Factor (D)</v>
      </c>
      <c r="AC169" s="176" t="str">
        <f t="shared" ref="AC169" si="170">S169</f>
        <v>Interest (E) = (A or A1) * (C) * (D)</v>
      </c>
      <c r="AD169" s="176" t="str">
        <f t="shared" ref="AD169" si="171">T169</f>
        <v>Code Of Conduct</v>
      </c>
    </row>
    <row r="170" spans="2:30" x14ac:dyDescent="0.25">
      <c r="B170" s="11"/>
      <c r="C170" s="5" t="s">
        <v>313</v>
      </c>
      <c r="D170" s="11"/>
      <c r="E170" s="11"/>
      <c r="F170" s="29"/>
      <c r="G170" s="22"/>
      <c r="H170" s="23">
        <f>H$185</f>
        <v>0.8</v>
      </c>
      <c r="I170" s="75">
        <f>D170*G170*H170</f>
        <v>0</v>
      </c>
      <c r="J170" s="171"/>
      <c r="L170" s="11"/>
      <c r="M170" s="5" t="s">
        <v>310</v>
      </c>
      <c r="N170" s="11"/>
      <c r="O170" s="11"/>
      <c r="P170" s="29"/>
      <c r="Q170" s="22"/>
      <c r="R170" s="23">
        <f>R$185</f>
        <v>0.8</v>
      </c>
      <c r="S170" s="75">
        <f>N170*Q170*R170</f>
        <v>0</v>
      </c>
      <c r="T170" s="171"/>
      <c r="V170" s="41" t="s">
        <v>283</v>
      </c>
      <c r="W170" s="5" t="s">
        <v>381</v>
      </c>
      <c r="X170" s="41"/>
      <c r="Y170" s="41"/>
      <c r="Z170" s="29"/>
      <c r="AA170" s="22"/>
      <c r="AB170" s="23">
        <f>AB$185</f>
        <v>0.8</v>
      </c>
      <c r="AC170" s="75">
        <f>X170*AA170*AB170</f>
        <v>0</v>
      </c>
      <c r="AD170" s="171"/>
    </row>
    <row r="171" spans="2:30" x14ac:dyDescent="0.25">
      <c r="B171" s="11"/>
      <c r="C171" s="5" t="s">
        <v>313</v>
      </c>
      <c r="D171" s="11"/>
      <c r="E171" s="11"/>
      <c r="F171" s="29"/>
      <c r="G171" s="22"/>
      <c r="H171" s="23">
        <f t="shared" ref="H171:H184" si="172">H$185</f>
        <v>0.8</v>
      </c>
      <c r="I171" s="75">
        <f t="shared" ref="I171:I184" si="173">D171*G171*H171</f>
        <v>0</v>
      </c>
      <c r="J171" s="171"/>
      <c r="L171" s="11"/>
      <c r="M171" s="5" t="s">
        <v>313</v>
      </c>
      <c r="N171" s="11"/>
      <c r="O171" s="11"/>
      <c r="P171" s="29"/>
      <c r="Q171" s="22"/>
      <c r="R171" s="23">
        <f t="shared" ref="R171:R184" si="174">R$185</f>
        <v>0.8</v>
      </c>
      <c r="S171" s="75">
        <f t="shared" ref="S171:S184" si="175">N171*Q171*R171</f>
        <v>0</v>
      </c>
      <c r="T171" s="171"/>
      <c r="V171" s="41" t="s">
        <v>283</v>
      </c>
      <c r="W171" s="5" t="s">
        <v>381</v>
      </c>
      <c r="X171" s="41"/>
      <c r="Y171" s="41"/>
      <c r="Z171" s="29"/>
      <c r="AA171" s="22"/>
      <c r="AB171" s="23">
        <f t="shared" ref="AB171:AB184" si="176">AB$185</f>
        <v>0.8</v>
      </c>
      <c r="AC171" s="75">
        <f t="shared" ref="AC171:AC184" si="177">X171*AA171*AB171</f>
        <v>0</v>
      </c>
      <c r="AD171" s="171"/>
    </row>
    <row r="172" spans="2:30" x14ac:dyDescent="0.25">
      <c r="B172" s="11"/>
      <c r="C172" s="5" t="s">
        <v>313</v>
      </c>
      <c r="D172" s="11"/>
      <c r="E172" s="11"/>
      <c r="F172" s="29"/>
      <c r="G172" s="22"/>
      <c r="H172" s="23">
        <f t="shared" si="172"/>
        <v>0.8</v>
      </c>
      <c r="I172" s="75">
        <f t="shared" si="173"/>
        <v>0</v>
      </c>
      <c r="J172" s="171"/>
      <c r="L172" s="11"/>
      <c r="M172" s="5" t="s">
        <v>313</v>
      </c>
      <c r="N172" s="11"/>
      <c r="O172" s="11"/>
      <c r="P172" s="29"/>
      <c r="Q172" s="22"/>
      <c r="R172" s="23">
        <f t="shared" si="174"/>
        <v>0.8</v>
      </c>
      <c r="S172" s="75">
        <f t="shared" si="175"/>
        <v>0</v>
      </c>
      <c r="T172" s="171"/>
      <c r="V172" s="41" t="s">
        <v>283</v>
      </c>
      <c r="W172" s="5" t="s">
        <v>381</v>
      </c>
      <c r="X172" s="41"/>
      <c r="Y172" s="41"/>
      <c r="Z172" s="29"/>
      <c r="AA172" s="22"/>
      <c r="AB172" s="23">
        <f t="shared" si="176"/>
        <v>0.8</v>
      </c>
      <c r="AC172" s="75">
        <f t="shared" si="177"/>
        <v>0</v>
      </c>
      <c r="AD172" s="171"/>
    </row>
    <row r="173" spans="2:30" x14ac:dyDescent="0.25">
      <c r="B173" s="11"/>
      <c r="C173" s="5" t="s">
        <v>313</v>
      </c>
      <c r="D173" s="11"/>
      <c r="E173" s="11"/>
      <c r="F173" s="29"/>
      <c r="G173" s="22"/>
      <c r="H173" s="23">
        <f t="shared" si="172"/>
        <v>0.8</v>
      </c>
      <c r="I173" s="75">
        <f t="shared" si="173"/>
        <v>0</v>
      </c>
      <c r="J173" s="171"/>
      <c r="L173" s="11"/>
      <c r="M173" s="5" t="s">
        <v>313</v>
      </c>
      <c r="N173" s="11"/>
      <c r="O173" s="11"/>
      <c r="P173" s="29"/>
      <c r="Q173" s="22"/>
      <c r="R173" s="23">
        <f t="shared" si="174"/>
        <v>0.8</v>
      </c>
      <c r="S173" s="75">
        <f t="shared" si="175"/>
        <v>0</v>
      </c>
      <c r="T173" s="171"/>
      <c r="V173" s="41" t="s">
        <v>283</v>
      </c>
      <c r="W173" s="5" t="s">
        <v>381</v>
      </c>
      <c r="X173" s="41"/>
      <c r="Y173" s="41"/>
      <c r="Z173" s="29"/>
      <c r="AA173" s="22"/>
      <c r="AB173" s="23">
        <f t="shared" si="176"/>
        <v>0.8</v>
      </c>
      <c r="AC173" s="75">
        <f t="shared" si="177"/>
        <v>0</v>
      </c>
      <c r="AD173" s="171"/>
    </row>
    <row r="174" spans="2:30" x14ac:dyDescent="0.25">
      <c r="B174" s="11"/>
      <c r="C174" s="5" t="s">
        <v>313</v>
      </c>
      <c r="D174" s="11"/>
      <c r="E174" s="11"/>
      <c r="F174" s="29"/>
      <c r="G174" s="22"/>
      <c r="H174" s="23">
        <f t="shared" si="172"/>
        <v>0.8</v>
      </c>
      <c r="I174" s="75">
        <f t="shared" si="173"/>
        <v>0</v>
      </c>
      <c r="J174" s="171"/>
      <c r="L174" s="11"/>
      <c r="M174" s="5" t="s">
        <v>313</v>
      </c>
      <c r="N174" s="11"/>
      <c r="O174" s="11"/>
      <c r="P174" s="29"/>
      <c r="Q174" s="22"/>
      <c r="R174" s="23">
        <f t="shared" si="174"/>
        <v>0.8</v>
      </c>
      <c r="S174" s="75">
        <f t="shared" si="175"/>
        <v>0</v>
      </c>
      <c r="T174" s="171"/>
      <c r="V174" s="41" t="s">
        <v>283</v>
      </c>
      <c r="W174" s="5" t="s">
        <v>381</v>
      </c>
      <c r="X174" s="41"/>
      <c r="Y174" s="41"/>
      <c r="Z174" s="29"/>
      <c r="AA174" s="22"/>
      <c r="AB174" s="23">
        <f t="shared" si="176"/>
        <v>0.8</v>
      </c>
      <c r="AC174" s="75">
        <f t="shared" si="177"/>
        <v>0</v>
      </c>
      <c r="AD174" s="171"/>
    </row>
    <row r="175" spans="2:30" x14ac:dyDescent="0.25">
      <c r="B175" s="11"/>
      <c r="C175" s="5" t="s">
        <v>313</v>
      </c>
      <c r="D175" s="11"/>
      <c r="E175" s="11"/>
      <c r="F175" s="29"/>
      <c r="G175" s="22"/>
      <c r="H175" s="23">
        <f t="shared" si="172"/>
        <v>0.8</v>
      </c>
      <c r="I175" s="75">
        <f t="shared" si="173"/>
        <v>0</v>
      </c>
      <c r="J175" s="171"/>
      <c r="L175" s="11"/>
      <c r="M175" s="5" t="s">
        <v>313</v>
      </c>
      <c r="N175" s="11"/>
      <c r="O175" s="11"/>
      <c r="P175" s="29"/>
      <c r="Q175" s="22"/>
      <c r="R175" s="23">
        <f t="shared" si="174"/>
        <v>0.8</v>
      </c>
      <c r="S175" s="75">
        <f t="shared" si="175"/>
        <v>0</v>
      </c>
      <c r="T175" s="171"/>
      <c r="V175" s="41" t="s">
        <v>283</v>
      </c>
      <c r="W175" s="5" t="s">
        <v>381</v>
      </c>
      <c r="X175" s="41"/>
      <c r="Y175" s="41"/>
      <c r="Z175" s="29"/>
      <c r="AA175" s="22"/>
      <c r="AB175" s="23">
        <f t="shared" si="176"/>
        <v>0.8</v>
      </c>
      <c r="AC175" s="75">
        <f t="shared" si="177"/>
        <v>0</v>
      </c>
      <c r="AD175" s="171"/>
    </row>
    <row r="176" spans="2:30" hidden="1" outlineLevel="1" x14ac:dyDescent="0.25">
      <c r="B176" s="11"/>
      <c r="C176" s="5" t="s">
        <v>313</v>
      </c>
      <c r="D176" s="11"/>
      <c r="E176" s="11"/>
      <c r="F176" s="29"/>
      <c r="G176" s="22"/>
      <c r="H176" s="23">
        <f t="shared" si="172"/>
        <v>0.8</v>
      </c>
      <c r="I176" s="75">
        <f t="shared" si="173"/>
        <v>0</v>
      </c>
      <c r="J176" s="171"/>
      <c r="L176" s="11"/>
      <c r="M176" s="5" t="s">
        <v>313</v>
      </c>
      <c r="N176" s="11"/>
      <c r="O176" s="11"/>
      <c r="P176" s="29"/>
      <c r="Q176" s="22"/>
      <c r="R176" s="23">
        <f t="shared" si="174"/>
        <v>0.8</v>
      </c>
      <c r="S176" s="75">
        <f t="shared" si="175"/>
        <v>0</v>
      </c>
      <c r="T176" s="171"/>
      <c r="V176" s="41" t="s">
        <v>283</v>
      </c>
      <c r="W176" s="5" t="s">
        <v>381</v>
      </c>
      <c r="X176" s="41"/>
      <c r="Y176" s="41"/>
      <c r="Z176" s="29"/>
      <c r="AA176" s="22"/>
      <c r="AB176" s="23">
        <f t="shared" si="176"/>
        <v>0.8</v>
      </c>
      <c r="AC176" s="75">
        <f t="shared" si="177"/>
        <v>0</v>
      </c>
      <c r="AD176" s="171"/>
    </row>
    <row r="177" spans="2:30" hidden="1" outlineLevel="1" x14ac:dyDescent="0.25">
      <c r="B177" s="11"/>
      <c r="C177" s="5" t="s">
        <v>313</v>
      </c>
      <c r="D177" s="11"/>
      <c r="E177" s="11"/>
      <c r="F177" s="29"/>
      <c r="G177" s="22"/>
      <c r="H177" s="23">
        <f t="shared" si="172"/>
        <v>0.8</v>
      </c>
      <c r="I177" s="75">
        <f t="shared" si="173"/>
        <v>0</v>
      </c>
      <c r="J177" s="171"/>
      <c r="L177" s="11"/>
      <c r="M177" s="5" t="s">
        <v>313</v>
      </c>
      <c r="N177" s="11"/>
      <c r="O177" s="11"/>
      <c r="P177" s="29"/>
      <c r="Q177" s="22"/>
      <c r="R177" s="23">
        <f t="shared" si="174"/>
        <v>0.8</v>
      </c>
      <c r="S177" s="75">
        <f t="shared" si="175"/>
        <v>0</v>
      </c>
      <c r="T177" s="171"/>
      <c r="V177" s="41" t="s">
        <v>283</v>
      </c>
      <c r="W177" s="5" t="s">
        <v>381</v>
      </c>
      <c r="X177" s="41"/>
      <c r="Y177" s="41"/>
      <c r="Z177" s="29"/>
      <c r="AA177" s="22"/>
      <c r="AB177" s="23">
        <f t="shared" si="176"/>
        <v>0.8</v>
      </c>
      <c r="AC177" s="75">
        <f t="shared" si="177"/>
        <v>0</v>
      </c>
      <c r="AD177" s="171"/>
    </row>
    <row r="178" spans="2:30" hidden="1" outlineLevel="1" x14ac:dyDescent="0.25">
      <c r="B178" s="11"/>
      <c r="C178" s="5" t="s">
        <v>313</v>
      </c>
      <c r="D178" s="11"/>
      <c r="E178" s="11"/>
      <c r="F178" s="29"/>
      <c r="G178" s="22"/>
      <c r="H178" s="23">
        <f t="shared" si="172"/>
        <v>0.8</v>
      </c>
      <c r="I178" s="75">
        <f t="shared" si="173"/>
        <v>0</v>
      </c>
      <c r="J178" s="171"/>
      <c r="L178" s="11"/>
      <c r="M178" s="5" t="s">
        <v>313</v>
      </c>
      <c r="N178" s="11"/>
      <c r="O178" s="11"/>
      <c r="P178" s="29"/>
      <c r="Q178" s="22"/>
      <c r="R178" s="23">
        <f t="shared" si="174"/>
        <v>0.8</v>
      </c>
      <c r="S178" s="75">
        <f t="shared" si="175"/>
        <v>0</v>
      </c>
      <c r="T178" s="171"/>
      <c r="V178" s="41" t="s">
        <v>283</v>
      </c>
      <c r="W178" s="5" t="s">
        <v>381</v>
      </c>
      <c r="X178" s="41"/>
      <c r="Y178" s="41"/>
      <c r="Z178" s="29"/>
      <c r="AA178" s="22"/>
      <c r="AB178" s="23">
        <f t="shared" si="176"/>
        <v>0.8</v>
      </c>
      <c r="AC178" s="75">
        <f t="shared" si="177"/>
        <v>0</v>
      </c>
      <c r="AD178" s="171"/>
    </row>
    <row r="179" spans="2:30" hidden="1" outlineLevel="1" x14ac:dyDescent="0.25">
      <c r="B179" s="11"/>
      <c r="C179" s="5" t="s">
        <v>313</v>
      </c>
      <c r="D179" s="11"/>
      <c r="E179" s="11"/>
      <c r="F179" s="29"/>
      <c r="G179" s="22"/>
      <c r="H179" s="23">
        <f t="shared" si="172"/>
        <v>0.8</v>
      </c>
      <c r="I179" s="75">
        <f t="shared" si="173"/>
        <v>0</v>
      </c>
      <c r="J179" s="171"/>
      <c r="L179" s="11"/>
      <c r="M179" s="5" t="s">
        <v>313</v>
      </c>
      <c r="N179" s="11"/>
      <c r="O179" s="11"/>
      <c r="P179" s="29"/>
      <c r="Q179" s="22"/>
      <c r="R179" s="23">
        <f t="shared" si="174"/>
        <v>0.8</v>
      </c>
      <c r="S179" s="75">
        <f t="shared" si="175"/>
        <v>0</v>
      </c>
      <c r="T179" s="171"/>
      <c r="V179" s="41" t="s">
        <v>283</v>
      </c>
      <c r="W179" s="5" t="s">
        <v>381</v>
      </c>
      <c r="X179" s="41"/>
      <c r="Y179" s="41"/>
      <c r="Z179" s="29"/>
      <c r="AA179" s="22"/>
      <c r="AB179" s="23">
        <f t="shared" si="176"/>
        <v>0.8</v>
      </c>
      <c r="AC179" s="75">
        <f t="shared" si="177"/>
        <v>0</v>
      </c>
      <c r="AD179" s="171"/>
    </row>
    <row r="180" spans="2:30" hidden="1" outlineLevel="1" x14ac:dyDescent="0.25">
      <c r="B180" s="11"/>
      <c r="C180" s="5" t="s">
        <v>313</v>
      </c>
      <c r="D180" s="11"/>
      <c r="E180" s="11"/>
      <c r="F180" s="29"/>
      <c r="G180" s="22"/>
      <c r="H180" s="23">
        <f t="shared" si="172"/>
        <v>0.8</v>
      </c>
      <c r="I180" s="75">
        <f t="shared" si="173"/>
        <v>0</v>
      </c>
      <c r="J180" s="171"/>
      <c r="L180" s="11"/>
      <c r="M180" s="5" t="s">
        <v>313</v>
      </c>
      <c r="N180" s="11"/>
      <c r="O180" s="11"/>
      <c r="P180" s="29"/>
      <c r="Q180" s="22"/>
      <c r="R180" s="23">
        <f t="shared" si="174"/>
        <v>0.8</v>
      </c>
      <c r="S180" s="75">
        <f t="shared" si="175"/>
        <v>0</v>
      </c>
      <c r="T180" s="171"/>
      <c r="V180" s="41" t="s">
        <v>283</v>
      </c>
      <c r="W180" s="5" t="s">
        <v>381</v>
      </c>
      <c r="X180" s="41"/>
      <c r="Y180" s="41"/>
      <c r="Z180" s="29"/>
      <c r="AA180" s="22"/>
      <c r="AB180" s="23">
        <f t="shared" si="176"/>
        <v>0.8</v>
      </c>
      <c r="AC180" s="75">
        <f t="shared" si="177"/>
        <v>0</v>
      </c>
      <c r="AD180" s="171"/>
    </row>
    <row r="181" spans="2:30" hidden="1" outlineLevel="1" x14ac:dyDescent="0.25">
      <c r="B181" s="11"/>
      <c r="C181" s="5" t="s">
        <v>313</v>
      </c>
      <c r="D181" s="11"/>
      <c r="E181" s="11"/>
      <c r="F181" s="29"/>
      <c r="G181" s="22"/>
      <c r="H181" s="23">
        <f t="shared" si="172"/>
        <v>0.8</v>
      </c>
      <c r="I181" s="75">
        <f t="shared" si="173"/>
        <v>0</v>
      </c>
      <c r="J181" s="171"/>
      <c r="L181" s="11"/>
      <c r="M181" s="5" t="s">
        <v>313</v>
      </c>
      <c r="N181" s="11"/>
      <c r="O181" s="11"/>
      <c r="P181" s="29"/>
      <c r="Q181" s="22"/>
      <c r="R181" s="23">
        <f t="shared" si="174"/>
        <v>0.8</v>
      </c>
      <c r="S181" s="75">
        <f t="shared" si="175"/>
        <v>0</v>
      </c>
      <c r="T181" s="171"/>
      <c r="V181" s="41" t="s">
        <v>283</v>
      </c>
      <c r="W181" s="5" t="s">
        <v>381</v>
      </c>
      <c r="X181" s="41"/>
      <c r="Y181" s="41"/>
      <c r="Z181" s="29"/>
      <c r="AA181" s="22"/>
      <c r="AB181" s="23">
        <f t="shared" si="176"/>
        <v>0.8</v>
      </c>
      <c r="AC181" s="75">
        <f t="shared" si="177"/>
        <v>0</v>
      </c>
      <c r="AD181" s="171"/>
    </row>
    <row r="182" spans="2:30" hidden="1" outlineLevel="1" x14ac:dyDescent="0.25">
      <c r="B182" s="11"/>
      <c r="C182" s="5" t="s">
        <v>313</v>
      </c>
      <c r="D182" s="11"/>
      <c r="E182" s="11"/>
      <c r="F182" s="29"/>
      <c r="G182" s="22"/>
      <c r="H182" s="23">
        <f t="shared" si="172"/>
        <v>0.8</v>
      </c>
      <c r="I182" s="75">
        <f t="shared" si="173"/>
        <v>0</v>
      </c>
      <c r="J182" s="171"/>
      <c r="L182" s="11"/>
      <c r="M182" s="5" t="s">
        <v>313</v>
      </c>
      <c r="N182" s="11"/>
      <c r="O182" s="11"/>
      <c r="P182" s="29"/>
      <c r="Q182" s="22"/>
      <c r="R182" s="23">
        <f t="shared" si="174"/>
        <v>0.8</v>
      </c>
      <c r="S182" s="75">
        <f t="shared" si="175"/>
        <v>0</v>
      </c>
      <c r="T182" s="171"/>
      <c r="V182" s="41" t="s">
        <v>283</v>
      </c>
      <c r="W182" s="5" t="s">
        <v>381</v>
      </c>
      <c r="X182" s="41"/>
      <c r="Y182" s="41"/>
      <c r="Z182" s="29"/>
      <c r="AA182" s="22"/>
      <c r="AB182" s="23">
        <f t="shared" si="176"/>
        <v>0.8</v>
      </c>
      <c r="AC182" s="75">
        <f t="shared" si="177"/>
        <v>0</v>
      </c>
      <c r="AD182" s="171"/>
    </row>
    <row r="183" spans="2:30" hidden="1" outlineLevel="1" x14ac:dyDescent="0.25">
      <c r="B183" s="11"/>
      <c r="C183" s="5" t="s">
        <v>313</v>
      </c>
      <c r="D183" s="11"/>
      <c r="E183" s="11"/>
      <c r="F183" s="29"/>
      <c r="G183" s="22"/>
      <c r="H183" s="23">
        <f t="shared" si="172"/>
        <v>0.8</v>
      </c>
      <c r="I183" s="75">
        <f t="shared" si="173"/>
        <v>0</v>
      </c>
      <c r="J183" s="171"/>
      <c r="L183" s="11"/>
      <c r="M183" s="5" t="s">
        <v>313</v>
      </c>
      <c r="N183" s="11"/>
      <c r="O183" s="11"/>
      <c r="P183" s="29"/>
      <c r="Q183" s="22"/>
      <c r="R183" s="23">
        <f t="shared" si="174"/>
        <v>0.8</v>
      </c>
      <c r="S183" s="75">
        <f t="shared" si="175"/>
        <v>0</v>
      </c>
      <c r="T183" s="171"/>
      <c r="V183" s="41" t="s">
        <v>283</v>
      </c>
      <c r="W183" s="5" t="s">
        <v>381</v>
      </c>
      <c r="X183" s="41"/>
      <c r="Y183" s="41"/>
      <c r="Z183" s="29"/>
      <c r="AA183" s="22"/>
      <c r="AB183" s="23">
        <f t="shared" si="176"/>
        <v>0.8</v>
      </c>
      <c r="AC183" s="75">
        <f t="shared" si="177"/>
        <v>0</v>
      </c>
      <c r="AD183" s="171"/>
    </row>
    <row r="184" spans="2:30" hidden="1" outlineLevel="1" x14ac:dyDescent="0.25">
      <c r="B184" s="11"/>
      <c r="C184" s="5" t="s">
        <v>313</v>
      </c>
      <c r="D184" s="11"/>
      <c r="E184" s="11"/>
      <c r="F184" s="29"/>
      <c r="G184" s="22"/>
      <c r="H184" s="23">
        <f t="shared" si="172"/>
        <v>0.8</v>
      </c>
      <c r="I184" s="75">
        <f t="shared" si="173"/>
        <v>0</v>
      </c>
      <c r="J184" s="171"/>
      <c r="L184" s="11"/>
      <c r="M184" s="5" t="s">
        <v>313</v>
      </c>
      <c r="N184" s="11"/>
      <c r="O184" s="11"/>
      <c r="P184" s="29"/>
      <c r="Q184" s="22"/>
      <c r="R184" s="23">
        <f t="shared" si="174"/>
        <v>0.8</v>
      </c>
      <c r="S184" s="75">
        <f t="shared" si="175"/>
        <v>0</v>
      </c>
      <c r="T184" s="171"/>
      <c r="V184" s="41" t="s">
        <v>283</v>
      </c>
      <c r="W184" s="5" t="s">
        <v>381</v>
      </c>
      <c r="X184" s="41"/>
      <c r="Y184" s="41"/>
      <c r="Z184" s="29"/>
      <c r="AA184" s="22"/>
      <c r="AB184" s="23">
        <f t="shared" si="176"/>
        <v>0.8</v>
      </c>
      <c r="AC184" s="75">
        <f t="shared" si="177"/>
        <v>0</v>
      </c>
      <c r="AD184" s="171"/>
    </row>
    <row r="185" spans="2:30" s="24" customFormat="1" collapsed="1" x14ac:dyDescent="0.25">
      <c r="B185" s="8" t="str">
        <f>"Total "&amp;B169</f>
        <v>Total Facility (Factoring)</v>
      </c>
      <c r="C185" s="25"/>
      <c r="D185" s="28">
        <f>SUM(D170:D184)</f>
        <v>0</v>
      </c>
      <c r="E185" s="28">
        <f>SUM(E170:E184)</f>
        <v>0</v>
      </c>
      <c r="F185" s="30"/>
      <c r="G185" s="25"/>
      <c r="H185" s="168">
        <v>0.8</v>
      </c>
      <c r="I185" s="28">
        <f>SUM(I170:I184)</f>
        <v>0</v>
      </c>
      <c r="J185" s="170"/>
      <c r="L185" s="8" t="str">
        <f>"Total "&amp;L169</f>
        <v>Total Facility (Factoring)</v>
      </c>
      <c r="M185" s="25"/>
      <c r="N185" s="28">
        <f>SUM(N170:N184)</f>
        <v>0</v>
      </c>
      <c r="O185" s="28">
        <f>SUM(O170:O184)</f>
        <v>0</v>
      </c>
      <c r="P185" s="30"/>
      <c r="Q185" s="25"/>
      <c r="R185" s="168">
        <v>0.8</v>
      </c>
      <c r="S185" s="28">
        <f>SUM(S170:S184)</f>
        <v>0</v>
      </c>
      <c r="T185" s="170"/>
      <c r="V185" s="8" t="str">
        <f>"Total "&amp;V169</f>
        <v>Total Facility (Factoring)</v>
      </c>
      <c r="W185" s="25"/>
      <c r="X185" s="28">
        <f>SUM(X170:X184)</f>
        <v>0</v>
      </c>
      <c r="Y185" s="28">
        <f>SUM(Y170:Y184)</f>
        <v>0</v>
      </c>
      <c r="Z185" s="30"/>
      <c r="AA185" s="25"/>
      <c r="AB185" s="168">
        <v>0.8</v>
      </c>
      <c r="AC185" s="28">
        <f>SUM(AC170:AC184)</f>
        <v>0</v>
      </c>
      <c r="AD185" s="170"/>
    </row>
    <row r="187" spans="2:30" s="20" customFormat="1" ht="38.25" x14ac:dyDescent="0.25">
      <c r="B187" s="27" t="s">
        <v>18</v>
      </c>
      <c r="C187" s="3" t="str">
        <f>C$61</f>
        <v>Source</v>
      </c>
      <c r="D187" s="3" t="str">
        <f t="shared" ref="D187:J187" si="178">D$61</f>
        <v>Limit (A)</v>
      </c>
      <c r="E187" s="3" t="str">
        <f t="shared" si="178"/>
        <v>Outstanding (A1)</v>
      </c>
      <c r="F187" s="3" t="str">
        <f t="shared" si="178"/>
        <v>Monthly Repayment (B)</v>
      </c>
      <c r="G187" s="3" t="str">
        <f t="shared" si="178"/>
        <v>Interest Rate (C)</v>
      </c>
      <c r="H187" s="3" t="str">
        <f t="shared" si="178"/>
        <v>Factor (D)</v>
      </c>
      <c r="I187" s="3" t="str">
        <f t="shared" si="178"/>
        <v>Interest (E) = (A or A1) * (C) * (D)</v>
      </c>
      <c r="J187" s="3" t="str">
        <f t="shared" si="178"/>
        <v>Code Of Conduct</v>
      </c>
      <c r="L187" s="175" t="str">
        <f>B187</f>
        <v>Facility (Credit Card)</v>
      </c>
      <c r="M187" s="176" t="str">
        <f t="shared" ref="M187" si="179">C187</f>
        <v>Source</v>
      </c>
      <c r="N187" s="176" t="str">
        <f t="shared" ref="N187" si="180">D187</f>
        <v>Limit (A)</v>
      </c>
      <c r="O187" s="176" t="str">
        <f t="shared" ref="O187" si="181">E187</f>
        <v>Outstanding (A1)</v>
      </c>
      <c r="P187" s="176" t="str">
        <f t="shared" ref="P187" si="182">F187</f>
        <v>Monthly Repayment (B)</v>
      </c>
      <c r="Q187" s="176" t="str">
        <f t="shared" ref="Q187" si="183">G187</f>
        <v>Interest Rate (C)</v>
      </c>
      <c r="R187" s="176" t="str">
        <f t="shared" ref="R187" si="184">H187</f>
        <v>Factor (D)</v>
      </c>
      <c r="S187" s="176" t="str">
        <f t="shared" ref="S187" si="185">I187</f>
        <v>Interest (E) = (A or A1) * (C) * (D)</v>
      </c>
      <c r="T187" s="176" t="str">
        <f t="shared" ref="T187" si="186">J187</f>
        <v>Code Of Conduct</v>
      </c>
      <c r="V187" s="175" t="str">
        <f>L187</f>
        <v>Facility (Credit Card)</v>
      </c>
      <c r="W187" s="176" t="str">
        <f t="shared" ref="W187" si="187">M187</f>
        <v>Source</v>
      </c>
      <c r="X187" s="176" t="str">
        <f t="shared" ref="X187" si="188">N187</f>
        <v>Limit (A)</v>
      </c>
      <c r="Y187" s="176" t="str">
        <f t="shared" ref="Y187" si="189">O187</f>
        <v>Outstanding (A1)</v>
      </c>
      <c r="Z187" s="176" t="str">
        <f t="shared" ref="Z187" si="190">P187</f>
        <v>Monthly Repayment (B)</v>
      </c>
      <c r="AA187" s="176" t="str">
        <f t="shared" ref="AA187" si="191">Q187</f>
        <v>Interest Rate (C)</v>
      </c>
      <c r="AB187" s="176" t="str">
        <f t="shared" ref="AB187" si="192">R187</f>
        <v>Factor (D)</v>
      </c>
      <c r="AC187" s="176" t="str">
        <f t="shared" ref="AC187" si="193">S187</f>
        <v>Interest (E) = (A or A1) * (C) * (D)</v>
      </c>
      <c r="AD187" s="176" t="str">
        <f t="shared" ref="AD187" si="194">T187</f>
        <v>Code Of Conduct</v>
      </c>
    </row>
    <row r="188" spans="2:30" x14ac:dyDescent="0.25">
      <c r="B188" s="11"/>
      <c r="C188" s="5" t="s">
        <v>313</v>
      </c>
      <c r="D188" s="11"/>
      <c r="E188" s="97"/>
      <c r="F188" s="29"/>
      <c r="G188" s="22"/>
      <c r="H188" s="23">
        <f>H$203</f>
        <v>0.05</v>
      </c>
      <c r="I188" s="75">
        <f>E188*H188</f>
        <v>0</v>
      </c>
      <c r="J188" s="171"/>
      <c r="L188" s="11"/>
      <c r="M188" s="5" t="s">
        <v>310</v>
      </c>
      <c r="N188" s="11"/>
      <c r="O188" s="97"/>
      <c r="P188" s="29"/>
      <c r="Q188" s="22"/>
      <c r="R188" s="23">
        <f>R$203</f>
        <v>0.05</v>
      </c>
      <c r="S188" s="75">
        <f>O188*R188</f>
        <v>0</v>
      </c>
      <c r="T188" s="171"/>
      <c r="V188" s="41" t="s">
        <v>283</v>
      </c>
      <c r="W188" s="5" t="s">
        <v>381</v>
      </c>
      <c r="X188" s="41"/>
      <c r="Y188" s="41"/>
      <c r="Z188" s="29"/>
      <c r="AA188" s="22"/>
      <c r="AB188" s="23">
        <f>AB$203</f>
        <v>0.05</v>
      </c>
      <c r="AC188" s="75">
        <f>Y188*AB188</f>
        <v>0</v>
      </c>
      <c r="AD188" s="171"/>
    </row>
    <row r="189" spans="2:30" x14ac:dyDescent="0.25">
      <c r="B189" s="11"/>
      <c r="C189" s="5" t="s">
        <v>313</v>
      </c>
      <c r="D189" s="11"/>
      <c r="E189" s="11"/>
      <c r="F189" s="29"/>
      <c r="G189" s="22"/>
      <c r="H189" s="23">
        <f t="shared" ref="H189:H202" si="195">H$203</f>
        <v>0.05</v>
      </c>
      <c r="I189" s="75">
        <f t="shared" ref="I189:I202" si="196">E189*H189</f>
        <v>0</v>
      </c>
      <c r="J189" s="171"/>
      <c r="L189" s="11"/>
      <c r="M189" s="5" t="s">
        <v>313</v>
      </c>
      <c r="N189" s="11"/>
      <c r="O189" s="11"/>
      <c r="P189" s="29"/>
      <c r="Q189" s="22"/>
      <c r="R189" s="23">
        <f t="shared" ref="R189:R202" si="197">R$203</f>
        <v>0.05</v>
      </c>
      <c r="S189" s="75">
        <f t="shared" ref="S189:S202" si="198">O189*R189</f>
        <v>0</v>
      </c>
      <c r="T189" s="171"/>
      <c r="V189" s="41" t="s">
        <v>283</v>
      </c>
      <c r="W189" s="5" t="s">
        <v>381</v>
      </c>
      <c r="X189" s="41"/>
      <c r="Y189" s="41"/>
      <c r="Z189" s="29"/>
      <c r="AA189" s="22"/>
      <c r="AB189" s="23">
        <f t="shared" ref="AB189:AB202" si="199">AB$203</f>
        <v>0.05</v>
      </c>
      <c r="AC189" s="75">
        <f t="shared" ref="AC189:AC202" si="200">Y189*AB189</f>
        <v>0</v>
      </c>
      <c r="AD189" s="171"/>
    </row>
    <row r="190" spans="2:30" x14ac:dyDescent="0.25">
      <c r="B190" s="11"/>
      <c r="C190" s="5" t="s">
        <v>313</v>
      </c>
      <c r="D190" s="11"/>
      <c r="E190" s="11"/>
      <c r="F190" s="29"/>
      <c r="G190" s="22"/>
      <c r="H190" s="23">
        <f t="shared" si="195"/>
        <v>0.05</v>
      </c>
      <c r="I190" s="75">
        <f t="shared" si="196"/>
        <v>0</v>
      </c>
      <c r="J190" s="171"/>
      <c r="L190" s="11"/>
      <c r="M190" s="5" t="s">
        <v>313</v>
      </c>
      <c r="N190" s="11"/>
      <c r="O190" s="11"/>
      <c r="P190" s="29"/>
      <c r="Q190" s="22"/>
      <c r="R190" s="23">
        <f t="shared" si="197"/>
        <v>0.05</v>
      </c>
      <c r="S190" s="75">
        <f t="shared" si="198"/>
        <v>0</v>
      </c>
      <c r="T190" s="171"/>
      <c r="V190" s="41" t="s">
        <v>283</v>
      </c>
      <c r="W190" s="5" t="s">
        <v>381</v>
      </c>
      <c r="X190" s="41"/>
      <c r="Y190" s="41"/>
      <c r="Z190" s="29"/>
      <c r="AA190" s="22"/>
      <c r="AB190" s="23">
        <f t="shared" si="199"/>
        <v>0.05</v>
      </c>
      <c r="AC190" s="75">
        <f t="shared" si="200"/>
        <v>0</v>
      </c>
      <c r="AD190" s="171"/>
    </row>
    <row r="191" spans="2:30" x14ac:dyDescent="0.25">
      <c r="B191" s="11"/>
      <c r="C191" s="5" t="s">
        <v>313</v>
      </c>
      <c r="D191" s="11"/>
      <c r="E191" s="11"/>
      <c r="F191" s="29"/>
      <c r="G191" s="22"/>
      <c r="H191" s="23">
        <f t="shared" si="195"/>
        <v>0.05</v>
      </c>
      <c r="I191" s="75">
        <f t="shared" si="196"/>
        <v>0</v>
      </c>
      <c r="J191" s="171"/>
      <c r="L191" s="11"/>
      <c r="M191" s="5" t="s">
        <v>313</v>
      </c>
      <c r="N191" s="11"/>
      <c r="O191" s="11"/>
      <c r="P191" s="29"/>
      <c r="Q191" s="22"/>
      <c r="R191" s="23">
        <f t="shared" si="197"/>
        <v>0.05</v>
      </c>
      <c r="S191" s="75">
        <f t="shared" si="198"/>
        <v>0</v>
      </c>
      <c r="T191" s="171"/>
      <c r="V191" s="41" t="s">
        <v>283</v>
      </c>
      <c r="W191" s="5" t="s">
        <v>381</v>
      </c>
      <c r="X191" s="41"/>
      <c r="Y191" s="41"/>
      <c r="Z191" s="29"/>
      <c r="AA191" s="22"/>
      <c r="AB191" s="23">
        <f t="shared" si="199"/>
        <v>0.05</v>
      </c>
      <c r="AC191" s="75">
        <f t="shared" si="200"/>
        <v>0</v>
      </c>
      <c r="AD191" s="171"/>
    </row>
    <row r="192" spans="2:30" x14ac:dyDescent="0.25">
      <c r="B192" s="11"/>
      <c r="C192" s="5" t="s">
        <v>313</v>
      </c>
      <c r="D192" s="11"/>
      <c r="E192" s="11"/>
      <c r="F192" s="29"/>
      <c r="G192" s="22"/>
      <c r="H192" s="23">
        <f t="shared" si="195"/>
        <v>0.05</v>
      </c>
      <c r="I192" s="75">
        <f t="shared" si="196"/>
        <v>0</v>
      </c>
      <c r="J192" s="171"/>
      <c r="L192" s="11"/>
      <c r="M192" s="5" t="s">
        <v>313</v>
      </c>
      <c r="N192" s="11"/>
      <c r="O192" s="11"/>
      <c r="P192" s="29"/>
      <c r="Q192" s="22"/>
      <c r="R192" s="23">
        <f t="shared" si="197"/>
        <v>0.05</v>
      </c>
      <c r="S192" s="75">
        <f t="shared" si="198"/>
        <v>0</v>
      </c>
      <c r="T192" s="171"/>
      <c r="V192" s="41" t="s">
        <v>283</v>
      </c>
      <c r="W192" s="5" t="s">
        <v>381</v>
      </c>
      <c r="X192" s="41"/>
      <c r="Y192" s="41"/>
      <c r="Z192" s="29"/>
      <c r="AA192" s="22"/>
      <c r="AB192" s="23">
        <f t="shared" si="199"/>
        <v>0.05</v>
      </c>
      <c r="AC192" s="75">
        <f t="shared" si="200"/>
        <v>0</v>
      </c>
      <c r="AD192" s="171"/>
    </row>
    <row r="193" spans="2:30" x14ac:dyDescent="0.25">
      <c r="B193" s="11"/>
      <c r="C193" s="5" t="s">
        <v>313</v>
      </c>
      <c r="D193" s="11"/>
      <c r="E193" s="11"/>
      <c r="F193" s="29"/>
      <c r="G193" s="22"/>
      <c r="H193" s="23">
        <f t="shared" si="195"/>
        <v>0.05</v>
      </c>
      <c r="I193" s="75">
        <f t="shared" si="196"/>
        <v>0</v>
      </c>
      <c r="J193" s="171"/>
      <c r="L193" s="11"/>
      <c r="M193" s="5" t="s">
        <v>313</v>
      </c>
      <c r="N193" s="11"/>
      <c r="O193" s="11"/>
      <c r="P193" s="29"/>
      <c r="Q193" s="22"/>
      <c r="R193" s="23">
        <f t="shared" si="197"/>
        <v>0.05</v>
      </c>
      <c r="S193" s="75">
        <f t="shared" si="198"/>
        <v>0</v>
      </c>
      <c r="T193" s="171"/>
      <c r="V193" s="41" t="s">
        <v>283</v>
      </c>
      <c r="W193" s="5" t="s">
        <v>381</v>
      </c>
      <c r="X193" s="41"/>
      <c r="Y193" s="41"/>
      <c r="Z193" s="29"/>
      <c r="AA193" s="22"/>
      <c r="AB193" s="23">
        <f t="shared" si="199"/>
        <v>0.05</v>
      </c>
      <c r="AC193" s="75">
        <f t="shared" si="200"/>
        <v>0</v>
      </c>
      <c r="AD193" s="171"/>
    </row>
    <row r="194" spans="2:30" hidden="1" outlineLevel="1" x14ac:dyDescent="0.25">
      <c r="B194" s="11"/>
      <c r="C194" s="5" t="s">
        <v>313</v>
      </c>
      <c r="D194" s="11"/>
      <c r="E194" s="11"/>
      <c r="F194" s="29"/>
      <c r="G194" s="22"/>
      <c r="H194" s="23">
        <f t="shared" si="195"/>
        <v>0.05</v>
      </c>
      <c r="I194" s="75">
        <f t="shared" si="196"/>
        <v>0</v>
      </c>
      <c r="J194" s="171"/>
      <c r="L194" s="11"/>
      <c r="M194" s="5" t="s">
        <v>313</v>
      </c>
      <c r="N194" s="11"/>
      <c r="O194" s="11"/>
      <c r="P194" s="29"/>
      <c r="Q194" s="22"/>
      <c r="R194" s="23">
        <f t="shared" si="197"/>
        <v>0.05</v>
      </c>
      <c r="S194" s="75">
        <f t="shared" si="198"/>
        <v>0</v>
      </c>
      <c r="T194" s="171"/>
      <c r="V194" s="41" t="s">
        <v>283</v>
      </c>
      <c r="W194" s="5" t="s">
        <v>381</v>
      </c>
      <c r="X194" s="41"/>
      <c r="Y194" s="41"/>
      <c r="Z194" s="29"/>
      <c r="AA194" s="22"/>
      <c r="AB194" s="23">
        <f t="shared" si="199"/>
        <v>0.05</v>
      </c>
      <c r="AC194" s="75">
        <f t="shared" si="200"/>
        <v>0</v>
      </c>
      <c r="AD194" s="171"/>
    </row>
    <row r="195" spans="2:30" hidden="1" outlineLevel="1" x14ac:dyDescent="0.25">
      <c r="B195" s="11"/>
      <c r="C195" s="5" t="s">
        <v>313</v>
      </c>
      <c r="D195" s="11"/>
      <c r="E195" s="11"/>
      <c r="F195" s="29"/>
      <c r="G195" s="22"/>
      <c r="H195" s="23">
        <f t="shared" si="195"/>
        <v>0.05</v>
      </c>
      <c r="I195" s="75">
        <f t="shared" si="196"/>
        <v>0</v>
      </c>
      <c r="J195" s="171"/>
      <c r="L195" s="11"/>
      <c r="M195" s="5" t="s">
        <v>313</v>
      </c>
      <c r="N195" s="11"/>
      <c r="O195" s="11"/>
      <c r="P195" s="29"/>
      <c r="Q195" s="22"/>
      <c r="R195" s="23">
        <f t="shared" si="197"/>
        <v>0.05</v>
      </c>
      <c r="S195" s="75">
        <f t="shared" si="198"/>
        <v>0</v>
      </c>
      <c r="T195" s="171"/>
      <c r="V195" s="41" t="s">
        <v>283</v>
      </c>
      <c r="W195" s="5" t="s">
        <v>381</v>
      </c>
      <c r="X195" s="41"/>
      <c r="Y195" s="41"/>
      <c r="Z195" s="29"/>
      <c r="AA195" s="22"/>
      <c r="AB195" s="23">
        <f t="shared" si="199"/>
        <v>0.05</v>
      </c>
      <c r="AC195" s="75">
        <f t="shared" si="200"/>
        <v>0</v>
      </c>
      <c r="AD195" s="171"/>
    </row>
    <row r="196" spans="2:30" hidden="1" outlineLevel="1" x14ac:dyDescent="0.25">
      <c r="B196" s="11"/>
      <c r="C196" s="5" t="s">
        <v>313</v>
      </c>
      <c r="D196" s="11"/>
      <c r="E196" s="11"/>
      <c r="F196" s="29"/>
      <c r="G196" s="22"/>
      <c r="H196" s="23">
        <f t="shared" si="195"/>
        <v>0.05</v>
      </c>
      <c r="I196" s="75">
        <f t="shared" si="196"/>
        <v>0</v>
      </c>
      <c r="J196" s="171"/>
      <c r="L196" s="11"/>
      <c r="M196" s="5" t="s">
        <v>313</v>
      </c>
      <c r="N196" s="11"/>
      <c r="O196" s="11"/>
      <c r="P196" s="29"/>
      <c r="Q196" s="22"/>
      <c r="R196" s="23">
        <f t="shared" si="197"/>
        <v>0.05</v>
      </c>
      <c r="S196" s="75">
        <f t="shared" si="198"/>
        <v>0</v>
      </c>
      <c r="T196" s="171"/>
      <c r="V196" s="41" t="s">
        <v>283</v>
      </c>
      <c r="W196" s="5" t="s">
        <v>381</v>
      </c>
      <c r="X196" s="41"/>
      <c r="Y196" s="41"/>
      <c r="Z196" s="29"/>
      <c r="AA196" s="22"/>
      <c r="AB196" s="23">
        <f t="shared" si="199"/>
        <v>0.05</v>
      </c>
      <c r="AC196" s="75">
        <f t="shared" si="200"/>
        <v>0</v>
      </c>
      <c r="AD196" s="171"/>
    </row>
    <row r="197" spans="2:30" hidden="1" outlineLevel="1" x14ac:dyDescent="0.25">
      <c r="B197" s="11"/>
      <c r="C197" s="5" t="s">
        <v>313</v>
      </c>
      <c r="D197" s="11"/>
      <c r="E197" s="11"/>
      <c r="F197" s="29"/>
      <c r="G197" s="22"/>
      <c r="H197" s="23">
        <f t="shared" si="195"/>
        <v>0.05</v>
      </c>
      <c r="I197" s="75">
        <f t="shared" si="196"/>
        <v>0</v>
      </c>
      <c r="J197" s="171"/>
      <c r="L197" s="11"/>
      <c r="M197" s="5" t="s">
        <v>313</v>
      </c>
      <c r="N197" s="11"/>
      <c r="O197" s="11"/>
      <c r="P197" s="29"/>
      <c r="Q197" s="22"/>
      <c r="R197" s="23">
        <f t="shared" si="197"/>
        <v>0.05</v>
      </c>
      <c r="S197" s="75">
        <f t="shared" si="198"/>
        <v>0</v>
      </c>
      <c r="T197" s="171"/>
      <c r="V197" s="41" t="s">
        <v>283</v>
      </c>
      <c r="W197" s="5" t="s">
        <v>381</v>
      </c>
      <c r="X197" s="41"/>
      <c r="Y197" s="41"/>
      <c r="Z197" s="29"/>
      <c r="AA197" s="22"/>
      <c r="AB197" s="23">
        <f t="shared" si="199"/>
        <v>0.05</v>
      </c>
      <c r="AC197" s="75">
        <f t="shared" si="200"/>
        <v>0</v>
      </c>
      <c r="AD197" s="171"/>
    </row>
    <row r="198" spans="2:30" hidden="1" outlineLevel="1" x14ac:dyDescent="0.25">
      <c r="B198" s="11"/>
      <c r="C198" s="5" t="s">
        <v>313</v>
      </c>
      <c r="D198" s="11"/>
      <c r="E198" s="11"/>
      <c r="F198" s="29"/>
      <c r="G198" s="22"/>
      <c r="H198" s="23">
        <f t="shared" si="195"/>
        <v>0.05</v>
      </c>
      <c r="I198" s="75">
        <f t="shared" si="196"/>
        <v>0</v>
      </c>
      <c r="J198" s="171"/>
      <c r="L198" s="11"/>
      <c r="M198" s="5" t="s">
        <v>313</v>
      </c>
      <c r="N198" s="11"/>
      <c r="O198" s="11"/>
      <c r="P198" s="29"/>
      <c r="Q198" s="22"/>
      <c r="R198" s="23">
        <f t="shared" si="197"/>
        <v>0.05</v>
      </c>
      <c r="S198" s="75">
        <f t="shared" si="198"/>
        <v>0</v>
      </c>
      <c r="T198" s="171"/>
      <c r="V198" s="41" t="s">
        <v>283</v>
      </c>
      <c r="W198" s="5" t="s">
        <v>381</v>
      </c>
      <c r="X198" s="41"/>
      <c r="Y198" s="41"/>
      <c r="Z198" s="29"/>
      <c r="AA198" s="22"/>
      <c r="AB198" s="23">
        <f t="shared" si="199"/>
        <v>0.05</v>
      </c>
      <c r="AC198" s="75">
        <f t="shared" si="200"/>
        <v>0</v>
      </c>
      <c r="AD198" s="171"/>
    </row>
    <row r="199" spans="2:30" hidden="1" outlineLevel="1" x14ac:dyDescent="0.25">
      <c r="B199" s="11"/>
      <c r="C199" s="5" t="s">
        <v>313</v>
      </c>
      <c r="D199" s="11"/>
      <c r="E199" s="11"/>
      <c r="F199" s="29"/>
      <c r="G199" s="22"/>
      <c r="H199" s="23">
        <f t="shared" si="195"/>
        <v>0.05</v>
      </c>
      <c r="I199" s="75">
        <f t="shared" si="196"/>
        <v>0</v>
      </c>
      <c r="J199" s="171"/>
      <c r="L199" s="11"/>
      <c r="M199" s="5" t="s">
        <v>313</v>
      </c>
      <c r="N199" s="11"/>
      <c r="O199" s="11"/>
      <c r="P199" s="29"/>
      <c r="Q199" s="22"/>
      <c r="R199" s="23">
        <f t="shared" si="197"/>
        <v>0.05</v>
      </c>
      <c r="S199" s="75">
        <f t="shared" si="198"/>
        <v>0</v>
      </c>
      <c r="T199" s="171"/>
      <c r="V199" s="41" t="s">
        <v>283</v>
      </c>
      <c r="W199" s="5" t="s">
        <v>381</v>
      </c>
      <c r="X199" s="41"/>
      <c r="Y199" s="41"/>
      <c r="Z199" s="29"/>
      <c r="AA199" s="22"/>
      <c r="AB199" s="23">
        <f t="shared" si="199"/>
        <v>0.05</v>
      </c>
      <c r="AC199" s="75">
        <f t="shared" si="200"/>
        <v>0</v>
      </c>
      <c r="AD199" s="171"/>
    </row>
    <row r="200" spans="2:30" hidden="1" outlineLevel="1" x14ac:dyDescent="0.25">
      <c r="B200" s="11"/>
      <c r="C200" s="5" t="s">
        <v>313</v>
      </c>
      <c r="D200" s="11"/>
      <c r="E200" s="11"/>
      <c r="F200" s="29"/>
      <c r="G200" s="22"/>
      <c r="H200" s="23">
        <f t="shared" si="195"/>
        <v>0.05</v>
      </c>
      <c r="I200" s="75">
        <f t="shared" si="196"/>
        <v>0</v>
      </c>
      <c r="J200" s="171"/>
      <c r="L200" s="11"/>
      <c r="M200" s="5" t="s">
        <v>313</v>
      </c>
      <c r="N200" s="11"/>
      <c r="O200" s="11"/>
      <c r="P200" s="29"/>
      <c r="Q200" s="22"/>
      <c r="R200" s="23">
        <f t="shared" si="197"/>
        <v>0.05</v>
      </c>
      <c r="S200" s="75">
        <f t="shared" si="198"/>
        <v>0</v>
      </c>
      <c r="T200" s="171"/>
      <c r="V200" s="41" t="s">
        <v>283</v>
      </c>
      <c r="W200" s="5" t="s">
        <v>381</v>
      </c>
      <c r="X200" s="41"/>
      <c r="Y200" s="41"/>
      <c r="Z200" s="29"/>
      <c r="AA200" s="22"/>
      <c r="AB200" s="23">
        <f t="shared" si="199"/>
        <v>0.05</v>
      </c>
      <c r="AC200" s="75">
        <f t="shared" si="200"/>
        <v>0</v>
      </c>
      <c r="AD200" s="171"/>
    </row>
    <row r="201" spans="2:30" hidden="1" outlineLevel="1" x14ac:dyDescent="0.25">
      <c r="B201" s="11"/>
      <c r="C201" s="5" t="s">
        <v>313</v>
      </c>
      <c r="D201" s="11"/>
      <c r="E201" s="11"/>
      <c r="F201" s="29"/>
      <c r="G201" s="22"/>
      <c r="H201" s="23">
        <f t="shared" si="195"/>
        <v>0.05</v>
      </c>
      <c r="I201" s="75">
        <f t="shared" si="196"/>
        <v>0</v>
      </c>
      <c r="J201" s="171"/>
      <c r="L201" s="11"/>
      <c r="M201" s="5" t="s">
        <v>313</v>
      </c>
      <c r="N201" s="11"/>
      <c r="O201" s="11"/>
      <c r="P201" s="29"/>
      <c r="Q201" s="22"/>
      <c r="R201" s="23">
        <f t="shared" si="197"/>
        <v>0.05</v>
      </c>
      <c r="S201" s="75">
        <f t="shared" si="198"/>
        <v>0</v>
      </c>
      <c r="T201" s="171"/>
      <c r="V201" s="41" t="s">
        <v>283</v>
      </c>
      <c r="W201" s="5" t="s">
        <v>381</v>
      </c>
      <c r="X201" s="41"/>
      <c r="Y201" s="41"/>
      <c r="Z201" s="29"/>
      <c r="AA201" s="22"/>
      <c r="AB201" s="23">
        <f t="shared" si="199"/>
        <v>0.05</v>
      </c>
      <c r="AC201" s="75">
        <f t="shared" si="200"/>
        <v>0</v>
      </c>
      <c r="AD201" s="171"/>
    </row>
    <row r="202" spans="2:30" hidden="1" outlineLevel="1" x14ac:dyDescent="0.25">
      <c r="B202" s="11"/>
      <c r="C202" s="5" t="s">
        <v>313</v>
      </c>
      <c r="D202" s="11"/>
      <c r="E202" s="11"/>
      <c r="F202" s="29"/>
      <c r="G202" s="22"/>
      <c r="H202" s="23">
        <f t="shared" si="195"/>
        <v>0.05</v>
      </c>
      <c r="I202" s="75">
        <f t="shared" si="196"/>
        <v>0</v>
      </c>
      <c r="J202" s="171"/>
      <c r="L202" s="11"/>
      <c r="M202" s="5" t="s">
        <v>313</v>
      </c>
      <c r="N202" s="11"/>
      <c r="O202" s="11"/>
      <c r="P202" s="29"/>
      <c r="Q202" s="22"/>
      <c r="R202" s="23">
        <f t="shared" si="197"/>
        <v>0.05</v>
      </c>
      <c r="S202" s="75">
        <f t="shared" si="198"/>
        <v>0</v>
      </c>
      <c r="T202" s="171"/>
      <c r="V202" s="41" t="s">
        <v>283</v>
      </c>
      <c r="W202" s="5" t="s">
        <v>381</v>
      </c>
      <c r="X202" s="41"/>
      <c r="Y202" s="41"/>
      <c r="Z202" s="29"/>
      <c r="AA202" s="22"/>
      <c r="AB202" s="23">
        <f t="shared" si="199"/>
        <v>0.05</v>
      </c>
      <c r="AC202" s="75">
        <f t="shared" si="200"/>
        <v>0</v>
      </c>
      <c r="AD202" s="171"/>
    </row>
    <row r="203" spans="2:30" s="24" customFormat="1" collapsed="1" x14ac:dyDescent="0.25">
      <c r="B203" s="8" t="str">
        <f>"Total "&amp;B187</f>
        <v>Total Facility (Credit Card)</v>
      </c>
      <c r="C203" s="25"/>
      <c r="D203" s="28">
        <f>SUM(D188:D202)</f>
        <v>0</v>
      </c>
      <c r="E203" s="28">
        <f>SUM(E188:E202)</f>
        <v>0</v>
      </c>
      <c r="F203" s="30"/>
      <c r="G203" s="25"/>
      <c r="H203" s="168">
        <v>0.05</v>
      </c>
      <c r="I203" s="28">
        <f>SUM(I188:I202)</f>
        <v>0</v>
      </c>
      <c r="J203" s="170"/>
      <c r="L203" s="8" t="str">
        <f>"Total "&amp;L187</f>
        <v>Total Facility (Credit Card)</v>
      </c>
      <c r="M203" s="25"/>
      <c r="N203" s="28">
        <f>SUM(N188:N202)</f>
        <v>0</v>
      </c>
      <c r="O203" s="28">
        <f>SUM(O188:O202)</f>
        <v>0</v>
      </c>
      <c r="P203" s="30"/>
      <c r="Q203" s="25"/>
      <c r="R203" s="168">
        <v>0.05</v>
      </c>
      <c r="S203" s="28">
        <f>SUM(S188:S202)</f>
        <v>0</v>
      </c>
      <c r="T203" s="170"/>
      <c r="V203" s="8" t="str">
        <f>"Total "&amp;V187</f>
        <v>Total Facility (Credit Card)</v>
      </c>
      <c r="W203" s="25"/>
      <c r="X203" s="28">
        <f>SUM(X188:X202)</f>
        <v>0</v>
      </c>
      <c r="Y203" s="28">
        <f>SUM(Y188:Y202)</f>
        <v>0</v>
      </c>
      <c r="Z203" s="30"/>
      <c r="AA203" s="25"/>
      <c r="AB203" s="168">
        <v>0.05</v>
      </c>
      <c r="AC203" s="28">
        <f>SUM(AC188:AC202)</f>
        <v>0</v>
      </c>
      <c r="AD203" s="170"/>
    </row>
    <row r="205" spans="2:30" s="20" customFormat="1" ht="38.25" x14ac:dyDescent="0.25">
      <c r="B205" s="27" t="s">
        <v>16</v>
      </c>
      <c r="C205" s="3" t="str">
        <f>C$61</f>
        <v>Source</v>
      </c>
      <c r="D205" s="3" t="str">
        <f t="shared" ref="D205:J205" si="201">D$61</f>
        <v>Limit (A)</v>
      </c>
      <c r="E205" s="3" t="str">
        <f t="shared" si="201"/>
        <v>Outstanding (A1)</v>
      </c>
      <c r="F205" s="3" t="str">
        <f t="shared" si="201"/>
        <v>Monthly Repayment (B)</v>
      </c>
      <c r="G205" s="3" t="str">
        <f t="shared" si="201"/>
        <v>Interest Rate (C)</v>
      </c>
      <c r="H205" s="3" t="str">
        <f t="shared" si="201"/>
        <v>Factor (D)</v>
      </c>
      <c r="I205" s="3" t="str">
        <f t="shared" si="201"/>
        <v>Interest (E) = (A or A1) * (C) * (D)</v>
      </c>
      <c r="J205" s="3" t="str">
        <f t="shared" si="201"/>
        <v>Code Of Conduct</v>
      </c>
      <c r="L205" s="175" t="str">
        <f>B205</f>
        <v>Facility (Term-loan)</v>
      </c>
      <c r="M205" s="176" t="str">
        <f t="shared" ref="M205" si="202">C205</f>
        <v>Source</v>
      </c>
      <c r="N205" s="176" t="str">
        <f t="shared" ref="N205" si="203">D205</f>
        <v>Limit (A)</v>
      </c>
      <c r="O205" s="176" t="str">
        <f t="shared" ref="O205" si="204">E205</f>
        <v>Outstanding (A1)</v>
      </c>
      <c r="P205" s="176" t="str">
        <f t="shared" ref="P205" si="205">F205</f>
        <v>Monthly Repayment (B)</v>
      </c>
      <c r="Q205" s="176" t="str">
        <f t="shared" ref="Q205" si="206">G205</f>
        <v>Interest Rate (C)</v>
      </c>
      <c r="R205" s="176" t="str">
        <f t="shared" ref="R205" si="207">H205</f>
        <v>Factor (D)</v>
      </c>
      <c r="S205" s="176" t="str">
        <f t="shared" ref="S205" si="208">I205</f>
        <v>Interest (E) = (A or A1) * (C) * (D)</v>
      </c>
      <c r="T205" s="176" t="str">
        <f t="shared" ref="T205" si="209">J205</f>
        <v>Code Of Conduct</v>
      </c>
      <c r="V205" s="175" t="str">
        <f>L205</f>
        <v>Facility (Term-loan)</v>
      </c>
      <c r="W205" s="176" t="str">
        <f t="shared" ref="W205" si="210">M205</f>
        <v>Source</v>
      </c>
      <c r="X205" s="176" t="str">
        <f t="shared" ref="X205" si="211">N205</f>
        <v>Limit (A)</v>
      </c>
      <c r="Y205" s="176" t="str">
        <f t="shared" ref="Y205" si="212">O205</f>
        <v>Outstanding (A1)</v>
      </c>
      <c r="Z205" s="176" t="str">
        <f t="shared" ref="Z205" si="213">P205</f>
        <v>Monthly Repayment (B)</v>
      </c>
      <c r="AA205" s="176" t="str">
        <f t="shared" ref="AA205" si="214">Q205</f>
        <v>Interest Rate (C)</v>
      </c>
      <c r="AB205" s="176" t="str">
        <f t="shared" ref="AB205" si="215">R205</f>
        <v>Factor (D)</v>
      </c>
      <c r="AC205" s="176" t="str">
        <f t="shared" ref="AC205" si="216">S205</f>
        <v>Interest (E) = (A or A1) * (C) * (D)</v>
      </c>
      <c r="AD205" s="176" t="str">
        <f t="shared" ref="AD205" si="217">T205</f>
        <v>Code Of Conduct</v>
      </c>
    </row>
    <row r="206" spans="2:30" x14ac:dyDescent="0.25">
      <c r="B206" s="11" t="s">
        <v>926</v>
      </c>
      <c r="C206" s="5" t="s">
        <v>381</v>
      </c>
      <c r="D206" s="11">
        <v>150000</v>
      </c>
      <c r="E206" s="11">
        <v>0</v>
      </c>
      <c r="F206" s="11">
        <v>0</v>
      </c>
      <c r="G206" s="22"/>
      <c r="H206" s="32"/>
      <c r="I206" s="29"/>
      <c r="J206" s="171"/>
      <c r="L206" s="11"/>
      <c r="M206" s="5" t="s">
        <v>310</v>
      </c>
      <c r="N206" s="97"/>
      <c r="O206" s="97"/>
      <c r="P206" s="97"/>
      <c r="Q206" s="22"/>
      <c r="R206" s="32"/>
      <c r="S206" s="29"/>
      <c r="T206" s="171"/>
      <c r="V206" s="41" t="s">
        <v>283</v>
      </c>
      <c r="W206" s="5" t="s">
        <v>381</v>
      </c>
      <c r="X206" s="40"/>
      <c r="Y206" s="40"/>
      <c r="Z206" s="40"/>
      <c r="AA206" s="22"/>
      <c r="AB206" s="32"/>
      <c r="AC206" s="29"/>
      <c r="AD206" s="171"/>
    </row>
    <row r="207" spans="2:30" x14ac:dyDescent="0.25">
      <c r="B207" s="11" t="s">
        <v>927</v>
      </c>
      <c r="C207" s="5" t="s">
        <v>381</v>
      </c>
      <c r="D207" s="11">
        <v>50000</v>
      </c>
      <c r="E207" s="11">
        <v>1703</v>
      </c>
      <c r="F207" s="11">
        <v>990</v>
      </c>
      <c r="G207" s="22"/>
      <c r="H207" s="32"/>
      <c r="I207" s="29"/>
      <c r="J207" s="171"/>
      <c r="L207" s="11"/>
      <c r="M207" s="5" t="s">
        <v>313</v>
      </c>
      <c r="N207" s="97"/>
      <c r="O207" s="97"/>
      <c r="P207" s="97"/>
      <c r="Q207" s="22"/>
      <c r="R207" s="32"/>
      <c r="S207" s="29"/>
      <c r="T207" s="171"/>
      <c r="V207" s="41" t="s">
        <v>283</v>
      </c>
      <c r="W207" s="5" t="s">
        <v>381</v>
      </c>
      <c r="X207" s="40"/>
      <c r="Y207" s="40"/>
      <c r="Z207" s="40"/>
      <c r="AA207" s="22"/>
      <c r="AB207" s="32"/>
      <c r="AC207" s="29"/>
      <c r="AD207" s="171"/>
    </row>
    <row r="208" spans="2:30" x14ac:dyDescent="0.25">
      <c r="B208" s="11" t="s">
        <v>928</v>
      </c>
      <c r="C208" s="5" t="s">
        <v>381</v>
      </c>
      <c r="D208" s="11">
        <v>250000</v>
      </c>
      <c r="E208" s="11">
        <v>0</v>
      </c>
      <c r="F208" s="11">
        <v>0</v>
      </c>
      <c r="G208" s="22"/>
      <c r="H208" s="32"/>
      <c r="I208" s="29"/>
      <c r="J208" s="171"/>
      <c r="L208" s="11"/>
      <c r="M208" s="5" t="s">
        <v>313</v>
      </c>
      <c r="N208" s="11"/>
      <c r="O208" s="11"/>
      <c r="P208" s="11"/>
      <c r="Q208" s="22"/>
      <c r="R208" s="32"/>
      <c r="S208" s="29"/>
      <c r="T208" s="171"/>
      <c r="V208" s="41" t="s">
        <v>283</v>
      </c>
      <c r="W208" s="5" t="s">
        <v>381</v>
      </c>
      <c r="X208" s="40"/>
      <c r="Y208" s="40"/>
      <c r="Z208" s="40"/>
      <c r="AA208" s="22"/>
      <c r="AB208" s="32"/>
      <c r="AC208" s="29"/>
      <c r="AD208" s="171"/>
    </row>
    <row r="209" spans="2:30" outlineLevel="1" x14ac:dyDescent="0.25">
      <c r="B209" s="11" t="s">
        <v>929</v>
      </c>
      <c r="C209" s="5" t="s">
        <v>381</v>
      </c>
      <c r="D209" s="11">
        <v>500000</v>
      </c>
      <c r="E209" s="11">
        <v>357157</v>
      </c>
      <c r="F209" s="11">
        <v>11441</v>
      </c>
      <c r="G209" s="22"/>
      <c r="H209" s="32"/>
      <c r="I209" s="29"/>
      <c r="J209" s="171"/>
      <c r="L209" s="11"/>
      <c r="M209" s="5" t="s">
        <v>313</v>
      </c>
      <c r="N209" s="11"/>
      <c r="O209" s="11"/>
      <c r="P209" s="11"/>
      <c r="Q209" s="22"/>
      <c r="R209" s="32"/>
      <c r="S209" s="29"/>
      <c r="T209" s="171"/>
      <c r="V209" s="41" t="s">
        <v>283</v>
      </c>
      <c r="W209" s="5" t="s">
        <v>381</v>
      </c>
      <c r="X209" s="41"/>
      <c r="Y209" s="41"/>
      <c r="Z209" s="41"/>
      <c r="AA209" s="22"/>
      <c r="AB209" s="32"/>
      <c r="AC209" s="29"/>
      <c r="AD209" s="171"/>
    </row>
    <row r="210" spans="2:30" outlineLevel="1" x14ac:dyDescent="0.25">
      <c r="B210" s="11" t="s">
        <v>930</v>
      </c>
      <c r="C210" s="5" t="s">
        <v>381</v>
      </c>
      <c r="D210" s="11">
        <v>100000</v>
      </c>
      <c r="E210" s="11">
        <v>73612</v>
      </c>
      <c r="F210" s="11">
        <v>2417</v>
      </c>
      <c r="G210" s="22"/>
      <c r="H210" s="32"/>
      <c r="I210" s="29"/>
      <c r="J210" s="171"/>
      <c r="L210" s="11"/>
      <c r="M210" s="5" t="s">
        <v>313</v>
      </c>
      <c r="N210" s="11"/>
      <c r="O210" s="11"/>
      <c r="P210" s="11"/>
      <c r="Q210" s="22"/>
      <c r="R210" s="32"/>
      <c r="S210" s="29"/>
      <c r="T210" s="171"/>
      <c r="V210" s="41" t="s">
        <v>283</v>
      </c>
      <c r="W210" s="5" t="s">
        <v>381</v>
      </c>
      <c r="X210" s="41"/>
      <c r="Y210" s="41"/>
      <c r="Z210" s="41"/>
      <c r="AA210" s="22"/>
      <c r="AB210" s="32"/>
      <c r="AC210" s="29"/>
      <c r="AD210" s="171"/>
    </row>
    <row r="211" spans="2:30" outlineLevel="1" x14ac:dyDescent="0.25">
      <c r="B211" s="11" t="s">
        <v>931</v>
      </c>
      <c r="C211" s="5" t="s">
        <v>381</v>
      </c>
      <c r="D211" s="11">
        <v>800000</v>
      </c>
      <c r="E211" s="11">
        <v>798415</v>
      </c>
      <c r="F211" s="11">
        <v>14554</v>
      </c>
      <c r="G211" s="22"/>
      <c r="H211" s="32"/>
      <c r="I211" s="29"/>
      <c r="J211" s="171"/>
      <c r="L211" s="11"/>
      <c r="M211" s="5" t="s">
        <v>313</v>
      </c>
      <c r="N211" s="11"/>
      <c r="O211" s="11"/>
      <c r="P211" s="11"/>
      <c r="Q211" s="22"/>
      <c r="R211" s="32"/>
      <c r="S211" s="29"/>
      <c r="T211" s="171"/>
      <c r="V211" s="41" t="s">
        <v>283</v>
      </c>
      <c r="W211" s="5" t="s">
        <v>381</v>
      </c>
      <c r="X211" s="41"/>
      <c r="Y211" s="41"/>
      <c r="Z211" s="41"/>
      <c r="AA211" s="22"/>
      <c r="AB211" s="32"/>
      <c r="AC211" s="29"/>
      <c r="AD211" s="171"/>
    </row>
    <row r="212" spans="2:30" outlineLevel="1" x14ac:dyDescent="0.25">
      <c r="B212" s="11"/>
      <c r="C212" s="5" t="s">
        <v>313</v>
      </c>
      <c r="D212" s="11"/>
      <c r="E212" s="11"/>
      <c r="F212" s="11"/>
      <c r="G212" s="22"/>
      <c r="H212" s="32"/>
      <c r="I212" s="29"/>
      <c r="J212" s="171"/>
      <c r="L212" s="11"/>
      <c r="M212" s="5" t="s">
        <v>313</v>
      </c>
      <c r="N212" s="11"/>
      <c r="O212" s="11"/>
      <c r="P212" s="11"/>
      <c r="Q212" s="22"/>
      <c r="R212" s="32"/>
      <c r="S212" s="29"/>
      <c r="T212" s="171"/>
      <c r="V212" s="41" t="s">
        <v>283</v>
      </c>
      <c r="W212" s="5" t="s">
        <v>381</v>
      </c>
      <c r="X212" s="41"/>
      <c r="Y212" s="41"/>
      <c r="Z212" s="41"/>
      <c r="AA212" s="22"/>
      <c r="AB212" s="32"/>
      <c r="AC212" s="29"/>
      <c r="AD212" s="171"/>
    </row>
    <row r="213" spans="2:30" outlineLevel="1" x14ac:dyDescent="0.25">
      <c r="B213" s="11"/>
      <c r="C213" s="5" t="s">
        <v>313</v>
      </c>
      <c r="D213" s="11"/>
      <c r="E213" s="11"/>
      <c r="F213" s="11"/>
      <c r="G213" s="22"/>
      <c r="H213" s="32"/>
      <c r="I213" s="29"/>
      <c r="J213" s="171"/>
      <c r="L213" s="11"/>
      <c r="M213" s="5" t="s">
        <v>313</v>
      </c>
      <c r="N213" s="11"/>
      <c r="O213" s="11"/>
      <c r="P213" s="11"/>
      <c r="Q213" s="22"/>
      <c r="R213" s="32"/>
      <c r="S213" s="29"/>
      <c r="T213" s="171"/>
      <c r="V213" s="41" t="s">
        <v>283</v>
      </c>
      <c r="W213" s="5" t="s">
        <v>381</v>
      </c>
      <c r="X213" s="41"/>
      <c r="Y213" s="41"/>
      <c r="Z213" s="41"/>
      <c r="AA213" s="22"/>
      <c r="AB213" s="32"/>
      <c r="AC213" s="29"/>
      <c r="AD213" s="171"/>
    </row>
    <row r="214" spans="2:30" outlineLevel="1" x14ac:dyDescent="0.25">
      <c r="B214" s="11"/>
      <c r="C214" s="5" t="s">
        <v>313</v>
      </c>
      <c r="D214" s="11"/>
      <c r="E214" s="11"/>
      <c r="F214" s="11"/>
      <c r="G214" s="22"/>
      <c r="H214" s="32"/>
      <c r="I214" s="29"/>
      <c r="J214" s="171"/>
      <c r="L214" s="11"/>
      <c r="M214" s="5" t="s">
        <v>313</v>
      </c>
      <c r="N214" s="11"/>
      <c r="O214" s="11"/>
      <c r="P214" s="11"/>
      <c r="Q214" s="22"/>
      <c r="R214" s="32"/>
      <c r="S214" s="29"/>
      <c r="T214" s="171"/>
      <c r="V214" s="41" t="s">
        <v>283</v>
      </c>
      <c r="W214" s="5" t="s">
        <v>381</v>
      </c>
      <c r="X214" s="41"/>
      <c r="Y214" s="41"/>
      <c r="Z214" s="41"/>
      <c r="AA214" s="22"/>
      <c r="AB214" s="32"/>
      <c r="AC214" s="29"/>
      <c r="AD214" s="171"/>
    </row>
    <row r="215" spans="2:30" outlineLevel="1" x14ac:dyDescent="0.25">
      <c r="B215" s="11"/>
      <c r="C215" s="5" t="s">
        <v>313</v>
      </c>
      <c r="D215" s="11"/>
      <c r="E215" s="11"/>
      <c r="F215" s="11"/>
      <c r="G215" s="22"/>
      <c r="H215" s="32"/>
      <c r="I215" s="29"/>
      <c r="J215" s="171"/>
      <c r="L215" s="11"/>
      <c r="M215" s="5" t="s">
        <v>313</v>
      </c>
      <c r="N215" s="11"/>
      <c r="O215" s="11"/>
      <c r="P215" s="11"/>
      <c r="Q215" s="22"/>
      <c r="R215" s="32"/>
      <c r="S215" s="29"/>
      <c r="T215" s="171"/>
      <c r="V215" s="41" t="s">
        <v>283</v>
      </c>
      <c r="W215" s="5" t="s">
        <v>381</v>
      </c>
      <c r="X215" s="41"/>
      <c r="Y215" s="41"/>
      <c r="Z215" s="41"/>
      <c r="AA215" s="22"/>
      <c r="AB215" s="32"/>
      <c r="AC215" s="29"/>
      <c r="AD215" s="171"/>
    </row>
    <row r="216" spans="2:30" outlineLevel="1" x14ac:dyDescent="0.25">
      <c r="B216" s="11"/>
      <c r="C216" s="5" t="s">
        <v>313</v>
      </c>
      <c r="D216" s="11"/>
      <c r="E216" s="11"/>
      <c r="F216" s="11"/>
      <c r="G216" s="22"/>
      <c r="H216" s="32"/>
      <c r="I216" s="29"/>
      <c r="J216" s="171"/>
      <c r="L216" s="11"/>
      <c r="M216" s="5" t="s">
        <v>313</v>
      </c>
      <c r="N216" s="11"/>
      <c r="O216" s="11"/>
      <c r="P216" s="11"/>
      <c r="Q216" s="22"/>
      <c r="R216" s="32"/>
      <c r="S216" s="29"/>
      <c r="T216" s="171"/>
      <c r="V216" s="41" t="s">
        <v>283</v>
      </c>
      <c r="W216" s="5" t="s">
        <v>381</v>
      </c>
      <c r="X216" s="41"/>
      <c r="Y216" s="41"/>
      <c r="Z216" s="41"/>
      <c r="AA216" s="22"/>
      <c r="AB216" s="32"/>
      <c r="AC216" s="29"/>
      <c r="AD216" s="171"/>
    </row>
    <row r="217" spans="2:30" s="24" customFormat="1" x14ac:dyDescent="0.25">
      <c r="B217" s="8" t="str">
        <f>"Total "&amp;B205</f>
        <v>Total Facility (Term-loan)</v>
      </c>
      <c r="C217" s="25"/>
      <c r="D217" s="28">
        <f>SUM(D206:D216)</f>
        <v>1850000</v>
      </c>
      <c r="E217" s="28">
        <f>SUM(E206:E216)</f>
        <v>1230887</v>
      </c>
      <c r="F217" s="28">
        <f>SUM(F206:F216)</f>
        <v>29402</v>
      </c>
      <c r="G217" s="25"/>
      <c r="H217" s="26"/>
      <c r="I217" s="30"/>
      <c r="J217" s="170"/>
      <c r="L217" s="8" t="str">
        <f>"Total "&amp;L205</f>
        <v>Total Facility (Term-loan)</v>
      </c>
      <c r="M217" s="25"/>
      <c r="N217" s="28">
        <f>SUM(N206:N216)</f>
        <v>0</v>
      </c>
      <c r="O217" s="28">
        <f>SUM(O206:O216)</f>
        <v>0</v>
      </c>
      <c r="P217" s="28">
        <f>SUM(P206:P216)</f>
        <v>0</v>
      </c>
      <c r="Q217" s="25"/>
      <c r="R217" s="26"/>
      <c r="S217" s="30"/>
      <c r="T217" s="170"/>
      <c r="V217" s="8" t="str">
        <f>"Total "&amp;V205</f>
        <v>Total Facility (Term-loan)</v>
      </c>
      <c r="W217" s="25"/>
      <c r="X217" s="28">
        <f>SUM(X206:X216)</f>
        <v>0</v>
      </c>
      <c r="Y217" s="28">
        <f>SUM(Y206:Y216)</f>
        <v>0</v>
      </c>
      <c r="Z217" s="28">
        <f>SUM(Z206:Z216)</f>
        <v>0</v>
      </c>
      <c r="AA217" s="25"/>
      <c r="AB217" s="26"/>
      <c r="AC217" s="30"/>
      <c r="AD217" s="170"/>
    </row>
    <row r="219" spans="2:30" ht="38.25" x14ac:dyDescent="0.25">
      <c r="B219" s="27" t="s">
        <v>17</v>
      </c>
      <c r="C219" s="3" t="str">
        <f>C$61</f>
        <v>Source</v>
      </c>
      <c r="D219" s="3" t="str">
        <f t="shared" ref="D219:J219" si="218">D$61</f>
        <v>Limit (A)</v>
      </c>
      <c r="E219" s="3" t="str">
        <f t="shared" si="218"/>
        <v>Outstanding (A1)</v>
      </c>
      <c r="F219" s="3" t="str">
        <f t="shared" si="218"/>
        <v>Monthly Repayment (B)</v>
      </c>
      <c r="G219" s="3" t="str">
        <f t="shared" si="218"/>
        <v>Interest Rate (C)</v>
      </c>
      <c r="H219" s="3" t="str">
        <f t="shared" si="218"/>
        <v>Factor (D)</v>
      </c>
      <c r="I219" s="3" t="str">
        <f t="shared" si="218"/>
        <v>Interest (E) = (A or A1) * (C) * (D)</v>
      </c>
      <c r="J219" s="3" t="str">
        <f t="shared" si="218"/>
        <v>Code Of Conduct</v>
      </c>
      <c r="L219" s="175" t="str">
        <f>B219</f>
        <v>Facility (Hire Purchase / Leasing)</v>
      </c>
      <c r="M219" s="176" t="str">
        <f t="shared" ref="M219" si="219">C219</f>
        <v>Source</v>
      </c>
      <c r="N219" s="176" t="str">
        <f t="shared" ref="N219" si="220">D219</f>
        <v>Limit (A)</v>
      </c>
      <c r="O219" s="176" t="str">
        <f t="shared" ref="O219" si="221">E219</f>
        <v>Outstanding (A1)</v>
      </c>
      <c r="P219" s="176" t="str">
        <f t="shared" ref="P219" si="222">F219</f>
        <v>Monthly Repayment (B)</v>
      </c>
      <c r="Q219" s="176" t="str">
        <f t="shared" ref="Q219" si="223">G219</f>
        <v>Interest Rate (C)</v>
      </c>
      <c r="R219" s="176" t="str">
        <f t="shared" ref="R219" si="224">H219</f>
        <v>Factor (D)</v>
      </c>
      <c r="S219" s="176" t="str">
        <f t="shared" ref="S219" si="225">I219</f>
        <v>Interest (E) = (A or A1) * (C) * (D)</v>
      </c>
      <c r="T219" s="176" t="str">
        <f t="shared" ref="T219" si="226">J219</f>
        <v>Code Of Conduct</v>
      </c>
      <c r="V219" s="175" t="str">
        <f>L219</f>
        <v>Facility (Hire Purchase / Leasing)</v>
      </c>
      <c r="W219" s="176" t="str">
        <f t="shared" ref="W219" si="227">M219</f>
        <v>Source</v>
      </c>
      <c r="X219" s="176" t="str">
        <f t="shared" ref="X219" si="228">N219</f>
        <v>Limit (A)</v>
      </c>
      <c r="Y219" s="176" t="str">
        <f t="shared" ref="Y219" si="229">O219</f>
        <v>Outstanding (A1)</v>
      </c>
      <c r="Z219" s="176" t="str">
        <f t="shared" ref="Z219" si="230">P219</f>
        <v>Monthly Repayment (B)</v>
      </c>
      <c r="AA219" s="176" t="str">
        <f t="shared" ref="AA219" si="231">Q219</f>
        <v>Interest Rate (C)</v>
      </c>
      <c r="AB219" s="176" t="str">
        <f t="shared" ref="AB219" si="232">R219</f>
        <v>Factor (D)</v>
      </c>
      <c r="AC219" s="176" t="str">
        <f t="shared" ref="AC219" si="233">S219</f>
        <v>Interest (E) = (A or A1) * (C) * (D)</v>
      </c>
      <c r="AD219" s="176" t="str">
        <f t="shared" ref="AD219" si="234">T219</f>
        <v>Code Of Conduct</v>
      </c>
    </row>
    <row r="220" spans="2:30" x14ac:dyDescent="0.25">
      <c r="B220" s="11"/>
      <c r="C220" s="5" t="s">
        <v>381</v>
      </c>
      <c r="D220" s="97"/>
      <c r="E220" s="97"/>
      <c r="F220" s="97"/>
      <c r="G220" s="22"/>
      <c r="H220" s="32"/>
      <c r="I220" s="29"/>
      <c r="J220" s="171"/>
      <c r="L220" s="11"/>
      <c r="M220" s="5" t="s">
        <v>310</v>
      </c>
      <c r="N220" s="97"/>
      <c r="O220" s="97"/>
      <c r="P220" s="97"/>
      <c r="Q220" s="22"/>
      <c r="R220" s="32"/>
      <c r="S220" s="29"/>
      <c r="T220" s="171"/>
      <c r="V220" s="41" t="s">
        <v>283</v>
      </c>
      <c r="W220" s="5" t="s">
        <v>381</v>
      </c>
      <c r="X220" s="41"/>
      <c r="Y220" s="41"/>
      <c r="Z220" s="41"/>
      <c r="AA220" s="22"/>
      <c r="AB220" s="32"/>
      <c r="AC220" s="29"/>
      <c r="AD220" s="171"/>
    </row>
    <row r="221" spans="2:30" x14ac:dyDescent="0.25">
      <c r="B221" s="11"/>
      <c r="C221" s="5" t="s">
        <v>381</v>
      </c>
      <c r="D221" s="97"/>
      <c r="E221" s="97"/>
      <c r="F221" s="97"/>
      <c r="G221" s="22"/>
      <c r="H221" s="32"/>
      <c r="I221" s="29"/>
      <c r="J221" s="171"/>
      <c r="L221" s="11"/>
      <c r="M221" s="5" t="s">
        <v>313</v>
      </c>
      <c r="N221" s="97"/>
      <c r="O221" s="97"/>
      <c r="P221" s="97"/>
      <c r="Q221" s="22"/>
      <c r="R221" s="32"/>
      <c r="S221" s="29"/>
      <c r="T221" s="171"/>
      <c r="V221" s="41" t="s">
        <v>283</v>
      </c>
      <c r="W221" s="5" t="s">
        <v>381</v>
      </c>
      <c r="X221" s="41"/>
      <c r="Y221" s="41"/>
      <c r="Z221" s="41"/>
      <c r="AA221" s="22"/>
      <c r="AB221" s="32"/>
      <c r="AC221" s="29"/>
      <c r="AD221" s="171"/>
    </row>
    <row r="222" spans="2:30" x14ac:dyDescent="0.25">
      <c r="B222" s="11"/>
      <c r="C222" s="5" t="s">
        <v>313</v>
      </c>
      <c r="D222" s="97"/>
      <c r="E222" s="97"/>
      <c r="F222" s="97"/>
      <c r="G222" s="22"/>
      <c r="H222" s="32"/>
      <c r="I222" s="29"/>
      <c r="J222" s="171"/>
      <c r="L222" s="11"/>
      <c r="M222" s="5" t="s">
        <v>313</v>
      </c>
      <c r="N222" s="97"/>
      <c r="O222" s="97"/>
      <c r="P222" s="97"/>
      <c r="Q222" s="22"/>
      <c r="R222" s="32"/>
      <c r="S222" s="29"/>
      <c r="T222" s="171"/>
      <c r="V222" s="41" t="s">
        <v>283</v>
      </c>
      <c r="W222" s="5" t="s">
        <v>381</v>
      </c>
      <c r="X222" s="41"/>
      <c r="Y222" s="41"/>
      <c r="Z222" s="41"/>
      <c r="AA222" s="22"/>
      <c r="AB222" s="32"/>
      <c r="AC222" s="29"/>
      <c r="AD222" s="171"/>
    </row>
    <row r="223" spans="2:30" x14ac:dyDescent="0.25">
      <c r="B223" s="11"/>
      <c r="C223" s="5" t="s">
        <v>313</v>
      </c>
      <c r="D223" s="97"/>
      <c r="E223" s="97"/>
      <c r="F223" s="97"/>
      <c r="G223" s="22"/>
      <c r="H223" s="32"/>
      <c r="I223" s="29"/>
      <c r="J223" s="171"/>
      <c r="L223" s="11"/>
      <c r="M223" s="5" t="s">
        <v>313</v>
      </c>
      <c r="N223" s="97"/>
      <c r="O223" s="97"/>
      <c r="P223" s="11"/>
      <c r="Q223" s="22"/>
      <c r="R223" s="32"/>
      <c r="S223" s="29"/>
      <c r="T223" s="171"/>
      <c r="V223" s="41" t="s">
        <v>283</v>
      </c>
      <c r="W223" s="5" t="s">
        <v>381</v>
      </c>
      <c r="X223" s="41"/>
      <c r="Y223" s="41"/>
      <c r="Z223" s="41"/>
      <c r="AA223" s="22"/>
      <c r="AB223" s="32"/>
      <c r="AC223" s="29"/>
      <c r="AD223" s="171"/>
    </row>
    <row r="224" spans="2:30" x14ac:dyDescent="0.25">
      <c r="B224" s="11"/>
      <c r="C224" s="5" t="s">
        <v>313</v>
      </c>
      <c r="D224" s="11"/>
      <c r="E224" s="11"/>
      <c r="F224" s="11"/>
      <c r="G224" s="22"/>
      <c r="H224" s="32"/>
      <c r="I224" s="29"/>
      <c r="J224" s="171"/>
      <c r="L224" s="11"/>
      <c r="M224" s="5" t="s">
        <v>313</v>
      </c>
      <c r="N224" s="11"/>
      <c r="O224" s="11"/>
      <c r="P224" s="11"/>
      <c r="Q224" s="22"/>
      <c r="R224" s="32"/>
      <c r="S224" s="29"/>
      <c r="T224" s="171"/>
      <c r="V224" s="41" t="s">
        <v>283</v>
      </c>
      <c r="W224" s="5" t="s">
        <v>381</v>
      </c>
      <c r="X224" s="41"/>
      <c r="Y224" s="41"/>
      <c r="Z224" s="41"/>
      <c r="AA224" s="22"/>
      <c r="AB224" s="32"/>
      <c r="AC224" s="29"/>
      <c r="AD224" s="171"/>
    </row>
    <row r="225" spans="1:30" x14ac:dyDescent="0.25">
      <c r="B225" s="11"/>
      <c r="C225" s="5" t="s">
        <v>313</v>
      </c>
      <c r="D225" s="11"/>
      <c r="E225" s="11"/>
      <c r="F225" s="11"/>
      <c r="G225" s="22"/>
      <c r="H225" s="32"/>
      <c r="I225" s="29"/>
      <c r="J225" s="171"/>
      <c r="L225" s="11"/>
      <c r="M225" s="5" t="s">
        <v>313</v>
      </c>
      <c r="N225" s="11"/>
      <c r="O225" s="11"/>
      <c r="P225" s="11"/>
      <c r="Q225" s="22"/>
      <c r="R225" s="32"/>
      <c r="S225" s="29"/>
      <c r="T225" s="171"/>
      <c r="V225" s="41" t="s">
        <v>283</v>
      </c>
      <c r="W225" s="5" t="s">
        <v>381</v>
      </c>
      <c r="X225" s="41"/>
      <c r="Y225" s="41"/>
      <c r="Z225" s="41"/>
      <c r="AA225" s="22"/>
      <c r="AB225" s="32"/>
      <c r="AC225" s="29"/>
      <c r="AD225" s="171"/>
    </row>
    <row r="226" spans="1:30" hidden="1" outlineLevel="1" x14ac:dyDescent="0.25">
      <c r="B226" s="11"/>
      <c r="C226" s="5" t="s">
        <v>313</v>
      </c>
      <c r="D226" s="11"/>
      <c r="E226" s="11"/>
      <c r="F226" s="11"/>
      <c r="G226" s="22"/>
      <c r="H226" s="32"/>
      <c r="I226" s="29"/>
      <c r="J226" s="171"/>
      <c r="L226" s="11"/>
      <c r="M226" s="5" t="s">
        <v>313</v>
      </c>
      <c r="N226" s="11"/>
      <c r="O226" s="11"/>
      <c r="P226" s="11"/>
      <c r="Q226" s="22"/>
      <c r="R226" s="32"/>
      <c r="S226" s="29"/>
      <c r="T226" s="171"/>
      <c r="V226" s="41" t="s">
        <v>283</v>
      </c>
      <c r="W226" s="5" t="s">
        <v>381</v>
      </c>
      <c r="X226" s="41"/>
      <c r="Y226" s="41"/>
      <c r="Z226" s="41"/>
      <c r="AA226" s="22"/>
      <c r="AB226" s="32"/>
      <c r="AC226" s="29"/>
      <c r="AD226" s="171"/>
    </row>
    <row r="227" spans="1:30" hidden="1" outlineLevel="1" x14ac:dyDescent="0.25">
      <c r="B227" s="11"/>
      <c r="C227" s="5" t="s">
        <v>313</v>
      </c>
      <c r="D227" s="11"/>
      <c r="E227" s="11"/>
      <c r="F227" s="11"/>
      <c r="G227" s="22"/>
      <c r="H227" s="32"/>
      <c r="I227" s="29"/>
      <c r="J227" s="171"/>
      <c r="L227" s="11"/>
      <c r="M227" s="5" t="s">
        <v>313</v>
      </c>
      <c r="N227" s="11"/>
      <c r="O227" s="11"/>
      <c r="P227" s="11"/>
      <c r="Q227" s="22"/>
      <c r="R227" s="32"/>
      <c r="S227" s="29"/>
      <c r="T227" s="171"/>
      <c r="V227" s="41" t="s">
        <v>283</v>
      </c>
      <c r="W227" s="5" t="s">
        <v>381</v>
      </c>
      <c r="X227" s="41"/>
      <c r="Y227" s="41"/>
      <c r="Z227" s="41"/>
      <c r="AA227" s="22"/>
      <c r="AB227" s="32"/>
      <c r="AC227" s="29"/>
      <c r="AD227" s="171"/>
    </row>
    <row r="228" spans="1:30" hidden="1" outlineLevel="1" x14ac:dyDescent="0.25">
      <c r="B228" s="11"/>
      <c r="C228" s="5" t="s">
        <v>313</v>
      </c>
      <c r="D228" s="11"/>
      <c r="E228" s="11"/>
      <c r="F228" s="11"/>
      <c r="G228" s="22"/>
      <c r="H228" s="32"/>
      <c r="I228" s="29"/>
      <c r="J228" s="171"/>
      <c r="L228" s="11"/>
      <c r="M228" s="5" t="s">
        <v>313</v>
      </c>
      <c r="N228" s="11"/>
      <c r="O228" s="11"/>
      <c r="P228" s="11"/>
      <c r="Q228" s="22"/>
      <c r="R228" s="32"/>
      <c r="S228" s="29"/>
      <c r="T228" s="171"/>
      <c r="V228" s="41" t="s">
        <v>283</v>
      </c>
      <c r="W228" s="5" t="s">
        <v>381</v>
      </c>
      <c r="X228" s="41"/>
      <c r="Y228" s="41"/>
      <c r="Z228" s="41"/>
      <c r="AA228" s="22"/>
      <c r="AB228" s="32"/>
      <c r="AC228" s="29"/>
      <c r="AD228" s="171"/>
    </row>
    <row r="229" spans="1:30" hidden="1" outlineLevel="1" x14ac:dyDescent="0.25">
      <c r="B229" s="11"/>
      <c r="C229" s="5" t="s">
        <v>313</v>
      </c>
      <c r="D229" s="11"/>
      <c r="E229" s="11"/>
      <c r="F229" s="11"/>
      <c r="G229" s="22"/>
      <c r="H229" s="32"/>
      <c r="I229" s="29"/>
      <c r="J229" s="171"/>
      <c r="L229" s="11"/>
      <c r="M229" s="5" t="s">
        <v>313</v>
      </c>
      <c r="N229" s="11"/>
      <c r="O229" s="11"/>
      <c r="P229" s="11"/>
      <c r="Q229" s="22"/>
      <c r="R229" s="32"/>
      <c r="S229" s="29"/>
      <c r="T229" s="171"/>
      <c r="V229" s="41" t="s">
        <v>283</v>
      </c>
      <c r="W229" s="5" t="s">
        <v>381</v>
      </c>
      <c r="X229" s="41"/>
      <c r="Y229" s="41"/>
      <c r="Z229" s="41"/>
      <c r="AA229" s="22"/>
      <c r="AB229" s="32"/>
      <c r="AC229" s="29"/>
      <c r="AD229" s="171"/>
    </row>
    <row r="230" spans="1:30" hidden="1" outlineLevel="1" x14ac:dyDescent="0.25">
      <c r="B230" s="11"/>
      <c r="C230" s="5" t="s">
        <v>313</v>
      </c>
      <c r="D230" s="11"/>
      <c r="E230" s="11"/>
      <c r="F230" s="11"/>
      <c r="G230" s="22"/>
      <c r="H230" s="32"/>
      <c r="I230" s="29"/>
      <c r="J230" s="171"/>
      <c r="L230" s="11"/>
      <c r="M230" s="5" t="s">
        <v>313</v>
      </c>
      <c r="N230" s="11"/>
      <c r="O230" s="11"/>
      <c r="P230" s="11"/>
      <c r="Q230" s="22"/>
      <c r="R230" s="32"/>
      <c r="S230" s="29"/>
      <c r="T230" s="171"/>
      <c r="V230" s="41" t="s">
        <v>283</v>
      </c>
      <c r="W230" s="5" t="s">
        <v>381</v>
      </c>
      <c r="X230" s="41"/>
      <c r="Y230" s="41"/>
      <c r="Z230" s="41"/>
      <c r="AA230" s="22"/>
      <c r="AB230" s="32"/>
      <c r="AC230" s="29"/>
      <c r="AD230" s="171"/>
    </row>
    <row r="231" spans="1:30" hidden="1" outlineLevel="1" x14ac:dyDescent="0.25">
      <c r="B231" s="11"/>
      <c r="C231" s="5" t="s">
        <v>313</v>
      </c>
      <c r="D231" s="11"/>
      <c r="E231" s="11"/>
      <c r="F231" s="11"/>
      <c r="G231" s="22"/>
      <c r="H231" s="32"/>
      <c r="I231" s="29"/>
      <c r="J231" s="171"/>
      <c r="L231" s="11"/>
      <c r="M231" s="5" t="s">
        <v>313</v>
      </c>
      <c r="N231" s="11"/>
      <c r="O231" s="11"/>
      <c r="P231" s="11"/>
      <c r="Q231" s="22"/>
      <c r="R231" s="32"/>
      <c r="S231" s="29"/>
      <c r="T231" s="171"/>
      <c r="V231" s="41" t="s">
        <v>283</v>
      </c>
      <c r="W231" s="5" t="s">
        <v>381</v>
      </c>
      <c r="X231" s="41"/>
      <c r="Y231" s="41"/>
      <c r="Z231" s="41"/>
      <c r="AA231" s="22"/>
      <c r="AB231" s="32"/>
      <c r="AC231" s="29"/>
      <c r="AD231" s="171"/>
    </row>
    <row r="232" spans="1:30" hidden="1" outlineLevel="1" x14ac:dyDescent="0.25">
      <c r="B232" s="11"/>
      <c r="C232" s="5" t="s">
        <v>313</v>
      </c>
      <c r="D232" s="11"/>
      <c r="E232" s="11"/>
      <c r="F232" s="11"/>
      <c r="G232" s="22"/>
      <c r="H232" s="32"/>
      <c r="I232" s="29"/>
      <c r="J232" s="171"/>
      <c r="L232" s="11"/>
      <c r="M232" s="5" t="s">
        <v>313</v>
      </c>
      <c r="N232" s="11"/>
      <c r="O232" s="11"/>
      <c r="P232" s="11"/>
      <c r="Q232" s="22"/>
      <c r="R232" s="32"/>
      <c r="S232" s="29"/>
      <c r="T232" s="171"/>
      <c r="V232" s="41" t="s">
        <v>283</v>
      </c>
      <c r="W232" s="5" t="s">
        <v>381</v>
      </c>
      <c r="X232" s="41"/>
      <c r="Y232" s="41"/>
      <c r="Z232" s="41"/>
      <c r="AA232" s="22"/>
      <c r="AB232" s="32"/>
      <c r="AC232" s="29"/>
      <c r="AD232" s="171"/>
    </row>
    <row r="233" spans="1:30" hidden="1" outlineLevel="1" x14ac:dyDescent="0.25">
      <c r="B233" s="11"/>
      <c r="C233" s="5" t="s">
        <v>313</v>
      </c>
      <c r="D233" s="11"/>
      <c r="E233" s="11"/>
      <c r="F233" s="11"/>
      <c r="G233" s="22"/>
      <c r="H233" s="32"/>
      <c r="I233" s="29"/>
      <c r="J233" s="171"/>
      <c r="L233" s="11"/>
      <c r="M233" s="5" t="s">
        <v>313</v>
      </c>
      <c r="N233" s="11"/>
      <c r="O233" s="11"/>
      <c r="P233" s="11"/>
      <c r="Q233" s="22"/>
      <c r="R233" s="32"/>
      <c r="S233" s="29"/>
      <c r="T233" s="171"/>
      <c r="V233" s="41" t="s">
        <v>283</v>
      </c>
      <c r="W233" s="5" t="s">
        <v>381</v>
      </c>
      <c r="X233" s="41"/>
      <c r="Y233" s="41"/>
      <c r="Z233" s="41"/>
      <c r="AA233" s="22"/>
      <c r="AB233" s="32"/>
      <c r="AC233" s="29"/>
      <c r="AD233" s="171"/>
    </row>
    <row r="234" spans="1:30" hidden="1" outlineLevel="1" x14ac:dyDescent="0.25">
      <c r="B234" s="11"/>
      <c r="C234" s="5" t="s">
        <v>313</v>
      </c>
      <c r="D234" s="11"/>
      <c r="E234" s="11"/>
      <c r="F234" s="11"/>
      <c r="G234" s="22"/>
      <c r="H234" s="32"/>
      <c r="I234" s="29"/>
      <c r="J234" s="171"/>
      <c r="L234" s="11"/>
      <c r="M234" s="5" t="s">
        <v>313</v>
      </c>
      <c r="N234" s="11"/>
      <c r="O234" s="11"/>
      <c r="P234" s="11"/>
      <c r="Q234" s="22"/>
      <c r="R234" s="32"/>
      <c r="S234" s="29"/>
      <c r="T234" s="171"/>
      <c r="V234" s="41" t="s">
        <v>283</v>
      </c>
      <c r="W234" s="5" t="s">
        <v>381</v>
      </c>
      <c r="X234" s="41"/>
      <c r="Y234" s="41"/>
      <c r="Z234" s="41"/>
      <c r="AA234" s="22"/>
      <c r="AB234" s="32"/>
      <c r="AC234" s="29"/>
      <c r="AD234" s="171"/>
    </row>
    <row r="235" spans="1:30" collapsed="1" x14ac:dyDescent="0.25">
      <c r="B235" s="8" t="str">
        <f>"Total "&amp;B219</f>
        <v>Total Facility (Hire Purchase / Leasing)</v>
      </c>
      <c r="C235" s="25"/>
      <c r="D235" s="28">
        <f t="shared" ref="D235:F235" si="235">SUM(D220:D234)</f>
        <v>0</v>
      </c>
      <c r="E235" s="28">
        <f t="shared" si="235"/>
        <v>0</v>
      </c>
      <c r="F235" s="28">
        <f t="shared" si="235"/>
        <v>0</v>
      </c>
      <c r="G235" s="25"/>
      <c r="H235" s="26"/>
      <c r="I235" s="30"/>
      <c r="J235" s="170"/>
      <c r="L235" s="8" t="str">
        <f>"Total "&amp;L219</f>
        <v>Total Facility (Hire Purchase / Leasing)</v>
      </c>
      <c r="M235" s="25"/>
      <c r="N235" s="28">
        <f t="shared" ref="N235:P235" si="236">SUM(N220:N234)</f>
        <v>0</v>
      </c>
      <c r="O235" s="28">
        <f t="shared" si="236"/>
        <v>0</v>
      </c>
      <c r="P235" s="28">
        <f t="shared" si="236"/>
        <v>0</v>
      </c>
      <c r="Q235" s="25"/>
      <c r="R235" s="26"/>
      <c r="S235" s="30"/>
      <c r="T235" s="170"/>
      <c r="V235" s="8" t="str">
        <f>"Total "&amp;V219</f>
        <v>Total Facility (Hire Purchase / Leasing)</v>
      </c>
      <c r="W235" s="25"/>
      <c r="X235" s="28">
        <f t="shared" ref="X235:Z235" si="237">SUM(X220:X234)</f>
        <v>0</v>
      </c>
      <c r="Y235" s="28">
        <f t="shared" si="237"/>
        <v>0</v>
      </c>
      <c r="Z235" s="28">
        <f t="shared" si="237"/>
        <v>0</v>
      </c>
      <c r="AA235" s="25"/>
      <c r="AB235" s="26"/>
      <c r="AC235" s="30"/>
      <c r="AD235" s="170"/>
    </row>
    <row r="237" spans="1:30" s="20" customFormat="1" ht="38.25" x14ac:dyDescent="0.25">
      <c r="B237" s="27" t="s">
        <v>388</v>
      </c>
      <c r="C237" s="3" t="str">
        <f>C$61</f>
        <v>Source</v>
      </c>
      <c r="D237" s="3" t="str">
        <f t="shared" ref="D237:J237" si="238">D$61</f>
        <v>Limit (A)</v>
      </c>
      <c r="E237" s="3" t="str">
        <f t="shared" si="238"/>
        <v>Outstanding (A1)</v>
      </c>
      <c r="F237" s="3" t="str">
        <f t="shared" si="238"/>
        <v>Monthly Repayment (B)</v>
      </c>
      <c r="G237" s="3" t="str">
        <f t="shared" si="238"/>
        <v>Interest Rate (C)</v>
      </c>
      <c r="H237" s="3" t="str">
        <f t="shared" si="238"/>
        <v>Factor (D)</v>
      </c>
      <c r="I237" s="3" t="str">
        <f t="shared" si="238"/>
        <v>Interest (E) = (A or A1) * (C) * (D)</v>
      </c>
      <c r="J237" s="3" t="str">
        <f t="shared" si="238"/>
        <v>Code Of Conduct</v>
      </c>
      <c r="L237" s="175" t="str">
        <f>B237</f>
        <v>P2P - Facility (Term-loan / Working Capital)</v>
      </c>
      <c r="M237" s="176" t="str">
        <f t="shared" ref="M237" si="239">C237</f>
        <v>Source</v>
      </c>
      <c r="N237" s="176" t="str">
        <f t="shared" ref="N237" si="240">D237</f>
        <v>Limit (A)</v>
      </c>
      <c r="O237" s="176" t="str">
        <f t="shared" ref="O237" si="241">E237</f>
        <v>Outstanding (A1)</v>
      </c>
      <c r="P237" s="176" t="str">
        <f t="shared" ref="P237" si="242">F237</f>
        <v>Monthly Repayment (B)</v>
      </c>
      <c r="Q237" s="176" t="str">
        <f t="shared" ref="Q237" si="243">G237</f>
        <v>Interest Rate (C)</v>
      </c>
      <c r="R237" s="176" t="str">
        <f t="shared" ref="R237" si="244">H237</f>
        <v>Factor (D)</v>
      </c>
      <c r="S237" s="176" t="str">
        <f t="shared" ref="S237" si="245">I237</f>
        <v>Interest (E) = (A or A1) * (C) * (D)</v>
      </c>
      <c r="T237" s="176" t="str">
        <f t="shared" ref="T237" si="246">J237</f>
        <v>Code Of Conduct</v>
      </c>
      <c r="V237" s="175" t="str">
        <f>L237</f>
        <v>P2P - Facility (Term-loan / Working Capital)</v>
      </c>
      <c r="W237" s="176" t="str">
        <f t="shared" ref="W237" si="247">M237</f>
        <v>Source</v>
      </c>
      <c r="X237" s="176" t="str">
        <f t="shared" ref="X237" si="248">N237</f>
        <v>Limit (A)</v>
      </c>
      <c r="Y237" s="176" t="str">
        <f t="shared" ref="Y237" si="249">O237</f>
        <v>Outstanding (A1)</v>
      </c>
      <c r="Z237" s="176" t="str">
        <f t="shared" ref="Z237" si="250">P237</f>
        <v>Monthly Repayment (B)</v>
      </c>
      <c r="AA237" s="176" t="str">
        <f t="shared" ref="AA237" si="251">Q237</f>
        <v>Interest Rate (C)</v>
      </c>
      <c r="AB237" s="176" t="str">
        <f t="shared" ref="AB237" si="252">R237</f>
        <v>Factor (D)</v>
      </c>
      <c r="AC237" s="176" t="str">
        <f t="shared" ref="AC237" si="253">S237</f>
        <v>Interest (E) = (A or A1) * (C) * (D)</v>
      </c>
      <c r="AD237" s="176" t="str">
        <f t="shared" ref="AD237" si="254">T237</f>
        <v>Code Of Conduct</v>
      </c>
    </row>
    <row r="238" spans="1:30" x14ac:dyDescent="0.25">
      <c r="A238" s="91">
        <v>6</v>
      </c>
      <c r="B238" s="11" t="s">
        <v>910</v>
      </c>
      <c r="C238" s="5" t="s">
        <v>310</v>
      </c>
      <c r="D238" s="97">
        <v>300000</v>
      </c>
      <c r="E238" s="97">
        <f>J238-F238*2</f>
        <v>213000</v>
      </c>
      <c r="F238" s="97">
        <f>J238/A238</f>
        <v>53250</v>
      </c>
      <c r="G238" s="22">
        <v>0.13</v>
      </c>
      <c r="H238" s="32"/>
      <c r="I238" s="29"/>
      <c r="J238" s="171">
        <f>D238+((D238*G238/12)*A238)</f>
        <v>319500</v>
      </c>
      <c r="L238" s="11"/>
      <c r="M238" s="5" t="s">
        <v>310</v>
      </c>
      <c r="N238" s="97"/>
      <c r="O238" s="97"/>
      <c r="P238" s="97"/>
      <c r="Q238" s="22"/>
      <c r="R238" s="32"/>
      <c r="S238" s="29"/>
      <c r="T238" s="171"/>
      <c r="V238" s="41" t="s">
        <v>283</v>
      </c>
      <c r="W238" s="5" t="s">
        <v>381</v>
      </c>
      <c r="X238" s="41"/>
      <c r="Y238" s="41"/>
      <c r="Z238" s="41"/>
      <c r="AA238" s="22"/>
      <c r="AB238" s="32"/>
      <c r="AC238" s="29"/>
      <c r="AD238" s="171"/>
    </row>
    <row r="239" spans="1:30" x14ac:dyDescent="0.25">
      <c r="A239" s="91">
        <v>6</v>
      </c>
      <c r="B239" s="11" t="s">
        <v>910</v>
      </c>
      <c r="C239" s="5" t="s">
        <v>310</v>
      </c>
      <c r="D239" s="97">
        <v>150000</v>
      </c>
      <c r="E239" s="97">
        <f>J239-F239*1</f>
        <v>133125</v>
      </c>
      <c r="F239" s="97">
        <f t="shared" ref="F239:F242" si="255">J239/A239</f>
        <v>26625</v>
      </c>
      <c r="G239" s="22">
        <v>0.13</v>
      </c>
      <c r="H239" s="32"/>
      <c r="I239" s="29"/>
      <c r="J239" s="171">
        <f t="shared" ref="J239:J245" si="256">D239+((D239*G239/12)*A239)</f>
        <v>159750</v>
      </c>
      <c r="L239" s="11"/>
      <c r="M239" s="5" t="s">
        <v>313</v>
      </c>
      <c r="N239" s="97"/>
      <c r="O239" s="97"/>
      <c r="P239" s="97"/>
      <c r="Q239" s="22"/>
      <c r="R239" s="32"/>
      <c r="S239" s="29"/>
      <c r="T239" s="171"/>
      <c r="V239" s="41" t="s">
        <v>283</v>
      </c>
      <c r="W239" s="5" t="s">
        <v>381</v>
      </c>
      <c r="X239" s="41"/>
      <c r="Y239" s="41"/>
      <c r="Z239" s="41"/>
      <c r="AA239" s="22"/>
      <c r="AB239" s="32"/>
      <c r="AC239" s="29"/>
      <c r="AD239" s="171"/>
    </row>
    <row r="240" spans="1:30" x14ac:dyDescent="0.25">
      <c r="A240" s="91">
        <v>6</v>
      </c>
      <c r="B240" s="11" t="s">
        <v>910</v>
      </c>
      <c r="C240" s="5" t="s">
        <v>310</v>
      </c>
      <c r="D240" s="97">
        <v>200000</v>
      </c>
      <c r="E240" s="97">
        <f>J240</f>
        <v>213000</v>
      </c>
      <c r="F240" s="97">
        <f t="shared" si="255"/>
        <v>35500</v>
      </c>
      <c r="G240" s="22">
        <v>0.13</v>
      </c>
      <c r="H240" s="32"/>
      <c r="I240" s="29"/>
      <c r="J240" s="171">
        <f t="shared" si="256"/>
        <v>213000</v>
      </c>
      <c r="L240" s="11"/>
      <c r="M240" s="5" t="s">
        <v>313</v>
      </c>
      <c r="N240" s="97"/>
      <c r="O240" s="97"/>
      <c r="P240" s="97"/>
      <c r="Q240" s="22"/>
      <c r="R240" s="32"/>
      <c r="S240" s="29"/>
      <c r="T240" s="171"/>
      <c r="V240" s="41" t="s">
        <v>283</v>
      </c>
      <c r="W240" s="5" t="s">
        <v>381</v>
      </c>
      <c r="X240" s="41"/>
      <c r="Y240" s="41"/>
      <c r="Z240" s="41"/>
      <c r="AA240" s="22"/>
      <c r="AB240" s="32"/>
      <c r="AC240" s="29"/>
      <c r="AD240" s="171"/>
    </row>
    <row r="241" spans="1:30" x14ac:dyDescent="0.25">
      <c r="A241" s="91">
        <v>6</v>
      </c>
      <c r="B241" s="11" t="s">
        <v>910</v>
      </c>
      <c r="C241" s="5" t="s">
        <v>310</v>
      </c>
      <c r="D241" s="97">
        <v>250000</v>
      </c>
      <c r="E241" s="97">
        <f>J241</f>
        <v>266250</v>
      </c>
      <c r="F241" s="97">
        <f t="shared" ref="F241" si="257">J241/A241</f>
        <v>44375</v>
      </c>
      <c r="G241" s="22">
        <v>0.13</v>
      </c>
      <c r="H241" s="32"/>
      <c r="I241" s="29"/>
      <c r="J241" s="171">
        <f t="shared" si="256"/>
        <v>266250</v>
      </c>
      <c r="L241" s="11"/>
      <c r="M241" s="5" t="s">
        <v>313</v>
      </c>
      <c r="N241" s="97"/>
      <c r="O241" s="97"/>
      <c r="P241" s="11"/>
      <c r="Q241" s="22"/>
      <c r="R241" s="32"/>
      <c r="S241" s="29"/>
      <c r="T241" s="171"/>
      <c r="V241" s="41" t="s">
        <v>283</v>
      </c>
      <c r="W241" s="5" t="s">
        <v>381</v>
      </c>
      <c r="X241" s="41"/>
      <c r="Y241" s="41"/>
      <c r="Z241" s="41"/>
      <c r="AA241" s="22"/>
      <c r="AB241" s="32"/>
      <c r="AC241" s="29"/>
      <c r="AD241" s="171"/>
    </row>
    <row r="242" spans="1:30" x14ac:dyDescent="0.25">
      <c r="A242" s="91">
        <v>4</v>
      </c>
      <c r="B242" s="11" t="s">
        <v>910</v>
      </c>
      <c r="C242" s="5" t="s">
        <v>310</v>
      </c>
      <c r="D242" s="97">
        <v>300000</v>
      </c>
      <c r="E242" s="97">
        <f>J242</f>
        <v>313000</v>
      </c>
      <c r="F242" s="97">
        <f t="shared" si="255"/>
        <v>78250</v>
      </c>
      <c r="G242" s="22">
        <v>0.13</v>
      </c>
      <c r="H242" s="32"/>
      <c r="I242" s="29"/>
      <c r="J242" s="171">
        <f t="shared" si="256"/>
        <v>313000</v>
      </c>
      <c r="L242" s="11"/>
      <c r="M242" s="5" t="s">
        <v>313</v>
      </c>
      <c r="N242" s="11"/>
      <c r="O242" s="11"/>
      <c r="P242" s="11"/>
      <c r="Q242" s="22"/>
      <c r="R242" s="32"/>
      <c r="S242" s="29"/>
      <c r="T242" s="171"/>
      <c r="V242" s="41" t="s">
        <v>283</v>
      </c>
      <c r="W242" s="5" t="s">
        <v>381</v>
      </c>
      <c r="X242" s="41"/>
      <c r="Y242" s="41"/>
      <c r="Z242" s="41"/>
      <c r="AA242" s="22"/>
      <c r="AB242" s="32"/>
      <c r="AC242" s="29"/>
      <c r="AD242" s="171"/>
    </row>
    <row r="243" spans="1:30" x14ac:dyDescent="0.25">
      <c r="A243" s="91">
        <v>4</v>
      </c>
      <c r="B243" s="11" t="s">
        <v>910</v>
      </c>
      <c r="C243" s="5" t="s">
        <v>310</v>
      </c>
      <c r="D243" s="97">
        <v>300000</v>
      </c>
      <c r="E243" s="97">
        <f>J243</f>
        <v>313000</v>
      </c>
      <c r="F243" s="97">
        <f t="shared" ref="F243:F244" si="258">J243/A243</f>
        <v>78250</v>
      </c>
      <c r="G243" s="22">
        <v>0.13</v>
      </c>
      <c r="H243" s="32"/>
      <c r="I243" s="29"/>
      <c r="J243" s="171">
        <f t="shared" si="256"/>
        <v>313000</v>
      </c>
      <c r="L243" s="11"/>
      <c r="M243" s="5" t="s">
        <v>313</v>
      </c>
      <c r="N243" s="11"/>
      <c r="O243" s="11"/>
      <c r="P243" s="11"/>
      <c r="Q243" s="22"/>
      <c r="R243" s="32"/>
      <c r="S243" s="29"/>
      <c r="T243" s="171"/>
      <c r="V243" s="41" t="s">
        <v>283</v>
      </c>
      <c r="W243" s="5" t="s">
        <v>381</v>
      </c>
      <c r="X243" s="41"/>
      <c r="Y243" s="41"/>
      <c r="Z243" s="41"/>
      <c r="AA243" s="22"/>
      <c r="AB243" s="32"/>
      <c r="AC243" s="29"/>
      <c r="AD243" s="171"/>
    </row>
    <row r="244" spans="1:30" outlineLevel="1" x14ac:dyDescent="0.25">
      <c r="A244" s="91">
        <v>4</v>
      </c>
      <c r="B244" s="11" t="s">
        <v>910</v>
      </c>
      <c r="C244" s="5" t="s">
        <v>310</v>
      </c>
      <c r="D244" s="97">
        <v>300000</v>
      </c>
      <c r="E244" s="97">
        <f>J244</f>
        <v>313000</v>
      </c>
      <c r="F244" s="97">
        <f t="shared" si="258"/>
        <v>78250</v>
      </c>
      <c r="G244" s="22">
        <v>0.13</v>
      </c>
      <c r="H244" s="32"/>
      <c r="I244" s="29"/>
      <c r="J244" s="171">
        <f t="shared" si="256"/>
        <v>313000</v>
      </c>
      <c r="L244" s="11"/>
      <c r="M244" s="5" t="s">
        <v>313</v>
      </c>
      <c r="N244" s="11"/>
      <c r="O244" s="11"/>
      <c r="P244" s="11"/>
      <c r="Q244" s="22"/>
      <c r="R244" s="32"/>
      <c r="S244" s="29"/>
      <c r="T244" s="171"/>
      <c r="V244" s="41" t="s">
        <v>283</v>
      </c>
      <c r="W244" s="5" t="s">
        <v>381</v>
      </c>
      <c r="X244" s="41"/>
      <c r="Y244" s="41"/>
      <c r="Z244" s="41"/>
      <c r="AA244" s="22"/>
      <c r="AB244" s="32"/>
      <c r="AC244" s="29"/>
      <c r="AD244" s="171"/>
    </row>
    <row r="245" spans="1:30" outlineLevel="1" x14ac:dyDescent="0.25">
      <c r="B245" s="11"/>
      <c r="C245" s="5" t="s">
        <v>313</v>
      </c>
      <c r="D245" s="11"/>
      <c r="E245" s="11"/>
      <c r="F245" s="11"/>
      <c r="G245" s="22"/>
      <c r="H245" s="32"/>
      <c r="I245" s="29"/>
      <c r="J245" s="171">
        <f t="shared" si="256"/>
        <v>0</v>
      </c>
      <c r="L245" s="11"/>
      <c r="M245" s="5" t="s">
        <v>313</v>
      </c>
      <c r="N245" s="11"/>
      <c r="O245" s="11"/>
      <c r="P245" s="11"/>
      <c r="Q245" s="22"/>
      <c r="R245" s="32"/>
      <c r="S245" s="29"/>
      <c r="T245" s="171"/>
      <c r="V245" s="41" t="s">
        <v>283</v>
      </c>
      <c r="W245" s="5" t="s">
        <v>381</v>
      </c>
      <c r="X245" s="41"/>
      <c r="Y245" s="41"/>
      <c r="Z245" s="41"/>
      <c r="AA245" s="22"/>
      <c r="AB245" s="32"/>
      <c r="AC245" s="29"/>
      <c r="AD245" s="171"/>
    </row>
    <row r="246" spans="1:30" outlineLevel="1" x14ac:dyDescent="0.25">
      <c r="B246" s="11"/>
      <c r="C246" s="5" t="s">
        <v>313</v>
      </c>
      <c r="D246" s="11"/>
      <c r="E246" s="11"/>
      <c r="F246" s="11"/>
      <c r="G246" s="22"/>
      <c r="H246" s="32"/>
      <c r="I246" s="29"/>
      <c r="J246" s="171"/>
      <c r="L246" s="11"/>
      <c r="M246" s="5" t="s">
        <v>313</v>
      </c>
      <c r="N246" s="11"/>
      <c r="O246" s="11"/>
      <c r="P246" s="11"/>
      <c r="Q246" s="22"/>
      <c r="R246" s="32"/>
      <c r="S246" s="29"/>
      <c r="T246" s="171"/>
      <c r="V246" s="41" t="s">
        <v>283</v>
      </c>
      <c r="W246" s="5" t="s">
        <v>381</v>
      </c>
      <c r="X246" s="41"/>
      <c r="Y246" s="41"/>
      <c r="Z246" s="41"/>
      <c r="AA246" s="22"/>
      <c r="AB246" s="32"/>
      <c r="AC246" s="29"/>
      <c r="AD246" s="171"/>
    </row>
    <row r="247" spans="1:30" outlineLevel="1" x14ac:dyDescent="0.25">
      <c r="B247" s="11"/>
      <c r="C247" s="5" t="s">
        <v>313</v>
      </c>
      <c r="D247" s="11"/>
      <c r="E247" s="11"/>
      <c r="F247" s="11"/>
      <c r="G247" s="22"/>
      <c r="H247" s="32"/>
      <c r="I247" s="29"/>
      <c r="J247" s="171"/>
      <c r="L247" s="11"/>
      <c r="M247" s="5" t="s">
        <v>313</v>
      </c>
      <c r="N247" s="11"/>
      <c r="O247" s="11"/>
      <c r="P247" s="11"/>
      <c r="Q247" s="22"/>
      <c r="R247" s="32"/>
      <c r="S247" s="29"/>
      <c r="T247" s="171"/>
      <c r="V247" s="41" t="s">
        <v>283</v>
      </c>
      <c r="W247" s="5" t="s">
        <v>381</v>
      </c>
      <c r="X247" s="41"/>
      <c r="Y247" s="41"/>
      <c r="Z247" s="41"/>
      <c r="AA247" s="22"/>
      <c r="AB247" s="32"/>
      <c r="AC247" s="29"/>
      <c r="AD247" s="171"/>
    </row>
    <row r="248" spans="1:30" outlineLevel="1" x14ac:dyDescent="0.25">
      <c r="B248" s="11"/>
      <c r="C248" s="5" t="s">
        <v>313</v>
      </c>
      <c r="D248" s="11"/>
      <c r="E248" s="11"/>
      <c r="F248" s="11"/>
      <c r="G248" s="22"/>
      <c r="H248" s="32"/>
      <c r="I248" s="29"/>
      <c r="J248" s="171"/>
      <c r="L248" s="11"/>
      <c r="M248" s="5" t="s">
        <v>313</v>
      </c>
      <c r="N248" s="11"/>
      <c r="O248" s="11"/>
      <c r="P248" s="11"/>
      <c r="Q248" s="22"/>
      <c r="R248" s="32"/>
      <c r="S248" s="29"/>
      <c r="T248" s="171"/>
      <c r="V248" s="41" t="s">
        <v>283</v>
      </c>
      <c r="W248" s="5" t="s">
        <v>381</v>
      </c>
      <c r="X248" s="41"/>
      <c r="Y248" s="41"/>
      <c r="Z248" s="41"/>
      <c r="AA248" s="22"/>
      <c r="AB248" s="32"/>
      <c r="AC248" s="29"/>
      <c r="AD248" s="171"/>
    </row>
    <row r="249" spans="1:30" outlineLevel="1" x14ac:dyDescent="0.25">
      <c r="B249" s="11"/>
      <c r="C249" s="5" t="s">
        <v>313</v>
      </c>
      <c r="D249" s="11"/>
      <c r="E249" s="11"/>
      <c r="F249" s="11"/>
      <c r="G249" s="22"/>
      <c r="H249" s="32"/>
      <c r="I249" s="29"/>
      <c r="J249" s="171"/>
      <c r="L249" s="11"/>
      <c r="M249" s="5" t="s">
        <v>313</v>
      </c>
      <c r="N249" s="11"/>
      <c r="O249" s="11"/>
      <c r="P249" s="11"/>
      <c r="Q249" s="22"/>
      <c r="R249" s="32"/>
      <c r="S249" s="29"/>
      <c r="T249" s="171"/>
      <c r="V249" s="41" t="s">
        <v>283</v>
      </c>
      <c r="W249" s="5" t="s">
        <v>381</v>
      </c>
      <c r="X249" s="41"/>
      <c r="Y249" s="41"/>
      <c r="Z249" s="41"/>
      <c r="AA249" s="22"/>
      <c r="AB249" s="32"/>
      <c r="AC249" s="29"/>
      <c r="AD249" s="171"/>
    </row>
    <row r="250" spans="1:30" outlineLevel="1" x14ac:dyDescent="0.25">
      <c r="B250" s="11"/>
      <c r="C250" s="5" t="s">
        <v>313</v>
      </c>
      <c r="D250" s="11"/>
      <c r="E250" s="11"/>
      <c r="F250" s="11"/>
      <c r="G250" s="22"/>
      <c r="H250" s="32"/>
      <c r="I250" s="29"/>
      <c r="J250" s="171"/>
      <c r="L250" s="11"/>
      <c r="M250" s="5" t="s">
        <v>313</v>
      </c>
      <c r="N250" s="11"/>
      <c r="O250" s="11"/>
      <c r="P250" s="11"/>
      <c r="Q250" s="22"/>
      <c r="R250" s="32"/>
      <c r="S250" s="29"/>
      <c r="T250" s="171"/>
      <c r="V250" s="41" t="s">
        <v>283</v>
      </c>
      <c r="W250" s="5" t="s">
        <v>381</v>
      </c>
      <c r="X250" s="41"/>
      <c r="Y250" s="41"/>
      <c r="Z250" s="41"/>
      <c r="AA250" s="22"/>
      <c r="AB250" s="32"/>
      <c r="AC250" s="29"/>
      <c r="AD250" s="171"/>
    </row>
    <row r="251" spans="1:30" outlineLevel="1" x14ac:dyDescent="0.25">
      <c r="B251" s="11"/>
      <c r="C251" s="5" t="s">
        <v>313</v>
      </c>
      <c r="D251" s="11"/>
      <c r="E251" s="11"/>
      <c r="F251" s="11"/>
      <c r="G251" s="22"/>
      <c r="H251" s="32"/>
      <c r="I251" s="29"/>
      <c r="J251" s="171"/>
      <c r="L251" s="11"/>
      <c r="M251" s="5" t="s">
        <v>313</v>
      </c>
      <c r="N251" s="11"/>
      <c r="O251" s="11"/>
      <c r="P251" s="11"/>
      <c r="Q251" s="22"/>
      <c r="R251" s="32"/>
      <c r="S251" s="29"/>
      <c r="T251" s="171"/>
      <c r="V251" s="41" t="s">
        <v>283</v>
      </c>
      <c r="W251" s="5" t="s">
        <v>381</v>
      </c>
      <c r="X251" s="41"/>
      <c r="Y251" s="41"/>
      <c r="Z251" s="41"/>
      <c r="AA251" s="22"/>
      <c r="AB251" s="32"/>
      <c r="AC251" s="29"/>
      <c r="AD251" s="171"/>
    </row>
    <row r="252" spans="1:30" outlineLevel="1" x14ac:dyDescent="0.25">
      <c r="B252" s="11"/>
      <c r="C252" s="5" t="s">
        <v>313</v>
      </c>
      <c r="D252" s="11"/>
      <c r="E252" s="11"/>
      <c r="F252" s="11"/>
      <c r="G252" s="22"/>
      <c r="H252" s="32"/>
      <c r="I252" s="29"/>
      <c r="J252" s="171"/>
      <c r="L252" s="11"/>
      <c r="M252" s="5" t="s">
        <v>313</v>
      </c>
      <c r="N252" s="11"/>
      <c r="O252" s="11"/>
      <c r="P252" s="11"/>
      <c r="Q252" s="22"/>
      <c r="R252" s="32"/>
      <c r="S252" s="29"/>
      <c r="T252" s="171"/>
      <c r="V252" s="41" t="s">
        <v>283</v>
      </c>
      <c r="W252" s="5" t="s">
        <v>381</v>
      </c>
      <c r="X252" s="41"/>
      <c r="Y252" s="41"/>
      <c r="Z252" s="41"/>
      <c r="AA252" s="22"/>
      <c r="AB252" s="32"/>
      <c r="AC252" s="29"/>
      <c r="AD252" s="171"/>
    </row>
    <row r="253" spans="1:30" s="24" customFormat="1" x14ac:dyDescent="0.25">
      <c r="B253" s="8" t="str">
        <f>"Total "&amp;B237</f>
        <v>Total P2P - Facility (Term-loan / Working Capital)</v>
      </c>
      <c r="C253" s="25"/>
      <c r="D253" s="28">
        <f t="shared" ref="D253:F253" si="259">SUM(D238:D252)</f>
        <v>1800000</v>
      </c>
      <c r="E253" s="28">
        <f t="shared" si="259"/>
        <v>1764375</v>
      </c>
      <c r="F253" s="28">
        <f t="shared" si="259"/>
        <v>394500</v>
      </c>
      <c r="G253" s="25"/>
      <c r="H253" s="26"/>
      <c r="I253" s="30"/>
      <c r="J253" s="170"/>
      <c r="L253" s="8" t="str">
        <f>"Total "&amp;L237</f>
        <v>Total P2P - Facility (Term-loan / Working Capital)</v>
      </c>
      <c r="M253" s="25"/>
      <c r="N253" s="28">
        <f t="shared" ref="N253:P253" si="260">SUM(N238:N252)</f>
        <v>0</v>
      </c>
      <c r="O253" s="28">
        <f t="shared" si="260"/>
        <v>0</v>
      </c>
      <c r="P253" s="28">
        <f t="shared" si="260"/>
        <v>0</v>
      </c>
      <c r="Q253" s="25"/>
      <c r="R253" s="26"/>
      <c r="S253" s="30"/>
      <c r="T253" s="170"/>
      <c r="V253" s="8" t="str">
        <f>"Total "&amp;V237</f>
        <v>Total P2P - Facility (Term-loan / Working Capital)</v>
      </c>
      <c r="W253" s="25"/>
      <c r="X253" s="28">
        <f t="shared" ref="X253:Z253" si="261">SUM(X238:X252)</f>
        <v>0</v>
      </c>
      <c r="Y253" s="28">
        <f t="shared" si="261"/>
        <v>0</v>
      </c>
      <c r="Z253" s="28">
        <f t="shared" si="261"/>
        <v>0</v>
      </c>
      <c r="AA253" s="25"/>
      <c r="AB253" s="26"/>
      <c r="AC253" s="30"/>
      <c r="AD253" s="170"/>
    </row>
    <row r="255" spans="1:30" s="20" customFormat="1" ht="38.25" x14ac:dyDescent="0.25">
      <c r="B255" s="27" t="s">
        <v>389</v>
      </c>
      <c r="C255" s="3" t="str">
        <f>C$61</f>
        <v>Source</v>
      </c>
      <c r="D255" s="3" t="str">
        <f t="shared" ref="D255:J255" si="262">D$61</f>
        <v>Limit (A)</v>
      </c>
      <c r="E255" s="3" t="str">
        <f t="shared" si="262"/>
        <v>Outstanding (A1)</v>
      </c>
      <c r="F255" s="3" t="str">
        <f t="shared" si="262"/>
        <v>Monthly Repayment (B)</v>
      </c>
      <c r="G255" s="3" t="str">
        <f t="shared" si="262"/>
        <v>Interest Rate (C)</v>
      </c>
      <c r="H255" s="3" t="str">
        <f t="shared" si="262"/>
        <v>Factor (D)</v>
      </c>
      <c r="I255" s="3" t="str">
        <f t="shared" si="262"/>
        <v>Interest (E) = (A or A1) * (C) * (D)</v>
      </c>
      <c r="J255" s="3" t="str">
        <f t="shared" si="262"/>
        <v>Code Of Conduct</v>
      </c>
      <c r="L255" s="175" t="str">
        <f>B255</f>
        <v>P2P - Facility (Trade Invoice Financing)</v>
      </c>
      <c r="M255" s="176" t="str">
        <f t="shared" ref="M255" si="263">C255</f>
        <v>Source</v>
      </c>
      <c r="N255" s="176" t="str">
        <f t="shared" ref="N255" si="264">D255</f>
        <v>Limit (A)</v>
      </c>
      <c r="O255" s="176" t="str">
        <f t="shared" ref="O255" si="265">E255</f>
        <v>Outstanding (A1)</v>
      </c>
      <c r="P255" s="176" t="str">
        <f t="shared" ref="P255" si="266">F255</f>
        <v>Monthly Repayment (B)</v>
      </c>
      <c r="Q255" s="176" t="str">
        <f t="shared" ref="Q255" si="267">G255</f>
        <v>Interest Rate (C)</v>
      </c>
      <c r="R255" s="176" t="str">
        <f t="shared" ref="R255" si="268">H255</f>
        <v>Factor (D)</v>
      </c>
      <c r="S255" s="176" t="str">
        <f t="shared" ref="S255" si="269">I255</f>
        <v>Interest (E) = (A or A1) * (C) * (D)</v>
      </c>
      <c r="T255" s="176" t="str">
        <f t="shared" ref="T255" si="270">J255</f>
        <v>Code Of Conduct</v>
      </c>
      <c r="V255" s="175" t="str">
        <f>L255</f>
        <v>P2P - Facility (Trade Invoice Financing)</v>
      </c>
      <c r="W255" s="176" t="str">
        <f t="shared" ref="W255" si="271">M255</f>
        <v>Source</v>
      </c>
      <c r="X255" s="176" t="str">
        <f t="shared" ref="X255" si="272">N255</f>
        <v>Limit (A)</v>
      </c>
      <c r="Y255" s="176" t="str">
        <f t="shared" ref="Y255" si="273">O255</f>
        <v>Outstanding (A1)</v>
      </c>
      <c r="Z255" s="176" t="str">
        <f t="shared" ref="Z255" si="274">P255</f>
        <v>Monthly Repayment (B)</v>
      </c>
      <c r="AA255" s="176" t="str">
        <f t="shared" ref="AA255" si="275">Q255</f>
        <v>Interest Rate (C)</v>
      </c>
      <c r="AB255" s="176" t="str">
        <f t="shared" ref="AB255" si="276">R255</f>
        <v>Factor (D)</v>
      </c>
      <c r="AC255" s="176" t="str">
        <f t="shared" ref="AC255" si="277">S255</f>
        <v>Interest (E) = (A or A1) * (C) * (D)</v>
      </c>
      <c r="AD255" s="176" t="str">
        <f t="shared" ref="AD255" si="278">T255</f>
        <v>Code Of Conduct</v>
      </c>
    </row>
    <row r="256" spans="1:30" x14ac:dyDescent="0.25">
      <c r="B256" s="11" t="s">
        <v>932</v>
      </c>
      <c r="C256" s="5" t="s">
        <v>310</v>
      </c>
      <c r="D256" s="11">
        <v>420000</v>
      </c>
      <c r="E256" s="11"/>
      <c r="F256" s="29"/>
      <c r="G256" s="22">
        <v>0.14399999999999999</v>
      </c>
      <c r="H256" s="169">
        <v>0.85</v>
      </c>
      <c r="I256" s="75">
        <f>D256*G256*H256</f>
        <v>51407.999999999993</v>
      </c>
      <c r="J256" s="171"/>
      <c r="L256" s="11"/>
      <c r="M256" s="5" t="s">
        <v>310</v>
      </c>
      <c r="N256" s="97"/>
      <c r="O256" s="11"/>
      <c r="P256" s="29"/>
      <c r="Q256" s="22"/>
      <c r="R256" s="169">
        <v>0.8</v>
      </c>
      <c r="S256" s="75">
        <f>N256*Q256*R256</f>
        <v>0</v>
      </c>
      <c r="T256" s="171"/>
      <c r="V256" s="41" t="s">
        <v>283</v>
      </c>
      <c r="W256" s="5" t="s">
        <v>381</v>
      </c>
      <c r="X256" s="41"/>
      <c r="Y256" s="41"/>
      <c r="Z256" s="29"/>
      <c r="AA256" s="22"/>
      <c r="AB256" s="169">
        <f>AB$271</f>
        <v>1</v>
      </c>
      <c r="AC256" s="75">
        <f>X256*AA256*AB256</f>
        <v>0</v>
      </c>
      <c r="AD256" s="171"/>
    </row>
    <row r="257" spans="2:30" x14ac:dyDescent="0.25">
      <c r="B257" s="11" t="s">
        <v>933</v>
      </c>
      <c r="C257" s="5" t="s">
        <v>313</v>
      </c>
      <c r="D257" s="11">
        <v>300000</v>
      </c>
      <c r="E257" s="11"/>
      <c r="F257" s="29"/>
      <c r="G257" s="22">
        <v>0.11</v>
      </c>
      <c r="H257" s="169">
        <f t="shared" ref="H257:H270" si="279">H$271</f>
        <v>1</v>
      </c>
      <c r="I257" s="75">
        <f t="shared" ref="I257:I270" si="280">D257*G257*H257</f>
        <v>33000</v>
      </c>
      <c r="J257" s="171"/>
      <c r="L257" s="11"/>
      <c r="M257" s="5" t="s">
        <v>313</v>
      </c>
      <c r="N257" s="11"/>
      <c r="O257" s="11"/>
      <c r="P257" s="29"/>
      <c r="Q257" s="22"/>
      <c r="R257" s="169">
        <f t="shared" ref="R257:R270" si="281">R$271</f>
        <v>1</v>
      </c>
      <c r="S257" s="75">
        <f t="shared" ref="S257:S270" si="282">N257*Q257*R257</f>
        <v>0</v>
      </c>
      <c r="T257" s="171"/>
      <c r="V257" s="41" t="s">
        <v>283</v>
      </c>
      <c r="W257" s="5" t="s">
        <v>381</v>
      </c>
      <c r="X257" s="41"/>
      <c r="Y257" s="41"/>
      <c r="Z257" s="29"/>
      <c r="AA257" s="22"/>
      <c r="AB257" s="169">
        <f t="shared" ref="AB257:AB270" si="283">AB$271</f>
        <v>1</v>
      </c>
      <c r="AC257" s="75">
        <f t="shared" ref="AC257:AC270" si="284">X257*AA257*AB257</f>
        <v>0</v>
      </c>
      <c r="AD257" s="171"/>
    </row>
    <row r="258" spans="2:30" x14ac:dyDescent="0.25">
      <c r="B258" s="11"/>
      <c r="C258" s="5" t="s">
        <v>313</v>
      </c>
      <c r="D258" s="11"/>
      <c r="E258" s="11"/>
      <c r="F258" s="29"/>
      <c r="G258" s="22"/>
      <c r="H258" s="169">
        <f t="shared" si="279"/>
        <v>1</v>
      </c>
      <c r="I258" s="75">
        <f t="shared" si="280"/>
        <v>0</v>
      </c>
      <c r="J258" s="171"/>
      <c r="L258" s="11"/>
      <c r="M258" s="5" t="s">
        <v>313</v>
      </c>
      <c r="N258" s="11"/>
      <c r="O258" s="11"/>
      <c r="P258" s="29"/>
      <c r="Q258" s="22"/>
      <c r="R258" s="169">
        <f t="shared" si="281"/>
        <v>1</v>
      </c>
      <c r="S258" s="75">
        <f t="shared" si="282"/>
        <v>0</v>
      </c>
      <c r="T258" s="171"/>
      <c r="V258" s="41" t="s">
        <v>283</v>
      </c>
      <c r="W258" s="5" t="s">
        <v>381</v>
      </c>
      <c r="X258" s="41"/>
      <c r="Y258" s="41"/>
      <c r="Z258" s="29"/>
      <c r="AA258" s="22"/>
      <c r="AB258" s="169">
        <f t="shared" si="283"/>
        <v>1</v>
      </c>
      <c r="AC258" s="75">
        <f t="shared" si="284"/>
        <v>0</v>
      </c>
      <c r="AD258" s="171"/>
    </row>
    <row r="259" spans="2:30" x14ac:dyDescent="0.25">
      <c r="B259" s="11"/>
      <c r="C259" s="5" t="s">
        <v>313</v>
      </c>
      <c r="D259" s="11"/>
      <c r="E259" s="11"/>
      <c r="F259" s="29"/>
      <c r="G259" s="22"/>
      <c r="H259" s="169">
        <f t="shared" si="279"/>
        <v>1</v>
      </c>
      <c r="I259" s="75">
        <f t="shared" si="280"/>
        <v>0</v>
      </c>
      <c r="J259" s="171"/>
      <c r="L259" s="11"/>
      <c r="M259" s="5" t="s">
        <v>313</v>
      </c>
      <c r="N259" s="11"/>
      <c r="O259" s="11"/>
      <c r="P259" s="29"/>
      <c r="Q259" s="22"/>
      <c r="R259" s="169">
        <f t="shared" si="281"/>
        <v>1</v>
      </c>
      <c r="S259" s="75">
        <f t="shared" si="282"/>
        <v>0</v>
      </c>
      <c r="T259" s="171"/>
      <c r="V259" s="41" t="s">
        <v>283</v>
      </c>
      <c r="W259" s="5" t="s">
        <v>381</v>
      </c>
      <c r="X259" s="41"/>
      <c r="Y259" s="41"/>
      <c r="Z259" s="29"/>
      <c r="AA259" s="22"/>
      <c r="AB259" s="169">
        <f t="shared" si="283"/>
        <v>1</v>
      </c>
      <c r="AC259" s="75">
        <f t="shared" si="284"/>
        <v>0</v>
      </c>
      <c r="AD259" s="171"/>
    </row>
    <row r="260" spans="2:30" x14ac:dyDescent="0.25">
      <c r="B260" s="11"/>
      <c r="C260" s="5" t="s">
        <v>313</v>
      </c>
      <c r="D260" s="11"/>
      <c r="E260" s="11"/>
      <c r="F260" s="29"/>
      <c r="G260" s="22"/>
      <c r="H260" s="169">
        <f t="shared" si="279"/>
        <v>1</v>
      </c>
      <c r="I260" s="75">
        <f t="shared" si="280"/>
        <v>0</v>
      </c>
      <c r="J260" s="171"/>
      <c r="L260" s="11"/>
      <c r="M260" s="5" t="s">
        <v>313</v>
      </c>
      <c r="N260" s="11"/>
      <c r="O260" s="11"/>
      <c r="P260" s="29"/>
      <c r="Q260" s="22"/>
      <c r="R260" s="169">
        <f t="shared" si="281"/>
        <v>1</v>
      </c>
      <c r="S260" s="75">
        <f t="shared" si="282"/>
        <v>0</v>
      </c>
      <c r="T260" s="171"/>
      <c r="V260" s="41" t="s">
        <v>283</v>
      </c>
      <c r="W260" s="5" t="s">
        <v>381</v>
      </c>
      <c r="X260" s="41"/>
      <c r="Y260" s="41"/>
      <c r="Z260" s="29"/>
      <c r="AA260" s="22"/>
      <c r="AB260" s="169">
        <f t="shared" si="283"/>
        <v>1</v>
      </c>
      <c r="AC260" s="75">
        <f t="shared" si="284"/>
        <v>0</v>
      </c>
      <c r="AD260" s="171"/>
    </row>
    <row r="261" spans="2:30" x14ac:dyDescent="0.25">
      <c r="B261" s="11"/>
      <c r="C261" s="5" t="s">
        <v>313</v>
      </c>
      <c r="D261" s="11"/>
      <c r="E261" s="11"/>
      <c r="F261" s="29"/>
      <c r="G261" s="22"/>
      <c r="H261" s="169">
        <f t="shared" si="279"/>
        <v>1</v>
      </c>
      <c r="I261" s="75">
        <f t="shared" si="280"/>
        <v>0</v>
      </c>
      <c r="J261" s="171"/>
      <c r="L261" s="11"/>
      <c r="M261" s="5" t="s">
        <v>313</v>
      </c>
      <c r="N261" s="11"/>
      <c r="O261" s="11"/>
      <c r="P261" s="29"/>
      <c r="Q261" s="22"/>
      <c r="R261" s="169">
        <f t="shared" si="281"/>
        <v>1</v>
      </c>
      <c r="S261" s="75">
        <f t="shared" si="282"/>
        <v>0</v>
      </c>
      <c r="T261" s="171"/>
      <c r="V261" s="41" t="s">
        <v>283</v>
      </c>
      <c r="W261" s="5" t="s">
        <v>381</v>
      </c>
      <c r="X261" s="41"/>
      <c r="Y261" s="41"/>
      <c r="Z261" s="29"/>
      <c r="AA261" s="22"/>
      <c r="AB261" s="169">
        <f t="shared" si="283"/>
        <v>1</v>
      </c>
      <c r="AC261" s="75">
        <f t="shared" si="284"/>
        <v>0</v>
      </c>
      <c r="AD261" s="171"/>
    </row>
    <row r="262" spans="2:30" hidden="1" outlineLevel="1" x14ac:dyDescent="0.25">
      <c r="B262" s="11"/>
      <c r="C262" s="5" t="s">
        <v>313</v>
      </c>
      <c r="D262" s="11"/>
      <c r="E262" s="11"/>
      <c r="F262" s="29"/>
      <c r="G262" s="22"/>
      <c r="H262" s="169">
        <f t="shared" si="279"/>
        <v>1</v>
      </c>
      <c r="I262" s="75">
        <f t="shared" si="280"/>
        <v>0</v>
      </c>
      <c r="J262" s="171"/>
      <c r="L262" s="11"/>
      <c r="M262" s="5" t="s">
        <v>313</v>
      </c>
      <c r="N262" s="11"/>
      <c r="O262" s="11"/>
      <c r="P262" s="29"/>
      <c r="Q262" s="22"/>
      <c r="R262" s="169">
        <f t="shared" si="281"/>
        <v>1</v>
      </c>
      <c r="S262" s="75">
        <f t="shared" si="282"/>
        <v>0</v>
      </c>
      <c r="T262" s="171"/>
      <c r="V262" s="41" t="s">
        <v>283</v>
      </c>
      <c r="W262" s="5" t="s">
        <v>381</v>
      </c>
      <c r="X262" s="41"/>
      <c r="Y262" s="41"/>
      <c r="Z262" s="29"/>
      <c r="AA262" s="22"/>
      <c r="AB262" s="169">
        <f t="shared" si="283"/>
        <v>1</v>
      </c>
      <c r="AC262" s="75">
        <f t="shared" si="284"/>
        <v>0</v>
      </c>
      <c r="AD262" s="171"/>
    </row>
    <row r="263" spans="2:30" hidden="1" outlineLevel="1" x14ac:dyDescent="0.25">
      <c r="B263" s="11"/>
      <c r="C263" s="5" t="s">
        <v>313</v>
      </c>
      <c r="D263" s="11"/>
      <c r="E263" s="11"/>
      <c r="F263" s="29"/>
      <c r="G263" s="22"/>
      <c r="H263" s="169">
        <f t="shared" si="279"/>
        <v>1</v>
      </c>
      <c r="I263" s="75">
        <f t="shared" si="280"/>
        <v>0</v>
      </c>
      <c r="J263" s="171"/>
      <c r="L263" s="11"/>
      <c r="M263" s="5" t="s">
        <v>313</v>
      </c>
      <c r="N263" s="11"/>
      <c r="O263" s="11"/>
      <c r="P263" s="29"/>
      <c r="Q263" s="22"/>
      <c r="R263" s="169">
        <f t="shared" si="281"/>
        <v>1</v>
      </c>
      <c r="S263" s="75">
        <f t="shared" si="282"/>
        <v>0</v>
      </c>
      <c r="T263" s="171"/>
      <c r="V263" s="41" t="s">
        <v>283</v>
      </c>
      <c r="W263" s="5" t="s">
        <v>381</v>
      </c>
      <c r="X263" s="41"/>
      <c r="Y263" s="41"/>
      <c r="Z263" s="29"/>
      <c r="AA263" s="22"/>
      <c r="AB263" s="169">
        <f t="shared" si="283"/>
        <v>1</v>
      </c>
      <c r="AC263" s="75">
        <f t="shared" si="284"/>
        <v>0</v>
      </c>
      <c r="AD263" s="171"/>
    </row>
    <row r="264" spans="2:30" hidden="1" outlineLevel="1" x14ac:dyDescent="0.25">
      <c r="B264" s="11"/>
      <c r="C264" s="5" t="s">
        <v>313</v>
      </c>
      <c r="D264" s="11"/>
      <c r="E264" s="11"/>
      <c r="F264" s="29"/>
      <c r="G264" s="22"/>
      <c r="H264" s="169">
        <f t="shared" si="279"/>
        <v>1</v>
      </c>
      <c r="I264" s="75">
        <f t="shared" si="280"/>
        <v>0</v>
      </c>
      <c r="J264" s="171"/>
      <c r="L264" s="11"/>
      <c r="M264" s="5" t="s">
        <v>313</v>
      </c>
      <c r="N264" s="11"/>
      <c r="O264" s="11"/>
      <c r="P264" s="29"/>
      <c r="Q264" s="22"/>
      <c r="R264" s="169">
        <f t="shared" si="281"/>
        <v>1</v>
      </c>
      <c r="S264" s="75">
        <f t="shared" si="282"/>
        <v>0</v>
      </c>
      <c r="T264" s="171"/>
      <c r="V264" s="41" t="s">
        <v>283</v>
      </c>
      <c r="W264" s="5" t="s">
        <v>381</v>
      </c>
      <c r="X264" s="41"/>
      <c r="Y264" s="41"/>
      <c r="Z264" s="29"/>
      <c r="AA264" s="22"/>
      <c r="AB264" s="169">
        <f t="shared" si="283"/>
        <v>1</v>
      </c>
      <c r="AC264" s="75">
        <f t="shared" si="284"/>
        <v>0</v>
      </c>
      <c r="AD264" s="171"/>
    </row>
    <row r="265" spans="2:30" hidden="1" outlineLevel="1" x14ac:dyDescent="0.25">
      <c r="B265" s="11"/>
      <c r="C265" s="5" t="s">
        <v>313</v>
      </c>
      <c r="D265" s="11"/>
      <c r="E265" s="11"/>
      <c r="F265" s="29"/>
      <c r="G265" s="22"/>
      <c r="H265" s="169">
        <f t="shared" si="279"/>
        <v>1</v>
      </c>
      <c r="I265" s="75">
        <f t="shared" si="280"/>
        <v>0</v>
      </c>
      <c r="J265" s="171"/>
      <c r="L265" s="11"/>
      <c r="M265" s="5" t="s">
        <v>313</v>
      </c>
      <c r="N265" s="11"/>
      <c r="O265" s="11"/>
      <c r="P265" s="29"/>
      <c r="Q265" s="22"/>
      <c r="R265" s="169">
        <f t="shared" si="281"/>
        <v>1</v>
      </c>
      <c r="S265" s="75">
        <f t="shared" si="282"/>
        <v>0</v>
      </c>
      <c r="T265" s="171"/>
      <c r="V265" s="41" t="s">
        <v>283</v>
      </c>
      <c r="W265" s="5" t="s">
        <v>381</v>
      </c>
      <c r="X265" s="41"/>
      <c r="Y265" s="41"/>
      <c r="Z265" s="29"/>
      <c r="AA265" s="22"/>
      <c r="AB265" s="169">
        <f t="shared" si="283"/>
        <v>1</v>
      </c>
      <c r="AC265" s="75">
        <f t="shared" si="284"/>
        <v>0</v>
      </c>
      <c r="AD265" s="171"/>
    </row>
    <row r="266" spans="2:30" hidden="1" outlineLevel="1" x14ac:dyDescent="0.25">
      <c r="B266" s="11"/>
      <c r="C266" s="5" t="s">
        <v>313</v>
      </c>
      <c r="D266" s="11"/>
      <c r="E266" s="11"/>
      <c r="F266" s="29"/>
      <c r="G266" s="22"/>
      <c r="H266" s="169">
        <f t="shared" si="279"/>
        <v>1</v>
      </c>
      <c r="I266" s="75">
        <f t="shared" si="280"/>
        <v>0</v>
      </c>
      <c r="J266" s="171"/>
      <c r="L266" s="11"/>
      <c r="M266" s="5" t="s">
        <v>313</v>
      </c>
      <c r="N266" s="11"/>
      <c r="O266" s="11"/>
      <c r="P266" s="29"/>
      <c r="Q266" s="22"/>
      <c r="R266" s="169">
        <f t="shared" si="281"/>
        <v>1</v>
      </c>
      <c r="S266" s="75">
        <f t="shared" si="282"/>
        <v>0</v>
      </c>
      <c r="T266" s="171"/>
      <c r="V266" s="41" t="s">
        <v>283</v>
      </c>
      <c r="W266" s="5" t="s">
        <v>381</v>
      </c>
      <c r="X266" s="41"/>
      <c r="Y266" s="41"/>
      <c r="Z266" s="29"/>
      <c r="AA266" s="22"/>
      <c r="AB266" s="169">
        <f t="shared" si="283"/>
        <v>1</v>
      </c>
      <c r="AC266" s="75">
        <f t="shared" si="284"/>
        <v>0</v>
      </c>
      <c r="AD266" s="171"/>
    </row>
    <row r="267" spans="2:30" hidden="1" outlineLevel="1" x14ac:dyDescent="0.25">
      <c r="B267" s="11"/>
      <c r="C267" s="5" t="s">
        <v>313</v>
      </c>
      <c r="D267" s="11"/>
      <c r="E267" s="11"/>
      <c r="F267" s="29"/>
      <c r="G267" s="22"/>
      <c r="H267" s="169">
        <f t="shared" si="279"/>
        <v>1</v>
      </c>
      <c r="I267" s="75">
        <f t="shared" si="280"/>
        <v>0</v>
      </c>
      <c r="J267" s="171"/>
      <c r="L267" s="11"/>
      <c r="M267" s="5" t="s">
        <v>313</v>
      </c>
      <c r="N267" s="11"/>
      <c r="O267" s="11"/>
      <c r="P267" s="29"/>
      <c r="Q267" s="22"/>
      <c r="R267" s="169">
        <f t="shared" si="281"/>
        <v>1</v>
      </c>
      <c r="S267" s="75">
        <f t="shared" si="282"/>
        <v>0</v>
      </c>
      <c r="T267" s="171"/>
      <c r="V267" s="41" t="s">
        <v>283</v>
      </c>
      <c r="W267" s="5" t="s">
        <v>381</v>
      </c>
      <c r="X267" s="41"/>
      <c r="Y267" s="41"/>
      <c r="Z267" s="29"/>
      <c r="AA267" s="22"/>
      <c r="AB267" s="169">
        <f t="shared" si="283"/>
        <v>1</v>
      </c>
      <c r="AC267" s="75">
        <f t="shared" si="284"/>
        <v>0</v>
      </c>
      <c r="AD267" s="171"/>
    </row>
    <row r="268" spans="2:30" hidden="1" outlineLevel="1" x14ac:dyDescent="0.25">
      <c r="B268" s="11"/>
      <c r="C268" s="5" t="s">
        <v>313</v>
      </c>
      <c r="D268" s="11"/>
      <c r="E268" s="11"/>
      <c r="F268" s="29"/>
      <c r="G268" s="22"/>
      <c r="H268" s="169">
        <f t="shared" si="279"/>
        <v>1</v>
      </c>
      <c r="I268" s="75">
        <f t="shared" si="280"/>
        <v>0</v>
      </c>
      <c r="J268" s="171"/>
      <c r="L268" s="11"/>
      <c r="M268" s="5" t="s">
        <v>313</v>
      </c>
      <c r="N268" s="11"/>
      <c r="O268" s="11"/>
      <c r="P268" s="29"/>
      <c r="Q268" s="22"/>
      <c r="R268" s="169">
        <f t="shared" si="281"/>
        <v>1</v>
      </c>
      <c r="S268" s="75">
        <f t="shared" si="282"/>
        <v>0</v>
      </c>
      <c r="T268" s="171"/>
      <c r="V268" s="41" t="s">
        <v>283</v>
      </c>
      <c r="W268" s="5" t="s">
        <v>381</v>
      </c>
      <c r="X268" s="41"/>
      <c r="Y268" s="41"/>
      <c r="Z268" s="29"/>
      <c r="AA268" s="22"/>
      <c r="AB268" s="169">
        <f t="shared" si="283"/>
        <v>1</v>
      </c>
      <c r="AC268" s="75">
        <f t="shared" si="284"/>
        <v>0</v>
      </c>
      <c r="AD268" s="171"/>
    </row>
    <row r="269" spans="2:30" hidden="1" outlineLevel="1" x14ac:dyDescent="0.25">
      <c r="B269" s="11"/>
      <c r="C269" s="5" t="s">
        <v>313</v>
      </c>
      <c r="D269" s="11"/>
      <c r="E269" s="11"/>
      <c r="F269" s="29"/>
      <c r="G269" s="22"/>
      <c r="H269" s="169">
        <f t="shared" si="279"/>
        <v>1</v>
      </c>
      <c r="I269" s="75">
        <f t="shared" si="280"/>
        <v>0</v>
      </c>
      <c r="J269" s="171"/>
      <c r="L269" s="11"/>
      <c r="M269" s="5" t="s">
        <v>313</v>
      </c>
      <c r="N269" s="11"/>
      <c r="O269" s="11"/>
      <c r="P269" s="29"/>
      <c r="Q269" s="22"/>
      <c r="R269" s="169">
        <f t="shared" si="281"/>
        <v>1</v>
      </c>
      <c r="S269" s="75">
        <f t="shared" si="282"/>
        <v>0</v>
      </c>
      <c r="T269" s="171"/>
      <c r="V269" s="41" t="s">
        <v>283</v>
      </c>
      <c r="W269" s="5" t="s">
        <v>381</v>
      </c>
      <c r="X269" s="41"/>
      <c r="Y269" s="41"/>
      <c r="Z269" s="29"/>
      <c r="AA269" s="22"/>
      <c r="AB269" s="169">
        <f t="shared" si="283"/>
        <v>1</v>
      </c>
      <c r="AC269" s="75">
        <f t="shared" si="284"/>
        <v>0</v>
      </c>
      <c r="AD269" s="171"/>
    </row>
    <row r="270" spans="2:30" hidden="1" outlineLevel="1" x14ac:dyDescent="0.25">
      <c r="B270" s="11"/>
      <c r="C270" s="5" t="s">
        <v>313</v>
      </c>
      <c r="D270" s="11"/>
      <c r="E270" s="11"/>
      <c r="F270" s="29"/>
      <c r="G270" s="22"/>
      <c r="H270" s="169">
        <f t="shared" si="279"/>
        <v>1</v>
      </c>
      <c r="I270" s="75">
        <f t="shared" si="280"/>
        <v>0</v>
      </c>
      <c r="J270" s="171"/>
      <c r="L270" s="11"/>
      <c r="M270" s="5" t="s">
        <v>313</v>
      </c>
      <c r="N270" s="11"/>
      <c r="O270" s="11"/>
      <c r="P270" s="29"/>
      <c r="Q270" s="22"/>
      <c r="R270" s="169">
        <f t="shared" si="281"/>
        <v>1</v>
      </c>
      <c r="S270" s="75">
        <f t="shared" si="282"/>
        <v>0</v>
      </c>
      <c r="T270" s="171"/>
      <c r="V270" s="41" t="s">
        <v>283</v>
      </c>
      <c r="W270" s="5" t="s">
        <v>381</v>
      </c>
      <c r="X270" s="41"/>
      <c r="Y270" s="41"/>
      <c r="Z270" s="29"/>
      <c r="AA270" s="22"/>
      <c r="AB270" s="169">
        <f t="shared" si="283"/>
        <v>1</v>
      </c>
      <c r="AC270" s="75">
        <f t="shared" si="284"/>
        <v>0</v>
      </c>
      <c r="AD270" s="171"/>
    </row>
    <row r="271" spans="2:30" s="24" customFormat="1" collapsed="1" x14ac:dyDescent="0.25">
      <c r="B271" s="8" t="str">
        <f>"Total "&amp;B255</f>
        <v>Total P2P - Facility (Trade Invoice Financing)</v>
      </c>
      <c r="C271" s="25"/>
      <c r="D271" s="28">
        <f>SUM(D256:D270)</f>
        <v>720000</v>
      </c>
      <c r="E271" s="28">
        <f>SUM(E256:E270)</f>
        <v>0</v>
      </c>
      <c r="F271" s="30"/>
      <c r="G271" s="25"/>
      <c r="H271" s="168">
        <v>1</v>
      </c>
      <c r="I271" s="28">
        <f>SUM(I256:I270)</f>
        <v>84408</v>
      </c>
      <c r="J271" s="170"/>
      <c r="L271" s="8" t="str">
        <f>"Total "&amp;L255</f>
        <v>Total P2P - Facility (Trade Invoice Financing)</v>
      </c>
      <c r="M271" s="25"/>
      <c r="N271" s="28">
        <f>SUM(N256:N270)</f>
        <v>0</v>
      </c>
      <c r="O271" s="28">
        <f>SUM(O256:O270)</f>
        <v>0</v>
      </c>
      <c r="P271" s="30"/>
      <c r="Q271" s="25"/>
      <c r="R271" s="168">
        <v>1</v>
      </c>
      <c r="S271" s="28">
        <f>SUM(S256:S270)</f>
        <v>0</v>
      </c>
      <c r="T271" s="170"/>
      <c r="V271" s="8" t="str">
        <f>"Total "&amp;V255</f>
        <v>Total P2P - Facility (Trade Invoice Financing)</v>
      </c>
      <c r="W271" s="25"/>
      <c r="X271" s="28">
        <f>SUM(X256:X270)</f>
        <v>0</v>
      </c>
      <c r="Y271" s="28">
        <f>SUM(Y256:Y270)</f>
        <v>0</v>
      </c>
      <c r="Z271" s="30"/>
      <c r="AA271" s="25"/>
      <c r="AB271" s="168">
        <v>1</v>
      </c>
      <c r="AC271" s="28">
        <f>SUM(AC256:AC270)</f>
        <v>0</v>
      </c>
      <c r="AD271" s="170"/>
    </row>
    <row r="273" spans="2:30" s="20" customFormat="1" ht="38.25" x14ac:dyDescent="0.25">
      <c r="B273" s="27" t="s">
        <v>225</v>
      </c>
      <c r="C273" s="3" t="str">
        <f>C$61</f>
        <v>Source</v>
      </c>
      <c r="D273" s="3" t="str">
        <f t="shared" ref="D273:J273" si="285">D$61</f>
        <v>Limit (A)</v>
      </c>
      <c r="E273" s="3" t="str">
        <f t="shared" si="285"/>
        <v>Outstanding (A1)</v>
      </c>
      <c r="F273" s="3" t="str">
        <f t="shared" si="285"/>
        <v>Monthly Repayment (B)</v>
      </c>
      <c r="G273" s="3" t="str">
        <f t="shared" si="285"/>
        <v>Interest Rate (C)</v>
      </c>
      <c r="H273" s="3" t="str">
        <f t="shared" si="285"/>
        <v>Factor (D)</v>
      </c>
      <c r="I273" s="3" t="str">
        <f t="shared" si="285"/>
        <v>Interest (E) = (A or A1) * (C) * (D)</v>
      </c>
      <c r="J273" s="3" t="str">
        <f t="shared" si="285"/>
        <v>Code Of Conduct</v>
      </c>
      <c r="L273" s="175" t="str">
        <f>B273</f>
        <v>Others</v>
      </c>
      <c r="M273" s="176" t="str">
        <f t="shared" ref="M273" si="286">C273</f>
        <v>Source</v>
      </c>
      <c r="N273" s="176" t="str">
        <f t="shared" ref="N273" si="287">D273</f>
        <v>Limit (A)</v>
      </c>
      <c r="O273" s="176" t="str">
        <f t="shared" ref="O273" si="288">E273</f>
        <v>Outstanding (A1)</v>
      </c>
      <c r="P273" s="176" t="str">
        <f t="shared" ref="P273" si="289">F273</f>
        <v>Monthly Repayment (B)</v>
      </c>
      <c r="Q273" s="176" t="str">
        <f t="shared" ref="Q273" si="290">G273</f>
        <v>Interest Rate (C)</v>
      </c>
      <c r="R273" s="176" t="str">
        <f t="shared" ref="R273" si="291">H273</f>
        <v>Factor (D)</v>
      </c>
      <c r="S273" s="176" t="str">
        <f t="shared" ref="S273" si="292">I273</f>
        <v>Interest (E) = (A or A1) * (C) * (D)</v>
      </c>
      <c r="T273" s="176" t="str">
        <f t="shared" ref="T273" si="293">J273</f>
        <v>Code Of Conduct</v>
      </c>
      <c r="V273" s="175" t="str">
        <f>L273</f>
        <v>Others</v>
      </c>
      <c r="W273" s="176" t="str">
        <f t="shared" ref="W273" si="294">M273</f>
        <v>Source</v>
      </c>
      <c r="X273" s="176" t="str">
        <f t="shared" ref="X273" si="295">N273</f>
        <v>Limit (A)</v>
      </c>
      <c r="Y273" s="176" t="str">
        <f t="shared" ref="Y273" si="296">O273</f>
        <v>Outstanding (A1)</v>
      </c>
      <c r="Z273" s="176" t="str">
        <f t="shared" ref="Z273" si="297">P273</f>
        <v>Monthly Repayment (B)</v>
      </c>
      <c r="AA273" s="176" t="str">
        <f t="shared" ref="AA273" si="298">Q273</f>
        <v>Interest Rate (C)</v>
      </c>
      <c r="AB273" s="176" t="str">
        <f t="shared" ref="AB273" si="299">R273</f>
        <v>Factor (D)</v>
      </c>
      <c r="AC273" s="176" t="str">
        <f t="shared" ref="AC273" si="300">S273</f>
        <v>Interest (E) = (A or A1) * (C) * (D)</v>
      </c>
      <c r="AD273" s="176" t="str">
        <f t="shared" ref="AD273" si="301">T273</f>
        <v>Code Of Conduct</v>
      </c>
    </row>
    <row r="274" spans="2:30" x14ac:dyDescent="0.25">
      <c r="B274" s="11" t="s">
        <v>934</v>
      </c>
      <c r="C274" s="5" t="s">
        <v>310</v>
      </c>
      <c r="D274" s="11"/>
      <c r="E274" s="11">
        <v>0</v>
      </c>
      <c r="F274" s="97"/>
      <c r="G274" s="22"/>
      <c r="H274" s="32"/>
      <c r="I274" s="29"/>
      <c r="J274" s="171"/>
      <c r="L274" s="11"/>
      <c r="M274" s="5" t="s">
        <v>310</v>
      </c>
      <c r="N274" s="97"/>
      <c r="O274" s="97"/>
      <c r="P274" s="97"/>
      <c r="Q274" s="22"/>
      <c r="R274" s="32"/>
      <c r="S274" s="29"/>
      <c r="T274" s="171"/>
      <c r="V274" s="41" t="s">
        <v>283</v>
      </c>
      <c r="W274" s="5" t="s">
        <v>381</v>
      </c>
      <c r="X274" s="41"/>
      <c r="Y274" s="41"/>
      <c r="Z274" s="41"/>
      <c r="AA274" s="41"/>
      <c r="AB274" s="32"/>
      <c r="AC274" s="29"/>
      <c r="AD274" s="171"/>
    </row>
    <row r="275" spans="2:30" x14ac:dyDescent="0.25">
      <c r="B275" s="11"/>
      <c r="C275" s="5" t="s">
        <v>313</v>
      </c>
      <c r="D275" s="11"/>
      <c r="E275" s="11"/>
      <c r="F275" s="97"/>
      <c r="G275" s="22"/>
      <c r="H275" s="32"/>
      <c r="I275" s="29"/>
      <c r="J275" s="171"/>
      <c r="L275" s="11"/>
      <c r="M275" s="5" t="s">
        <v>313</v>
      </c>
      <c r="N275" s="97"/>
      <c r="O275" s="97"/>
      <c r="P275" s="97"/>
      <c r="Q275" s="22"/>
      <c r="R275" s="32"/>
      <c r="S275" s="29"/>
      <c r="T275" s="171"/>
      <c r="V275" s="41" t="s">
        <v>283</v>
      </c>
      <c r="W275" s="5" t="s">
        <v>381</v>
      </c>
      <c r="X275" s="41"/>
      <c r="Y275" s="41"/>
      <c r="Z275" s="41"/>
      <c r="AA275" s="41"/>
      <c r="AB275" s="32"/>
      <c r="AC275" s="29"/>
      <c r="AD275" s="171"/>
    </row>
    <row r="276" spans="2:30" x14ac:dyDescent="0.25">
      <c r="B276" s="11"/>
      <c r="C276" s="5" t="s">
        <v>313</v>
      </c>
      <c r="D276" s="97"/>
      <c r="E276" s="97"/>
      <c r="F276" s="97"/>
      <c r="G276" s="22"/>
      <c r="H276" s="32"/>
      <c r="I276" s="29"/>
      <c r="J276" s="171"/>
      <c r="L276" s="11"/>
      <c r="M276" s="5" t="s">
        <v>313</v>
      </c>
      <c r="N276" s="97"/>
      <c r="O276" s="97"/>
      <c r="P276" s="97"/>
      <c r="Q276" s="22"/>
      <c r="R276" s="32"/>
      <c r="S276" s="29"/>
      <c r="T276" s="171"/>
      <c r="V276" s="41" t="s">
        <v>283</v>
      </c>
      <c r="W276" s="5" t="s">
        <v>381</v>
      </c>
      <c r="X276" s="41"/>
      <c r="Y276" s="41"/>
      <c r="Z276" s="41"/>
      <c r="AA276" s="41"/>
      <c r="AB276" s="32"/>
      <c r="AC276" s="29"/>
      <c r="AD276" s="171"/>
    </row>
    <row r="277" spans="2:30" x14ac:dyDescent="0.25">
      <c r="B277" s="11"/>
      <c r="C277" s="5" t="s">
        <v>313</v>
      </c>
      <c r="D277" s="97"/>
      <c r="E277" s="97"/>
      <c r="F277" s="11"/>
      <c r="G277" s="22"/>
      <c r="H277" s="32"/>
      <c r="I277" s="29"/>
      <c r="J277" s="171"/>
      <c r="L277" s="11"/>
      <c r="M277" s="5" t="s">
        <v>313</v>
      </c>
      <c r="N277" s="97"/>
      <c r="O277" s="97"/>
      <c r="P277" s="11"/>
      <c r="Q277" s="22"/>
      <c r="R277" s="32"/>
      <c r="S277" s="29"/>
      <c r="T277" s="171"/>
      <c r="V277" s="41" t="s">
        <v>283</v>
      </c>
      <c r="W277" s="5" t="s">
        <v>381</v>
      </c>
      <c r="X277" s="41"/>
      <c r="Y277" s="41"/>
      <c r="Z277" s="41"/>
      <c r="AA277" s="41"/>
      <c r="AB277" s="32"/>
      <c r="AC277" s="29"/>
      <c r="AD277" s="171"/>
    </row>
    <row r="278" spans="2:30" x14ac:dyDescent="0.25">
      <c r="B278" s="11"/>
      <c r="C278" s="5" t="s">
        <v>313</v>
      </c>
      <c r="D278" s="11"/>
      <c r="E278" s="11"/>
      <c r="F278" s="11"/>
      <c r="G278" s="22"/>
      <c r="H278" s="32"/>
      <c r="I278" s="29"/>
      <c r="J278" s="171"/>
      <c r="L278" s="11"/>
      <c r="M278" s="5" t="s">
        <v>313</v>
      </c>
      <c r="N278" s="11"/>
      <c r="O278" s="11"/>
      <c r="P278" s="11"/>
      <c r="Q278" s="22"/>
      <c r="R278" s="32"/>
      <c r="S278" s="29"/>
      <c r="T278" s="171"/>
      <c r="V278" s="41" t="s">
        <v>283</v>
      </c>
      <c r="W278" s="5" t="s">
        <v>381</v>
      </c>
      <c r="X278" s="41"/>
      <c r="Y278" s="41"/>
      <c r="Z278" s="41"/>
      <c r="AA278" s="41"/>
      <c r="AB278" s="32"/>
      <c r="AC278" s="29"/>
      <c r="AD278" s="171"/>
    </row>
    <row r="279" spans="2:30" x14ac:dyDescent="0.25">
      <c r="B279" s="11"/>
      <c r="C279" s="5" t="s">
        <v>313</v>
      </c>
      <c r="D279" s="11"/>
      <c r="E279" s="11"/>
      <c r="F279" s="11"/>
      <c r="G279" s="22"/>
      <c r="H279" s="32"/>
      <c r="I279" s="29"/>
      <c r="J279" s="171"/>
      <c r="L279" s="11"/>
      <c r="M279" s="5" t="s">
        <v>313</v>
      </c>
      <c r="N279" s="11"/>
      <c r="O279" s="11"/>
      <c r="P279" s="11"/>
      <c r="Q279" s="22"/>
      <c r="R279" s="32"/>
      <c r="S279" s="29"/>
      <c r="T279" s="171"/>
      <c r="V279" s="41" t="s">
        <v>283</v>
      </c>
      <c r="W279" s="5" t="s">
        <v>381</v>
      </c>
      <c r="X279" s="41"/>
      <c r="Y279" s="41"/>
      <c r="Z279" s="41"/>
      <c r="AA279" s="41"/>
      <c r="AB279" s="32"/>
      <c r="AC279" s="29"/>
      <c r="AD279" s="171"/>
    </row>
    <row r="280" spans="2:30" hidden="1" outlineLevel="1" x14ac:dyDescent="0.25">
      <c r="B280" s="11"/>
      <c r="C280" s="5" t="s">
        <v>313</v>
      </c>
      <c r="D280" s="11"/>
      <c r="E280" s="11"/>
      <c r="F280" s="11"/>
      <c r="G280" s="22"/>
      <c r="H280" s="32"/>
      <c r="I280" s="29"/>
      <c r="J280" s="171"/>
      <c r="L280" s="11"/>
      <c r="M280" s="5" t="s">
        <v>313</v>
      </c>
      <c r="N280" s="11"/>
      <c r="O280" s="11"/>
      <c r="P280" s="11"/>
      <c r="Q280" s="22"/>
      <c r="R280" s="32"/>
      <c r="S280" s="29"/>
      <c r="T280" s="171"/>
      <c r="V280" s="41" t="s">
        <v>283</v>
      </c>
      <c r="W280" s="5" t="s">
        <v>381</v>
      </c>
      <c r="X280" s="41"/>
      <c r="Y280" s="41"/>
      <c r="Z280" s="41"/>
      <c r="AA280" s="41"/>
      <c r="AB280" s="32"/>
      <c r="AC280" s="29"/>
      <c r="AD280" s="171"/>
    </row>
    <row r="281" spans="2:30" hidden="1" outlineLevel="1" x14ac:dyDescent="0.25">
      <c r="B281" s="11"/>
      <c r="C281" s="5" t="s">
        <v>313</v>
      </c>
      <c r="D281" s="11"/>
      <c r="E281" s="11"/>
      <c r="F281" s="11"/>
      <c r="G281" s="22"/>
      <c r="H281" s="32"/>
      <c r="I281" s="29"/>
      <c r="J281" s="171"/>
      <c r="L281" s="11"/>
      <c r="M281" s="5" t="s">
        <v>313</v>
      </c>
      <c r="N281" s="11"/>
      <c r="O281" s="11"/>
      <c r="P281" s="11"/>
      <c r="Q281" s="22"/>
      <c r="R281" s="32"/>
      <c r="S281" s="29"/>
      <c r="T281" s="171"/>
      <c r="V281" s="41" t="s">
        <v>283</v>
      </c>
      <c r="W281" s="5" t="s">
        <v>381</v>
      </c>
      <c r="X281" s="41"/>
      <c r="Y281" s="41"/>
      <c r="Z281" s="41"/>
      <c r="AA281" s="41"/>
      <c r="AB281" s="32"/>
      <c r="AC281" s="29"/>
      <c r="AD281" s="171"/>
    </row>
    <row r="282" spans="2:30" hidden="1" outlineLevel="1" x14ac:dyDescent="0.25">
      <c r="B282" s="11"/>
      <c r="C282" s="5" t="s">
        <v>313</v>
      </c>
      <c r="D282" s="11"/>
      <c r="E282" s="11"/>
      <c r="F282" s="11"/>
      <c r="G282" s="22"/>
      <c r="H282" s="32"/>
      <c r="I282" s="29"/>
      <c r="J282" s="171"/>
      <c r="L282" s="11"/>
      <c r="M282" s="5" t="s">
        <v>313</v>
      </c>
      <c r="N282" s="11"/>
      <c r="O282" s="11"/>
      <c r="P282" s="11"/>
      <c r="Q282" s="22"/>
      <c r="R282" s="32"/>
      <c r="S282" s="29"/>
      <c r="T282" s="171"/>
      <c r="V282" s="41" t="s">
        <v>283</v>
      </c>
      <c r="W282" s="5" t="s">
        <v>381</v>
      </c>
      <c r="X282" s="41"/>
      <c r="Y282" s="41"/>
      <c r="Z282" s="41"/>
      <c r="AA282" s="41"/>
      <c r="AB282" s="32"/>
      <c r="AC282" s="29"/>
      <c r="AD282" s="171"/>
    </row>
    <row r="283" spans="2:30" hidden="1" outlineLevel="1" x14ac:dyDescent="0.25">
      <c r="B283" s="11"/>
      <c r="C283" s="5" t="s">
        <v>313</v>
      </c>
      <c r="D283" s="11"/>
      <c r="E283" s="11"/>
      <c r="F283" s="11"/>
      <c r="G283" s="22"/>
      <c r="H283" s="32"/>
      <c r="I283" s="29"/>
      <c r="J283" s="171"/>
      <c r="L283" s="11"/>
      <c r="M283" s="5" t="s">
        <v>313</v>
      </c>
      <c r="N283" s="11"/>
      <c r="O283" s="11"/>
      <c r="P283" s="11"/>
      <c r="Q283" s="22"/>
      <c r="R283" s="32"/>
      <c r="S283" s="29"/>
      <c r="T283" s="171"/>
      <c r="V283" s="41" t="s">
        <v>283</v>
      </c>
      <c r="W283" s="5" t="s">
        <v>381</v>
      </c>
      <c r="X283" s="41"/>
      <c r="Y283" s="41"/>
      <c r="Z283" s="41"/>
      <c r="AA283" s="41"/>
      <c r="AB283" s="32"/>
      <c r="AC283" s="29"/>
      <c r="AD283" s="171"/>
    </row>
    <row r="284" spans="2:30" hidden="1" outlineLevel="1" x14ac:dyDescent="0.25">
      <c r="B284" s="11"/>
      <c r="C284" s="5" t="s">
        <v>313</v>
      </c>
      <c r="D284" s="11"/>
      <c r="E284" s="11"/>
      <c r="F284" s="11"/>
      <c r="G284" s="22"/>
      <c r="H284" s="32"/>
      <c r="I284" s="29"/>
      <c r="J284" s="171"/>
      <c r="L284" s="11"/>
      <c r="M284" s="5" t="s">
        <v>313</v>
      </c>
      <c r="N284" s="11"/>
      <c r="O284" s="11"/>
      <c r="P284" s="11"/>
      <c r="Q284" s="22"/>
      <c r="R284" s="32"/>
      <c r="S284" s="29"/>
      <c r="T284" s="171"/>
      <c r="V284" s="41" t="s">
        <v>283</v>
      </c>
      <c r="W284" s="5" t="s">
        <v>381</v>
      </c>
      <c r="X284" s="41"/>
      <c r="Y284" s="41"/>
      <c r="Z284" s="41"/>
      <c r="AA284" s="41"/>
      <c r="AB284" s="32"/>
      <c r="AC284" s="29"/>
      <c r="AD284" s="171"/>
    </row>
    <row r="285" spans="2:30" hidden="1" outlineLevel="1" x14ac:dyDescent="0.25">
      <c r="B285" s="11"/>
      <c r="C285" s="5" t="s">
        <v>313</v>
      </c>
      <c r="D285" s="11"/>
      <c r="E285" s="11"/>
      <c r="F285" s="11"/>
      <c r="G285" s="22"/>
      <c r="H285" s="32"/>
      <c r="I285" s="29"/>
      <c r="J285" s="171"/>
      <c r="L285" s="11"/>
      <c r="M285" s="5" t="s">
        <v>313</v>
      </c>
      <c r="N285" s="11"/>
      <c r="O285" s="11"/>
      <c r="P285" s="11"/>
      <c r="Q285" s="22"/>
      <c r="R285" s="32"/>
      <c r="S285" s="29"/>
      <c r="T285" s="171"/>
      <c r="V285" s="41" t="s">
        <v>283</v>
      </c>
      <c r="W285" s="5" t="s">
        <v>381</v>
      </c>
      <c r="X285" s="41"/>
      <c r="Y285" s="41"/>
      <c r="Z285" s="41"/>
      <c r="AA285" s="41"/>
      <c r="AB285" s="32"/>
      <c r="AC285" s="29"/>
      <c r="AD285" s="171"/>
    </row>
    <row r="286" spans="2:30" hidden="1" outlineLevel="1" x14ac:dyDescent="0.25">
      <c r="B286" s="11"/>
      <c r="C286" s="5" t="s">
        <v>313</v>
      </c>
      <c r="D286" s="11"/>
      <c r="E286" s="11"/>
      <c r="F286" s="11"/>
      <c r="G286" s="22"/>
      <c r="H286" s="32"/>
      <c r="I286" s="29"/>
      <c r="J286" s="171"/>
      <c r="L286" s="11"/>
      <c r="M286" s="5" t="s">
        <v>313</v>
      </c>
      <c r="N286" s="11"/>
      <c r="O286" s="11"/>
      <c r="P286" s="11"/>
      <c r="Q286" s="22"/>
      <c r="R286" s="32"/>
      <c r="S286" s="29"/>
      <c r="T286" s="171"/>
      <c r="V286" s="41" t="s">
        <v>283</v>
      </c>
      <c r="W286" s="5" t="s">
        <v>381</v>
      </c>
      <c r="X286" s="41"/>
      <c r="Y286" s="41"/>
      <c r="Z286" s="41"/>
      <c r="AA286" s="41"/>
      <c r="AB286" s="32"/>
      <c r="AC286" s="29"/>
      <c r="AD286" s="171"/>
    </row>
    <row r="287" spans="2:30" hidden="1" outlineLevel="1" x14ac:dyDescent="0.25">
      <c r="B287" s="11"/>
      <c r="C287" s="5" t="s">
        <v>313</v>
      </c>
      <c r="D287" s="11"/>
      <c r="E287" s="11"/>
      <c r="F287" s="11"/>
      <c r="G287" s="22"/>
      <c r="H287" s="32"/>
      <c r="I287" s="29"/>
      <c r="J287" s="171"/>
      <c r="L287" s="11"/>
      <c r="M287" s="5" t="s">
        <v>313</v>
      </c>
      <c r="N287" s="11"/>
      <c r="O287" s="11"/>
      <c r="P287" s="11"/>
      <c r="Q287" s="22"/>
      <c r="R287" s="32"/>
      <c r="S287" s="29"/>
      <c r="T287" s="171"/>
      <c r="V287" s="41" t="s">
        <v>283</v>
      </c>
      <c r="W287" s="5" t="s">
        <v>381</v>
      </c>
      <c r="X287" s="41"/>
      <c r="Y287" s="41"/>
      <c r="Z287" s="41"/>
      <c r="AA287" s="41"/>
      <c r="AB287" s="32"/>
      <c r="AC287" s="29"/>
      <c r="AD287" s="171"/>
    </row>
    <row r="288" spans="2:30" hidden="1" outlineLevel="1" x14ac:dyDescent="0.25">
      <c r="B288" s="11"/>
      <c r="C288" s="5" t="s">
        <v>313</v>
      </c>
      <c r="D288" s="11"/>
      <c r="E288" s="11"/>
      <c r="F288" s="11"/>
      <c r="G288" s="22"/>
      <c r="H288" s="32"/>
      <c r="I288" s="29"/>
      <c r="J288" s="171"/>
      <c r="L288" s="11"/>
      <c r="M288" s="5" t="s">
        <v>313</v>
      </c>
      <c r="N288" s="11"/>
      <c r="O288" s="11"/>
      <c r="P288" s="11"/>
      <c r="Q288" s="22"/>
      <c r="R288" s="32"/>
      <c r="S288" s="29"/>
      <c r="T288" s="171"/>
      <c r="V288" s="41" t="s">
        <v>283</v>
      </c>
      <c r="W288" s="5" t="s">
        <v>381</v>
      </c>
      <c r="X288" s="41"/>
      <c r="Y288" s="41"/>
      <c r="Z288" s="41"/>
      <c r="AA288" s="41"/>
      <c r="AB288" s="32"/>
      <c r="AC288" s="29"/>
      <c r="AD288" s="171"/>
    </row>
    <row r="289" spans="2:30" s="24" customFormat="1" collapsed="1" x14ac:dyDescent="0.25">
      <c r="B289" s="8" t="str">
        <f>"Total "&amp;B273</f>
        <v>Total Others</v>
      </c>
      <c r="C289" s="25"/>
      <c r="D289" s="28">
        <f t="shared" ref="D289:F289" si="302">SUM(D274:D288)</f>
        <v>0</v>
      </c>
      <c r="E289" s="28">
        <f t="shared" si="302"/>
        <v>0</v>
      </c>
      <c r="F289" s="28">
        <f t="shared" si="302"/>
        <v>0</v>
      </c>
      <c r="G289" s="25"/>
      <c r="H289" s="26"/>
      <c r="I289" s="30"/>
      <c r="J289" s="170"/>
      <c r="L289" s="8" t="str">
        <f>"Total "&amp;L273</f>
        <v>Total Others</v>
      </c>
      <c r="M289" s="25"/>
      <c r="N289" s="28">
        <f t="shared" ref="N289:P289" si="303">SUM(N274:N288)</f>
        <v>0</v>
      </c>
      <c r="O289" s="28">
        <f t="shared" si="303"/>
        <v>0</v>
      </c>
      <c r="P289" s="28">
        <f t="shared" si="303"/>
        <v>0</v>
      </c>
      <c r="Q289" s="25"/>
      <c r="R289" s="26"/>
      <c r="S289" s="30"/>
      <c r="T289" s="170"/>
      <c r="V289" s="8" t="str">
        <f>"Total "&amp;V273</f>
        <v>Total Others</v>
      </c>
      <c r="W289" s="25"/>
      <c r="X289" s="28">
        <f t="shared" ref="X289:Z289" si="304">SUM(X274:X288)</f>
        <v>0</v>
      </c>
      <c r="Y289" s="28">
        <f t="shared" si="304"/>
        <v>0</v>
      </c>
      <c r="Z289" s="28">
        <f t="shared" si="304"/>
        <v>0</v>
      </c>
      <c r="AA289" s="25"/>
      <c r="AB289" s="26"/>
      <c r="AC289" s="30"/>
      <c r="AD289" s="170"/>
    </row>
    <row r="298" spans="2:30" s="20" customFormat="1" ht="25.5" x14ac:dyDescent="0.25">
      <c r="B298" s="226" t="s">
        <v>390</v>
      </c>
      <c r="C298" s="226" t="s">
        <v>391</v>
      </c>
      <c r="D298" s="226" t="s">
        <v>392</v>
      </c>
      <c r="E298" s="226" t="s">
        <v>393</v>
      </c>
      <c r="F298" s="226" t="s">
        <v>394</v>
      </c>
    </row>
    <row r="299" spans="2:30" x14ac:dyDescent="0.25">
      <c r="B299" s="5" t="s">
        <v>395</v>
      </c>
      <c r="C299" s="6">
        <f>A54+A56</f>
        <v>13</v>
      </c>
      <c r="D299" s="6">
        <f>D54+D56</f>
        <v>3650000</v>
      </c>
      <c r="E299" s="6">
        <f>E54+E56</f>
        <v>2995262</v>
      </c>
      <c r="F299" s="6"/>
    </row>
    <row r="300" spans="2:30" x14ac:dyDescent="0.25">
      <c r="B300" s="5" t="s">
        <v>396</v>
      </c>
      <c r="C300" s="6">
        <f>A55</f>
        <v>0</v>
      </c>
      <c r="D300" s="6">
        <f>D55</f>
        <v>0</v>
      </c>
      <c r="E300" s="6">
        <f>E55</f>
        <v>0</v>
      </c>
      <c r="F300" s="6"/>
    </row>
    <row r="301" spans="2:30" x14ac:dyDescent="0.25">
      <c r="B301" s="5" t="s">
        <v>397</v>
      </c>
      <c r="C301" s="6">
        <f>A53</f>
        <v>0</v>
      </c>
      <c r="D301" s="6">
        <f>D53</f>
        <v>0</v>
      </c>
      <c r="E301" s="6">
        <f>E53</f>
        <v>0</v>
      </c>
      <c r="F301" s="6"/>
    </row>
    <row r="302" spans="2:30" x14ac:dyDescent="0.25">
      <c r="B302" s="5" t="s">
        <v>398</v>
      </c>
      <c r="C302" s="6">
        <f>SUM(A46:A47,A49:A52,A57)</f>
        <v>4</v>
      </c>
      <c r="D302" s="6">
        <f>SUM(D46:D47,D49:D52,D57)</f>
        <v>1604000</v>
      </c>
      <c r="E302" s="6">
        <f>SUM(E46:E47,E49:E52,E57)</f>
        <v>733055</v>
      </c>
      <c r="F302" s="6"/>
    </row>
    <row r="303" spans="2:30" x14ac:dyDescent="0.25">
      <c r="B303" s="5" t="s">
        <v>225</v>
      </c>
      <c r="C303" s="6">
        <f>SUM(A48,A58)</f>
        <v>0</v>
      </c>
      <c r="D303" s="6">
        <f>SUM(D48,D58)</f>
        <v>0</v>
      </c>
      <c r="E303" s="6">
        <f>SUM(E48,E58)</f>
        <v>0</v>
      </c>
      <c r="F303" s="6"/>
    </row>
    <row r="304" spans="2:30" x14ac:dyDescent="0.25">
      <c r="B304" s="82" t="s">
        <v>107</v>
      </c>
      <c r="C304" s="74">
        <f>SUM(C299:C303)</f>
        <v>17</v>
      </c>
      <c r="D304" s="74">
        <f>SUM(D299:D303)</f>
        <v>5254000</v>
      </c>
      <c r="E304" s="74">
        <f t="shared" ref="E304:F304" si="305">SUM(E299:E303)</f>
        <v>3728317</v>
      </c>
      <c r="F304" s="74">
        <f t="shared" si="305"/>
        <v>0</v>
      </c>
    </row>
    <row r="308" spans="3:5" x14ac:dyDescent="0.25">
      <c r="C308" s="224">
        <v>7</v>
      </c>
      <c r="D308" s="224">
        <v>9819766</v>
      </c>
      <c r="E308" s="224">
        <v>7968712</v>
      </c>
    </row>
    <row r="309" spans="3:5" x14ac:dyDescent="0.25">
      <c r="C309" s="224">
        <v>0</v>
      </c>
      <c r="D309" s="224">
        <v>0</v>
      </c>
      <c r="E309" s="224">
        <v>0</v>
      </c>
    </row>
    <row r="310" spans="3:5" x14ac:dyDescent="0.25">
      <c r="C310" s="224">
        <v>0</v>
      </c>
      <c r="D310" s="224">
        <v>0</v>
      </c>
      <c r="E310" s="224">
        <v>0</v>
      </c>
    </row>
    <row r="311" spans="3:5" x14ac:dyDescent="0.25">
      <c r="C311" s="224">
        <v>1</v>
      </c>
      <c r="D311" s="224">
        <v>1000000</v>
      </c>
      <c r="E311" s="224">
        <v>996460</v>
      </c>
    </row>
    <row r="312" spans="3:5" x14ac:dyDescent="0.25">
      <c r="C312" s="224">
        <v>0</v>
      </c>
      <c r="D312" s="224">
        <v>0</v>
      </c>
      <c r="E312" s="224">
        <v>0</v>
      </c>
    </row>
    <row r="313" spans="3:5" x14ac:dyDescent="0.25">
      <c r="C313" s="224">
        <v>8</v>
      </c>
      <c r="D313" s="224">
        <v>10819766</v>
      </c>
      <c r="E313" s="224">
        <v>8965172</v>
      </c>
    </row>
  </sheetData>
  <mergeCells count="3">
    <mergeCell ref="V43:AD43"/>
    <mergeCell ref="B43:J43"/>
    <mergeCell ref="L43:T43"/>
  </mergeCells>
  <phoneticPr fontId="11" type="noConversion"/>
  <conditionalFormatting sqref="D117">
    <cfRule type="iconSet" priority="2">
      <iconSet iconSet="3Arrows">
        <cfvo type="percent" val="0"/>
        <cfvo type="percent" val="33"/>
        <cfvo type="percent" val="67"/>
      </iconSet>
    </cfRule>
  </conditionalFormatting>
  <conditionalFormatting sqref="D134:D135">
    <cfRule type="iconSet" priority="1">
      <iconSet iconSet="3Arrows">
        <cfvo type="percent" val="0"/>
        <cfvo type="percent" val="33"/>
        <cfvo type="percent" val="67"/>
      </iconSet>
    </cfRule>
  </conditionalFormatting>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6C7A28C-E2BC-40F0-9957-EBCF4E425F5B}">
          <x14:formula1>
            <xm:f>'Mapping &amp; Selection'!$C$12:$C$19</xm:f>
          </x14:formula1>
          <xm:sqref>C8:C20</xm:sqref>
        </x14:dataValidation>
        <x14:dataValidation type="list" allowBlank="1" showInputMessage="1" showErrorMessage="1" xr:uid="{A06F532E-5140-45CE-956F-7285A5562EE4}">
          <x14:formula1>
            <xm:f>'Mapping &amp; Selection'!$C$3:$C$9</xm:f>
          </x14:formula1>
          <xm:sqref>C80:C94 C117:C130 C188:C202 C238:C252 W274:W288 C153:C166 C212:C216 C62:C76 C220:C234 C134:C148 C170:C184 C258:C270 C98:C112 M62:M76 M134:M148 M170:M184 M116:M130 M220:M234 M188:M202 M238:M252 M256:M270 M98:M112 M152:M166 M274:M288 M80:M94 W62:W76 W116:W130 W152:W166 W98:W112 W188:W202 W170:W184 W220:W234 W238:W252 W80:W94 W134:W148 W256:W270 C276:C288 M206:M216 W206:W216</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399</v>
      </c>
      <c r="C2" s="1"/>
      <c r="D2" s="1"/>
      <c r="E2" s="1"/>
      <c r="F2" s="1"/>
      <c r="G2" s="1"/>
      <c r="H2" s="1"/>
      <c r="I2" s="1"/>
      <c r="J2" s="1"/>
      <c r="Q2" s="2" t="s">
        <v>400</v>
      </c>
      <c r="S2" s="1"/>
    </row>
    <row r="3" spans="2:19" x14ac:dyDescent="0.2">
      <c r="B3" s="1"/>
      <c r="C3" s="1"/>
      <c r="E3" s="1"/>
      <c r="F3" s="1"/>
      <c r="G3" s="1"/>
      <c r="H3" s="1"/>
      <c r="I3" s="1"/>
      <c r="J3" s="1"/>
    </row>
    <row r="4" spans="2:19" x14ac:dyDescent="0.2">
      <c r="B4" s="17" t="s">
        <v>401</v>
      </c>
      <c r="C4" s="17" t="s">
        <v>402</v>
      </c>
      <c r="D4" s="17" t="s">
        <v>403</v>
      </c>
      <c r="E4" s="17" t="s">
        <v>404</v>
      </c>
      <c r="F4" s="17" t="s">
        <v>405</v>
      </c>
      <c r="G4" s="17" t="s">
        <v>406</v>
      </c>
      <c r="H4" s="17" t="s">
        <v>407</v>
      </c>
      <c r="I4" s="17" t="s">
        <v>408</v>
      </c>
      <c r="J4" s="58" t="s">
        <v>107</v>
      </c>
    </row>
    <row r="5" spans="2:19" x14ac:dyDescent="0.2">
      <c r="B5" s="18" t="s">
        <v>409</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410</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349</v>
      </c>
      <c r="C7" s="62">
        <f>H41</f>
        <v>0</v>
      </c>
      <c r="D7" s="62">
        <f>R41</f>
        <v>0</v>
      </c>
      <c r="E7" s="62">
        <f>AB41</f>
        <v>0</v>
      </c>
      <c r="F7" s="62">
        <f>AK41</f>
        <v>0</v>
      </c>
      <c r="G7" s="62">
        <f>AT41</f>
        <v>0</v>
      </c>
      <c r="H7" s="62">
        <f>BC41</f>
        <v>0</v>
      </c>
      <c r="I7" s="62">
        <f>BL41</f>
        <v>0</v>
      </c>
      <c r="J7" s="57">
        <f>SUM(C7:I7)</f>
        <v>0</v>
      </c>
    </row>
    <row r="8" spans="2:19" x14ac:dyDescent="0.2">
      <c r="B8" s="59" t="s">
        <v>351</v>
      </c>
      <c r="C8" s="62">
        <f>G41</f>
        <v>0</v>
      </c>
      <c r="D8" s="62">
        <f>Q41</f>
        <v>0</v>
      </c>
      <c r="E8" s="62">
        <f>AA41</f>
        <v>0</v>
      </c>
      <c r="F8" s="62">
        <f>AJ41</f>
        <v>0</v>
      </c>
      <c r="G8" s="62">
        <f>AS41</f>
        <v>0</v>
      </c>
      <c r="H8" s="62">
        <f>BB41</f>
        <v>0</v>
      </c>
      <c r="I8" s="62">
        <f>BK41</f>
        <v>0</v>
      </c>
      <c r="J8" s="57">
        <f>SUM(C8:I8)</f>
        <v>0</v>
      </c>
    </row>
    <row r="9" spans="2:19" x14ac:dyDescent="0.2">
      <c r="B9" s="18" t="s">
        <v>411</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401</v>
      </c>
      <c r="C11" s="17" t="s">
        <v>402</v>
      </c>
      <c r="D11" s="17" t="s">
        <v>403</v>
      </c>
      <c r="E11" s="17" t="s">
        <v>404</v>
      </c>
      <c r="F11" s="17" t="s">
        <v>405</v>
      </c>
      <c r="G11" s="17" t="s">
        <v>406</v>
      </c>
      <c r="H11" s="17" t="s">
        <v>407</v>
      </c>
      <c r="I11" s="17" t="s">
        <v>408</v>
      </c>
      <c r="J11" s="58" t="s">
        <v>107</v>
      </c>
    </row>
    <row r="12" spans="2:19" x14ac:dyDescent="0.2">
      <c r="B12" s="18" t="s">
        <v>412</v>
      </c>
      <c r="C12" s="213"/>
      <c r="D12" s="213"/>
      <c r="E12" s="60"/>
      <c r="F12" s="60"/>
      <c r="G12" s="60"/>
      <c r="H12" s="60"/>
      <c r="I12" s="60"/>
      <c r="J12" s="57">
        <f t="shared" ref="J12:J26" si="3">SUM(C12:I12)</f>
        <v>0</v>
      </c>
      <c r="L12" s="2" t="s">
        <v>413</v>
      </c>
    </row>
    <row r="13" spans="2:19" x14ac:dyDescent="0.2">
      <c r="B13" s="18" t="s">
        <v>414</v>
      </c>
      <c r="C13" s="60"/>
      <c r="D13" s="60"/>
      <c r="E13" s="60"/>
      <c r="F13" s="60"/>
      <c r="G13" s="60"/>
      <c r="H13" s="60"/>
      <c r="I13" s="60"/>
      <c r="J13" s="57">
        <f t="shared" si="3"/>
        <v>0</v>
      </c>
    </row>
    <row r="14" spans="2:19" x14ac:dyDescent="0.2">
      <c r="B14" s="18" t="s">
        <v>415</v>
      </c>
      <c r="C14" s="60"/>
      <c r="D14" s="60"/>
      <c r="E14" s="60"/>
      <c r="F14" s="60"/>
      <c r="G14" s="60"/>
      <c r="H14" s="60"/>
      <c r="I14" s="60"/>
      <c r="J14" s="57">
        <f t="shared" si="3"/>
        <v>0</v>
      </c>
    </row>
    <row r="15" spans="2:19" x14ac:dyDescent="0.2">
      <c r="B15" s="18" t="s">
        <v>416</v>
      </c>
      <c r="C15" s="60"/>
      <c r="D15" s="60"/>
      <c r="E15" s="60"/>
      <c r="F15" s="60"/>
      <c r="G15" s="60"/>
      <c r="H15" s="60"/>
      <c r="I15" s="60"/>
      <c r="J15" s="57">
        <f t="shared" si="3"/>
        <v>0</v>
      </c>
    </row>
    <row r="16" spans="2:19" x14ac:dyDescent="0.2">
      <c r="B16" s="18" t="s">
        <v>417</v>
      </c>
      <c r="C16" s="60"/>
      <c r="D16" s="60"/>
      <c r="E16" s="60"/>
      <c r="F16" s="60"/>
      <c r="G16" s="60"/>
      <c r="H16" s="60"/>
      <c r="I16" s="60"/>
      <c r="J16" s="57">
        <f t="shared" si="3"/>
        <v>0</v>
      </c>
    </row>
    <row r="17" spans="1:65" x14ac:dyDescent="0.2">
      <c r="B17" s="18" t="s">
        <v>418</v>
      </c>
      <c r="C17" s="60"/>
      <c r="D17" s="60"/>
      <c r="E17" s="60"/>
      <c r="F17" s="60"/>
      <c r="G17" s="60"/>
      <c r="H17" s="60"/>
      <c r="I17" s="60"/>
      <c r="J17" s="57">
        <f t="shared" si="3"/>
        <v>0</v>
      </c>
      <c r="M17" s="171" t="s">
        <v>419</v>
      </c>
      <c r="T17" s="2" t="s">
        <v>420</v>
      </c>
    </row>
    <row r="18" spans="1:65" x14ac:dyDescent="0.2">
      <c r="B18" s="18" t="s">
        <v>421</v>
      </c>
      <c r="C18" s="60"/>
      <c r="D18" s="60"/>
      <c r="E18" s="60"/>
      <c r="F18" s="60"/>
      <c r="G18" s="60"/>
      <c r="H18" s="60"/>
      <c r="I18" s="60"/>
      <c r="J18" s="57">
        <f t="shared" si="3"/>
        <v>0</v>
      </c>
      <c r="M18" s="171" t="s">
        <v>422</v>
      </c>
      <c r="T18" s="2" t="s">
        <v>423</v>
      </c>
    </row>
    <row r="19" spans="1:65" x14ac:dyDescent="0.2">
      <c r="B19" s="18" t="s">
        <v>424</v>
      </c>
      <c r="C19" s="60"/>
      <c r="D19" s="60"/>
      <c r="E19" s="60"/>
      <c r="F19" s="60"/>
      <c r="G19" s="60"/>
      <c r="H19" s="60"/>
      <c r="I19" s="60"/>
      <c r="J19" s="57">
        <f t="shared" si="3"/>
        <v>0</v>
      </c>
      <c r="T19" s="2" t="s">
        <v>425</v>
      </c>
    </row>
    <row r="20" spans="1:65" x14ac:dyDescent="0.2">
      <c r="B20" s="18" t="s">
        <v>426</v>
      </c>
      <c r="C20" s="60"/>
      <c r="D20" s="60"/>
      <c r="E20" s="60"/>
      <c r="F20" s="60"/>
      <c r="G20" s="60"/>
      <c r="H20" s="60"/>
      <c r="I20" s="60"/>
      <c r="J20" s="57">
        <f t="shared" si="3"/>
        <v>0</v>
      </c>
      <c r="T20" s="2" t="s">
        <v>420</v>
      </c>
    </row>
    <row r="21" spans="1:65" x14ac:dyDescent="0.2">
      <c r="B21" s="18" t="s">
        <v>427</v>
      </c>
      <c r="C21" s="60"/>
      <c r="D21" s="60"/>
      <c r="E21" s="60"/>
      <c r="F21" s="60"/>
      <c r="G21" s="60"/>
      <c r="H21" s="60"/>
      <c r="I21" s="60"/>
      <c r="J21" s="57">
        <f t="shared" si="3"/>
        <v>0</v>
      </c>
    </row>
    <row r="22" spans="1:65" x14ac:dyDescent="0.2">
      <c r="B22" s="18" t="s">
        <v>428</v>
      </c>
      <c r="C22" s="60"/>
      <c r="D22" s="60"/>
      <c r="E22" s="60"/>
      <c r="F22" s="60"/>
      <c r="G22" s="60"/>
      <c r="H22" s="60"/>
      <c r="I22" s="60"/>
      <c r="J22" s="57">
        <f t="shared" si="3"/>
        <v>0</v>
      </c>
    </row>
    <row r="23" spans="1:65" x14ac:dyDescent="0.2">
      <c r="B23" s="18" t="s">
        <v>429</v>
      </c>
      <c r="C23" s="60"/>
      <c r="D23" s="60"/>
      <c r="E23" s="60"/>
      <c r="F23" s="60"/>
      <c r="G23" s="60"/>
      <c r="H23" s="60"/>
      <c r="I23" s="60"/>
      <c r="J23" s="57">
        <f t="shared" si="3"/>
        <v>0</v>
      </c>
    </row>
    <row r="24" spans="1:65" x14ac:dyDescent="0.2">
      <c r="B24" s="18" t="s">
        <v>430</v>
      </c>
      <c r="C24" s="60"/>
      <c r="D24" s="60"/>
      <c r="E24" s="60"/>
      <c r="F24" s="60"/>
      <c r="G24" s="60"/>
      <c r="H24" s="60"/>
      <c r="I24" s="60"/>
      <c r="J24" s="57">
        <f t="shared" si="3"/>
        <v>0</v>
      </c>
    </row>
    <row r="25" spans="1:65" x14ac:dyDescent="0.2">
      <c r="B25" s="18" t="s">
        <v>431</v>
      </c>
      <c r="C25" s="60"/>
      <c r="D25" s="60"/>
      <c r="E25" s="60"/>
      <c r="F25" s="60"/>
      <c r="G25" s="60"/>
      <c r="H25" s="60"/>
      <c r="I25" s="60"/>
      <c r="J25" s="57">
        <f t="shared" si="3"/>
        <v>0</v>
      </c>
    </row>
    <row r="26" spans="1:65" x14ac:dyDescent="0.2">
      <c r="B26" s="18" t="s">
        <v>432</v>
      </c>
      <c r="C26" s="60"/>
      <c r="D26" s="60"/>
      <c r="E26" s="60"/>
      <c r="F26" s="60"/>
      <c r="G26" s="60"/>
      <c r="H26" s="60"/>
      <c r="I26" s="60"/>
      <c r="J26" s="57">
        <f t="shared" si="3"/>
        <v>0</v>
      </c>
    </row>
    <row r="27" spans="1:65" x14ac:dyDescent="0.2">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875" t="s">
        <v>433</v>
      </c>
      <c r="C29" s="875"/>
      <c r="D29" s="875"/>
      <c r="E29" s="875"/>
      <c r="F29" s="875"/>
      <c r="G29" s="875"/>
      <c r="H29" s="875"/>
      <c r="I29" s="875"/>
      <c r="J29" s="875"/>
      <c r="L29" s="875" t="s">
        <v>434</v>
      </c>
      <c r="M29" s="875"/>
      <c r="N29" s="875"/>
      <c r="O29" s="875"/>
      <c r="P29" s="875"/>
      <c r="Q29" s="875"/>
      <c r="R29" s="875"/>
      <c r="S29" s="875"/>
      <c r="T29" s="875"/>
      <c r="V29" s="875" t="s">
        <v>435</v>
      </c>
      <c r="W29" s="875"/>
      <c r="X29" s="875"/>
      <c r="Y29" s="875"/>
      <c r="Z29" s="875"/>
      <c r="AA29" s="875"/>
      <c r="AB29" s="875"/>
      <c r="AC29" s="875"/>
      <c r="AE29" s="875" t="s">
        <v>436</v>
      </c>
      <c r="AF29" s="875"/>
      <c r="AG29" s="875"/>
      <c r="AH29" s="875"/>
      <c r="AI29" s="875"/>
      <c r="AJ29" s="875"/>
      <c r="AK29" s="875"/>
      <c r="AL29" s="875"/>
      <c r="AN29" s="875" t="s">
        <v>437</v>
      </c>
      <c r="AO29" s="875"/>
      <c r="AP29" s="875"/>
      <c r="AQ29" s="875"/>
      <c r="AR29" s="875"/>
      <c r="AS29" s="875"/>
      <c r="AT29" s="875"/>
      <c r="AU29" s="875"/>
      <c r="AW29" s="875" t="s">
        <v>438</v>
      </c>
      <c r="AX29" s="875"/>
      <c r="AY29" s="875"/>
      <c r="AZ29" s="875"/>
      <c r="BA29" s="875"/>
      <c r="BB29" s="875"/>
      <c r="BC29" s="875"/>
      <c r="BD29" s="875"/>
      <c r="BF29" s="875" t="s">
        <v>439</v>
      </c>
      <c r="BG29" s="875"/>
      <c r="BH29" s="875"/>
      <c r="BI29" s="875"/>
      <c r="BJ29" s="875"/>
      <c r="BK29" s="875"/>
      <c r="BL29" s="875"/>
      <c r="BM29" s="875"/>
    </row>
    <row r="31" spans="1:65" s="20" customFormat="1" ht="54" customHeight="1" x14ac:dyDescent="0.25">
      <c r="B31" s="3" t="s">
        <v>6</v>
      </c>
      <c r="C31" s="3" t="s">
        <v>293</v>
      </c>
      <c r="D31" s="36" t="s">
        <v>296</v>
      </c>
      <c r="E31" s="36" t="s">
        <v>300</v>
      </c>
      <c r="F31" s="37" t="s">
        <v>367</v>
      </c>
      <c r="G31" s="3" t="s">
        <v>368</v>
      </c>
      <c r="H31" s="3" t="s">
        <v>369</v>
      </c>
      <c r="I31" s="38" t="s">
        <v>370</v>
      </c>
      <c r="J31" s="172" t="s">
        <v>380</v>
      </c>
      <c r="L31" s="3" t="s">
        <v>6</v>
      </c>
      <c r="M31" s="3" t="s">
        <v>293</v>
      </c>
      <c r="N31" s="36" t="s">
        <v>296</v>
      </c>
      <c r="O31" s="36" t="s">
        <v>300</v>
      </c>
      <c r="P31" s="37" t="s">
        <v>367</v>
      </c>
      <c r="Q31" s="3" t="s">
        <v>368</v>
      </c>
      <c r="R31" s="3" t="s">
        <v>369</v>
      </c>
      <c r="S31" s="38" t="s">
        <v>370</v>
      </c>
      <c r="T31" s="172" t="s">
        <v>380</v>
      </c>
      <c r="V31" s="3" t="s">
        <v>6</v>
      </c>
      <c r="W31" s="3" t="s">
        <v>293</v>
      </c>
      <c r="X31" s="36" t="s">
        <v>296</v>
      </c>
      <c r="Y31" s="36" t="s">
        <v>300</v>
      </c>
      <c r="Z31" s="37" t="s">
        <v>367</v>
      </c>
      <c r="AA31" s="3" t="s">
        <v>368</v>
      </c>
      <c r="AB31" s="3" t="s">
        <v>369</v>
      </c>
      <c r="AC31" s="38" t="s">
        <v>370</v>
      </c>
      <c r="AE31" s="3" t="s">
        <v>6</v>
      </c>
      <c r="AF31" s="3" t="s">
        <v>293</v>
      </c>
      <c r="AG31" s="36" t="s">
        <v>296</v>
      </c>
      <c r="AH31" s="36" t="s">
        <v>300</v>
      </c>
      <c r="AI31" s="37" t="s">
        <v>367</v>
      </c>
      <c r="AJ31" s="3" t="s">
        <v>368</v>
      </c>
      <c r="AK31" s="3" t="s">
        <v>369</v>
      </c>
      <c r="AL31" s="38" t="s">
        <v>370</v>
      </c>
      <c r="AN31" s="3" t="s">
        <v>6</v>
      </c>
      <c r="AO31" s="3" t="s">
        <v>293</v>
      </c>
      <c r="AP31" s="36" t="s">
        <v>296</v>
      </c>
      <c r="AQ31" s="36" t="s">
        <v>300</v>
      </c>
      <c r="AR31" s="37" t="s">
        <v>367</v>
      </c>
      <c r="AS31" s="3" t="s">
        <v>368</v>
      </c>
      <c r="AT31" s="3" t="s">
        <v>369</v>
      </c>
      <c r="AU31" s="38" t="s">
        <v>370</v>
      </c>
      <c r="AW31" s="3" t="s">
        <v>6</v>
      </c>
      <c r="AX31" s="3" t="s">
        <v>293</v>
      </c>
      <c r="AY31" s="36" t="s">
        <v>296</v>
      </c>
      <c r="AZ31" s="36" t="s">
        <v>300</v>
      </c>
      <c r="BA31" s="37" t="s">
        <v>367</v>
      </c>
      <c r="BB31" s="3" t="s">
        <v>368</v>
      </c>
      <c r="BC31" s="3" t="s">
        <v>369</v>
      </c>
      <c r="BD31" s="38" t="s">
        <v>370</v>
      </c>
      <c r="BF31" s="3" t="s">
        <v>6</v>
      </c>
      <c r="BG31" s="3" t="s">
        <v>293</v>
      </c>
      <c r="BH31" s="36" t="s">
        <v>296</v>
      </c>
      <c r="BI31" s="36" t="s">
        <v>300</v>
      </c>
      <c r="BJ31" s="37" t="s">
        <v>367</v>
      </c>
      <c r="BK31" s="3" t="s">
        <v>368</v>
      </c>
      <c r="BL31" s="3" t="s">
        <v>369</v>
      </c>
      <c r="BM31" s="38" t="s">
        <v>370</v>
      </c>
    </row>
    <row r="32" spans="1:65" ht="25.5" customHeight="1" x14ac:dyDescent="0.25">
      <c r="A32" s="2">
        <f>COUNT(D44:D58)</f>
        <v>0</v>
      </c>
      <c r="B32" s="5" t="str">
        <f>B43</f>
        <v>Facility (Overdraft)</v>
      </c>
      <c r="C32" s="7" t="s">
        <v>296</v>
      </c>
      <c r="D32" s="79">
        <f>D59</f>
        <v>0</v>
      </c>
      <c r="E32" s="79">
        <f>E59</f>
        <v>0</v>
      </c>
      <c r="F32" s="79">
        <f>F59</f>
        <v>0</v>
      </c>
      <c r="G32" s="79">
        <f>I59</f>
        <v>0</v>
      </c>
      <c r="H32" s="79">
        <f>F32*12</f>
        <v>0</v>
      </c>
      <c r="I32" s="34">
        <f>SUM(G32:H32)</f>
        <v>0</v>
      </c>
      <c r="J32" s="171"/>
      <c r="L32" s="5" t="str">
        <f>L43</f>
        <v>Facility (Overdraft)</v>
      </c>
      <c r="M32" s="7" t="s">
        <v>296</v>
      </c>
      <c r="N32" s="79">
        <f>N59</f>
        <v>0</v>
      </c>
      <c r="O32" s="79">
        <f>O59</f>
        <v>0</v>
      </c>
      <c r="P32" s="79">
        <f>P59</f>
        <v>0</v>
      </c>
      <c r="Q32" s="79">
        <f>S59</f>
        <v>0</v>
      </c>
      <c r="R32" s="79">
        <f>P32*12</f>
        <v>0</v>
      </c>
      <c r="S32" s="34">
        <f>SUM(Q32:R32)</f>
        <v>0</v>
      </c>
      <c r="T32" s="171"/>
      <c r="V32" s="5" t="str">
        <f>V43</f>
        <v>Facility (Overdraft)</v>
      </c>
      <c r="W32" s="7" t="s">
        <v>296</v>
      </c>
      <c r="X32" s="79">
        <f>X59</f>
        <v>0</v>
      </c>
      <c r="Y32" s="79">
        <f>Y59</f>
        <v>0</v>
      </c>
      <c r="Z32" s="79">
        <f>Z59</f>
        <v>0</v>
      </c>
      <c r="AA32" s="79">
        <f>AC59</f>
        <v>0</v>
      </c>
      <c r="AB32" s="79">
        <f>Z32*12</f>
        <v>0</v>
      </c>
      <c r="AC32" s="34">
        <f>SUM(AA32:AB32)</f>
        <v>0</v>
      </c>
      <c r="AE32" s="5" t="str">
        <f>AE43</f>
        <v>Facility (Overdraft)</v>
      </c>
      <c r="AF32" s="7" t="s">
        <v>296</v>
      </c>
      <c r="AG32" s="79">
        <f>AG59</f>
        <v>0</v>
      </c>
      <c r="AH32" s="79">
        <f>AH59</f>
        <v>0</v>
      </c>
      <c r="AI32" s="79">
        <f>AI59</f>
        <v>0</v>
      </c>
      <c r="AJ32" s="79">
        <f>AL59</f>
        <v>0</v>
      </c>
      <c r="AK32" s="79">
        <f>AI32*12</f>
        <v>0</v>
      </c>
      <c r="AL32" s="34">
        <f>SUM(AJ32:AK32)</f>
        <v>0</v>
      </c>
      <c r="AN32" s="5" t="str">
        <f>AN43</f>
        <v>Facility (Overdraft)</v>
      </c>
      <c r="AO32" s="7" t="s">
        <v>296</v>
      </c>
      <c r="AP32" s="79">
        <f>AP59</f>
        <v>0</v>
      </c>
      <c r="AQ32" s="79">
        <f>AQ59</f>
        <v>0</v>
      </c>
      <c r="AR32" s="79">
        <f>AR59</f>
        <v>0</v>
      </c>
      <c r="AS32" s="79">
        <f>AU59</f>
        <v>0</v>
      </c>
      <c r="AT32" s="79">
        <f>AR32*12</f>
        <v>0</v>
      </c>
      <c r="AU32" s="34">
        <f>SUM(AS32:AT32)</f>
        <v>0</v>
      </c>
      <c r="AW32" s="5" t="str">
        <f>AW43</f>
        <v>Facility (Overdraft)</v>
      </c>
      <c r="AX32" s="7" t="s">
        <v>296</v>
      </c>
      <c r="AY32" s="79">
        <f>AY59</f>
        <v>0</v>
      </c>
      <c r="AZ32" s="79">
        <f>AZ59</f>
        <v>0</v>
      </c>
      <c r="BA32" s="79">
        <f>BA59</f>
        <v>0</v>
      </c>
      <c r="BB32" s="79">
        <f>BD59</f>
        <v>0</v>
      </c>
      <c r="BC32" s="79">
        <f>BA32*12</f>
        <v>0</v>
      </c>
      <c r="BD32" s="34">
        <f>SUM(BB32:BC32)</f>
        <v>0</v>
      </c>
      <c r="BF32" s="5" t="str">
        <f>BF43</f>
        <v>Facility (Overdraft)</v>
      </c>
      <c r="BG32" s="7" t="s">
        <v>296</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440</v>
      </c>
      <c r="D33" s="79">
        <f>D77</f>
        <v>0</v>
      </c>
      <c r="E33" s="79">
        <f>E77</f>
        <v>0</v>
      </c>
      <c r="F33" s="79">
        <f>F77</f>
        <v>0</v>
      </c>
      <c r="G33" s="79">
        <f>I77</f>
        <v>0</v>
      </c>
      <c r="H33" s="79">
        <f t="shared" ref="H33:H40" si="5">F33*12</f>
        <v>0</v>
      </c>
      <c r="I33" s="34">
        <f t="shared" ref="I33:I40" si="6">SUM(G33:H33)</f>
        <v>0</v>
      </c>
      <c r="J33" s="171"/>
      <c r="L33" s="5" t="str">
        <f>L61</f>
        <v>Facility (Overdraft with Reduction/ Sinking Fund)</v>
      </c>
      <c r="M33" s="7" t="s">
        <v>440</v>
      </c>
      <c r="N33" s="79">
        <f>N77</f>
        <v>0</v>
      </c>
      <c r="O33" s="79">
        <f>O77</f>
        <v>0</v>
      </c>
      <c r="P33" s="79">
        <f>P77</f>
        <v>0</v>
      </c>
      <c r="Q33" s="79">
        <f>S77</f>
        <v>0</v>
      </c>
      <c r="R33" s="79">
        <f t="shared" ref="R33:R40" si="7">P33*12</f>
        <v>0</v>
      </c>
      <c r="S33" s="34">
        <f t="shared" ref="S33:S40" si="8">SUM(Q33:R33)</f>
        <v>0</v>
      </c>
      <c r="T33" s="171"/>
      <c r="V33" s="5" t="str">
        <f>V61</f>
        <v>Facility (Overdraft with Reduction/ Sinking Fund)</v>
      </c>
      <c r="W33" s="7" t="s">
        <v>440</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440</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440</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440</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440</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296</v>
      </c>
      <c r="D34" s="79">
        <f>D95</f>
        <v>0</v>
      </c>
      <c r="E34" s="79">
        <f>E95</f>
        <v>0</v>
      </c>
      <c r="F34" s="79">
        <f>F95</f>
        <v>0</v>
      </c>
      <c r="G34" s="79">
        <f>I95</f>
        <v>0</v>
      </c>
      <c r="H34" s="79">
        <f t="shared" si="5"/>
        <v>0</v>
      </c>
      <c r="I34" s="34">
        <f t="shared" si="6"/>
        <v>0</v>
      </c>
      <c r="J34" s="171"/>
      <c r="L34" s="5" t="str">
        <f>L79</f>
        <v>Facility (Trade Receivable)</v>
      </c>
      <c r="M34" s="7" t="s">
        <v>296</v>
      </c>
      <c r="N34" s="79">
        <f>N95</f>
        <v>0</v>
      </c>
      <c r="O34" s="79">
        <f>O95</f>
        <v>0</v>
      </c>
      <c r="P34" s="79">
        <f>P95</f>
        <v>0</v>
      </c>
      <c r="Q34" s="79">
        <f>S95</f>
        <v>0</v>
      </c>
      <c r="R34" s="79">
        <f t="shared" si="7"/>
        <v>0</v>
      </c>
      <c r="S34" s="34">
        <f t="shared" si="8"/>
        <v>0</v>
      </c>
      <c r="T34" s="171"/>
      <c r="V34" s="5" t="str">
        <f>V79</f>
        <v>Facility (Trade Receivable)</v>
      </c>
      <c r="W34" s="7" t="s">
        <v>296</v>
      </c>
      <c r="X34" s="79">
        <f>X95</f>
        <v>0</v>
      </c>
      <c r="Y34" s="79">
        <f>Y95</f>
        <v>0</v>
      </c>
      <c r="Z34" s="79">
        <f>Z95</f>
        <v>0</v>
      </c>
      <c r="AA34" s="79">
        <f>AC95</f>
        <v>0</v>
      </c>
      <c r="AB34" s="79">
        <f t="shared" si="9"/>
        <v>0</v>
      </c>
      <c r="AC34" s="34">
        <f t="shared" si="10"/>
        <v>0</v>
      </c>
      <c r="AE34" s="5" t="str">
        <f>AE79</f>
        <v>Facility (Trade Receivable)</v>
      </c>
      <c r="AF34" s="7" t="s">
        <v>296</v>
      </c>
      <c r="AG34" s="79">
        <f>AG95</f>
        <v>0</v>
      </c>
      <c r="AH34" s="79">
        <f>AH95</f>
        <v>0</v>
      </c>
      <c r="AI34" s="79">
        <f>AI95</f>
        <v>0</v>
      </c>
      <c r="AJ34" s="79">
        <f>AL95</f>
        <v>0</v>
      </c>
      <c r="AK34" s="79">
        <f t="shared" si="11"/>
        <v>0</v>
      </c>
      <c r="AL34" s="34">
        <f t="shared" si="12"/>
        <v>0</v>
      </c>
      <c r="AN34" s="5" t="str">
        <f>AN79</f>
        <v>Facility (Trade Receivable)</v>
      </c>
      <c r="AO34" s="7" t="s">
        <v>296</v>
      </c>
      <c r="AP34" s="79">
        <f>AP95</f>
        <v>0</v>
      </c>
      <c r="AQ34" s="79">
        <f>AQ95</f>
        <v>0</v>
      </c>
      <c r="AR34" s="79">
        <f>AR95</f>
        <v>0</v>
      </c>
      <c r="AS34" s="79">
        <f>AU95</f>
        <v>0</v>
      </c>
      <c r="AT34" s="79">
        <f t="shared" si="13"/>
        <v>0</v>
      </c>
      <c r="AU34" s="34">
        <f t="shared" si="14"/>
        <v>0</v>
      </c>
      <c r="AW34" s="5" t="str">
        <f>AW79</f>
        <v>Facility (Trade Receivable)</v>
      </c>
      <c r="AX34" s="7" t="s">
        <v>296</v>
      </c>
      <c r="AY34" s="79">
        <f>AY95</f>
        <v>0</v>
      </c>
      <c r="AZ34" s="79">
        <f>AZ95</f>
        <v>0</v>
      </c>
      <c r="BA34" s="79">
        <f>BA95</f>
        <v>0</v>
      </c>
      <c r="BB34" s="79">
        <f>BD95</f>
        <v>0</v>
      </c>
      <c r="BC34" s="79">
        <f t="shared" si="15"/>
        <v>0</v>
      </c>
      <c r="BD34" s="34">
        <f t="shared" si="16"/>
        <v>0</v>
      </c>
      <c r="BF34" s="5" t="str">
        <f>BF79</f>
        <v>Facility (Trade Receivable)</v>
      </c>
      <c r="BG34" s="7" t="s">
        <v>296</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296</v>
      </c>
      <c r="D35" s="79">
        <f>D113</f>
        <v>0</v>
      </c>
      <c r="E35" s="79">
        <f>E113</f>
        <v>0</v>
      </c>
      <c r="F35" s="79">
        <f>F113</f>
        <v>0</v>
      </c>
      <c r="G35" s="79">
        <f>I113</f>
        <v>0</v>
      </c>
      <c r="H35" s="79">
        <f t="shared" si="5"/>
        <v>0</v>
      </c>
      <c r="I35" s="34">
        <f t="shared" si="6"/>
        <v>0</v>
      </c>
      <c r="J35" s="171"/>
      <c r="L35" s="5" t="str">
        <f>L97</f>
        <v>Facility (BA)</v>
      </c>
      <c r="M35" s="7" t="s">
        <v>296</v>
      </c>
      <c r="N35" s="79">
        <f>N113</f>
        <v>0</v>
      </c>
      <c r="O35" s="79">
        <f>O113</f>
        <v>0</v>
      </c>
      <c r="P35" s="79">
        <f>P113</f>
        <v>0</v>
      </c>
      <c r="Q35" s="79">
        <f>S113</f>
        <v>0</v>
      </c>
      <c r="R35" s="79">
        <f t="shared" si="7"/>
        <v>0</v>
      </c>
      <c r="S35" s="34">
        <f t="shared" si="8"/>
        <v>0</v>
      </c>
      <c r="T35" s="171"/>
      <c r="V35" s="5" t="str">
        <f>V97</f>
        <v>Facility (BA)</v>
      </c>
      <c r="W35" s="7" t="s">
        <v>296</v>
      </c>
      <c r="X35" s="79">
        <f>X113</f>
        <v>0</v>
      </c>
      <c r="Y35" s="79">
        <f>Y113</f>
        <v>0</v>
      </c>
      <c r="Z35" s="79">
        <f>Z113</f>
        <v>0</v>
      </c>
      <c r="AA35" s="79">
        <f>AC113</f>
        <v>0</v>
      </c>
      <c r="AB35" s="79">
        <f t="shared" si="9"/>
        <v>0</v>
      </c>
      <c r="AC35" s="34">
        <f t="shared" si="10"/>
        <v>0</v>
      </c>
      <c r="AE35" s="5" t="str">
        <f>AE97</f>
        <v>Facility (BA)</v>
      </c>
      <c r="AF35" s="7" t="s">
        <v>296</v>
      </c>
      <c r="AG35" s="79">
        <f>AG113</f>
        <v>0</v>
      </c>
      <c r="AH35" s="79">
        <f>AH113</f>
        <v>0</v>
      </c>
      <c r="AI35" s="79">
        <f>AI113</f>
        <v>0</v>
      </c>
      <c r="AJ35" s="79">
        <f>AL113</f>
        <v>0</v>
      </c>
      <c r="AK35" s="79">
        <f t="shared" si="11"/>
        <v>0</v>
      </c>
      <c r="AL35" s="34">
        <f t="shared" si="12"/>
        <v>0</v>
      </c>
      <c r="AN35" s="5" t="str">
        <f>AN97</f>
        <v>Facility (BA)</v>
      </c>
      <c r="AO35" s="7" t="s">
        <v>296</v>
      </c>
      <c r="AP35" s="79">
        <f>AP113</f>
        <v>0</v>
      </c>
      <c r="AQ35" s="79">
        <f>AQ113</f>
        <v>0</v>
      </c>
      <c r="AR35" s="79">
        <f>AR113</f>
        <v>0</v>
      </c>
      <c r="AS35" s="79">
        <f>AU113</f>
        <v>0</v>
      </c>
      <c r="AT35" s="79">
        <f t="shared" si="13"/>
        <v>0</v>
      </c>
      <c r="AU35" s="34">
        <f t="shared" si="14"/>
        <v>0</v>
      </c>
      <c r="AW35" s="5" t="str">
        <f>AW97</f>
        <v>Facility (BA)</v>
      </c>
      <c r="AX35" s="7" t="s">
        <v>296</v>
      </c>
      <c r="AY35" s="79">
        <f>AY113</f>
        <v>0</v>
      </c>
      <c r="AZ35" s="79">
        <f>AZ113</f>
        <v>0</v>
      </c>
      <c r="BA35" s="79">
        <f>BA113</f>
        <v>0</v>
      </c>
      <c r="BB35" s="79">
        <f>BD113</f>
        <v>0</v>
      </c>
      <c r="BC35" s="79">
        <f t="shared" si="15"/>
        <v>0</v>
      </c>
      <c r="BD35" s="34">
        <f t="shared" si="16"/>
        <v>0</v>
      </c>
      <c r="BF35" s="5" t="str">
        <f>BF97</f>
        <v>Facility (BA)</v>
      </c>
      <c r="BG35" s="7" t="s">
        <v>296</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440</v>
      </c>
      <c r="D36" s="79">
        <f>D131</f>
        <v>0</v>
      </c>
      <c r="E36" s="79">
        <f>E131</f>
        <v>0</v>
      </c>
      <c r="F36" s="79">
        <f>F131</f>
        <v>0</v>
      </c>
      <c r="G36" s="79">
        <f>I131</f>
        <v>0</v>
      </c>
      <c r="H36" s="79">
        <f t="shared" si="5"/>
        <v>0</v>
      </c>
      <c r="I36" s="34">
        <f t="shared" si="6"/>
        <v>0</v>
      </c>
      <c r="J36" s="171"/>
      <c r="L36" s="5" t="str">
        <f>L115</f>
        <v>Facility (Term-loan)</v>
      </c>
      <c r="M36" s="7" t="s">
        <v>440</v>
      </c>
      <c r="N36" s="79">
        <f>N131</f>
        <v>0</v>
      </c>
      <c r="O36" s="79">
        <f>O131</f>
        <v>0</v>
      </c>
      <c r="P36" s="79">
        <f>P131</f>
        <v>0</v>
      </c>
      <c r="Q36" s="79">
        <f>S131</f>
        <v>0</v>
      </c>
      <c r="R36" s="79">
        <f t="shared" si="7"/>
        <v>0</v>
      </c>
      <c r="S36" s="34">
        <f t="shared" si="8"/>
        <v>0</v>
      </c>
      <c r="T36" s="223"/>
      <c r="V36" s="5" t="str">
        <f>V115</f>
        <v>Facility (Term-loan)</v>
      </c>
      <c r="W36" s="7" t="s">
        <v>440</v>
      </c>
      <c r="X36" s="79">
        <f>X131</f>
        <v>0</v>
      </c>
      <c r="Y36" s="79">
        <f>Y131</f>
        <v>0</v>
      </c>
      <c r="Z36" s="79">
        <f>Z131</f>
        <v>0</v>
      </c>
      <c r="AA36" s="79">
        <f>AC131</f>
        <v>0</v>
      </c>
      <c r="AB36" s="79">
        <f t="shared" si="9"/>
        <v>0</v>
      </c>
      <c r="AC36" s="34">
        <f t="shared" si="10"/>
        <v>0</v>
      </c>
      <c r="AE36" s="5" t="str">
        <f>AE115</f>
        <v>Facility (Term-loan)</v>
      </c>
      <c r="AF36" s="7" t="s">
        <v>440</v>
      </c>
      <c r="AG36" s="79">
        <f>AG131</f>
        <v>0</v>
      </c>
      <c r="AH36" s="79">
        <f>AH131</f>
        <v>0</v>
      </c>
      <c r="AI36" s="79">
        <f>AI131</f>
        <v>0</v>
      </c>
      <c r="AJ36" s="79">
        <f>AL131</f>
        <v>0</v>
      </c>
      <c r="AK36" s="79">
        <f t="shared" si="11"/>
        <v>0</v>
      </c>
      <c r="AL36" s="34">
        <f t="shared" si="12"/>
        <v>0</v>
      </c>
      <c r="AN36" s="5" t="str">
        <f>AN115</f>
        <v>Facility (Term-loan)</v>
      </c>
      <c r="AO36" s="7" t="s">
        <v>440</v>
      </c>
      <c r="AP36" s="79">
        <f>AP131</f>
        <v>0</v>
      </c>
      <c r="AQ36" s="79">
        <f>AQ131</f>
        <v>0</v>
      </c>
      <c r="AR36" s="79">
        <f>AR131</f>
        <v>0</v>
      </c>
      <c r="AS36" s="79">
        <f>AU131</f>
        <v>0</v>
      </c>
      <c r="AT36" s="79">
        <f t="shared" si="13"/>
        <v>0</v>
      </c>
      <c r="AU36" s="34">
        <f t="shared" si="14"/>
        <v>0</v>
      </c>
      <c r="AW36" s="5" t="str">
        <f>AW115</f>
        <v>Facility (Term-loan)</v>
      </c>
      <c r="AX36" s="7" t="s">
        <v>440</v>
      </c>
      <c r="AY36" s="79">
        <f>AY131</f>
        <v>0</v>
      </c>
      <c r="AZ36" s="79">
        <f>AZ131</f>
        <v>0</v>
      </c>
      <c r="BA36" s="79">
        <f>BA131</f>
        <v>0</v>
      </c>
      <c r="BB36" s="79">
        <f>BD131</f>
        <v>0</v>
      </c>
      <c r="BC36" s="79">
        <f t="shared" si="15"/>
        <v>0</v>
      </c>
      <c r="BD36" s="34">
        <f t="shared" si="16"/>
        <v>0</v>
      </c>
      <c r="BF36" s="5" t="str">
        <f>BF115</f>
        <v>Facility (Term-loan)</v>
      </c>
      <c r="BG36" s="7" t="s">
        <v>440</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440</v>
      </c>
      <c r="D37" s="79">
        <f>D149</f>
        <v>0</v>
      </c>
      <c r="E37" s="79">
        <f>E149</f>
        <v>0</v>
      </c>
      <c r="F37" s="79">
        <f>F149</f>
        <v>0</v>
      </c>
      <c r="G37" s="79">
        <f>I149</f>
        <v>0</v>
      </c>
      <c r="H37" s="79">
        <f t="shared" si="5"/>
        <v>0</v>
      </c>
      <c r="I37" s="34">
        <f t="shared" si="6"/>
        <v>0</v>
      </c>
      <c r="J37" s="171"/>
      <c r="L37" s="5" t="str">
        <f>L133</f>
        <v>Facility (Hire Purchase / Leasing)</v>
      </c>
      <c r="M37" s="7" t="s">
        <v>440</v>
      </c>
      <c r="N37" s="79">
        <f>N149</f>
        <v>0</v>
      </c>
      <c r="O37" s="79">
        <f>O149</f>
        <v>0</v>
      </c>
      <c r="P37" s="79">
        <f>P149</f>
        <v>0</v>
      </c>
      <c r="Q37" s="79">
        <f>S149</f>
        <v>0</v>
      </c>
      <c r="R37" s="79">
        <f t="shared" si="7"/>
        <v>0</v>
      </c>
      <c r="S37" s="34">
        <f t="shared" si="8"/>
        <v>0</v>
      </c>
      <c r="T37" s="171"/>
      <c r="V37" s="5" t="str">
        <f>V133</f>
        <v>Facility (Hire Purchase / Leasing)</v>
      </c>
      <c r="W37" s="7" t="s">
        <v>440</v>
      </c>
      <c r="X37" s="79">
        <f>X149</f>
        <v>0</v>
      </c>
      <c r="Y37" s="79">
        <f>Y149</f>
        <v>0</v>
      </c>
      <c r="Z37" s="79">
        <f>Z149</f>
        <v>0</v>
      </c>
      <c r="AA37" s="79">
        <f>AC149</f>
        <v>0</v>
      </c>
      <c r="AB37" s="79">
        <f t="shared" si="9"/>
        <v>0</v>
      </c>
      <c r="AC37" s="34">
        <f t="shared" si="10"/>
        <v>0</v>
      </c>
      <c r="AE37" s="5" t="str">
        <f>AE133</f>
        <v>Facility (Hire Purchase / Leasing)</v>
      </c>
      <c r="AF37" s="7" t="s">
        <v>440</v>
      </c>
      <c r="AG37" s="79">
        <f>AG149</f>
        <v>0</v>
      </c>
      <c r="AH37" s="79">
        <f>AH149</f>
        <v>0</v>
      </c>
      <c r="AI37" s="79">
        <f>AI149</f>
        <v>0</v>
      </c>
      <c r="AJ37" s="79">
        <f>AL149</f>
        <v>0</v>
      </c>
      <c r="AK37" s="79">
        <f t="shared" si="11"/>
        <v>0</v>
      </c>
      <c r="AL37" s="34">
        <f t="shared" si="12"/>
        <v>0</v>
      </c>
      <c r="AN37" s="5" t="str">
        <f>AN133</f>
        <v>Facility (Hire Purchase / Leasing)</v>
      </c>
      <c r="AO37" s="7" t="s">
        <v>440</v>
      </c>
      <c r="AP37" s="79">
        <f>AP149</f>
        <v>0</v>
      </c>
      <c r="AQ37" s="79">
        <f>AQ149</f>
        <v>0</v>
      </c>
      <c r="AR37" s="79">
        <f>AR149</f>
        <v>0</v>
      </c>
      <c r="AS37" s="79">
        <f>AU149</f>
        <v>0</v>
      </c>
      <c r="AT37" s="79">
        <f t="shared" si="13"/>
        <v>0</v>
      </c>
      <c r="AU37" s="34">
        <f t="shared" si="14"/>
        <v>0</v>
      </c>
      <c r="AW37" s="5" t="str">
        <f>AW133</f>
        <v>Facility (Hire Purchase / Leasing)</v>
      </c>
      <c r="AX37" s="7" t="s">
        <v>440</v>
      </c>
      <c r="AY37" s="79">
        <f>AY149</f>
        <v>0</v>
      </c>
      <c r="AZ37" s="79">
        <f>AZ149</f>
        <v>0</v>
      </c>
      <c r="BA37" s="79">
        <f>BA149</f>
        <v>0</v>
      </c>
      <c r="BB37" s="79">
        <f>BD149</f>
        <v>0</v>
      </c>
      <c r="BC37" s="79">
        <f t="shared" si="15"/>
        <v>0</v>
      </c>
      <c r="BD37" s="34">
        <f t="shared" si="16"/>
        <v>0</v>
      </c>
      <c r="BF37" s="5" t="str">
        <f>BF133</f>
        <v>Facility (Hire Purchase / Leasing)</v>
      </c>
      <c r="BG37" s="7" t="s">
        <v>440</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300</v>
      </c>
      <c r="D38" s="79">
        <f>D167</f>
        <v>0</v>
      </c>
      <c r="E38" s="79">
        <f>E167</f>
        <v>0</v>
      </c>
      <c r="F38" s="79">
        <f>F167</f>
        <v>0</v>
      </c>
      <c r="G38" s="212">
        <f>I167*12</f>
        <v>0</v>
      </c>
      <c r="H38" s="79">
        <f t="shared" si="5"/>
        <v>0</v>
      </c>
      <c r="I38" s="34">
        <f t="shared" si="6"/>
        <v>0</v>
      </c>
      <c r="J38" s="171"/>
      <c r="L38" s="5" t="str">
        <f>L151</f>
        <v>Facility (Credit Card)</v>
      </c>
      <c r="M38" s="7" t="s">
        <v>300</v>
      </c>
      <c r="N38" s="79">
        <f>N167</f>
        <v>0</v>
      </c>
      <c r="O38" s="79">
        <f>O167</f>
        <v>0</v>
      </c>
      <c r="P38" s="79">
        <f>P167</f>
        <v>0</v>
      </c>
      <c r="Q38" s="212">
        <f>S167*12</f>
        <v>0</v>
      </c>
      <c r="R38" s="79">
        <f t="shared" si="7"/>
        <v>0</v>
      </c>
      <c r="S38" s="34">
        <f t="shared" si="8"/>
        <v>0</v>
      </c>
      <c r="T38" s="171"/>
      <c r="V38" s="5" t="str">
        <f>V151</f>
        <v>Facility (Credit Card)</v>
      </c>
      <c r="W38" s="7" t="s">
        <v>300</v>
      </c>
      <c r="X38" s="79">
        <f>X167</f>
        <v>0</v>
      </c>
      <c r="Y38" s="79">
        <f>Y167</f>
        <v>0</v>
      </c>
      <c r="Z38" s="79">
        <f>Z167</f>
        <v>0</v>
      </c>
      <c r="AA38" s="79">
        <f>AC167</f>
        <v>0</v>
      </c>
      <c r="AB38" s="79">
        <f t="shared" si="9"/>
        <v>0</v>
      </c>
      <c r="AC38" s="34">
        <f t="shared" si="10"/>
        <v>0</v>
      </c>
      <c r="AE38" s="5" t="str">
        <f>AE151</f>
        <v>Facility (Credit Card)</v>
      </c>
      <c r="AF38" s="7" t="s">
        <v>300</v>
      </c>
      <c r="AG38" s="79">
        <f>AG167</f>
        <v>0</v>
      </c>
      <c r="AH38" s="79">
        <f>AH167</f>
        <v>0</v>
      </c>
      <c r="AI38" s="79">
        <f>AI167</f>
        <v>0</v>
      </c>
      <c r="AJ38" s="79">
        <f>AL167</f>
        <v>0</v>
      </c>
      <c r="AK38" s="79">
        <f t="shared" si="11"/>
        <v>0</v>
      </c>
      <c r="AL38" s="34">
        <f t="shared" si="12"/>
        <v>0</v>
      </c>
      <c r="AN38" s="5" t="str">
        <f>AN151</f>
        <v>Facility (Credit Card)</v>
      </c>
      <c r="AO38" s="7" t="s">
        <v>300</v>
      </c>
      <c r="AP38" s="79">
        <f>AP167</f>
        <v>0</v>
      </c>
      <c r="AQ38" s="79">
        <f>AQ167</f>
        <v>0</v>
      </c>
      <c r="AR38" s="79">
        <f>AR167</f>
        <v>0</v>
      </c>
      <c r="AS38" s="79">
        <f>AU167</f>
        <v>0</v>
      </c>
      <c r="AT38" s="79">
        <f t="shared" si="13"/>
        <v>0</v>
      </c>
      <c r="AU38" s="34">
        <f t="shared" si="14"/>
        <v>0</v>
      </c>
      <c r="AW38" s="5" t="str">
        <f>AW151</f>
        <v>Facility (Credit Card)</v>
      </c>
      <c r="AX38" s="7" t="s">
        <v>300</v>
      </c>
      <c r="AY38" s="79">
        <f>AY167</f>
        <v>0</v>
      </c>
      <c r="AZ38" s="79">
        <f>AZ167</f>
        <v>0</v>
      </c>
      <c r="BA38" s="79">
        <f>BA167</f>
        <v>0</v>
      </c>
      <c r="BB38" s="79">
        <f>BD167</f>
        <v>0</v>
      </c>
      <c r="BC38" s="79">
        <f t="shared" si="15"/>
        <v>0</v>
      </c>
      <c r="BD38" s="34">
        <f t="shared" si="16"/>
        <v>0</v>
      </c>
      <c r="BF38" s="5" t="str">
        <f>BF151</f>
        <v>Facility (Credit Card)</v>
      </c>
      <c r="BG38" s="7" t="s">
        <v>300</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441</v>
      </c>
      <c r="D39" s="79">
        <f>D185</f>
        <v>0</v>
      </c>
      <c r="E39" s="79">
        <f>E185</f>
        <v>0</v>
      </c>
      <c r="F39" s="79">
        <f t="shared" ref="F39" si="19">F185</f>
        <v>0</v>
      </c>
      <c r="G39" s="79">
        <f>I185</f>
        <v>0</v>
      </c>
      <c r="H39" s="79">
        <f t="shared" si="5"/>
        <v>0</v>
      </c>
      <c r="I39" s="34">
        <f t="shared" si="6"/>
        <v>0</v>
      </c>
      <c r="J39" s="171"/>
      <c r="L39" s="5" t="s">
        <v>442</v>
      </c>
      <c r="M39" s="7" t="s">
        <v>441</v>
      </c>
      <c r="N39" s="79">
        <f>N185</f>
        <v>0</v>
      </c>
      <c r="O39" s="79">
        <f t="shared" ref="O39:P39" si="20">O185</f>
        <v>0</v>
      </c>
      <c r="P39" s="79">
        <f t="shared" si="20"/>
        <v>0</v>
      </c>
      <c r="Q39" s="79">
        <f>S185</f>
        <v>0</v>
      </c>
      <c r="R39" s="79">
        <f t="shared" si="7"/>
        <v>0</v>
      </c>
      <c r="S39" s="34">
        <f t="shared" si="8"/>
        <v>0</v>
      </c>
      <c r="T39" s="171"/>
      <c r="V39" s="5" t="s">
        <v>442</v>
      </c>
      <c r="W39" s="7" t="s">
        <v>441</v>
      </c>
      <c r="X39" s="79">
        <f>X185</f>
        <v>0</v>
      </c>
      <c r="Y39" s="79">
        <f t="shared" ref="Y39:Z39" si="21">Y185</f>
        <v>0</v>
      </c>
      <c r="Z39" s="79">
        <f t="shared" si="21"/>
        <v>0</v>
      </c>
      <c r="AA39" s="79">
        <f>AC185</f>
        <v>0</v>
      </c>
      <c r="AB39" s="79">
        <f t="shared" si="9"/>
        <v>0</v>
      </c>
      <c r="AC39" s="34">
        <f t="shared" si="10"/>
        <v>0</v>
      </c>
      <c r="AE39" s="5" t="s">
        <v>442</v>
      </c>
      <c r="AF39" s="7" t="s">
        <v>441</v>
      </c>
      <c r="AG39" s="79">
        <f>AG185</f>
        <v>0</v>
      </c>
      <c r="AH39" s="79">
        <f t="shared" ref="AH39:AI39" si="22">AH185</f>
        <v>0</v>
      </c>
      <c r="AI39" s="79">
        <f t="shared" si="22"/>
        <v>0</v>
      </c>
      <c r="AJ39" s="79">
        <f>AL185</f>
        <v>0</v>
      </c>
      <c r="AK39" s="79">
        <f t="shared" si="11"/>
        <v>0</v>
      </c>
      <c r="AL39" s="34">
        <f t="shared" si="12"/>
        <v>0</v>
      </c>
      <c r="AN39" s="5" t="s">
        <v>442</v>
      </c>
      <c r="AO39" s="7" t="s">
        <v>441</v>
      </c>
      <c r="AP39" s="79">
        <f>AP185</f>
        <v>0</v>
      </c>
      <c r="AQ39" s="79">
        <f t="shared" ref="AQ39:AR39" si="23">AQ185</f>
        <v>0</v>
      </c>
      <c r="AR39" s="79">
        <f t="shared" si="23"/>
        <v>0</v>
      </c>
      <c r="AS39" s="79">
        <f>AU185</f>
        <v>0</v>
      </c>
      <c r="AT39" s="79">
        <f t="shared" si="13"/>
        <v>0</v>
      </c>
      <c r="AU39" s="34">
        <f t="shared" si="14"/>
        <v>0</v>
      </c>
      <c r="AW39" s="5" t="s">
        <v>442</v>
      </c>
      <c r="AX39" s="7" t="s">
        <v>441</v>
      </c>
      <c r="AY39" s="79">
        <f>AY185</f>
        <v>0</v>
      </c>
      <c r="AZ39" s="79">
        <f t="shared" ref="AZ39:BA39" si="24">AZ185</f>
        <v>0</v>
      </c>
      <c r="BA39" s="79">
        <f t="shared" si="24"/>
        <v>0</v>
      </c>
      <c r="BB39" s="79">
        <f>BD185</f>
        <v>0</v>
      </c>
      <c r="BC39" s="79">
        <f t="shared" si="15"/>
        <v>0</v>
      </c>
      <c r="BD39" s="34">
        <f t="shared" si="16"/>
        <v>0</v>
      </c>
      <c r="BF39" s="5" t="s">
        <v>442</v>
      </c>
      <c r="BG39" s="7" t="s">
        <v>441</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296</v>
      </c>
      <c r="D40" s="79">
        <f>D203</f>
        <v>0</v>
      </c>
      <c r="E40" s="79">
        <f t="shared" ref="E40:F40" si="26">E203</f>
        <v>0</v>
      </c>
      <c r="F40" s="79">
        <f t="shared" si="26"/>
        <v>0</v>
      </c>
      <c r="G40" s="79">
        <f>I203</f>
        <v>0</v>
      </c>
      <c r="H40" s="79">
        <f t="shared" si="5"/>
        <v>0</v>
      </c>
      <c r="I40" s="34">
        <f t="shared" si="6"/>
        <v>0</v>
      </c>
      <c r="J40" s="171"/>
      <c r="L40" s="5" t="s">
        <v>442</v>
      </c>
      <c r="M40" s="7" t="s">
        <v>296</v>
      </c>
      <c r="N40" s="79">
        <f>N203</f>
        <v>0</v>
      </c>
      <c r="O40" s="79">
        <f t="shared" ref="O40:P40" si="27">O203</f>
        <v>0</v>
      </c>
      <c r="P40" s="79">
        <f t="shared" si="27"/>
        <v>0</v>
      </c>
      <c r="Q40" s="79">
        <f>S203</f>
        <v>0</v>
      </c>
      <c r="R40" s="79">
        <f t="shared" si="7"/>
        <v>0</v>
      </c>
      <c r="S40" s="34">
        <f t="shared" si="8"/>
        <v>0</v>
      </c>
      <c r="T40" s="171"/>
      <c r="V40" s="5" t="s">
        <v>442</v>
      </c>
      <c r="W40" s="7" t="s">
        <v>296</v>
      </c>
      <c r="X40" s="79">
        <f>X203</f>
        <v>0</v>
      </c>
      <c r="Y40" s="79">
        <f t="shared" ref="Y40:Z40" si="28">Y203</f>
        <v>0</v>
      </c>
      <c r="Z40" s="79">
        <f t="shared" si="28"/>
        <v>0</v>
      </c>
      <c r="AA40" s="79">
        <f>AC203</f>
        <v>0</v>
      </c>
      <c r="AB40" s="79">
        <f t="shared" si="9"/>
        <v>0</v>
      </c>
      <c r="AC40" s="34">
        <f t="shared" si="10"/>
        <v>0</v>
      </c>
      <c r="AE40" s="5" t="s">
        <v>442</v>
      </c>
      <c r="AF40" s="7" t="s">
        <v>296</v>
      </c>
      <c r="AG40" s="79">
        <f>AG203</f>
        <v>0</v>
      </c>
      <c r="AH40" s="79">
        <f t="shared" ref="AH40:AI40" si="29">AH203</f>
        <v>0</v>
      </c>
      <c r="AI40" s="79">
        <f t="shared" si="29"/>
        <v>0</v>
      </c>
      <c r="AJ40" s="79">
        <f>AL203</f>
        <v>0</v>
      </c>
      <c r="AK40" s="79">
        <f t="shared" si="11"/>
        <v>0</v>
      </c>
      <c r="AL40" s="34">
        <f t="shared" si="12"/>
        <v>0</v>
      </c>
      <c r="AN40" s="5" t="s">
        <v>442</v>
      </c>
      <c r="AO40" s="7" t="s">
        <v>296</v>
      </c>
      <c r="AP40" s="79">
        <f>AP203</f>
        <v>0</v>
      </c>
      <c r="AQ40" s="79">
        <f t="shared" ref="AQ40:AR40" si="30">AQ203</f>
        <v>0</v>
      </c>
      <c r="AR40" s="79">
        <f t="shared" si="30"/>
        <v>0</v>
      </c>
      <c r="AS40" s="79">
        <f>AU203</f>
        <v>0</v>
      </c>
      <c r="AT40" s="79">
        <f t="shared" si="13"/>
        <v>0</v>
      </c>
      <c r="AU40" s="34">
        <f t="shared" si="14"/>
        <v>0</v>
      </c>
      <c r="AW40" s="5" t="s">
        <v>442</v>
      </c>
      <c r="AX40" s="7" t="s">
        <v>296</v>
      </c>
      <c r="AY40" s="79">
        <f>AY203</f>
        <v>0</v>
      </c>
      <c r="AZ40" s="79">
        <f t="shared" ref="AZ40:BA40" si="31">AZ203</f>
        <v>0</v>
      </c>
      <c r="BA40" s="79">
        <f t="shared" si="31"/>
        <v>0</v>
      </c>
      <c r="BB40" s="79">
        <f>BD203</f>
        <v>0</v>
      </c>
      <c r="BC40" s="79">
        <f t="shared" si="15"/>
        <v>0</v>
      </c>
      <c r="BD40" s="34">
        <f t="shared" si="16"/>
        <v>0</v>
      </c>
      <c r="BF40" s="5" t="s">
        <v>442</v>
      </c>
      <c r="BG40" s="7" t="s">
        <v>296</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443</v>
      </c>
      <c r="C41" s="33"/>
      <c r="D41" s="35">
        <f>SUM(D32:D40)</f>
        <v>0</v>
      </c>
      <c r="E41" s="35">
        <f t="shared" ref="E41:I41" si="33">SUM(E32:E40)</f>
        <v>0</v>
      </c>
      <c r="F41" s="35">
        <f t="shared" si="33"/>
        <v>0</v>
      </c>
      <c r="G41" s="35">
        <f t="shared" si="33"/>
        <v>0</v>
      </c>
      <c r="H41" s="35">
        <f t="shared" si="33"/>
        <v>0</v>
      </c>
      <c r="I41" s="35">
        <f t="shared" si="33"/>
        <v>0</v>
      </c>
      <c r="J41" s="211"/>
      <c r="L41" s="39" t="s">
        <v>443</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11"/>
      <c r="V41" s="39" t="s">
        <v>443</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443</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443</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443</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443</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8.25" x14ac:dyDescent="0.25">
      <c r="B43" s="27" t="s">
        <v>9</v>
      </c>
      <c r="C43" s="3" t="s">
        <v>86</v>
      </c>
      <c r="D43" s="3" t="s">
        <v>374</v>
      </c>
      <c r="E43" s="3" t="s">
        <v>375</v>
      </c>
      <c r="F43" s="3" t="s">
        <v>376</v>
      </c>
      <c r="G43" s="3" t="s">
        <v>377</v>
      </c>
      <c r="H43" s="3" t="s">
        <v>378</v>
      </c>
      <c r="I43" s="3" t="s">
        <v>379</v>
      </c>
      <c r="J43" s="172" t="s">
        <v>380</v>
      </c>
      <c r="L43" s="27" t="s">
        <v>9</v>
      </c>
      <c r="M43" s="3" t="s">
        <v>86</v>
      </c>
      <c r="N43" s="3" t="s">
        <v>374</v>
      </c>
      <c r="O43" s="3" t="s">
        <v>375</v>
      </c>
      <c r="P43" s="3" t="s">
        <v>376</v>
      </c>
      <c r="Q43" s="3" t="s">
        <v>377</v>
      </c>
      <c r="R43" s="3" t="s">
        <v>378</v>
      </c>
      <c r="S43" s="3" t="s">
        <v>379</v>
      </c>
      <c r="T43" s="172" t="s">
        <v>380</v>
      </c>
      <c r="V43" s="27" t="s">
        <v>9</v>
      </c>
      <c r="W43" s="3" t="s">
        <v>86</v>
      </c>
      <c r="X43" s="3" t="s">
        <v>374</v>
      </c>
      <c r="Y43" s="3" t="s">
        <v>375</v>
      </c>
      <c r="Z43" s="3" t="s">
        <v>376</v>
      </c>
      <c r="AA43" s="3" t="s">
        <v>377</v>
      </c>
      <c r="AB43" s="3" t="s">
        <v>378</v>
      </c>
      <c r="AC43" s="3" t="s">
        <v>379</v>
      </c>
      <c r="AE43" s="27" t="s">
        <v>9</v>
      </c>
      <c r="AF43" s="3" t="s">
        <v>86</v>
      </c>
      <c r="AG43" s="3" t="s">
        <v>374</v>
      </c>
      <c r="AH43" s="3" t="s">
        <v>375</v>
      </c>
      <c r="AI43" s="3" t="s">
        <v>376</v>
      </c>
      <c r="AJ43" s="3" t="s">
        <v>377</v>
      </c>
      <c r="AK43" s="3" t="s">
        <v>378</v>
      </c>
      <c r="AL43" s="3" t="s">
        <v>379</v>
      </c>
      <c r="AN43" s="27" t="s">
        <v>9</v>
      </c>
      <c r="AO43" s="3" t="s">
        <v>86</v>
      </c>
      <c r="AP43" s="3" t="s">
        <v>374</v>
      </c>
      <c r="AQ43" s="3" t="s">
        <v>375</v>
      </c>
      <c r="AR43" s="3" t="s">
        <v>376</v>
      </c>
      <c r="AS43" s="3" t="s">
        <v>377</v>
      </c>
      <c r="AT43" s="3" t="s">
        <v>378</v>
      </c>
      <c r="AU43" s="3" t="s">
        <v>379</v>
      </c>
      <c r="AW43" s="27" t="s">
        <v>9</v>
      </c>
      <c r="AX43" s="3" t="s">
        <v>86</v>
      </c>
      <c r="AY43" s="3" t="s">
        <v>374</v>
      </c>
      <c r="AZ43" s="3" t="s">
        <v>375</v>
      </c>
      <c r="BA43" s="3" t="s">
        <v>376</v>
      </c>
      <c r="BB43" s="3" t="s">
        <v>377</v>
      </c>
      <c r="BC43" s="3" t="s">
        <v>378</v>
      </c>
      <c r="BD43" s="3" t="s">
        <v>379</v>
      </c>
      <c r="BF43" s="27" t="s">
        <v>9</v>
      </c>
      <c r="BG43" s="3" t="s">
        <v>86</v>
      </c>
      <c r="BH43" s="3" t="s">
        <v>374</v>
      </c>
      <c r="BI43" s="3" t="s">
        <v>375</v>
      </c>
      <c r="BJ43" s="3" t="s">
        <v>376</v>
      </c>
      <c r="BK43" s="3" t="s">
        <v>377</v>
      </c>
      <c r="BL43" s="3" t="s">
        <v>378</v>
      </c>
      <c r="BM43" s="3" t="s">
        <v>379</v>
      </c>
    </row>
    <row r="44" spans="1:65" x14ac:dyDescent="0.25">
      <c r="B44" s="41" t="s">
        <v>444</v>
      </c>
      <c r="C44" s="41" t="s">
        <v>283</v>
      </c>
      <c r="D44" s="40"/>
      <c r="E44" s="40"/>
      <c r="F44" s="29"/>
      <c r="G44" s="22">
        <v>0.08</v>
      </c>
      <c r="H44" s="23">
        <v>0.75</v>
      </c>
      <c r="I44" s="75">
        <f>D44*G44*H44</f>
        <v>0</v>
      </c>
      <c r="J44" s="171"/>
      <c r="L44" s="41" t="s">
        <v>444</v>
      </c>
      <c r="M44" s="41" t="s">
        <v>283</v>
      </c>
      <c r="N44" s="40"/>
      <c r="O44" s="40"/>
      <c r="P44" s="29"/>
      <c r="Q44" s="22">
        <v>0.08</v>
      </c>
      <c r="R44" s="23">
        <v>0.75</v>
      </c>
      <c r="S44" s="6">
        <f>N44*Q44*R44</f>
        <v>0</v>
      </c>
      <c r="T44" s="171"/>
      <c r="V44" s="41" t="s">
        <v>444</v>
      </c>
      <c r="W44" s="41" t="s">
        <v>283</v>
      </c>
      <c r="X44" s="40"/>
      <c r="Y44" s="40"/>
      <c r="Z44" s="29"/>
      <c r="AA44" s="22">
        <v>0.08</v>
      </c>
      <c r="AB44" s="23">
        <v>0.75</v>
      </c>
      <c r="AC44" s="6">
        <f>X44*AA44*AB44</f>
        <v>0</v>
      </c>
      <c r="AE44" s="41" t="s">
        <v>444</v>
      </c>
      <c r="AF44" s="41" t="s">
        <v>283</v>
      </c>
      <c r="AG44" s="40"/>
      <c r="AH44" s="40"/>
      <c r="AI44" s="29"/>
      <c r="AJ44" s="22">
        <v>0.08</v>
      </c>
      <c r="AK44" s="23">
        <v>0.75</v>
      </c>
      <c r="AL44" s="6">
        <f>AG44*AJ44*AK44</f>
        <v>0</v>
      </c>
      <c r="AN44" s="41" t="s">
        <v>444</v>
      </c>
      <c r="AO44" s="41" t="s">
        <v>283</v>
      </c>
      <c r="AP44" s="40"/>
      <c r="AQ44" s="40"/>
      <c r="AR44" s="29"/>
      <c r="AS44" s="22">
        <v>0.08</v>
      </c>
      <c r="AT44" s="23">
        <v>0.75</v>
      </c>
      <c r="AU44" s="6">
        <f>AP44*AS44*AT44</f>
        <v>0</v>
      </c>
      <c r="AW44" s="41" t="s">
        <v>444</v>
      </c>
      <c r="AX44" s="41" t="s">
        <v>283</v>
      </c>
      <c r="AY44" s="40"/>
      <c r="AZ44" s="40"/>
      <c r="BA44" s="29"/>
      <c r="BB44" s="22">
        <v>0.08</v>
      </c>
      <c r="BC44" s="23">
        <v>0.75</v>
      </c>
      <c r="BD44" s="6">
        <f>AY44*BB44*BC44</f>
        <v>0</v>
      </c>
      <c r="BF44" s="41" t="s">
        <v>444</v>
      </c>
      <c r="BG44" s="41" t="s">
        <v>283</v>
      </c>
      <c r="BH44" s="40"/>
      <c r="BI44" s="40"/>
      <c r="BJ44" s="29"/>
      <c r="BK44" s="22">
        <v>0.08</v>
      </c>
      <c r="BL44" s="23">
        <v>0.75</v>
      </c>
      <c r="BM44" s="6">
        <f>BH44*BK44*BL44</f>
        <v>0</v>
      </c>
    </row>
    <row r="45" spans="1:65" x14ac:dyDescent="0.25">
      <c r="B45" s="41" t="s">
        <v>444</v>
      </c>
      <c r="C45" s="41" t="s">
        <v>283</v>
      </c>
      <c r="D45" s="40"/>
      <c r="E45" s="40"/>
      <c r="F45" s="29"/>
      <c r="G45" s="22"/>
      <c r="H45" s="23">
        <v>0.75</v>
      </c>
      <c r="I45" s="75">
        <f t="shared" ref="I45:I58" si="64">D45*G45*H45</f>
        <v>0</v>
      </c>
      <c r="J45" s="171"/>
      <c r="L45" s="41" t="s">
        <v>444</v>
      </c>
      <c r="M45" s="41" t="s">
        <v>283</v>
      </c>
      <c r="N45" s="40"/>
      <c r="O45" s="40"/>
      <c r="P45" s="29"/>
      <c r="Q45" s="22">
        <v>0.08</v>
      </c>
      <c r="R45" s="23">
        <v>0.75</v>
      </c>
      <c r="S45" s="6">
        <f t="shared" ref="S45:S58" si="65">N45*Q45*R45</f>
        <v>0</v>
      </c>
      <c r="T45" s="171"/>
      <c r="V45" s="41" t="s">
        <v>444</v>
      </c>
      <c r="W45" s="41" t="s">
        <v>283</v>
      </c>
      <c r="X45" s="40"/>
      <c r="Y45" s="40"/>
      <c r="Z45" s="29"/>
      <c r="AA45" s="22"/>
      <c r="AB45" s="23">
        <v>0.75</v>
      </c>
      <c r="AC45" s="6">
        <f t="shared" ref="AC45:AC58" si="66">X45*AA45*AB45</f>
        <v>0</v>
      </c>
      <c r="AE45" s="41" t="s">
        <v>444</v>
      </c>
      <c r="AF45" s="41" t="s">
        <v>283</v>
      </c>
      <c r="AG45" s="40"/>
      <c r="AH45" s="40"/>
      <c r="AI45" s="29"/>
      <c r="AJ45" s="22"/>
      <c r="AK45" s="23">
        <v>0.75</v>
      </c>
      <c r="AL45" s="6">
        <f t="shared" ref="AL45:AL58" si="67">AG45*AJ45*AK45</f>
        <v>0</v>
      </c>
      <c r="AN45" s="41" t="s">
        <v>444</v>
      </c>
      <c r="AO45" s="41" t="s">
        <v>283</v>
      </c>
      <c r="AP45" s="40"/>
      <c r="AQ45" s="40"/>
      <c r="AR45" s="29"/>
      <c r="AS45" s="22"/>
      <c r="AT45" s="23">
        <v>0.75</v>
      </c>
      <c r="AU45" s="6">
        <f t="shared" ref="AU45:AU58" si="68">AP45*AS45*AT45</f>
        <v>0</v>
      </c>
      <c r="AW45" s="41" t="s">
        <v>444</v>
      </c>
      <c r="AX45" s="41" t="s">
        <v>283</v>
      </c>
      <c r="AY45" s="40"/>
      <c r="AZ45" s="40"/>
      <c r="BA45" s="29"/>
      <c r="BB45" s="22"/>
      <c r="BC45" s="23">
        <v>0.75</v>
      </c>
      <c r="BD45" s="6">
        <f t="shared" ref="BD45:BD58" si="69">AY45*BB45*BC45</f>
        <v>0</v>
      </c>
      <c r="BF45" s="41" t="s">
        <v>444</v>
      </c>
      <c r="BG45" s="41" t="s">
        <v>283</v>
      </c>
      <c r="BH45" s="40"/>
      <c r="BI45" s="40"/>
      <c r="BJ45" s="29"/>
      <c r="BK45" s="22"/>
      <c r="BL45" s="23">
        <v>0.75</v>
      </c>
      <c r="BM45" s="6">
        <f t="shared" ref="BM45:BM58" si="70">BH45*BK45*BL45</f>
        <v>0</v>
      </c>
    </row>
    <row r="46" spans="1:65" x14ac:dyDescent="0.25">
      <c r="B46" s="41" t="s">
        <v>444</v>
      </c>
      <c r="C46" s="41" t="s">
        <v>283</v>
      </c>
      <c r="D46" s="40"/>
      <c r="E46" s="40"/>
      <c r="F46" s="29"/>
      <c r="G46" s="22"/>
      <c r="H46" s="23">
        <v>0.75</v>
      </c>
      <c r="I46" s="75">
        <f t="shared" si="64"/>
        <v>0</v>
      </c>
      <c r="J46" s="171"/>
      <c r="L46" s="41" t="s">
        <v>444</v>
      </c>
      <c r="M46" s="41" t="s">
        <v>283</v>
      </c>
      <c r="N46" s="40"/>
      <c r="O46" s="40"/>
      <c r="P46" s="29"/>
      <c r="Q46" s="22"/>
      <c r="R46" s="23">
        <v>0.75</v>
      </c>
      <c r="S46" s="6">
        <f t="shared" si="65"/>
        <v>0</v>
      </c>
      <c r="T46" s="171"/>
      <c r="V46" s="41" t="s">
        <v>444</v>
      </c>
      <c r="W46" s="41" t="s">
        <v>283</v>
      </c>
      <c r="X46" s="40"/>
      <c r="Y46" s="40"/>
      <c r="Z46" s="29"/>
      <c r="AA46" s="22"/>
      <c r="AB46" s="23">
        <v>0.75</v>
      </c>
      <c r="AC46" s="6">
        <f t="shared" si="66"/>
        <v>0</v>
      </c>
      <c r="AE46" s="41" t="s">
        <v>444</v>
      </c>
      <c r="AF46" s="41" t="s">
        <v>283</v>
      </c>
      <c r="AG46" s="40"/>
      <c r="AH46" s="40"/>
      <c r="AI46" s="29"/>
      <c r="AJ46" s="22"/>
      <c r="AK46" s="23">
        <v>0.75</v>
      </c>
      <c r="AL46" s="6">
        <f t="shared" si="67"/>
        <v>0</v>
      </c>
      <c r="AN46" s="41" t="s">
        <v>444</v>
      </c>
      <c r="AO46" s="41" t="s">
        <v>283</v>
      </c>
      <c r="AP46" s="40"/>
      <c r="AQ46" s="40"/>
      <c r="AR46" s="29"/>
      <c r="AS46" s="22"/>
      <c r="AT46" s="23">
        <v>0.75</v>
      </c>
      <c r="AU46" s="6">
        <f t="shared" si="68"/>
        <v>0</v>
      </c>
      <c r="AW46" s="41" t="s">
        <v>444</v>
      </c>
      <c r="AX46" s="41" t="s">
        <v>283</v>
      </c>
      <c r="AY46" s="40"/>
      <c r="AZ46" s="40"/>
      <c r="BA46" s="29"/>
      <c r="BB46" s="22"/>
      <c r="BC46" s="23">
        <v>0.75</v>
      </c>
      <c r="BD46" s="6">
        <f t="shared" si="69"/>
        <v>0</v>
      </c>
      <c r="BF46" s="41" t="s">
        <v>444</v>
      </c>
      <c r="BG46" s="41" t="s">
        <v>283</v>
      </c>
      <c r="BH46" s="40"/>
      <c r="BI46" s="40"/>
      <c r="BJ46" s="29"/>
      <c r="BK46" s="22"/>
      <c r="BL46" s="23">
        <v>0.75</v>
      </c>
      <c r="BM46" s="6">
        <f t="shared" si="70"/>
        <v>0</v>
      </c>
    </row>
    <row r="47" spans="1:65" x14ac:dyDescent="0.25">
      <c r="B47" s="41" t="s">
        <v>444</v>
      </c>
      <c r="C47" s="41" t="s">
        <v>283</v>
      </c>
      <c r="D47" s="40"/>
      <c r="E47" s="40"/>
      <c r="F47" s="29"/>
      <c r="G47" s="22"/>
      <c r="H47" s="23">
        <v>0.75</v>
      </c>
      <c r="I47" s="75">
        <f t="shared" si="64"/>
        <v>0</v>
      </c>
      <c r="J47" s="171"/>
      <c r="L47" s="41" t="s">
        <v>444</v>
      </c>
      <c r="M47" s="41" t="s">
        <v>283</v>
      </c>
      <c r="N47" s="40"/>
      <c r="O47" s="40"/>
      <c r="P47" s="29"/>
      <c r="Q47" s="22"/>
      <c r="R47" s="23">
        <v>0.75</v>
      </c>
      <c r="S47" s="6">
        <f t="shared" si="65"/>
        <v>0</v>
      </c>
      <c r="T47" s="171"/>
      <c r="V47" s="41" t="s">
        <v>444</v>
      </c>
      <c r="W47" s="41" t="s">
        <v>283</v>
      </c>
      <c r="X47" s="40"/>
      <c r="Y47" s="40"/>
      <c r="Z47" s="29"/>
      <c r="AA47" s="22"/>
      <c r="AB47" s="23">
        <v>0.75</v>
      </c>
      <c r="AC47" s="6">
        <f t="shared" si="66"/>
        <v>0</v>
      </c>
      <c r="AE47" s="41" t="s">
        <v>444</v>
      </c>
      <c r="AF47" s="41" t="s">
        <v>283</v>
      </c>
      <c r="AG47" s="40"/>
      <c r="AH47" s="40"/>
      <c r="AI47" s="29"/>
      <c r="AJ47" s="22"/>
      <c r="AK47" s="23">
        <v>0.75</v>
      </c>
      <c r="AL47" s="6">
        <f t="shared" si="67"/>
        <v>0</v>
      </c>
      <c r="AN47" s="41" t="s">
        <v>444</v>
      </c>
      <c r="AO47" s="41" t="s">
        <v>283</v>
      </c>
      <c r="AP47" s="40"/>
      <c r="AQ47" s="40"/>
      <c r="AR47" s="29"/>
      <c r="AS47" s="22"/>
      <c r="AT47" s="23">
        <v>0.75</v>
      </c>
      <c r="AU47" s="6">
        <f t="shared" si="68"/>
        <v>0</v>
      </c>
      <c r="AW47" s="41" t="s">
        <v>444</v>
      </c>
      <c r="AX47" s="41" t="s">
        <v>283</v>
      </c>
      <c r="AY47" s="40"/>
      <c r="AZ47" s="40"/>
      <c r="BA47" s="29"/>
      <c r="BB47" s="22"/>
      <c r="BC47" s="23">
        <v>0.75</v>
      </c>
      <c r="BD47" s="6">
        <f t="shared" si="69"/>
        <v>0</v>
      </c>
      <c r="BF47" s="41" t="s">
        <v>444</v>
      </c>
      <c r="BG47" s="41" t="s">
        <v>283</v>
      </c>
      <c r="BH47" s="40"/>
      <c r="BI47" s="40"/>
      <c r="BJ47" s="29"/>
      <c r="BK47" s="22"/>
      <c r="BL47" s="23">
        <v>0.75</v>
      </c>
      <c r="BM47" s="6">
        <f t="shared" si="70"/>
        <v>0</v>
      </c>
    </row>
    <row r="48" spans="1:65" x14ac:dyDescent="0.25">
      <c r="B48" s="41" t="s">
        <v>444</v>
      </c>
      <c r="C48" s="41" t="s">
        <v>283</v>
      </c>
      <c r="D48" s="40"/>
      <c r="E48" s="40"/>
      <c r="F48" s="29"/>
      <c r="G48" s="22"/>
      <c r="H48" s="23">
        <v>0.75</v>
      </c>
      <c r="I48" s="75">
        <f t="shared" si="64"/>
        <v>0</v>
      </c>
      <c r="J48" s="171"/>
      <c r="L48" s="41" t="s">
        <v>444</v>
      </c>
      <c r="M48" s="41" t="s">
        <v>283</v>
      </c>
      <c r="N48" s="40"/>
      <c r="O48" s="40"/>
      <c r="P48" s="29"/>
      <c r="Q48" s="22"/>
      <c r="R48" s="23">
        <v>0.75</v>
      </c>
      <c r="S48" s="6">
        <f t="shared" si="65"/>
        <v>0</v>
      </c>
      <c r="T48" s="171"/>
      <c r="V48" s="41" t="s">
        <v>444</v>
      </c>
      <c r="W48" s="41" t="s">
        <v>283</v>
      </c>
      <c r="X48" s="40"/>
      <c r="Y48" s="40"/>
      <c r="Z48" s="29"/>
      <c r="AA48" s="22"/>
      <c r="AB48" s="23">
        <v>0.75</v>
      </c>
      <c r="AC48" s="6">
        <f t="shared" si="66"/>
        <v>0</v>
      </c>
      <c r="AE48" s="41" t="s">
        <v>444</v>
      </c>
      <c r="AF48" s="41" t="s">
        <v>283</v>
      </c>
      <c r="AG48" s="40"/>
      <c r="AH48" s="40"/>
      <c r="AI48" s="29"/>
      <c r="AJ48" s="22"/>
      <c r="AK48" s="23">
        <v>0.75</v>
      </c>
      <c r="AL48" s="6">
        <f t="shared" si="67"/>
        <v>0</v>
      </c>
      <c r="AN48" s="41" t="s">
        <v>444</v>
      </c>
      <c r="AO48" s="41" t="s">
        <v>283</v>
      </c>
      <c r="AP48" s="40"/>
      <c r="AQ48" s="40"/>
      <c r="AR48" s="29"/>
      <c r="AS48" s="22"/>
      <c r="AT48" s="23">
        <v>0.75</v>
      </c>
      <c r="AU48" s="6">
        <f t="shared" si="68"/>
        <v>0</v>
      </c>
      <c r="AW48" s="41" t="s">
        <v>444</v>
      </c>
      <c r="AX48" s="41" t="s">
        <v>283</v>
      </c>
      <c r="AY48" s="40"/>
      <c r="AZ48" s="40"/>
      <c r="BA48" s="29"/>
      <c r="BB48" s="22"/>
      <c r="BC48" s="23">
        <v>0.75</v>
      </c>
      <c r="BD48" s="6">
        <f t="shared" si="69"/>
        <v>0</v>
      </c>
      <c r="BF48" s="41" t="s">
        <v>444</v>
      </c>
      <c r="BG48" s="41" t="s">
        <v>283</v>
      </c>
      <c r="BH48" s="40"/>
      <c r="BI48" s="40"/>
      <c r="BJ48" s="29"/>
      <c r="BK48" s="22"/>
      <c r="BL48" s="23">
        <v>0.75</v>
      </c>
      <c r="BM48" s="6">
        <f t="shared" si="70"/>
        <v>0</v>
      </c>
    </row>
    <row r="49" spans="2:65" x14ac:dyDescent="0.25">
      <c r="B49" s="41" t="s">
        <v>444</v>
      </c>
      <c r="C49" s="41" t="s">
        <v>283</v>
      </c>
      <c r="D49" s="40"/>
      <c r="E49" s="40"/>
      <c r="F49" s="29"/>
      <c r="G49" s="22"/>
      <c r="H49" s="23">
        <v>0.75</v>
      </c>
      <c r="I49" s="75">
        <f t="shared" si="64"/>
        <v>0</v>
      </c>
      <c r="J49" s="171"/>
      <c r="L49" s="41" t="s">
        <v>444</v>
      </c>
      <c r="M49" s="41" t="s">
        <v>283</v>
      </c>
      <c r="N49" s="40"/>
      <c r="O49" s="40"/>
      <c r="P49" s="29"/>
      <c r="Q49" s="22"/>
      <c r="R49" s="23">
        <v>0.75</v>
      </c>
      <c r="S49" s="6">
        <f t="shared" si="65"/>
        <v>0</v>
      </c>
      <c r="T49" s="171"/>
      <c r="V49" s="41" t="s">
        <v>444</v>
      </c>
      <c r="W49" s="41" t="s">
        <v>283</v>
      </c>
      <c r="X49" s="40"/>
      <c r="Y49" s="40"/>
      <c r="Z49" s="29"/>
      <c r="AA49" s="22"/>
      <c r="AB49" s="23">
        <v>0.75</v>
      </c>
      <c r="AC49" s="6">
        <f t="shared" si="66"/>
        <v>0</v>
      </c>
      <c r="AE49" s="41" t="s">
        <v>444</v>
      </c>
      <c r="AF49" s="41" t="s">
        <v>283</v>
      </c>
      <c r="AG49" s="40"/>
      <c r="AH49" s="40"/>
      <c r="AI49" s="29"/>
      <c r="AJ49" s="22"/>
      <c r="AK49" s="23">
        <v>0.75</v>
      </c>
      <c r="AL49" s="6">
        <f t="shared" si="67"/>
        <v>0</v>
      </c>
      <c r="AN49" s="41" t="s">
        <v>444</v>
      </c>
      <c r="AO49" s="41" t="s">
        <v>283</v>
      </c>
      <c r="AP49" s="40"/>
      <c r="AQ49" s="40"/>
      <c r="AR49" s="29"/>
      <c r="AS49" s="22"/>
      <c r="AT49" s="23">
        <v>0.75</v>
      </c>
      <c r="AU49" s="6">
        <f t="shared" si="68"/>
        <v>0</v>
      </c>
      <c r="AW49" s="41" t="s">
        <v>444</v>
      </c>
      <c r="AX49" s="41" t="s">
        <v>283</v>
      </c>
      <c r="AY49" s="40"/>
      <c r="AZ49" s="40"/>
      <c r="BA49" s="29"/>
      <c r="BB49" s="22"/>
      <c r="BC49" s="23">
        <v>0.75</v>
      </c>
      <c r="BD49" s="6">
        <f t="shared" si="69"/>
        <v>0</v>
      </c>
      <c r="BF49" s="41" t="s">
        <v>444</v>
      </c>
      <c r="BG49" s="41" t="s">
        <v>283</v>
      </c>
      <c r="BH49" s="40"/>
      <c r="BI49" s="40"/>
      <c r="BJ49" s="29"/>
      <c r="BK49" s="22"/>
      <c r="BL49" s="23">
        <v>0.75</v>
      </c>
      <c r="BM49" s="6">
        <f t="shared" si="70"/>
        <v>0</v>
      </c>
    </row>
    <row r="50" spans="2:65" x14ac:dyDescent="0.25">
      <c r="B50" s="41" t="s">
        <v>444</v>
      </c>
      <c r="C50" s="41" t="s">
        <v>283</v>
      </c>
      <c r="D50" s="40"/>
      <c r="E50" s="40"/>
      <c r="F50" s="29"/>
      <c r="G50" s="22"/>
      <c r="H50" s="23">
        <v>0.75</v>
      </c>
      <c r="I50" s="75">
        <f t="shared" si="64"/>
        <v>0</v>
      </c>
      <c r="J50" s="171"/>
      <c r="L50" s="41" t="s">
        <v>444</v>
      </c>
      <c r="M50" s="41" t="s">
        <v>283</v>
      </c>
      <c r="N50" s="40"/>
      <c r="O50" s="40"/>
      <c r="P50" s="29"/>
      <c r="Q50" s="22"/>
      <c r="R50" s="23">
        <v>0.75</v>
      </c>
      <c r="S50" s="6">
        <f t="shared" si="65"/>
        <v>0</v>
      </c>
      <c r="T50" s="171"/>
      <c r="V50" s="41" t="s">
        <v>444</v>
      </c>
      <c r="W50" s="41" t="s">
        <v>283</v>
      </c>
      <c r="X50" s="40"/>
      <c r="Y50" s="40"/>
      <c r="Z50" s="29"/>
      <c r="AA50" s="22"/>
      <c r="AB50" s="23">
        <v>0.75</v>
      </c>
      <c r="AC50" s="6">
        <f t="shared" si="66"/>
        <v>0</v>
      </c>
      <c r="AE50" s="41" t="s">
        <v>444</v>
      </c>
      <c r="AF50" s="41" t="s">
        <v>283</v>
      </c>
      <c r="AG50" s="40"/>
      <c r="AH50" s="40"/>
      <c r="AI50" s="29"/>
      <c r="AJ50" s="22"/>
      <c r="AK50" s="23">
        <v>0.75</v>
      </c>
      <c r="AL50" s="6">
        <f t="shared" si="67"/>
        <v>0</v>
      </c>
      <c r="AN50" s="41" t="s">
        <v>444</v>
      </c>
      <c r="AO50" s="41" t="s">
        <v>283</v>
      </c>
      <c r="AP50" s="40"/>
      <c r="AQ50" s="40"/>
      <c r="AR50" s="29"/>
      <c r="AS50" s="22"/>
      <c r="AT50" s="23">
        <v>0.75</v>
      </c>
      <c r="AU50" s="6">
        <f t="shared" si="68"/>
        <v>0</v>
      </c>
      <c r="AW50" s="41" t="s">
        <v>444</v>
      </c>
      <c r="AX50" s="41" t="s">
        <v>283</v>
      </c>
      <c r="AY50" s="40"/>
      <c r="AZ50" s="40"/>
      <c r="BA50" s="29"/>
      <c r="BB50" s="22"/>
      <c r="BC50" s="23">
        <v>0.75</v>
      </c>
      <c r="BD50" s="6">
        <f t="shared" si="69"/>
        <v>0</v>
      </c>
      <c r="BF50" s="41" t="s">
        <v>444</v>
      </c>
      <c r="BG50" s="41" t="s">
        <v>283</v>
      </c>
      <c r="BH50" s="40"/>
      <c r="BI50" s="40"/>
      <c r="BJ50" s="29"/>
      <c r="BK50" s="22"/>
      <c r="BL50" s="23">
        <v>0.75</v>
      </c>
      <c r="BM50" s="6">
        <f t="shared" si="70"/>
        <v>0</v>
      </c>
    </row>
    <row r="51" spans="2:65" outlineLevel="1" x14ac:dyDescent="0.25">
      <c r="B51" s="41" t="s">
        <v>444</v>
      </c>
      <c r="C51" s="41" t="s">
        <v>283</v>
      </c>
      <c r="D51" s="40"/>
      <c r="E51" s="40"/>
      <c r="F51" s="29"/>
      <c r="G51" s="22"/>
      <c r="H51" s="23">
        <v>0.75</v>
      </c>
      <c r="I51" s="75">
        <f t="shared" si="64"/>
        <v>0</v>
      </c>
      <c r="J51" s="171"/>
      <c r="L51" s="41" t="s">
        <v>444</v>
      </c>
      <c r="M51" s="41" t="s">
        <v>283</v>
      </c>
      <c r="N51" s="40"/>
      <c r="O51" s="40"/>
      <c r="P51" s="29"/>
      <c r="Q51" s="22"/>
      <c r="R51" s="23">
        <v>0.75</v>
      </c>
      <c r="S51" s="6">
        <f t="shared" si="65"/>
        <v>0</v>
      </c>
      <c r="T51" s="171"/>
      <c r="V51" s="41" t="s">
        <v>444</v>
      </c>
      <c r="W51" s="41" t="s">
        <v>283</v>
      </c>
      <c r="X51" s="40"/>
      <c r="Y51" s="40"/>
      <c r="Z51" s="29"/>
      <c r="AA51" s="22"/>
      <c r="AB51" s="23">
        <v>0.75</v>
      </c>
      <c r="AC51" s="6">
        <f t="shared" si="66"/>
        <v>0</v>
      </c>
      <c r="AE51" s="41" t="s">
        <v>444</v>
      </c>
      <c r="AF51" s="41" t="s">
        <v>283</v>
      </c>
      <c r="AG51" s="40"/>
      <c r="AH51" s="40"/>
      <c r="AI51" s="29"/>
      <c r="AJ51" s="22"/>
      <c r="AK51" s="23">
        <v>0.75</v>
      </c>
      <c r="AL51" s="6">
        <f t="shared" si="67"/>
        <v>0</v>
      </c>
      <c r="AN51" s="41" t="s">
        <v>444</v>
      </c>
      <c r="AO51" s="41" t="s">
        <v>283</v>
      </c>
      <c r="AP51" s="40"/>
      <c r="AQ51" s="40"/>
      <c r="AR51" s="29"/>
      <c r="AS51" s="22"/>
      <c r="AT51" s="23">
        <v>0.75</v>
      </c>
      <c r="AU51" s="6">
        <f t="shared" si="68"/>
        <v>0</v>
      </c>
      <c r="AW51" s="41" t="s">
        <v>444</v>
      </c>
      <c r="AX51" s="41" t="s">
        <v>283</v>
      </c>
      <c r="AY51" s="40"/>
      <c r="AZ51" s="40"/>
      <c r="BA51" s="29"/>
      <c r="BB51" s="22"/>
      <c r="BC51" s="23">
        <v>0.75</v>
      </c>
      <c r="BD51" s="6">
        <f t="shared" si="69"/>
        <v>0</v>
      </c>
      <c r="BF51" s="41" t="s">
        <v>444</v>
      </c>
      <c r="BG51" s="41" t="s">
        <v>283</v>
      </c>
      <c r="BH51" s="40"/>
      <c r="BI51" s="40"/>
      <c r="BJ51" s="29"/>
      <c r="BK51" s="22"/>
      <c r="BL51" s="23">
        <v>0.75</v>
      </c>
      <c r="BM51" s="6">
        <f t="shared" si="70"/>
        <v>0</v>
      </c>
    </row>
    <row r="52" spans="2:65" outlineLevel="1" x14ac:dyDescent="0.25">
      <c r="B52" s="41" t="s">
        <v>444</v>
      </c>
      <c r="C52" s="41" t="s">
        <v>283</v>
      </c>
      <c r="D52" s="40"/>
      <c r="E52" s="40"/>
      <c r="F52" s="29"/>
      <c r="G52" s="22"/>
      <c r="H52" s="23">
        <v>0.75</v>
      </c>
      <c r="I52" s="75">
        <f t="shared" si="64"/>
        <v>0</v>
      </c>
      <c r="J52" s="171"/>
      <c r="L52" s="41" t="s">
        <v>444</v>
      </c>
      <c r="M52" s="41" t="s">
        <v>283</v>
      </c>
      <c r="N52" s="40"/>
      <c r="O52" s="40"/>
      <c r="P52" s="29"/>
      <c r="Q52" s="22"/>
      <c r="R52" s="23">
        <v>0.75</v>
      </c>
      <c r="S52" s="6">
        <f t="shared" si="65"/>
        <v>0</v>
      </c>
      <c r="T52" s="171"/>
      <c r="V52" s="41" t="s">
        <v>444</v>
      </c>
      <c r="W52" s="41" t="s">
        <v>283</v>
      </c>
      <c r="X52" s="40"/>
      <c r="Y52" s="40"/>
      <c r="Z52" s="29"/>
      <c r="AA52" s="22"/>
      <c r="AB52" s="23">
        <v>0.75</v>
      </c>
      <c r="AC52" s="6">
        <f t="shared" si="66"/>
        <v>0</v>
      </c>
      <c r="AE52" s="41" t="s">
        <v>444</v>
      </c>
      <c r="AF52" s="41" t="s">
        <v>283</v>
      </c>
      <c r="AG52" s="40"/>
      <c r="AH52" s="40"/>
      <c r="AI52" s="29"/>
      <c r="AJ52" s="22"/>
      <c r="AK52" s="23">
        <v>0.75</v>
      </c>
      <c r="AL52" s="6">
        <f t="shared" si="67"/>
        <v>0</v>
      </c>
      <c r="AN52" s="41" t="s">
        <v>444</v>
      </c>
      <c r="AO52" s="41" t="s">
        <v>283</v>
      </c>
      <c r="AP52" s="40"/>
      <c r="AQ52" s="40"/>
      <c r="AR52" s="29"/>
      <c r="AS52" s="22"/>
      <c r="AT52" s="23">
        <v>0.75</v>
      </c>
      <c r="AU52" s="6">
        <f t="shared" si="68"/>
        <v>0</v>
      </c>
      <c r="AW52" s="41" t="s">
        <v>444</v>
      </c>
      <c r="AX52" s="41" t="s">
        <v>283</v>
      </c>
      <c r="AY52" s="40"/>
      <c r="AZ52" s="40"/>
      <c r="BA52" s="29"/>
      <c r="BB52" s="22"/>
      <c r="BC52" s="23">
        <v>0.75</v>
      </c>
      <c r="BD52" s="6">
        <f t="shared" si="69"/>
        <v>0</v>
      </c>
      <c r="BF52" s="41" t="s">
        <v>444</v>
      </c>
      <c r="BG52" s="41" t="s">
        <v>283</v>
      </c>
      <c r="BH52" s="40"/>
      <c r="BI52" s="40"/>
      <c r="BJ52" s="29"/>
      <c r="BK52" s="22"/>
      <c r="BL52" s="23">
        <v>0.75</v>
      </c>
      <c r="BM52" s="6">
        <f t="shared" si="70"/>
        <v>0</v>
      </c>
    </row>
    <row r="53" spans="2:65" outlineLevel="1" x14ac:dyDescent="0.25">
      <c r="B53" s="41" t="s">
        <v>444</v>
      </c>
      <c r="C53" s="41" t="s">
        <v>283</v>
      </c>
      <c r="D53" s="40"/>
      <c r="E53" s="40"/>
      <c r="F53" s="29"/>
      <c r="G53" s="22"/>
      <c r="H53" s="23">
        <v>0.75</v>
      </c>
      <c r="I53" s="75">
        <f t="shared" si="64"/>
        <v>0</v>
      </c>
      <c r="J53" s="171"/>
      <c r="L53" s="41" t="s">
        <v>444</v>
      </c>
      <c r="M53" s="41" t="s">
        <v>283</v>
      </c>
      <c r="N53" s="40"/>
      <c r="O53" s="40"/>
      <c r="P53" s="29"/>
      <c r="Q53" s="22"/>
      <c r="R53" s="23">
        <v>0.75</v>
      </c>
      <c r="S53" s="6">
        <f t="shared" si="65"/>
        <v>0</v>
      </c>
      <c r="T53" s="171"/>
      <c r="V53" s="41" t="s">
        <v>444</v>
      </c>
      <c r="W53" s="41" t="s">
        <v>283</v>
      </c>
      <c r="X53" s="40"/>
      <c r="Y53" s="40"/>
      <c r="Z53" s="29"/>
      <c r="AA53" s="22"/>
      <c r="AB53" s="23">
        <v>0.75</v>
      </c>
      <c r="AC53" s="6">
        <f t="shared" si="66"/>
        <v>0</v>
      </c>
      <c r="AE53" s="41" t="s">
        <v>444</v>
      </c>
      <c r="AF53" s="41" t="s">
        <v>283</v>
      </c>
      <c r="AG53" s="40"/>
      <c r="AH53" s="40"/>
      <c r="AI53" s="29"/>
      <c r="AJ53" s="22"/>
      <c r="AK53" s="23">
        <v>0.75</v>
      </c>
      <c r="AL53" s="6">
        <f t="shared" si="67"/>
        <v>0</v>
      </c>
      <c r="AN53" s="41" t="s">
        <v>444</v>
      </c>
      <c r="AO53" s="41" t="s">
        <v>283</v>
      </c>
      <c r="AP53" s="40"/>
      <c r="AQ53" s="40"/>
      <c r="AR53" s="29"/>
      <c r="AS53" s="22"/>
      <c r="AT53" s="23">
        <v>0.75</v>
      </c>
      <c r="AU53" s="6">
        <f t="shared" si="68"/>
        <v>0</v>
      </c>
      <c r="AW53" s="41" t="s">
        <v>444</v>
      </c>
      <c r="AX53" s="41" t="s">
        <v>283</v>
      </c>
      <c r="AY53" s="40"/>
      <c r="AZ53" s="40"/>
      <c r="BA53" s="29"/>
      <c r="BB53" s="22"/>
      <c r="BC53" s="23">
        <v>0.75</v>
      </c>
      <c r="BD53" s="6">
        <f t="shared" si="69"/>
        <v>0</v>
      </c>
      <c r="BF53" s="41" t="s">
        <v>444</v>
      </c>
      <c r="BG53" s="41" t="s">
        <v>283</v>
      </c>
      <c r="BH53" s="40"/>
      <c r="BI53" s="40"/>
      <c r="BJ53" s="29"/>
      <c r="BK53" s="22"/>
      <c r="BL53" s="23">
        <v>0.75</v>
      </c>
      <c r="BM53" s="6">
        <f t="shared" si="70"/>
        <v>0</v>
      </c>
    </row>
    <row r="54" spans="2:65" outlineLevel="1" x14ac:dyDescent="0.25">
      <c r="B54" s="41" t="s">
        <v>444</v>
      </c>
      <c r="C54" s="41" t="s">
        <v>283</v>
      </c>
      <c r="D54" s="40"/>
      <c r="E54" s="40"/>
      <c r="F54" s="29"/>
      <c r="G54" s="22"/>
      <c r="H54" s="23">
        <v>0.75</v>
      </c>
      <c r="I54" s="75">
        <f t="shared" si="64"/>
        <v>0</v>
      </c>
      <c r="J54" s="171"/>
      <c r="L54" s="41" t="s">
        <v>444</v>
      </c>
      <c r="M54" s="41" t="s">
        <v>283</v>
      </c>
      <c r="N54" s="40"/>
      <c r="O54" s="40"/>
      <c r="P54" s="29"/>
      <c r="Q54" s="22"/>
      <c r="R54" s="23">
        <v>0.75</v>
      </c>
      <c r="S54" s="6">
        <f t="shared" si="65"/>
        <v>0</v>
      </c>
      <c r="T54" s="171"/>
      <c r="V54" s="41" t="s">
        <v>444</v>
      </c>
      <c r="W54" s="41" t="s">
        <v>283</v>
      </c>
      <c r="X54" s="40"/>
      <c r="Y54" s="40"/>
      <c r="Z54" s="29"/>
      <c r="AA54" s="22"/>
      <c r="AB54" s="23">
        <v>0.75</v>
      </c>
      <c r="AC54" s="6">
        <f t="shared" si="66"/>
        <v>0</v>
      </c>
      <c r="AE54" s="41" t="s">
        <v>444</v>
      </c>
      <c r="AF54" s="41" t="s">
        <v>283</v>
      </c>
      <c r="AG54" s="40"/>
      <c r="AH54" s="40"/>
      <c r="AI54" s="29"/>
      <c r="AJ54" s="22"/>
      <c r="AK54" s="23">
        <v>0.75</v>
      </c>
      <c r="AL54" s="6">
        <f t="shared" si="67"/>
        <v>0</v>
      </c>
      <c r="AN54" s="41" t="s">
        <v>444</v>
      </c>
      <c r="AO54" s="41" t="s">
        <v>283</v>
      </c>
      <c r="AP54" s="40"/>
      <c r="AQ54" s="40"/>
      <c r="AR54" s="29"/>
      <c r="AS54" s="22"/>
      <c r="AT54" s="23">
        <v>0.75</v>
      </c>
      <c r="AU54" s="6">
        <f t="shared" si="68"/>
        <v>0</v>
      </c>
      <c r="AW54" s="41" t="s">
        <v>444</v>
      </c>
      <c r="AX54" s="41" t="s">
        <v>283</v>
      </c>
      <c r="AY54" s="40"/>
      <c r="AZ54" s="40"/>
      <c r="BA54" s="29"/>
      <c r="BB54" s="22"/>
      <c r="BC54" s="23">
        <v>0.75</v>
      </c>
      <c r="BD54" s="6">
        <f t="shared" si="69"/>
        <v>0</v>
      </c>
      <c r="BF54" s="41" t="s">
        <v>444</v>
      </c>
      <c r="BG54" s="41" t="s">
        <v>283</v>
      </c>
      <c r="BH54" s="40"/>
      <c r="BI54" s="40"/>
      <c r="BJ54" s="29"/>
      <c r="BK54" s="22"/>
      <c r="BL54" s="23">
        <v>0.75</v>
      </c>
      <c r="BM54" s="6">
        <f t="shared" si="70"/>
        <v>0</v>
      </c>
    </row>
    <row r="55" spans="2:65" outlineLevel="1" x14ac:dyDescent="0.25">
      <c r="B55" s="41" t="s">
        <v>444</v>
      </c>
      <c r="C55" s="41" t="s">
        <v>283</v>
      </c>
      <c r="D55" s="40"/>
      <c r="E55" s="40"/>
      <c r="F55" s="29"/>
      <c r="G55" s="22"/>
      <c r="H55" s="23">
        <v>0.75</v>
      </c>
      <c r="I55" s="75">
        <f t="shared" si="64"/>
        <v>0</v>
      </c>
      <c r="J55" s="171"/>
      <c r="L55" s="41" t="s">
        <v>444</v>
      </c>
      <c r="M55" s="41" t="s">
        <v>283</v>
      </c>
      <c r="N55" s="40"/>
      <c r="O55" s="40"/>
      <c r="P55" s="29"/>
      <c r="Q55" s="22"/>
      <c r="R55" s="23">
        <v>0.75</v>
      </c>
      <c r="S55" s="6">
        <f t="shared" si="65"/>
        <v>0</v>
      </c>
      <c r="T55" s="171"/>
      <c r="V55" s="41" t="s">
        <v>444</v>
      </c>
      <c r="W55" s="41" t="s">
        <v>283</v>
      </c>
      <c r="X55" s="40"/>
      <c r="Y55" s="40"/>
      <c r="Z55" s="29"/>
      <c r="AA55" s="22"/>
      <c r="AB55" s="23">
        <v>0.75</v>
      </c>
      <c r="AC55" s="6">
        <f t="shared" si="66"/>
        <v>0</v>
      </c>
      <c r="AE55" s="41" t="s">
        <v>444</v>
      </c>
      <c r="AF55" s="41" t="s">
        <v>283</v>
      </c>
      <c r="AG55" s="40"/>
      <c r="AH55" s="40"/>
      <c r="AI55" s="29"/>
      <c r="AJ55" s="22"/>
      <c r="AK55" s="23">
        <v>0.75</v>
      </c>
      <c r="AL55" s="6">
        <f t="shared" si="67"/>
        <v>0</v>
      </c>
      <c r="AN55" s="41" t="s">
        <v>444</v>
      </c>
      <c r="AO55" s="41" t="s">
        <v>283</v>
      </c>
      <c r="AP55" s="40"/>
      <c r="AQ55" s="40"/>
      <c r="AR55" s="29"/>
      <c r="AS55" s="22"/>
      <c r="AT55" s="23">
        <v>0.75</v>
      </c>
      <c r="AU55" s="6">
        <f t="shared" si="68"/>
        <v>0</v>
      </c>
      <c r="AW55" s="41" t="s">
        <v>444</v>
      </c>
      <c r="AX55" s="41" t="s">
        <v>283</v>
      </c>
      <c r="AY55" s="40"/>
      <c r="AZ55" s="40"/>
      <c r="BA55" s="29"/>
      <c r="BB55" s="22"/>
      <c r="BC55" s="23">
        <v>0.75</v>
      </c>
      <c r="BD55" s="6">
        <f t="shared" si="69"/>
        <v>0</v>
      </c>
      <c r="BF55" s="41" t="s">
        <v>444</v>
      </c>
      <c r="BG55" s="41" t="s">
        <v>283</v>
      </c>
      <c r="BH55" s="40"/>
      <c r="BI55" s="40"/>
      <c r="BJ55" s="29"/>
      <c r="BK55" s="22"/>
      <c r="BL55" s="23">
        <v>0.75</v>
      </c>
      <c r="BM55" s="6">
        <f t="shared" si="70"/>
        <v>0</v>
      </c>
    </row>
    <row r="56" spans="2:65" outlineLevel="1" x14ac:dyDescent="0.25">
      <c r="B56" s="41" t="s">
        <v>444</v>
      </c>
      <c r="C56" s="41" t="s">
        <v>283</v>
      </c>
      <c r="D56" s="40"/>
      <c r="E56" s="40"/>
      <c r="F56" s="29"/>
      <c r="G56" s="22"/>
      <c r="H56" s="23">
        <v>0.75</v>
      </c>
      <c r="I56" s="75">
        <f t="shared" si="64"/>
        <v>0</v>
      </c>
      <c r="J56" s="171"/>
      <c r="L56" s="41" t="s">
        <v>444</v>
      </c>
      <c r="M56" s="41" t="s">
        <v>283</v>
      </c>
      <c r="N56" s="40"/>
      <c r="O56" s="40"/>
      <c r="P56" s="29"/>
      <c r="Q56" s="22"/>
      <c r="R56" s="23">
        <v>0.75</v>
      </c>
      <c r="S56" s="6">
        <f t="shared" si="65"/>
        <v>0</v>
      </c>
      <c r="T56" s="171"/>
      <c r="V56" s="41" t="s">
        <v>444</v>
      </c>
      <c r="W56" s="41" t="s">
        <v>283</v>
      </c>
      <c r="X56" s="40"/>
      <c r="Y56" s="40"/>
      <c r="Z56" s="29"/>
      <c r="AA56" s="22"/>
      <c r="AB56" s="23">
        <v>0.75</v>
      </c>
      <c r="AC56" s="6">
        <f t="shared" si="66"/>
        <v>0</v>
      </c>
      <c r="AE56" s="41" t="s">
        <v>444</v>
      </c>
      <c r="AF56" s="41" t="s">
        <v>283</v>
      </c>
      <c r="AG56" s="40"/>
      <c r="AH56" s="40"/>
      <c r="AI56" s="29"/>
      <c r="AJ56" s="22"/>
      <c r="AK56" s="23">
        <v>0.75</v>
      </c>
      <c r="AL56" s="6">
        <f t="shared" si="67"/>
        <v>0</v>
      </c>
      <c r="AN56" s="41" t="s">
        <v>444</v>
      </c>
      <c r="AO56" s="41" t="s">
        <v>283</v>
      </c>
      <c r="AP56" s="40"/>
      <c r="AQ56" s="40"/>
      <c r="AR56" s="29"/>
      <c r="AS56" s="22"/>
      <c r="AT56" s="23">
        <v>0.75</v>
      </c>
      <c r="AU56" s="6">
        <f t="shared" si="68"/>
        <v>0</v>
      </c>
      <c r="AW56" s="41" t="s">
        <v>444</v>
      </c>
      <c r="AX56" s="41" t="s">
        <v>283</v>
      </c>
      <c r="AY56" s="40"/>
      <c r="AZ56" s="40"/>
      <c r="BA56" s="29"/>
      <c r="BB56" s="22"/>
      <c r="BC56" s="23">
        <v>0.75</v>
      </c>
      <c r="BD56" s="6">
        <f t="shared" si="69"/>
        <v>0</v>
      </c>
      <c r="BF56" s="41" t="s">
        <v>444</v>
      </c>
      <c r="BG56" s="41" t="s">
        <v>283</v>
      </c>
      <c r="BH56" s="40"/>
      <c r="BI56" s="40"/>
      <c r="BJ56" s="29"/>
      <c r="BK56" s="22"/>
      <c r="BL56" s="23">
        <v>0.75</v>
      </c>
      <c r="BM56" s="6">
        <f t="shared" si="70"/>
        <v>0</v>
      </c>
    </row>
    <row r="57" spans="2:65" outlineLevel="1" x14ac:dyDescent="0.25">
      <c r="B57" s="41" t="s">
        <v>444</v>
      </c>
      <c r="C57" s="41" t="s">
        <v>283</v>
      </c>
      <c r="D57" s="40"/>
      <c r="E57" s="40"/>
      <c r="F57" s="29"/>
      <c r="G57" s="22"/>
      <c r="H57" s="23">
        <v>0.75</v>
      </c>
      <c r="I57" s="75">
        <f t="shared" si="64"/>
        <v>0</v>
      </c>
      <c r="J57" s="171"/>
      <c r="L57" s="41" t="s">
        <v>444</v>
      </c>
      <c r="M57" s="41" t="s">
        <v>283</v>
      </c>
      <c r="N57" s="40"/>
      <c r="O57" s="40"/>
      <c r="P57" s="29"/>
      <c r="Q57" s="22"/>
      <c r="R57" s="23">
        <v>0.75</v>
      </c>
      <c r="S57" s="6">
        <f t="shared" si="65"/>
        <v>0</v>
      </c>
      <c r="T57" s="171"/>
      <c r="V57" s="41" t="s">
        <v>444</v>
      </c>
      <c r="W57" s="41" t="s">
        <v>283</v>
      </c>
      <c r="X57" s="40"/>
      <c r="Y57" s="40"/>
      <c r="Z57" s="29"/>
      <c r="AA57" s="22"/>
      <c r="AB57" s="23">
        <v>0.75</v>
      </c>
      <c r="AC57" s="6">
        <f t="shared" si="66"/>
        <v>0</v>
      </c>
      <c r="AE57" s="41" t="s">
        <v>444</v>
      </c>
      <c r="AF57" s="41" t="s">
        <v>283</v>
      </c>
      <c r="AG57" s="40"/>
      <c r="AH57" s="40"/>
      <c r="AI57" s="29"/>
      <c r="AJ57" s="22"/>
      <c r="AK57" s="23">
        <v>0.75</v>
      </c>
      <c r="AL57" s="6">
        <f t="shared" si="67"/>
        <v>0</v>
      </c>
      <c r="AN57" s="41" t="s">
        <v>444</v>
      </c>
      <c r="AO57" s="41" t="s">
        <v>283</v>
      </c>
      <c r="AP57" s="40"/>
      <c r="AQ57" s="40"/>
      <c r="AR57" s="29"/>
      <c r="AS57" s="22"/>
      <c r="AT57" s="23">
        <v>0.75</v>
      </c>
      <c r="AU57" s="6">
        <f t="shared" si="68"/>
        <v>0</v>
      </c>
      <c r="AW57" s="41" t="s">
        <v>444</v>
      </c>
      <c r="AX57" s="41" t="s">
        <v>283</v>
      </c>
      <c r="AY57" s="40"/>
      <c r="AZ57" s="40"/>
      <c r="BA57" s="29"/>
      <c r="BB57" s="22"/>
      <c r="BC57" s="23">
        <v>0.75</v>
      </c>
      <c r="BD57" s="6">
        <f t="shared" si="69"/>
        <v>0</v>
      </c>
      <c r="BF57" s="41" t="s">
        <v>444</v>
      </c>
      <c r="BG57" s="41" t="s">
        <v>283</v>
      </c>
      <c r="BH57" s="40"/>
      <c r="BI57" s="40"/>
      <c r="BJ57" s="29"/>
      <c r="BK57" s="22"/>
      <c r="BL57" s="23">
        <v>0.75</v>
      </c>
      <c r="BM57" s="6">
        <f t="shared" si="70"/>
        <v>0</v>
      </c>
    </row>
    <row r="58" spans="2:65" outlineLevel="1" x14ac:dyDescent="0.25">
      <c r="B58" s="41" t="s">
        <v>444</v>
      </c>
      <c r="C58" s="41" t="s">
        <v>283</v>
      </c>
      <c r="D58" s="40"/>
      <c r="E58" s="40"/>
      <c r="F58" s="29"/>
      <c r="G58" s="22"/>
      <c r="H58" s="23">
        <v>0.75</v>
      </c>
      <c r="I58" s="75">
        <f t="shared" si="64"/>
        <v>0</v>
      </c>
      <c r="J58" s="171"/>
      <c r="L58" s="41" t="s">
        <v>444</v>
      </c>
      <c r="M58" s="41" t="s">
        <v>283</v>
      </c>
      <c r="N58" s="40"/>
      <c r="O58" s="40"/>
      <c r="P58" s="29"/>
      <c r="Q58" s="22"/>
      <c r="R58" s="23">
        <v>0.75</v>
      </c>
      <c r="S58" s="6">
        <f t="shared" si="65"/>
        <v>0</v>
      </c>
      <c r="T58" s="171"/>
      <c r="V58" s="41" t="s">
        <v>444</v>
      </c>
      <c r="W58" s="41" t="s">
        <v>283</v>
      </c>
      <c r="X58" s="40"/>
      <c r="Y58" s="40"/>
      <c r="Z58" s="29"/>
      <c r="AA58" s="22"/>
      <c r="AB58" s="23">
        <v>0.75</v>
      </c>
      <c r="AC58" s="6">
        <f t="shared" si="66"/>
        <v>0</v>
      </c>
      <c r="AE58" s="41" t="s">
        <v>444</v>
      </c>
      <c r="AF58" s="41" t="s">
        <v>283</v>
      </c>
      <c r="AG58" s="40"/>
      <c r="AH58" s="40"/>
      <c r="AI58" s="29"/>
      <c r="AJ58" s="22"/>
      <c r="AK58" s="23">
        <v>0.75</v>
      </c>
      <c r="AL58" s="6">
        <f t="shared" si="67"/>
        <v>0</v>
      </c>
      <c r="AN58" s="41" t="s">
        <v>444</v>
      </c>
      <c r="AO58" s="41" t="s">
        <v>283</v>
      </c>
      <c r="AP58" s="40"/>
      <c r="AQ58" s="40"/>
      <c r="AR58" s="29"/>
      <c r="AS58" s="22"/>
      <c r="AT58" s="23">
        <v>0.75</v>
      </c>
      <c r="AU58" s="6">
        <f t="shared" si="68"/>
        <v>0</v>
      </c>
      <c r="AW58" s="41" t="s">
        <v>444</v>
      </c>
      <c r="AX58" s="41" t="s">
        <v>283</v>
      </c>
      <c r="AY58" s="40"/>
      <c r="AZ58" s="40"/>
      <c r="BA58" s="29"/>
      <c r="BB58" s="22"/>
      <c r="BC58" s="23">
        <v>0.75</v>
      </c>
      <c r="BD58" s="6">
        <f t="shared" si="69"/>
        <v>0</v>
      </c>
      <c r="BF58" s="41" t="s">
        <v>444</v>
      </c>
      <c r="BG58" s="41" t="s">
        <v>283</v>
      </c>
      <c r="BH58" s="40"/>
      <c r="BI58" s="40"/>
      <c r="BJ58" s="29"/>
      <c r="BK58" s="22"/>
      <c r="BL58" s="23">
        <v>0.75</v>
      </c>
      <c r="BM58" s="6">
        <f t="shared" si="70"/>
        <v>0</v>
      </c>
    </row>
    <row r="59" spans="2:65" s="24" customFormat="1" x14ac:dyDescent="0.25">
      <c r="B59" s="8" t="s">
        <v>315</v>
      </c>
      <c r="C59" s="25"/>
      <c r="D59" s="28">
        <f>SUM(D44:D58)</f>
        <v>0</v>
      </c>
      <c r="E59" s="28">
        <f>SUM(E44:E58)</f>
        <v>0</v>
      </c>
      <c r="F59" s="30"/>
      <c r="G59" s="25"/>
      <c r="H59" s="26"/>
      <c r="I59" s="28">
        <f>SUM(I44:I58)</f>
        <v>0</v>
      </c>
      <c r="J59" s="170"/>
      <c r="L59" s="8" t="s">
        <v>315</v>
      </c>
      <c r="M59" s="25"/>
      <c r="N59" s="28">
        <f>SUM(N44:N58)</f>
        <v>0</v>
      </c>
      <c r="O59" s="28">
        <f>SUM(O44:O58)</f>
        <v>0</v>
      </c>
      <c r="P59" s="30"/>
      <c r="Q59" s="25"/>
      <c r="R59" s="26"/>
      <c r="S59" s="28">
        <f>SUM(S44:S58)</f>
        <v>0</v>
      </c>
      <c r="T59" s="170"/>
      <c r="V59" s="8" t="s">
        <v>315</v>
      </c>
      <c r="W59" s="25"/>
      <c r="X59" s="28">
        <f>SUM(X44:X58)</f>
        <v>0</v>
      </c>
      <c r="Y59" s="28">
        <f>SUM(Y44:Y58)</f>
        <v>0</v>
      </c>
      <c r="Z59" s="30"/>
      <c r="AA59" s="25"/>
      <c r="AB59" s="26"/>
      <c r="AC59" s="28">
        <f>SUM(AC44:AC58)</f>
        <v>0</v>
      </c>
      <c r="AE59" s="8" t="s">
        <v>315</v>
      </c>
      <c r="AF59" s="25"/>
      <c r="AG59" s="28">
        <f>SUM(AG44:AG58)</f>
        <v>0</v>
      </c>
      <c r="AH59" s="28">
        <f>SUM(AH44:AH58)</f>
        <v>0</v>
      </c>
      <c r="AI59" s="30"/>
      <c r="AJ59" s="25"/>
      <c r="AK59" s="26"/>
      <c r="AL59" s="28">
        <f>SUM(AL44:AL58)</f>
        <v>0</v>
      </c>
      <c r="AN59" s="8" t="s">
        <v>315</v>
      </c>
      <c r="AO59" s="25"/>
      <c r="AP59" s="28">
        <f>SUM(AP44:AP58)</f>
        <v>0</v>
      </c>
      <c r="AQ59" s="28">
        <f>SUM(AQ44:AQ58)</f>
        <v>0</v>
      </c>
      <c r="AR59" s="30"/>
      <c r="AS59" s="25"/>
      <c r="AT59" s="26"/>
      <c r="AU59" s="28">
        <f>SUM(AU44:AU58)</f>
        <v>0</v>
      </c>
      <c r="AW59" s="8" t="s">
        <v>315</v>
      </c>
      <c r="AX59" s="25"/>
      <c r="AY59" s="28">
        <f>SUM(AY44:AY58)</f>
        <v>0</v>
      </c>
      <c r="AZ59" s="28">
        <f>SUM(AZ44:AZ58)</f>
        <v>0</v>
      </c>
      <c r="BA59" s="30"/>
      <c r="BB59" s="25"/>
      <c r="BC59" s="26"/>
      <c r="BD59" s="28">
        <f>SUM(BD44:BD58)</f>
        <v>0</v>
      </c>
      <c r="BF59" s="8" t="s">
        <v>315</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2" t="s">
        <v>380</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2" t="s">
        <v>380</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x14ac:dyDescent="0.25">
      <c r="B62" s="41" t="s">
        <v>444</v>
      </c>
      <c r="C62" s="41" t="s">
        <v>283</v>
      </c>
      <c r="D62" s="40"/>
      <c r="E62" s="40"/>
      <c r="F62" s="40"/>
      <c r="G62" s="31"/>
      <c r="H62" s="32"/>
      <c r="I62" s="29"/>
      <c r="J62" s="171"/>
      <c r="L62" s="41" t="s">
        <v>444</v>
      </c>
      <c r="M62" s="41" t="s">
        <v>283</v>
      </c>
      <c r="N62" s="40"/>
      <c r="O62" s="40"/>
      <c r="P62" s="40"/>
      <c r="Q62" s="31"/>
      <c r="R62" s="32"/>
      <c r="S62" s="29"/>
      <c r="T62" s="171"/>
      <c r="V62" s="41" t="s">
        <v>444</v>
      </c>
      <c r="W62" s="41" t="s">
        <v>283</v>
      </c>
      <c r="X62" s="40"/>
      <c r="Y62" s="40"/>
      <c r="Z62" s="40"/>
      <c r="AA62" s="31"/>
      <c r="AB62" s="32"/>
      <c r="AC62" s="29"/>
      <c r="AE62" s="41" t="s">
        <v>444</v>
      </c>
      <c r="AF62" s="41" t="s">
        <v>283</v>
      </c>
      <c r="AG62" s="40"/>
      <c r="AH62" s="40"/>
      <c r="AI62" s="40"/>
      <c r="AJ62" s="31"/>
      <c r="AK62" s="32"/>
      <c r="AL62" s="29"/>
      <c r="AN62" s="41" t="s">
        <v>444</v>
      </c>
      <c r="AO62" s="41" t="s">
        <v>283</v>
      </c>
      <c r="AP62" s="40"/>
      <c r="AQ62" s="40"/>
      <c r="AR62" s="40"/>
      <c r="AS62" s="31"/>
      <c r="AT62" s="32"/>
      <c r="AU62" s="29"/>
      <c r="AW62" s="41" t="s">
        <v>444</v>
      </c>
      <c r="AX62" s="41" t="s">
        <v>283</v>
      </c>
      <c r="AY62" s="40"/>
      <c r="AZ62" s="40"/>
      <c r="BA62" s="40"/>
      <c r="BB62" s="31"/>
      <c r="BC62" s="32"/>
      <c r="BD62" s="29"/>
      <c r="BF62" s="41" t="s">
        <v>444</v>
      </c>
      <c r="BG62" s="41" t="s">
        <v>283</v>
      </c>
      <c r="BH62" s="40"/>
      <c r="BI62" s="40"/>
      <c r="BJ62" s="40"/>
      <c r="BK62" s="31"/>
      <c r="BL62" s="32"/>
      <c r="BM62" s="29"/>
    </row>
    <row r="63" spans="2:65" x14ac:dyDescent="0.25">
      <c r="B63" s="41" t="s">
        <v>444</v>
      </c>
      <c r="C63" s="41" t="s">
        <v>283</v>
      </c>
      <c r="D63" s="40"/>
      <c r="E63" s="40"/>
      <c r="F63" s="40"/>
      <c r="G63" s="31"/>
      <c r="H63" s="32"/>
      <c r="I63" s="29"/>
      <c r="J63" s="171"/>
      <c r="L63" s="41" t="s">
        <v>444</v>
      </c>
      <c r="M63" s="41" t="s">
        <v>283</v>
      </c>
      <c r="N63" s="40"/>
      <c r="O63" s="40"/>
      <c r="P63" s="40"/>
      <c r="Q63" s="31"/>
      <c r="R63" s="32"/>
      <c r="S63" s="29"/>
      <c r="T63" s="171"/>
      <c r="V63" s="41" t="s">
        <v>444</v>
      </c>
      <c r="W63" s="41" t="s">
        <v>283</v>
      </c>
      <c r="X63" s="40"/>
      <c r="Y63" s="40"/>
      <c r="Z63" s="40"/>
      <c r="AA63" s="31"/>
      <c r="AB63" s="32"/>
      <c r="AC63" s="29"/>
      <c r="AE63" s="41" t="s">
        <v>444</v>
      </c>
      <c r="AF63" s="41" t="s">
        <v>283</v>
      </c>
      <c r="AG63" s="40"/>
      <c r="AH63" s="40"/>
      <c r="AI63" s="40"/>
      <c r="AJ63" s="31"/>
      <c r="AK63" s="32"/>
      <c r="AL63" s="29"/>
      <c r="AN63" s="41" t="s">
        <v>444</v>
      </c>
      <c r="AO63" s="41" t="s">
        <v>283</v>
      </c>
      <c r="AP63" s="40"/>
      <c r="AQ63" s="40"/>
      <c r="AR63" s="40"/>
      <c r="AS63" s="31"/>
      <c r="AT63" s="32"/>
      <c r="AU63" s="29"/>
      <c r="AW63" s="41" t="s">
        <v>444</v>
      </c>
      <c r="AX63" s="41" t="s">
        <v>283</v>
      </c>
      <c r="AY63" s="40"/>
      <c r="AZ63" s="40"/>
      <c r="BA63" s="40"/>
      <c r="BB63" s="31"/>
      <c r="BC63" s="32"/>
      <c r="BD63" s="29"/>
      <c r="BF63" s="41" t="s">
        <v>444</v>
      </c>
      <c r="BG63" s="41" t="s">
        <v>283</v>
      </c>
      <c r="BH63" s="40"/>
      <c r="BI63" s="40"/>
      <c r="BJ63" s="40"/>
      <c r="BK63" s="31"/>
      <c r="BL63" s="32"/>
      <c r="BM63" s="29"/>
    </row>
    <row r="64" spans="2:65" x14ac:dyDescent="0.25">
      <c r="B64" s="41" t="s">
        <v>444</v>
      </c>
      <c r="C64" s="41" t="s">
        <v>283</v>
      </c>
      <c r="D64" s="40"/>
      <c r="E64" s="40"/>
      <c r="F64" s="40"/>
      <c r="G64" s="31"/>
      <c r="H64" s="32"/>
      <c r="I64" s="29"/>
      <c r="J64" s="171"/>
      <c r="L64" s="41" t="s">
        <v>444</v>
      </c>
      <c r="M64" s="41" t="s">
        <v>283</v>
      </c>
      <c r="N64" s="40"/>
      <c r="O64" s="40"/>
      <c r="P64" s="40"/>
      <c r="Q64" s="31"/>
      <c r="R64" s="32"/>
      <c r="S64" s="29"/>
      <c r="T64" s="171"/>
      <c r="V64" s="41" t="s">
        <v>444</v>
      </c>
      <c r="W64" s="41" t="s">
        <v>283</v>
      </c>
      <c r="X64" s="40"/>
      <c r="Y64" s="40"/>
      <c r="Z64" s="40"/>
      <c r="AA64" s="31"/>
      <c r="AB64" s="32"/>
      <c r="AC64" s="29"/>
      <c r="AE64" s="41" t="s">
        <v>444</v>
      </c>
      <c r="AF64" s="41" t="s">
        <v>283</v>
      </c>
      <c r="AG64" s="40"/>
      <c r="AH64" s="40"/>
      <c r="AI64" s="40"/>
      <c r="AJ64" s="31"/>
      <c r="AK64" s="32"/>
      <c r="AL64" s="29"/>
      <c r="AN64" s="41" t="s">
        <v>444</v>
      </c>
      <c r="AO64" s="41" t="s">
        <v>283</v>
      </c>
      <c r="AP64" s="40"/>
      <c r="AQ64" s="40"/>
      <c r="AR64" s="40"/>
      <c r="AS64" s="31"/>
      <c r="AT64" s="32"/>
      <c r="AU64" s="29"/>
      <c r="AW64" s="41" t="s">
        <v>444</v>
      </c>
      <c r="AX64" s="41" t="s">
        <v>283</v>
      </c>
      <c r="AY64" s="40"/>
      <c r="AZ64" s="40"/>
      <c r="BA64" s="40"/>
      <c r="BB64" s="31"/>
      <c r="BC64" s="32"/>
      <c r="BD64" s="29"/>
      <c r="BF64" s="41" t="s">
        <v>444</v>
      </c>
      <c r="BG64" s="41" t="s">
        <v>283</v>
      </c>
      <c r="BH64" s="40"/>
      <c r="BI64" s="40"/>
      <c r="BJ64" s="40"/>
      <c r="BK64" s="31"/>
      <c r="BL64" s="32"/>
      <c r="BM64" s="29"/>
    </row>
    <row r="65" spans="2:65" x14ac:dyDescent="0.25">
      <c r="B65" s="41" t="s">
        <v>444</v>
      </c>
      <c r="C65" s="41" t="s">
        <v>283</v>
      </c>
      <c r="D65" s="40"/>
      <c r="E65" s="40"/>
      <c r="F65" s="40"/>
      <c r="G65" s="31"/>
      <c r="H65" s="32"/>
      <c r="I65" s="29"/>
      <c r="J65" s="171"/>
      <c r="L65" s="41" t="s">
        <v>444</v>
      </c>
      <c r="M65" s="41" t="s">
        <v>283</v>
      </c>
      <c r="N65" s="40"/>
      <c r="O65" s="40"/>
      <c r="P65" s="40"/>
      <c r="Q65" s="31"/>
      <c r="R65" s="32"/>
      <c r="S65" s="29"/>
      <c r="T65" s="171"/>
      <c r="V65" s="41" t="s">
        <v>444</v>
      </c>
      <c r="W65" s="41" t="s">
        <v>283</v>
      </c>
      <c r="X65" s="40"/>
      <c r="Y65" s="40"/>
      <c r="Z65" s="40"/>
      <c r="AA65" s="31"/>
      <c r="AB65" s="32"/>
      <c r="AC65" s="29"/>
      <c r="AE65" s="41" t="s">
        <v>444</v>
      </c>
      <c r="AF65" s="41" t="s">
        <v>283</v>
      </c>
      <c r="AG65" s="40"/>
      <c r="AH65" s="40"/>
      <c r="AI65" s="40"/>
      <c r="AJ65" s="31"/>
      <c r="AK65" s="32"/>
      <c r="AL65" s="29"/>
      <c r="AN65" s="41" t="s">
        <v>444</v>
      </c>
      <c r="AO65" s="41" t="s">
        <v>283</v>
      </c>
      <c r="AP65" s="40"/>
      <c r="AQ65" s="40"/>
      <c r="AR65" s="40"/>
      <c r="AS65" s="31"/>
      <c r="AT65" s="32"/>
      <c r="AU65" s="29"/>
      <c r="AW65" s="41" t="s">
        <v>444</v>
      </c>
      <c r="AX65" s="41" t="s">
        <v>283</v>
      </c>
      <c r="AY65" s="40"/>
      <c r="AZ65" s="40"/>
      <c r="BA65" s="40"/>
      <c r="BB65" s="31"/>
      <c r="BC65" s="32"/>
      <c r="BD65" s="29"/>
      <c r="BF65" s="41" t="s">
        <v>444</v>
      </c>
      <c r="BG65" s="41" t="s">
        <v>283</v>
      </c>
      <c r="BH65" s="40"/>
      <c r="BI65" s="40"/>
      <c r="BJ65" s="40"/>
      <c r="BK65" s="31"/>
      <c r="BL65" s="32"/>
      <c r="BM65" s="29"/>
    </row>
    <row r="66" spans="2:65" x14ac:dyDescent="0.25">
      <c r="B66" s="41" t="s">
        <v>444</v>
      </c>
      <c r="C66" s="41" t="s">
        <v>283</v>
      </c>
      <c r="D66" s="40"/>
      <c r="E66" s="40"/>
      <c r="F66" s="40"/>
      <c r="G66" s="31"/>
      <c r="H66" s="32"/>
      <c r="I66" s="29"/>
      <c r="J66" s="171"/>
      <c r="L66" s="41" t="s">
        <v>444</v>
      </c>
      <c r="M66" s="41" t="s">
        <v>283</v>
      </c>
      <c r="N66" s="40"/>
      <c r="O66" s="40"/>
      <c r="P66" s="40"/>
      <c r="Q66" s="31"/>
      <c r="R66" s="32"/>
      <c r="S66" s="29"/>
      <c r="T66" s="171"/>
      <c r="V66" s="41" t="s">
        <v>444</v>
      </c>
      <c r="W66" s="41" t="s">
        <v>283</v>
      </c>
      <c r="X66" s="40"/>
      <c r="Y66" s="40"/>
      <c r="Z66" s="40"/>
      <c r="AA66" s="31"/>
      <c r="AB66" s="32"/>
      <c r="AC66" s="29"/>
      <c r="AE66" s="41" t="s">
        <v>444</v>
      </c>
      <c r="AF66" s="41" t="s">
        <v>283</v>
      </c>
      <c r="AG66" s="40"/>
      <c r="AH66" s="40"/>
      <c r="AI66" s="40"/>
      <c r="AJ66" s="31"/>
      <c r="AK66" s="32"/>
      <c r="AL66" s="29"/>
      <c r="AN66" s="41" t="s">
        <v>444</v>
      </c>
      <c r="AO66" s="41" t="s">
        <v>283</v>
      </c>
      <c r="AP66" s="40"/>
      <c r="AQ66" s="40"/>
      <c r="AR66" s="40"/>
      <c r="AS66" s="31"/>
      <c r="AT66" s="32"/>
      <c r="AU66" s="29"/>
      <c r="AW66" s="41" t="s">
        <v>444</v>
      </c>
      <c r="AX66" s="41" t="s">
        <v>283</v>
      </c>
      <c r="AY66" s="40"/>
      <c r="AZ66" s="40"/>
      <c r="BA66" s="40"/>
      <c r="BB66" s="31"/>
      <c r="BC66" s="32"/>
      <c r="BD66" s="29"/>
      <c r="BF66" s="41" t="s">
        <v>444</v>
      </c>
      <c r="BG66" s="41" t="s">
        <v>283</v>
      </c>
      <c r="BH66" s="40"/>
      <c r="BI66" s="40"/>
      <c r="BJ66" s="40"/>
      <c r="BK66" s="31"/>
      <c r="BL66" s="32"/>
      <c r="BM66" s="29"/>
    </row>
    <row r="67" spans="2:65" x14ac:dyDescent="0.25">
      <c r="B67" s="41" t="s">
        <v>444</v>
      </c>
      <c r="C67" s="41" t="s">
        <v>283</v>
      </c>
      <c r="D67" s="40"/>
      <c r="E67" s="40"/>
      <c r="F67" s="40"/>
      <c r="G67" s="31"/>
      <c r="H67" s="32"/>
      <c r="I67" s="29"/>
      <c r="J67" s="171"/>
      <c r="L67" s="41" t="s">
        <v>444</v>
      </c>
      <c r="M67" s="41" t="s">
        <v>283</v>
      </c>
      <c r="N67" s="40"/>
      <c r="O67" s="40"/>
      <c r="P67" s="40"/>
      <c r="Q67" s="31"/>
      <c r="R67" s="32"/>
      <c r="S67" s="29"/>
      <c r="T67" s="171"/>
      <c r="V67" s="41" t="s">
        <v>444</v>
      </c>
      <c r="W67" s="41" t="s">
        <v>283</v>
      </c>
      <c r="X67" s="40"/>
      <c r="Y67" s="40"/>
      <c r="Z67" s="40"/>
      <c r="AA67" s="31"/>
      <c r="AB67" s="32"/>
      <c r="AC67" s="29"/>
      <c r="AE67" s="41" t="s">
        <v>444</v>
      </c>
      <c r="AF67" s="41" t="s">
        <v>283</v>
      </c>
      <c r="AG67" s="40"/>
      <c r="AH67" s="40"/>
      <c r="AI67" s="40"/>
      <c r="AJ67" s="31"/>
      <c r="AK67" s="32"/>
      <c r="AL67" s="29"/>
      <c r="AN67" s="41" t="s">
        <v>444</v>
      </c>
      <c r="AO67" s="41" t="s">
        <v>283</v>
      </c>
      <c r="AP67" s="40"/>
      <c r="AQ67" s="40"/>
      <c r="AR67" s="40"/>
      <c r="AS67" s="31"/>
      <c r="AT67" s="32"/>
      <c r="AU67" s="29"/>
      <c r="AW67" s="41" t="s">
        <v>444</v>
      </c>
      <c r="AX67" s="41" t="s">
        <v>283</v>
      </c>
      <c r="AY67" s="40"/>
      <c r="AZ67" s="40"/>
      <c r="BA67" s="40"/>
      <c r="BB67" s="31"/>
      <c r="BC67" s="32"/>
      <c r="BD67" s="29"/>
      <c r="BF67" s="41" t="s">
        <v>444</v>
      </c>
      <c r="BG67" s="41" t="s">
        <v>283</v>
      </c>
      <c r="BH67" s="40"/>
      <c r="BI67" s="40"/>
      <c r="BJ67" s="40"/>
      <c r="BK67" s="31"/>
      <c r="BL67" s="32"/>
      <c r="BM67" s="29"/>
    </row>
    <row r="68" spans="2:65" x14ac:dyDescent="0.25">
      <c r="B68" s="41" t="s">
        <v>444</v>
      </c>
      <c r="C68" s="41" t="s">
        <v>283</v>
      </c>
      <c r="D68" s="40"/>
      <c r="E68" s="40"/>
      <c r="F68" s="40"/>
      <c r="G68" s="31"/>
      <c r="H68" s="32"/>
      <c r="I68" s="29"/>
      <c r="J68" s="171"/>
      <c r="L68" s="41" t="s">
        <v>444</v>
      </c>
      <c r="M68" s="41" t="s">
        <v>283</v>
      </c>
      <c r="N68" s="40"/>
      <c r="O68" s="40"/>
      <c r="P68" s="40"/>
      <c r="Q68" s="31"/>
      <c r="R68" s="32"/>
      <c r="S68" s="29"/>
      <c r="T68" s="171"/>
      <c r="V68" s="41" t="s">
        <v>444</v>
      </c>
      <c r="W68" s="41" t="s">
        <v>283</v>
      </c>
      <c r="X68" s="40"/>
      <c r="Y68" s="40"/>
      <c r="Z68" s="40"/>
      <c r="AA68" s="31"/>
      <c r="AB68" s="32"/>
      <c r="AC68" s="29"/>
      <c r="AE68" s="41" t="s">
        <v>444</v>
      </c>
      <c r="AF68" s="41" t="s">
        <v>283</v>
      </c>
      <c r="AG68" s="40"/>
      <c r="AH68" s="40"/>
      <c r="AI68" s="40"/>
      <c r="AJ68" s="31"/>
      <c r="AK68" s="32"/>
      <c r="AL68" s="29"/>
      <c r="AN68" s="41" t="s">
        <v>444</v>
      </c>
      <c r="AO68" s="41" t="s">
        <v>283</v>
      </c>
      <c r="AP68" s="40"/>
      <c r="AQ68" s="40"/>
      <c r="AR68" s="40"/>
      <c r="AS68" s="31"/>
      <c r="AT68" s="32"/>
      <c r="AU68" s="29"/>
      <c r="AW68" s="41" t="s">
        <v>444</v>
      </c>
      <c r="AX68" s="41" t="s">
        <v>283</v>
      </c>
      <c r="AY68" s="40"/>
      <c r="AZ68" s="40"/>
      <c r="BA68" s="40"/>
      <c r="BB68" s="31"/>
      <c r="BC68" s="32"/>
      <c r="BD68" s="29"/>
      <c r="BF68" s="41" t="s">
        <v>444</v>
      </c>
      <c r="BG68" s="41" t="s">
        <v>283</v>
      </c>
      <c r="BH68" s="40"/>
      <c r="BI68" s="40"/>
      <c r="BJ68" s="40"/>
      <c r="BK68" s="31"/>
      <c r="BL68" s="32"/>
      <c r="BM68" s="29"/>
    </row>
    <row r="69" spans="2:65" outlineLevel="1" x14ac:dyDescent="0.25">
      <c r="B69" s="41" t="s">
        <v>444</v>
      </c>
      <c r="C69" s="41" t="s">
        <v>283</v>
      </c>
      <c r="D69" s="40"/>
      <c r="E69" s="40"/>
      <c r="F69" s="40"/>
      <c r="G69" s="31"/>
      <c r="H69" s="32"/>
      <c r="I69" s="29"/>
      <c r="J69" s="171"/>
      <c r="L69" s="41" t="s">
        <v>444</v>
      </c>
      <c r="M69" s="41" t="s">
        <v>283</v>
      </c>
      <c r="N69" s="40"/>
      <c r="O69" s="40"/>
      <c r="P69" s="40"/>
      <c r="Q69" s="31"/>
      <c r="R69" s="32"/>
      <c r="S69" s="29"/>
      <c r="T69" s="171"/>
      <c r="V69" s="41" t="s">
        <v>444</v>
      </c>
      <c r="W69" s="41" t="s">
        <v>283</v>
      </c>
      <c r="X69" s="40"/>
      <c r="Y69" s="40"/>
      <c r="Z69" s="40"/>
      <c r="AA69" s="31"/>
      <c r="AB69" s="32"/>
      <c r="AC69" s="29"/>
      <c r="AE69" s="41" t="s">
        <v>444</v>
      </c>
      <c r="AF69" s="41" t="s">
        <v>283</v>
      </c>
      <c r="AG69" s="40"/>
      <c r="AH69" s="40"/>
      <c r="AI69" s="40"/>
      <c r="AJ69" s="31"/>
      <c r="AK69" s="32"/>
      <c r="AL69" s="29"/>
      <c r="AN69" s="41" t="s">
        <v>444</v>
      </c>
      <c r="AO69" s="41" t="s">
        <v>283</v>
      </c>
      <c r="AP69" s="40"/>
      <c r="AQ69" s="40"/>
      <c r="AR69" s="40"/>
      <c r="AS69" s="31"/>
      <c r="AT69" s="32"/>
      <c r="AU69" s="29"/>
      <c r="AW69" s="41" t="s">
        <v>444</v>
      </c>
      <c r="AX69" s="41" t="s">
        <v>283</v>
      </c>
      <c r="AY69" s="40"/>
      <c r="AZ69" s="40"/>
      <c r="BA69" s="40"/>
      <c r="BB69" s="31"/>
      <c r="BC69" s="32"/>
      <c r="BD69" s="29"/>
      <c r="BF69" s="41" t="s">
        <v>444</v>
      </c>
      <c r="BG69" s="41" t="s">
        <v>283</v>
      </c>
      <c r="BH69" s="40"/>
      <c r="BI69" s="40"/>
      <c r="BJ69" s="40"/>
      <c r="BK69" s="31"/>
      <c r="BL69" s="32"/>
      <c r="BM69" s="29"/>
    </row>
    <row r="70" spans="2:65" outlineLevel="1" x14ac:dyDescent="0.25">
      <c r="B70" s="41" t="s">
        <v>444</v>
      </c>
      <c r="C70" s="41" t="s">
        <v>283</v>
      </c>
      <c r="D70" s="40"/>
      <c r="E70" s="40"/>
      <c r="F70" s="40"/>
      <c r="G70" s="31"/>
      <c r="H70" s="32"/>
      <c r="I70" s="29"/>
      <c r="J70" s="171"/>
      <c r="L70" s="41" t="s">
        <v>444</v>
      </c>
      <c r="M70" s="41" t="s">
        <v>283</v>
      </c>
      <c r="N70" s="40"/>
      <c r="O70" s="40"/>
      <c r="P70" s="40"/>
      <c r="Q70" s="31"/>
      <c r="R70" s="32"/>
      <c r="S70" s="29"/>
      <c r="T70" s="171"/>
      <c r="V70" s="41" t="s">
        <v>444</v>
      </c>
      <c r="W70" s="41" t="s">
        <v>283</v>
      </c>
      <c r="X70" s="40"/>
      <c r="Y70" s="40"/>
      <c r="Z70" s="40"/>
      <c r="AA70" s="31"/>
      <c r="AB70" s="32"/>
      <c r="AC70" s="29"/>
      <c r="AE70" s="41" t="s">
        <v>444</v>
      </c>
      <c r="AF70" s="41" t="s">
        <v>283</v>
      </c>
      <c r="AG70" s="40"/>
      <c r="AH70" s="40"/>
      <c r="AI70" s="40"/>
      <c r="AJ70" s="31"/>
      <c r="AK70" s="32"/>
      <c r="AL70" s="29"/>
      <c r="AN70" s="41" t="s">
        <v>444</v>
      </c>
      <c r="AO70" s="41" t="s">
        <v>283</v>
      </c>
      <c r="AP70" s="40"/>
      <c r="AQ70" s="40"/>
      <c r="AR70" s="40"/>
      <c r="AS70" s="31"/>
      <c r="AT70" s="32"/>
      <c r="AU70" s="29"/>
      <c r="AW70" s="41" t="s">
        <v>444</v>
      </c>
      <c r="AX70" s="41" t="s">
        <v>283</v>
      </c>
      <c r="AY70" s="40"/>
      <c r="AZ70" s="40"/>
      <c r="BA70" s="40"/>
      <c r="BB70" s="31"/>
      <c r="BC70" s="32"/>
      <c r="BD70" s="29"/>
      <c r="BF70" s="41" t="s">
        <v>444</v>
      </c>
      <c r="BG70" s="41" t="s">
        <v>283</v>
      </c>
      <c r="BH70" s="40"/>
      <c r="BI70" s="40"/>
      <c r="BJ70" s="40"/>
      <c r="BK70" s="31"/>
      <c r="BL70" s="32"/>
      <c r="BM70" s="29"/>
    </row>
    <row r="71" spans="2:65" outlineLevel="1" x14ac:dyDescent="0.25">
      <c r="B71" s="41" t="s">
        <v>444</v>
      </c>
      <c r="C71" s="41" t="s">
        <v>283</v>
      </c>
      <c r="D71" s="40"/>
      <c r="E71" s="40"/>
      <c r="F71" s="40"/>
      <c r="G71" s="31"/>
      <c r="H71" s="32"/>
      <c r="I71" s="29"/>
      <c r="J71" s="171"/>
      <c r="L71" s="41" t="s">
        <v>444</v>
      </c>
      <c r="M71" s="41" t="s">
        <v>283</v>
      </c>
      <c r="N71" s="40"/>
      <c r="O71" s="40"/>
      <c r="P71" s="40"/>
      <c r="Q71" s="31"/>
      <c r="R71" s="32"/>
      <c r="S71" s="29"/>
      <c r="T71" s="171"/>
      <c r="V71" s="41" t="s">
        <v>444</v>
      </c>
      <c r="W71" s="41" t="s">
        <v>283</v>
      </c>
      <c r="X71" s="40"/>
      <c r="Y71" s="40"/>
      <c r="Z71" s="40"/>
      <c r="AA71" s="31"/>
      <c r="AB71" s="32"/>
      <c r="AC71" s="29"/>
      <c r="AE71" s="41" t="s">
        <v>444</v>
      </c>
      <c r="AF71" s="41" t="s">
        <v>283</v>
      </c>
      <c r="AG71" s="40"/>
      <c r="AH71" s="40"/>
      <c r="AI71" s="40"/>
      <c r="AJ71" s="31"/>
      <c r="AK71" s="32"/>
      <c r="AL71" s="29"/>
      <c r="AN71" s="41" t="s">
        <v>444</v>
      </c>
      <c r="AO71" s="41" t="s">
        <v>283</v>
      </c>
      <c r="AP71" s="40"/>
      <c r="AQ71" s="40"/>
      <c r="AR71" s="40"/>
      <c r="AS71" s="31"/>
      <c r="AT71" s="32"/>
      <c r="AU71" s="29"/>
      <c r="AW71" s="41" t="s">
        <v>444</v>
      </c>
      <c r="AX71" s="41" t="s">
        <v>283</v>
      </c>
      <c r="AY71" s="40"/>
      <c r="AZ71" s="40"/>
      <c r="BA71" s="40"/>
      <c r="BB71" s="31"/>
      <c r="BC71" s="32"/>
      <c r="BD71" s="29"/>
      <c r="BF71" s="41" t="s">
        <v>444</v>
      </c>
      <c r="BG71" s="41" t="s">
        <v>283</v>
      </c>
      <c r="BH71" s="40"/>
      <c r="BI71" s="40"/>
      <c r="BJ71" s="40"/>
      <c r="BK71" s="31"/>
      <c r="BL71" s="32"/>
      <c r="BM71" s="29"/>
    </row>
    <row r="72" spans="2:65" outlineLevel="1" x14ac:dyDescent="0.25">
      <c r="B72" s="41" t="s">
        <v>444</v>
      </c>
      <c r="C72" s="41" t="s">
        <v>283</v>
      </c>
      <c r="D72" s="40"/>
      <c r="E72" s="40"/>
      <c r="F72" s="40"/>
      <c r="G72" s="31"/>
      <c r="H72" s="32"/>
      <c r="I72" s="29"/>
      <c r="J72" s="171"/>
      <c r="L72" s="41" t="s">
        <v>444</v>
      </c>
      <c r="M72" s="41" t="s">
        <v>283</v>
      </c>
      <c r="N72" s="40"/>
      <c r="O72" s="40"/>
      <c r="P72" s="40"/>
      <c r="Q72" s="31"/>
      <c r="R72" s="32"/>
      <c r="S72" s="29"/>
      <c r="T72" s="171"/>
      <c r="V72" s="41" t="s">
        <v>444</v>
      </c>
      <c r="W72" s="41" t="s">
        <v>283</v>
      </c>
      <c r="X72" s="40"/>
      <c r="Y72" s="40"/>
      <c r="Z72" s="40"/>
      <c r="AA72" s="31"/>
      <c r="AB72" s="32"/>
      <c r="AC72" s="29"/>
      <c r="AE72" s="41" t="s">
        <v>444</v>
      </c>
      <c r="AF72" s="41" t="s">
        <v>283</v>
      </c>
      <c r="AG72" s="40"/>
      <c r="AH72" s="40"/>
      <c r="AI72" s="40"/>
      <c r="AJ72" s="31"/>
      <c r="AK72" s="32"/>
      <c r="AL72" s="29"/>
      <c r="AN72" s="41" t="s">
        <v>444</v>
      </c>
      <c r="AO72" s="41" t="s">
        <v>283</v>
      </c>
      <c r="AP72" s="40"/>
      <c r="AQ72" s="40"/>
      <c r="AR72" s="40"/>
      <c r="AS72" s="31"/>
      <c r="AT72" s="32"/>
      <c r="AU72" s="29"/>
      <c r="AW72" s="41" t="s">
        <v>444</v>
      </c>
      <c r="AX72" s="41" t="s">
        <v>283</v>
      </c>
      <c r="AY72" s="40"/>
      <c r="AZ72" s="40"/>
      <c r="BA72" s="40"/>
      <c r="BB72" s="31"/>
      <c r="BC72" s="32"/>
      <c r="BD72" s="29"/>
      <c r="BF72" s="41" t="s">
        <v>444</v>
      </c>
      <c r="BG72" s="41" t="s">
        <v>283</v>
      </c>
      <c r="BH72" s="40"/>
      <c r="BI72" s="40"/>
      <c r="BJ72" s="40"/>
      <c r="BK72" s="31"/>
      <c r="BL72" s="32"/>
      <c r="BM72" s="29"/>
    </row>
    <row r="73" spans="2:65" outlineLevel="1" x14ac:dyDescent="0.25">
      <c r="B73" s="41" t="s">
        <v>444</v>
      </c>
      <c r="C73" s="41" t="s">
        <v>283</v>
      </c>
      <c r="D73" s="40"/>
      <c r="E73" s="40"/>
      <c r="F73" s="40"/>
      <c r="G73" s="31"/>
      <c r="H73" s="32"/>
      <c r="I73" s="29"/>
      <c r="J73" s="171"/>
      <c r="L73" s="41" t="s">
        <v>444</v>
      </c>
      <c r="M73" s="41" t="s">
        <v>283</v>
      </c>
      <c r="N73" s="40"/>
      <c r="O73" s="40"/>
      <c r="P73" s="40"/>
      <c r="Q73" s="31"/>
      <c r="R73" s="32"/>
      <c r="S73" s="29"/>
      <c r="T73" s="171"/>
      <c r="V73" s="41" t="s">
        <v>444</v>
      </c>
      <c r="W73" s="41" t="s">
        <v>283</v>
      </c>
      <c r="X73" s="40"/>
      <c r="Y73" s="40"/>
      <c r="Z73" s="40"/>
      <c r="AA73" s="31"/>
      <c r="AB73" s="32"/>
      <c r="AC73" s="29"/>
      <c r="AE73" s="41" t="s">
        <v>444</v>
      </c>
      <c r="AF73" s="41" t="s">
        <v>283</v>
      </c>
      <c r="AG73" s="40"/>
      <c r="AH73" s="40"/>
      <c r="AI73" s="40"/>
      <c r="AJ73" s="31"/>
      <c r="AK73" s="32"/>
      <c r="AL73" s="29"/>
      <c r="AN73" s="41" t="s">
        <v>444</v>
      </c>
      <c r="AO73" s="41" t="s">
        <v>283</v>
      </c>
      <c r="AP73" s="40"/>
      <c r="AQ73" s="40"/>
      <c r="AR73" s="40"/>
      <c r="AS73" s="31"/>
      <c r="AT73" s="32"/>
      <c r="AU73" s="29"/>
      <c r="AW73" s="41" t="s">
        <v>444</v>
      </c>
      <c r="AX73" s="41" t="s">
        <v>283</v>
      </c>
      <c r="AY73" s="40"/>
      <c r="AZ73" s="40"/>
      <c r="BA73" s="40"/>
      <c r="BB73" s="31"/>
      <c r="BC73" s="32"/>
      <c r="BD73" s="29"/>
      <c r="BF73" s="41" t="s">
        <v>444</v>
      </c>
      <c r="BG73" s="41" t="s">
        <v>283</v>
      </c>
      <c r="BH73" s="40"/>
      <c r="BI73" s="40"/>
      <c r="BJ73" s="40"/>
      <c r="BK73" s="31"/>
      <c r="BL73" s="32"/>
      <c r="BM73" s="29"/>
    </row>
    <row r="74" spans="2:65" outlineLevel="1" x14ac:dyDescent="0.25">
      <c r="B74" s="41" t="s">
        <v>444</v>
      </c>
      <c r="C74" s="41" t="s">
        <v>283</v>
      </c>
      <c r="D74" s="40"/>
      <c r="E74" s="40"/>
      <c r="F74" s="40"/>
      <c r="G74" s="31"/>
      <c r="H74" s="32"/>
      <c r="I74" s="29"/>
      <c r="J74" s="171"/>
      <c r="L74" s="41" t="s">
        <v>444</v>
      </c>
      <c r="M74" s="41" t="s">
        <v>283</v>
      </c>
      <c r="N74" s="40"/>
      <c r="O74" s="40"/>
      <c r="P74" s="40"/>
      <c r="Q74" s="31"/>
      <c r="R74" s="32"/>
      <c r="S74" s="29"/>
      <c r="T74" s="171"/>
      <c r="V74" s="41" t="s">
        <v>444</v>
      </c>
      <c r="W74" s="41" t="s">
        <v>283</v>
      </c>
      <c r="X74" s="40"/>
      <c r="Y74" s="40"/>
      <c r="Z74" s="40"/>
      <c r="AA74" s="31"/>
      <c r="AB74" s="32"/>
      <c r="AC74" s="29"/>
      <c r="AE74" s="41" t="s">
        <v>444</v>
      </c>
      <c r="AF74" s="41" t="s">
        <v>283</v>
      </c>
      <c r="AG74" s="40"/>
      <c r="AH74" s="40"/>
      <c r="AI74" s="40"/>
      <c r="AJ74" s="31"/>
      <c r="AK74" s="32"/>
      <c r="AL74" s="29"/>
      <c r="AN74" s="41" t="s">
        <v>444</v>
      </c>
      <c r="AO74" s="41" t="s">
        <v>283</v>
      </c>
      <c r="AP74" s="40"/>
      <c r="AQ74" s="40"/>
      <c r="AR74" s="40"/>
      <c r="AS74" s="31"/>
      <c r="AT74" s="32"/>
      <c r="AU74" s="29"/>
      <c r="AW74" s="41" t="s">
        <v>444</v>
      </c>
      <c r="AX74" s="41" t="s">
        <v>283</v>
      </c>
      <c r="AY74" s="40"/>
      <c r="AZ74" s="40"/>
      <c r="BA74" s="40"/>
      <c r="BB74" s="31"/>
      <c r="BC74" s="32"/>
      <c r="BD74" s="29"/>
      <c r="BF74" s="41" t="s">
        <v>444</v>
      </c>
      <c r="BG74" s="41" t="s">
        <v>283</v>
      </c>
      <c r="BH74" s="40"/>
      <c r="BI74" s="40"/>
      <c r="BJ74" s="40"/>
      <c r="BK74" s="31"/>
      <c r="BL74" s="32"/>
      <c r="BM74" s="29"/>
    </row>
    <row r="75" spans="2:65" outlineLevel="1" x14ac:dyDescent="0.25">
      <c r="B75" s="41" t="s">
        <v>444</v>
      </c>
      <c r="C75" s="41" t="s">
        <v>283</v>
      </c>
      <c r="D75" s="40"/>
      <c r="E75" s="40"/>
      <c r="F75" s="40"/>
      <c r="G75" s="31"/>
      <c r="H75" s="32"/>
      <c r="I75" s="29"/>
      <c r="J75" s="171"/>
      <c r="L75" s="41" t="s">
        <v>444</v>
      </c>
      <c r="M75" s="41" t="s">
        <v>283</v>
      </c>
      <c r="N75" s="40"/>
      <c r="O75" s="40"/>
      <c r="P75" s="40"/>
      <c r="Q75" s="31"/>
      <c r="R75" s="32"/>
      <c r="S75" s="29"/>
      <c r="T75" s="171"/>
      <c r="V75" s="41" t="s">
        <v>444</v>
      </c>
      <c r="W75" s="41" t="s">
        <v>283</v>
      </c>
      <c r="X75" s="40"/>
      <c r="Y75" s="40"/>
      <c r="Z75" s="40"/>
      <c r="AA75" s="31"/>
      <c r="AB75" s="32"/>
      <c r="AC75" s="29"/>
      <c r="AE75" s="41" t="s">
        <v>444</v>
      </c>
      <c r="AF75" s="41" t="s">
        <v>283</v>
      </c>
      <c r="AG75" s="40"/>
      <c r="AH75" s="40"/>
      <c r="AI75" s="40"/>
      <c r="AJ75" s="31"/>
      <c r="AK75" s="32"/>
      <c r="AL75" s="29"/>
      <c r="AN75" s="41" t="s">
        <v>444</v>
      </c>
      <c r="AO75" s="41" t="s">
        <v>283</v>
      </c>
      <c r="AP75" s="40"/>
      <c r="AQ75" s="40"/>
      <c r="AR75" s="40"/>
      <c r="AS75" s="31"/>
      <c r="AT75" s="32"/>
      <c r="AU75" s="29"/>
      <c r="AW75" s="41" t="s">
        <v>444</v>
      </c>
      <c r="AX75" s="41" t="s">
        <v>283</v>
      </c>
      <c r="AY75" s="40"/>
      <c r="AZ75" s="40"/>
      <c r="BA75" s="40"/>
      <c r="BB75" s="31"/>
      <c r="BC75" s="32"/>
      <c r="BD75" s="29"/>
      <c r="BF75" s="41" t="s">
        <v>444</v>
      </c>
      <c r="BG75" s="41" t="s">
        <v>283</v>
      </c>
      <c r="BH75" s="40"/>
      <c r="BI75" s="40"/>
      <c r="BJ75" s="40"/>
      <c r="BK75" s="31"/>
      <c r="BL75" s="32"/>
      <c r="BM75" s="29"/>
    </row>
    <row r="76" spans="2:65" outlineLevel="1" x14ac:dyDescent="0.25">
      <c r="B76" s="41" t="s">
        <v>444</v>
      </c>
      <c r="C76" s="41" t="s">
        <v>283</v>
      </c>
      <c r="D76" s="40"/>
      <c r="E76" s="40"/>
      <c r="F76" s="40"/>
      <c r="G76" s="31"/>
      <c r="H76" s="32"/>
      <c r="I76" s="29"/>
      <c r="J76" s="171"/>
      <c r="L76" s="41" t="s">
        <v>444</v>
      </c>
      <c r="M76" s="41" t="s">
        <v>283</v>
      </c>
      <c r="N76" s="40"/>
      <c r="O76" s="40"/>
      <c r="P76" s="40"/>
      <c r="Q76" s="31"/>
      <c r="R76" s="32"/>
      <c r="S76" s="29"/>
      <c r="T76" s="171"/>
      <c r="V76" s="41" t="s">
        <v>444</v>
      </c>
      <c r="W76" s="41" t="s">
        <v>283</v>
      </c>
      <c r="X76" s="40"/>
      <c r="Y76" s="40"/>
      <c r="Z76" s="40"/>
      <c r="AA76" s="31"/>
      <c r="AB76" s="32"/>
      <c r="AC76" s="29"/>
      <c r="AE76" s="41" t="s">
        <v>444</v>
      </c>
      <c r="AF76" s="41" t="s">
        <v>283</v>
      </c>
      <c r="AG76" s="40"/>
      <c r="AH76" s="40"/>
      <c r="AI76" s="40"/>
      <c r="AJ76" s="31"/>
      <c r="AK76" s="32"/>
      <c r="AL76" s="29"/>
      <c r="AN76" s="41" t="s">
        <v>444</v>
      </c>
      <c r="AO76" s="41" t="s">
        <v>283</v>
      </c>
      <c r="AP76" s="40"/>
      <c r="AQ76" s="40"/>
      <c r="AR76" s="40"/>
      <c r="AS76" s="31"/>
      <c r="AT76" s="32"/>
      <c r="AU76" s="29"/>
      <c r="AW76" s="41" t="s">
        <v>444</v>
      </c>
      <c r="AX76" s="41" t="s">
        <v>283</v>
      </c>
      <c r="AY76" s="40"/>
      <c r="AZ76" s="40"/>
      <c r="BA76" s="40"/>
      <c r="BB76" s="31"/>
      <c r="BC76" s="32"/>
      <c r="BD76" s="29"/>
      <c r="BF76" s="41" t="s">
        <v>444</v>
      </c>
      <c r="BG76" s="41" t="s">
        <v>283</v>
      </c>
      <c r="BH76" s="40"/>
      <c r="BI76" s="40"/>
      <c r="BJ76" s="40"/>
      <c r="BK76" s="31"/>
      <c r="BL76" s="32"/>
      <c r="BM76" s="29"/>
    </row>
    <row r="77" spans="2:65" s="24" customFormat="1" x14ac:dyDescent="0.25">
      <c r="B77" s="8" t="s">
        <v>445</v>
      </c>
      <c r="C77" s="25"/>
      <c r="D77" s="28">
        <f t="shared" ref="D77:F77" si="78">SUM(D62:D76)</f>
        <v>0</v>
      </c>
      <c r="E77" s="28">
        <f t="shared" si="78"/>
        <v>0</v>
      </c>
      <c r="F77" s="28">
        <f t="shared" si="78"/>
        <v>0</v>
      </c>
      <c r="G77" s="25"/>
      <c r="H77" s="26"/>
      <c r="I77" s="30"/>
      <c r="J77" s="170"/>
      <c r="L77" s="8" t="s">
        <v>445</v>
      </c>
      <c r="M77" s="25"/>
      <c r="N77" s="28">
        <f t="shared" ref="N77" si="79">SUM(N62:N76)</f>
        <v>0</v>
      </c>
      <c r="O77" s="28">
        <f t="shared" ref="O77" si="80">SUM(O62:O76)</f>
        <v>0</v>
      </c>
      <c r="P77" s="28">
        <f t="shared" ref="P77" si="81">SUM(P62:P76)</f>
        <v>0</v>
      </c>
      <c r="Q77" s="25"/>
      <c r="R77" s="26"/>
      <c r="S77" s="30"/>
      <c r="T77" s="170"/>
      <c r="V77" s="8" t="s">
        <v>445</v>
      </c>
      <c r="W77" s="25"/>
      <c r="X77" s="28">
        <f t="shared" ref="X77" si="82">SUM(X62:X76)</f>
        <v>0</v>
      </c>
      <c r="Y77" s="28">
        <f t="shared" ref="Y77" si="83">SUM(Y62:Y76)</f>
        <v>0</v>
      </c>
      <c r="Z77" s="28">
        <f t="shared" ref="Z77" si="84">SUM(Z62:Z76)</f>
        <v>0</v>
      </c>
      <c r="AA77" s="25"/>
      <c r="AB77" s="26"/>
      <c r="AC77" s="30"/>
      <c r="AE77" s="8" t="s">
        <v>445</v>
      </c>
      <c r="AF77" s="25"/>
      <c r="AG77" s="28">
        <f t="shared" ref="AG77" si="85">SUM(AG62:AG76)</f>
        <v>0</v>
      </c>
      <c r="AH77" s="28">
        <f t="shared" ref="AH77" si="86">SUM(AH62:AH76)</f>
        <v>0</v>
      </c>
      <c r="AI77" s="28">
        <f t="shared" ref="AI77" si="87">SUM(AI62:AI76)</f>
        <v>0</v>
      </c>
      <c r="AJ77" s="25"/>
      <c r="AK77" s="26"/>
      <c r="AL77" s="30"/>
      <c r="AN77" s="8" t="s">
        <v>445</v>
      </c>
      <c r="AO77" s="25"/>
      <c r="AP77" s="28">
        <f t="shared" ref="AP77" si="88">SUM(AP62:AP76)</f>
        <v>0</v>
      </c>
      <c r="AQ77" s="28">
        <f t="shared" ref="AQ77" si="89">SUM(AQ62:AQ76)</f>
        <v>0</v>
      </c>
      <c r="AR77" s="28">
        <f t="shared" ref="AR77" si="90">SUM(AR62:AR76)</f>
        <v>0</v>
      </c>
      <c r="AS77" s="25"/>
      <c r="AT77" s="26"/>
      <c r="AU77" s="30"/>
      <c r="AW77" s="8" t="s">
        <v>445</v>
      </c>
      <c r="AX77" s="25"/>
      <c r="AY77" s="28">
        <f t="shared" ref="AY77" si="91">SUM(AY62:AY76)</f>
        <v>0</v>
      </c>
      <c r="AZ77" s="28">
        <f t="shared" ref="AZ77" si="92">SUM(AZ62:AZ76)</f>
        <v>0</v>
      </c>
      <c r="BA77" s="28">
        <f t="shared" ref="BA77" si="93">SUM(BA62:BA76)</f>
        <v>0</v>
      </c>
      <c r="BB77" s="25"/>
      <c r="BC77" s="26"/>
      <c r="BD77" s="30"/>
      <c r="BF77" s="8" t="s">
        <v>445</v>
      </c>
      <c r="BG77" s="25"/>
      <c r="BH77" s="28">
        <f t="shared" ref="BH77" si="94">SUM(BH62:BH76)</f>
        <v>0</v>
      </c>
      <c r="BI77" s="28">
        <f t="shared" ref="BI77" si="95">SUM(BI62:BI76)</f>
        <v>0</v>
      </c>
      <c r="BJ77" s="28">
        <f t="shared" ref="BJ77" si="96">SUM(BJ62:BJ76)</f>
        <v>0</v>
      </c>
      <c r="BK77" s="25"/>
      <c r="BL77" s="26"/>
      <c r="BM77" s="30"/>
    </row>
    <row r="79" spans="2:65" s="20" customFormat="1" ht="38.25" x14ac:dyDescent="0.25">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2" t="s">
        <v>380</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2" t="s">
        <v>380</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x14ac:dyDescent="0.25">
      <c r="B80" s="41" t="s">
        <v>444</v>
      </c>
      <c r="C80" s="41" t="s">
        <v>283</v>
      </c>
      <c r="D80" s="40"/>
      <c r="E80" s="40"/>
      <c r="F80" s="29"/>
      <c r="G80" s="22"/>
      <c r="H80" s="23">
        <v>0.82</v>
      </c>
      <c r="I80" s="75">
        <f>D80*G80*H80</f>
        <v>0</v>
      </c>
      <c r="J80" s="171"/>
      <c r="L80" s="41" t="s">
        <v>444</v>
      </c>
      <c r="M80" s="41" t="s">
        <v>283</v>
      </c>
      <c r="N80" s="40"/>
      <c r="O80" s="40"/>
      <c r="P80" s="29"/>
      <c r="Q80" s="22">
        <v>0.08</v>
      </c>
      <c r="R80" s="23">
        <v>0.82</v>
      </c>
      <c r="S80" s="75">
        <f>N80*Q80*R80</f>
        <v>0</v>
      </c>
      <c r="T80" s="171"/>
      <c r="V80" s="41" t="s">
        <v>444</v>
      </c>
      <c r="W80" s="41" t="s">
        <v>283</v>
      </c>
      <c r="X80" s="40"/>
      <c r="Y80" s="40"/>
      <c r="Z80" s="29"/>
      <c r="AA80" s="22">
        <v>0.08</v>
      </c>
      <c r="AB80" s="23">
        <v>0.82</v>
      </c>
      <c r="AC80" s="75">
        <f>X80*AA80*AB80</f>
        <v>0</v>
      </c>
      <c r="AE80" s="41" t="s">
        <v>444</v>
      </c>
      <c r="AF80" s="41" t="s">
        <v>283</v>
      </c>
      <c r="AG80" s="40"/>
      <c r="AH80" s="40"/>
      <c r="AI80" s="29"/>
      <c r="AJ80" s="22">
        <v>0.08</v>
      </c>
      <c r="AK80" s="23">
        <v>0.82</v>
      </c>
      <c r="AL80" s="75">
        <f>AG80*AJ80*AK80</f>
        <v>0</v>
      </c>
      <c r="AN80" s="41" t="s">
        <v>444</v>
      </c>
      <c r="AO80" s="41" t="s">
        <v>283</v>
      </c>
      <c r="AP80" s="40"/>
      <c r="AQ80" s="40"/>
      <c r="AR80" s="29"/>
      <c r="AS80" s="22">
        <v>0.08</v>
      </c>
      <c r="AT80" s="23">
        <v>0.82</v>
      </c>
      <c r="AU80" s="75">
        <f>AP80*AS80*AT80</f>
        <v>0</v>
      </c>
      <c r="AW80" s="41" t="s">
        <v>444</v>
      </c>
      <c r="AX80" s="41" t="s">
        <v>283</v>
      </c>
      <c r="AY80" s="40"/>
      <c r="AZ80" s="40"/>
      <c r="BA80" s="29"/>
      <c r="BB80" s="22">
        <v>0.08</v>
      </c>
      <c r="BC80" s="23">
        <v>0.82</v>
      </c>
      <c r="BD80" s="75">
        <f>AY80*BB80*BC80</f>
        <v>0</v>
      </c>
      <c r="BF80" s="41" t="s">
        <v>444</v>
      </c>
      <c r="BG80" s="41" t="s">
        <v>283</v>
      </c>
      <c r="BH80" s="40"/>
      <c r="BI80" s="40"/>
      <c r="BJ80" s="29"/>
      <c r="BK80" s="22">
        <v>0.08</v>
      </c>
      <c r="BL80" s="23">
        <v>0.82</v>
      </c>
      <c r="BM80" s="75">
        <f>BH80*BK80*BL80</f>
        <v>0</v>
      </c>
    </row>
    <row r="81" spans="2:65" x14ac:dyDescent="0.25">
      <c r="B81" s="41" t="s">
        <v>444</v>
      </c>
      <c r="C81" s="41" t="s">
        <v>283</v>
      </c>
      <c r="D81" s="40"/>
      <c r="E81" s="40"/>
      <c r="F81" s="29"/>
      <c r="G81" s="22"/>
      <c r="H81" s="23">
        <v>0.82</v>
      </c>
      <c r="I81" s="75">
        <f t="shared" ref="I81:I94" si="104">D81*G81*H81</f>
        <v>0</v>
      </c>
      <c r="J81" s="171"/>
      <c r="L81" s="41" t="s">
        <v>444</v>
      </c>
      <c r="M81" s="41" t="s">
        <v>283</v>
      </c>
      <c r="N81" s="40"/>
      <c r="O81" s="40"/>
      <c r="P81" s="29"/>
      <c r="Q81" s="22"/>
      <c r="R81" s="23">
        <v>0.82</v>
      </c>
      <c r="S81" s="75">
        <f t="shared" ref="S81:S94" si="105">N81*Q81*R81</f>
        <v>0</v>
      </c>
      <c r="T81" s="171"/>
      <c r="V81" s="41" t="s">
        <v>444</v>
      </c>
      <c r="W81" s="41" t="s">
        <v>283</v>
      </c>
      <c r="X81" s="40"/>
      <c r="Y81" s="40"/>
      <c r="Z81" s="29"/>
      <c r="AA81" s="22"/>
      <c r="AB81" s="23">
        <v>0.82</v>
      </c>
      <c r="AC81" s="75">
        <f t="shared" ref="AC81:AC94" si="106">X81*AA81*AB81</f>
        <v>0</v>
      </c>
      <c r="AE81" s="41" t="s">
        <v>444</v>
      </c>
      <c r="AF81" s="41" t="s">
        <v>283</v>
      </c>
      <c r="AG81" s="40"/>
      <c r="AH81" s="40"/>
      <c r="AI81" s="29"/>
      <c r="AJ81" s="22"/>
      <c r="AK81" s="23">
        <v>0.82</v>
      </c>
      <c r="AL81" s="75">
        <f t="shared" ref="AL81:AL94" si="107">AG81*AJ81*AK81</f>
        <v>0</v>
      </c>
      <c r="AN81" s="41" t="s">
        <v>444</v>
      </c>
      <c r="AO81" s="41" t="s">
        <v>283</v>
      </c>
      <c r="AP81" s="40"/>
      <c r="AQ81" s="40"/>
      <c r="AR81" s="29"/>
      <c r="AS81" s="22"/>
      <c r="AT81" s="23">
        <v>0.82</v>
      </c>
      <c r="AU81" s="75">
        <f t="shared" ref="AU81:AU94" si="108">AP81*AS81*AT81</f>
        <v>0</v>
      </c>
      <c r="AW81" s="41" t="s">
        <v>444</v>
      </c>
      <c r="AX81" s="41" t="s">
        <v>283</v>
      </c>
      <c r="AY81" s="40"/>
      <c r="AZ81" s="40"/>
      <c r="BA81" s="29"/>
      <c r="BB81" s="22"/>
      <c r="BC81" s="23">
        <v>0.82</v>
      </c>
      <c r="BD81" s="75">
        <f t="shared" ref="BD81:BD94" si="109">AY81*BB81*BC81</f>
        <v>0</v>
      </c>
      <c r="BF81" s="41" t="s">
        <v>444</v>
      </c>
      <c r="BG81" s="41" t="s">
        <v>283</v>
      </c>
      <c r="BH81" s="40"/>
      <c r="BI81" s="40"/>
      <c r="BJ81" s="29"/>
      <c r="BK81" s="22"/>
      <c r="BL81" s="23">
        <v>0.82</v>
      </c>
      <c r="BM81" s="75">
        <f t="shared" ref="BM81:BM94" si="110">BH81*BK81*BL81</f>
        <v>0</v>
      </c>
    </row>
    <row r="82" spans="2:65" x14ac:dyDescent="0.25">
      <c r="B82" s="41" t="s">
        <v>444</v>
      </c>
      <c r="C82" s="41" t="s">
        <v>283</v>
      </c>
      <c r="D82" s="40"/>
      <c r="E82" s="40"/>
      <c r="F82" s="29"/>
      <c r="G82" s="22"/>
      <c r="H82" s="23">
        <v>0.82</v>
      </c>
      <c r="I82" s="75">
        <f t="shared" si="104"/>
        <v>0</v>
      </c>
      <c r="J82" s="171"/>
      <c r="L82" s="41" t="s">
        <v>444</v>
      </c>
      <c r="M82" s="41" t="s">
        <v>283</v>
      </c>
      <c r="N82" s="40"/>
      <c r="O82" s="40"/>
      <c r="P82" s="29"/>
      <c r="Q82" s="22"/>
      <c r="R82" s="23">
        <v>0.82</v>
      </c>
      <c r="S82" s="75">
        <f t="shared" si="105"/>
        <v>0</v>
      </c>
      <c r="T82" s="171"/>
      <c r="V82" s="41" t="s">
        <v>444</v>
      </c>
      <c r="W82" s="41" t="s">
        <v>283</v>
      </c>
      <c r="X82" s="40"/>
      <c r="Y82" s="40"/>
      <c r="Z82" s="29"/>
      <c r="AA82" s="22"/>
      <c r="AB82" s="23">
        <v>0.82</v>
      </c>
      <c r="AC82" s="75">
        <f t="shared" si="106"/>
        <v>0</v>
      </c>
      <c r="AE82" s="41" t="s">
        <v>444</v>
      </c>
      <c r="AF82" s="41" t="s">
        <v>283</v>
      </c>
      <c r="AG82" s="40"/>
      <c r="AH82" s="40"/>
      <c r="AI82" s="29"/>
      <c r="AJ82" s="22"/>
      <c r="AK82" s="23">
        <v>0.82</v>
      </c>
      <c r="AL82" s="75">
        <f t="shared" si="107"/>
        <v>0</v>
      </c>
      <c r="AN82" s="41" t="s">
        <v>444</v>
      </c>
      <c r="AO82" s="41" t="s">
        <v>283</v>
      </c>
      <c r="AP82" s="40"/>
      <c r="AQ82" s="40"/>
      <c r="AR82" s="29"/>
      <c r="AS82" s="22"/>
      <c r="AT82" s="23">
        <v>0.82</v>
      </c>
      <c r="AU82" s="75">
        <f t="shared" si="108"/>
        <v>0</v>
      </c>
      <c r="AW82" s="41" t="s">
        <v>444</v>
      </c>
      <c r="AX82" s="41" t="s">
        <v>283</v>
      </c>
      <c r="AY82" s="40"/>
      <c r="AZ82" s="40"/>
      <c r="BA82" s="29"/>
      <c r="BB82" s="22"/>
      <c r="BC82" s="23">
        <v>0.82</v>
      </c>
      <c r="BD82" s="75">
        <f t="shared" si="109"/>
        <v>0</v>
      </c>
      <c r="BF82" s="41" t="s">
        <v>444</v>
      </c>
      <c r="BG82" s="41" t="s">
        <v>283</v>
      </c>
      <c r="BH82" s="40"/>
      <c r="BI82" s="40"/>
      <c r="BJ82" s="29"/>
      <c r="BK82" s="22"/>
      <c r="BL82" s="23">
        <v>0.82</v>
      </c>
      <c r="BM82" s="75">
        <f t="shared" si="110"/>
        <v>0</v>
      </c>
    </row>
    <row r="83" spans="2:65" x14ac:dyDescent="0.25">
      <c r="B83" s="41" t="s">
        <v>444</v>
      </c>
      <c r="C83" s="41" t="s">
        <v>283</v>
      </c>
      <c r="D83" s="40"/>
      <c r="E83" s="40"/>
      <c r="F83" s="29"/>
      <c r="G83" s="22"/>
      <c r="H83" s="23">
        <v>0.82</v>
      </c>
      <c r="I83" s="75">
        <f t="shared" si="104"/>
        <v>0</v>
      </c>
      <c r="J83" s="171"/>
      <c r="L83" s="41" t="s">
        <v>444</v>
      </c>
      <c r="M83" s="41" t="s">
        <v>283</v>
      </c>
      <c r="N83" s="40"/>
      <c r="O83" s="40"/>
      <c r="P83" s="29"/>
      <c r="Q83" s="22"/>
      <c r="R83" s="23">
        <v>0.82</v>
      </c>
      <c r="S83" s="75">
        <f t="shared" si="105"/>
        <v>0</v>
      </c>
      <c r="T83" s="171"/>
      <c r="V83" s="41" t="s">
        <v>444</v>
      </c>
      <c r="W83" s="41" t="s">
        <v>283</v>
      </c>
      <c r="X83" s="40"/>
      <c r="Y83" s="40"/>
      <c r="Z83" s="29"/>
      <c r="AA83" s="22"/>
      <c r="AB83" s="23">
        <v>0.82</v>
      </c>
      <c r="AC83" s="75">
        <f t="shared" si="106"/>
        <v>0</v>
      </c>
      <c r="AE83" s="41" t="s">
        <v>444</v>
      </c>
      <c r="AF83" s="41" t="s">
        <v>283</v>
      </c>
      <c r="AG83" s="40"/>
      <c r="AH83" s="40"/>
      <c r="AI83" s="29"/>
      <c r="AJ83" s="22"/>
      <c r="AK83" s="23">
        <v>0.82</v>
      </c>
      <c r="AL83" s="75">
        <f t="shared" si="107"/>
        <v>0</v>
      </c>
      <c r="AN83" s="41" t="s">
        <v>444</v>
      </c>
      <c r="AO83" s="41" t="s">
        <v>283</v>
      </c>
      <c r="AP83" s="40"/>
      <c r="AQ83" s="40"/>
      <c r="AR83" s="29"/>
      <c r="AS83" s="22"/>
      <c r="AT83" s="23">
        <v>0.82</v>
      </c>
      <c r="AU83" s="75">
        <f t="shared" si="108"/>
        <v>0</v>
      </c>
      <c r="AW83" s="41" t="s">
        <v>444</v>
      </c>
      <c r="AX83" s="41" t="s">
        <v>283</v>
      </c>
      <c r="AY83" s="40"/>
      <c r="AZ83" s="40"/>
      <c r="BA83" s="29"/>
      <c r="BB83" s="22"/>
      <c r="BC83" s="23">
        <v>0.82</v>
      </c>
      <c r="BD83" s="75">
        <f t="shared" si="109"/>
        <v>0</v>
      </c>
      <c r="BF83" s="41" t="s">
        <v>444</v>
      </c>
      <c r="BG83" s="41" t="s">
        <v>283</v>
      </c>
      <c r="BH83" s="40"/>
      <c r="BI83" s="40"/>
      <c r="BJ83" s="29"/>
      <c r="BK83" s="22"/>
      <c r="BL83" s="23">
        <v>0.82</v>
      </c>
      <c r="BM83" s="75">
        <f t="shared" si="110"/>
        <v>0</v>
      </c>
    </row>
    <row r="84" spans="2:65" x14ac:dyDescent="0.25">
      <c r="B84" s="41" t="s">
        <v>444</v>
      </c>
      <c r="C84" s="41" t="s">
        <v>283</v>
      </c>
      <c r="D84" s="40"/>
      <c r="E84" s="40"/>
      <c r="F84" s="29"/>
      <c r="G84" s="22"/>
      <c r="H84" s="23">
        <v>0.82</v>
      </c>
      <c r="I84" s="75">
        <f t="shared" si="104"/>
        <v>0</v>
      </c>
      <c r="J84" s="171"/>
      <c r="L84" s="41" t="s">
        <v>444</v>
      </c>
      <c r="M84" s="41" t="s">
        <v>283</v>
      </c>
      <c r="N84" s="40"/>
      <c r="O84" s="40"/>
      <c r="P84" s="29"/>
      <c r="Q84" s="22"/>
      <c r="R84" s="23">
        <v>0.82</v>
      </c>
      <c r="S84" s="75">
        <f t="shared" si="105"/>
        <v>0</v>
      </c>
      <c r="T84" s="171"/>
      <c r="V84" s="41" t="s">
        <v>444</v>
      </c>
      <c r="W84" s="41" t="s">
        <v>283</v>
      </c>
      <c r="X84" s="40"/>
      <c r="Y84" s="40"/>
      <c r="Z84" s="29"/>
      <c r="AA84" s="22"/>
      <c r="AB84" s="23">
        <v>0.82</v>
      </c>
      <c r="AC84" s="75">
        <f t="shared" si="106"/>
        <v>0</v>
      </c>
      <c r="AE84" s="41" t="s">
        <v>444</v>
      </c>
      <c r="AF84" s="41" t="s">
        <v>283</v>
      </c>
      <c r="AG84" s="40"/>
      <c r="AH84" s="40"/>
      <c r="AI84" s="29"/>
      <c r="AJ84" s="22"/>
      <c r="AK84" s="23">
        <v>0.82</v>
      </c>
      <c r="AL84" s="75">
        <f t="shared" si="107"/>
        <v>0</v>
      </c>
      <c r="AN84" s="41" t="s">
        <v>444</v>
      </c>
      <c r="AO84" s="41" t="s">
        <v>283</v>
      </c>
      <c r="AP84" s="40"/>
      <c r="AQ84" s="40"/>
      <c r="AR84" s="29"/>
      <c r="AS84" s="22"/>
      <c r="AT84" s="23">
        <v>0.82</v>
      </c>
      <c r="AU84" s="75">
        <f t="shared" si="108"/>
        <v>0</v>
      </c>
      <c r="AW84" s="41" t="s">
        <v>444</v>
      </c>
      <c r="AX84" s="41" t="s">
        <v>283</v>
      </c>
      <c r="AY84" s="40"/>
      <c r="AZ84" s="40"/>
      <c r="BA84" s="29"/>
      <c r="BB84" s="22"/>
      <c r="BC84" s="23">
        <v>0.82</v>
      </c>
      <c r="BD84" s="75">
        <f t="shared" si="109"/>
        <v>0</v>
      </c>
      <c r="BF84" s="41" t="s">
        <v>444</v>
      </c>
      <c r="BG84" s="41" t="s">
        <v>283</v>
      </c>
      <c r="BH84" s="40"/>
      <c r="BI84" s="40"/>
      <c r="BJ84" s="29"/>
      <c r="BK84" s="22"/>
      <c r="BL84" s="23">
        <v>0.82</v>
      </c>
      <c r="BM84" s="75">
        <f t="shared" si="110"/>
        <v>0</v>
      </c>
    </row>
    <row r="85" spans="2:65" x14ac:dyDescent="0.25">
      <c r="B85" s="41" t="s">
        <v>444</v>
      </c>
      <c r="C85" s="41" t="s">
        <v>283</v>
      </c>
      <c r="D85" s="40"/>
      <c r="E85" s="40"/>
      <c r="F85" s="29"/>
      <c r="G85" s="22"/>
      <c r="H85" s="23">
        <v>0.82</v>
      </c>
      <c r="I85" s="75">
        <f t="shared" si="104"/>
        <v>0</v>
      </c>
      <c r="J85" s="171"/>
      <c r="L85" s="41" t="s">
        <v>444</v>
      </c>
      <c r="M85" s="41" t="s">
        <v>283</v>
      </c>
      <c r="N85" s="40"/>
      <c r="O85" s="40"/>
      <c r="P85" s="29"/>
      <c r="Q85" s="22"/>
      <c r="R85" s="23">
        <v>0.82</v>
      </c>
      <c r="S85" s="75">
        <f t="shared" si="105"/>
        <v>0</v>
      </c>
      <c r="T85" s="171"/>
      <c r="V85" s="41" t="s">
        <v>444</v>
      </c>
      <c r="W85" s="41" t="s">
        <v>283</v>
      </c>
      <c r="X85" s="40"/>
      <c r="Y85" s="40"/>
      <c r="Z85" s="29"/>
      <c r="AA85" s="22"/>
      <c r="AB85" s="23">
        <v>0.82</v>
      </c>
      <c r="AC85" s="75">
        <f t="shared" si="106"/>
        <v>0</v>
      </c>
      <c r="AE85" s="41" t="s">
        <v>444</v>
      </c>
      <c r="AF85" s="41" t="s">
        <v>283</v>
      </c>
      <c r="AG85" s="40"/>
      <c r="AH85" s="40"/>
      <c r="AI85" s="29"/>
      <c r="AJ85" s="22"/>
      <c r="AK85" s="23">
        <v>0.82</v>
      </c>
      <c r="AL85" s="75">
        <f t="shared" si="107"/>
        <v>0</v>
      </c>
      <c r="AN85" s="41" t="s">
        <v>444</v>
      </c>
      <c r="AO85" s="41" t="s">
        <v>283</v>
      </c>
      <c r="AP85" s="40"/>
      <c r="AQ85" s="40"/>
      <c r="AR85" s="29"/>
      <c r="AS85" s="22"/>
      <c r="AT85" s="23">
        <v>0.82</v>
      </c>
      <c r="AU85" s="75">
        <f t="shared" si="108"/>
        <v>0</v>
      </c>
      <c r="AW85" s="41" t="s">
        <v>444</v>
      </c>
      <c r="AX85" s="41" t="s">
        <v>283</v>
      </c>
      <c r="AY85" s="40"/>
      <c r="AZ85" s="40"/>
      <c r="BA85" s="29"/>
      <c r="BB85" s="22"/>
      <c r="BC85" s="23">
        <v>0.82</v>
      </c>
      <c r="BD85" s="75">
        <f t="shared" si="109"/>
        <v>0</v>
      </c>
      <c r="BF85" s="41" t="s">
        <v>444</v>
      </c>
      <c r="BG85" s="41" t="s">
        <v>283</v>
      </c>
      <c r="BH85" s="40"/>
      <c r="BI85" s="40"/>
      <c r="BJ85" s="29"/>
      <c r="BK85" s="22"/>
      <c r="BL85" s="23">
        <v>0.82</v>
      </c>
      <c r="BM85" s="75">
        <f t="shared" si="110"/>
        <v>0</v>
      </c>
    </row>
    <row r="86" spans="2:65" x14ac:dyDescent="0.25">
      <c r="B86" s="41" t="s">
        <v>444</v>
      </c>
      <c r="C86" s="41" t="s">
        <v>283</v>
      </c>
      <c r="D86" s="40"/>
      <c r="E86" s="40"/>
      <c r="F86" s="29"/>
      <c r="G86" s="22"/>
      <c r="H86" s="23">
        <v>0.82</v>
      </c>
      <c r="I86" s="75">
        <f t="shared" si="104"/>
        <v>0</v>
      </c>
      <c r="J86" s="171"/>
      <c r="L86" s="41" t="s">
        <v>444</v>
      </c>
      <c r="M86" s="41" t="s">
        <v>283</v>
      </c>
      <c r="N86" s="40"/>
      <c r="O86" s="40"/>
      <c r="P86" s="29"/>
      <c r="Q86" s="22"/>
      <c r="R86" s="23">
        <v>0.82</v>
      </c>
      <c r="S86" s="75">
        <f t="shared" si="105"/>
        <v>0</v>
      </c>
      <c r="T86" s="171"/>
      <c r="V86" s="41" t="s">
        <v>444</v>
      </c>
      <c r="W86" s="41" t="s">
        <v>283</v>
      </c>
      <c r="X86" s="40"/>
      <c r="Y86" s="40"/>
      <c r="Z86" s="29"/>
      <c r="AA86" s="22"/>
      <c r="AB86" s="23">
        <v>0.82</v>
      </c>
      <c r="AC86" s="75">
        <f t="shared" si="106"/>
        <v>0</v>
      </c>
      <c r="AE86" s="41" t="s">
        <v>444</v>
      </c>
      <c r="AF86" s="41" t="s">
        <v>283</v>
      </c>
      <c r="AG86" s="40"/>
      <c r="AH86" s="40"/>
      <c r="AI86" s="29"/>
      <c r="AJ86" s="22"/>
      <c r="AK86" s="23">
        <v>0.82</v>
      </c>
      <c r="AL86" s="75">
        <f t="shared" si="107"/>
        <v>0</v>
      </c>
      <c r="AN86" s="41" t="s">
        <v>444</v>
      </c>
      <c r="AO86" s="41" t="s">
        <v>283</v>
      </c>
      <c r="AP86" s="40"/>
      <c r="AQ86" s="40"/>
      <c r="AR86" s="29"/>
      <c r="AS86" s="22"/>
      <c r="AT86" s="23">
        <v>0.82</v>
      </c>
      <c r="AU86" s="75">
        <f t="shared" si="108"/>
        <v>0</v>
      </c>
      <c r="AW86" s="41" t="s">
        <v>444</v>
      </c>
      <c r="AX86" s="41" t="s">
        <v>283</v>
      </c>
      <c r="AY86" s="40"/>
      <c r="AZ86" s="40"/>
      <c r="BA86" s="29"/>
      <c r="BB86" s="22"/>
      <c r="BC86" s="23">
        <v>0.82</v>
      </c>
      <c r="BD86" s="75">
        <f t="shared" si="109"/>
        <v>0</v>
      </c>
      <c r="BF86" s="41" t="s">
        <v>444</v>
      </c>
      <c r="BG86" s="41" t="s">
        <v>283</v>
      </c>
      <c r="BH86" s="40"/>
      <c r="BI86" s="40"/>
      <c r="BJ86" s="29"/>
      <c r="BK86" s="22"/>
      <c r="BL86" s="23">
        <v>0.82</v>
      </c>
      <c r="BM86" s="75">
        <f t="shared" si="110"/>
        <v>0</v>
      </c>
    </row>
    <row r="87" spans="2:65" outlineLevel="1" x14ac:dyDescent="0.25">
      <c r="B87" s="41" t="s">
        <v>444</v>
      </c>
      <c r="C87" s="41" t="s">
        <v>283</v>
      </c>
      <c r="D87" s="40"/>
      <c r="E87" s="40"/>
      <c r="F87" s="29"/>
      <c r="G87" s="22"/>
      <c r="H87" s="23">
        <v>0.82</v>
      </c>
      <c r="I87" s="75">
        <f t="shared" si="104"/>
        <v>0</v>
      </c>
      <c r="J87" s="171"/>
      <c r="L87" s="41" t="s">
        <v>444</v>
      </c>
      <c r="M87" s="41" t="s">
        <v>283</v>
      </c>
      <c r="N87" s="40"/>
      <c r="O87" s="40"/>
      <c r="P87" s="29"/>
      <c r="Q87" s="22"/>
      <c r="R87" s="23">
        <v>0.82</v>
      </c>
      <c r="S87" s="75">
        <f t="shared" si="105"/>
        <v>0</v>
      </c>
      <c r="T87" s="171"/>
      <c r="V87" s="41" t="s">
        <v>444</v>
      </c>
      <c r="W87" s="41" t="s">
        <v>283</v>
      </c>
      <c r="X87" s="40"/>
      <c r="Y87" s="40"/>
      <c r="Z87" s="29"/>
      <c r="AA87" s="22"/>
      <c r="AB87" s="23">
        <v>0.82</v>
      </c>
      <c r="AC87" s="75">
        <f t="shared" si="106"/>
        <v>0</v>
      </c>
      <c r="AE87" s="41" t="s">
        <v>444</v>
      </c>
      <c r="AF87" s="41" t="s">
        <v>283</v>
      </c>
      <c r="AG87" s="40"/>
      <c r="AH87" s="40"/>
      <c r="AI87" s="29"/>
      <c r="AJ87" s="22"/>
      <c r="AK87" s="23">
        <v>0.82</v>
      </c>
      <c r="AL87" s="75">
        <f t="shared" si="107"/>
        <v>0</v>
      </c>
      <c r="AN87" s="41" t="s">
        <v>444</v>
      </c>
      <c r="AO87" s="41" t="s">
        <v>283</v>
      </c>
      <c r="AP87" s="40"/>
      <c r="AQ87" s="40"/>
      <c r="AR87" s="29"/>
      <c r="AS87" s="22"/>
      <c r="AT87" s="23">
        <v>0.82</v>
      </c>
      <c r="AU87" s="75">
        <f t="shared" si="108"/>
        <v>0</v>
      </c>
      <c r="AW87" s="41" t="s">
        <v>444</v>
      </c>
      <c r="AX87" s="41" t="s">
        <v>283</v>
      </c>
      <c r="AY87" s="40"/>
      <c r="AZ87" s="40"/>
      <c r="BA87" s="29"/>
      <c r="BB87" s="22"/>
      <c r="BC87" s="23">
        <v>0.82</v>
      </c>
      <c r="BD87" s="75">
        <f t="shared" si="109"/>
        <v>0</v>
      </c>
      <c r="BF87" s="41" t="s">
        <v>444</v>
      </c>
      <c r="BG87" s="41" t="s">
        <v>283</v>
      </c>
      <c r="BH87" s="40"/>
      <c r="BI87" s="40"/>
      <c r="BJ87" s="29"/>
      <c r="BK87" s="22"/>
      <c r="BL87" s="23">
        <v>0.82</v>
      </c>
      <c r="BM87" s="75">
        <f t="shared" si="110"/>
        <v>0</v>
      </c>
    </row>
    <row r="88" spans="2:65" outlineLevel="1" x14ac:dyDescent="0.25">
      <c r="B88" s="41" t="s">
        <v>444</v>
      </c>
      <c r="C88" s="41" t="s">
        <v>283</v>
      </c>
      <c r="D88" s="40"/>
      <c r="E88" s="40"/>
      <c r="F88" s="29"/>
      <c r="G88" s="22"/>
      <c r="H88" s="23">
        <v>0.82</v>
      </c>
      <c r="I88" s="75">
        <f t="shared" si="104"/>
        <v>0</v>
      </c>
      <c r="J88" s="171"/>
      <c r="L88" s="41" t="s">
        <v>444</v>
      </c>
      <c r="M88" s="41" t="s">
        <v>283</v>
      </c>
      <c r="N88" s="40"/>
      <c r="O88" s="40"/>
      <c r="P88" s="29"/>
      <c r="Q88" s="22"/>
      <c r="R88" s="23">
        <v>0.82</v>
      </c>
      <c r="S88" s="75">
        <f t="shared" si="105"/>
        <v>0</v>
      </c>
      <c r="T88" s="171"/>
      <c r="V88" s="41" t="s">
        <v>444</v>
      </c>
      <c r="W88" s="41" t="s">
        <v>283</v>
      </c>
      <c r="X88" s="40"/>
      <c r="Y88" s="40"/>
      <c r="Z88" s="29"/>
      <c r="AA88" s="22"/>
      <c r="AB88" s="23">
        <v>0.82</v>
      </c>
      <c r="AC88" s="75">
        <f t="shared" si="106"/>
        <v>0</v>
      </c>
      <c r="AE88" s="41" t="s">
        <v>444</v>
      </c>
      <c r="AF88" s="41" t="s">
        <v>283</v>
      </c>
      <c r="AG88" s="40"/>
      <c r="AH88" s="40"/>
      <c r="AI88" s="29"/>
      <c r="AJ88" s="22"/>
      <c r="AK88" s="23">
        <v>0.82</v>
      </c>
      <c r="AL88" s="75">
        <f t="shared" si="107"/>
        <v>0</v>
      </c>
      <c r="AN88" s="41" t="s">
        <v>444</v>
      </c>
      <c r="AO88" s="41" t="s">
        <v>283</v>
      </c>
      <c r="AP88" s="40"/>
      <c r="AQ88" s="40"/>
      <c r="AR88" s="29"/>
      <c r="AS88" s="22"/>
      <c r="AT88" s="23">
        <v>0.82</v>
      </c>
      <c r="AU88" s="75">
        <f t="shared" si="108"/>
        <v>0</v>
      </c>
      <c r="AW88" s="41" t="s">
        <v>444</v>
      </c>
      <c r="AX88" s="41" t="s">
        <v>283</v>
      </c>
      <c r="AY88" s="40"/>
      <c r="AZ88" s="40"/>
      <c r="BA88" s="29"/>
      <c r="BB88" s="22"/>
      <c r="BC88" s="23">
        <v>0.82</v>
      </c>
      <c r="BD88" s="75">
        <f t="shared" si="109"/>
        <v>0</v>
      </c>
      <c r="BF88" s="41" t="s">
        <v>444</v>
      </c>
      <c r="BG88" s="41" t="s">
        <v>283</v>
      </c>
      <c r="BH88" s="40"/>
      <c r="BI88" s="40"/>
      <c r="BJ88" s="29"/>
      <c r="BK88" s="22"/>
      <c r="BL88" s="23">
        <v>0.82</v>
      </c>
      <c r="BM88" s="75">
        <f t="shared" si="110"/>
        <v>0</v>
      </c>
    </row>
    <row r="89" spans="2:65" outlineLevel="1" x14ac:dyDescent="0.25">
      <c r="B89" s="41" t="s">
        <v>444</v>
      </c>
      <c r="C89" s="41" t="s">
        <v>283</v>
      </c>
      <c r="D89" s="40"/>
      <c r="E89" s="40"/>
      <c r="F89" s="29"/>
      <c r="G89" s="22"/>
      <c r="H89" s="23">
        <v>0.82</v>
      </c>
      <c r="I89" s="75">
        <f t="shared" si="104"/>
        <v>0</v>
      </c>
      <c r="J89" s="171"/>
      <c r="L89" s="41" t="s">
        <v>444</v>
      </c>
      <c r="M89" s="41" t="s">
        <v>283</v>
      </c>
      <c r="N89" s="40"/>
      <c r="O89" s="40"/>
      <c r="P89" s="29"/>
      <c r="Q89" s="22"/>
      <c r="R89" s="23">
        <v>0.82</v>
      </c>
      <c r="S89" s="75">
        <f t="shared" si="105"/>
        <v>0</v>
      </c>
      <c r="T89" s="171"/>
      <c r="V89" s="41" t="s">
        <v>444</v>
      </c>
      <c r="W89" s="41" t="s">
        <v>283</v>
      </c>
      <c r="X89" s="40"/>
      <c r="Y89" s="40"/>
      <c r="Z89" s="29"/>
      <c r="AA89" s="22"/>
      <c r="AB89" s="23">
        <v>0.82</v>
      </c>
      <c r="AC89" s="75">
        <f t="shared" si="106"/>
        <v>0</v>
      </c>
      <c r="AE89" s="41" t="s">
        <v>444</v>
      </c>
      <c r="AF89" s="41" t="s">
        <v>283</v>
      </c>
      <c r="AG89" s="40"/>
      <c r="AH89" s="40"/>
      <c r="AI89" s="29"/>
      <c r="AJ89" s="22"/>
      <c r="AK89" s="23">
        <v>0.82</v>
      </c>
      <c r="AL89" s="75">
        <f t="shared" si="107"/>
        <v>0</v>
      </c>
      <c r="AN89" s="41" t="s">
        <v>444</v>
      </c>
      <c r="AO89" s="41" t="s">
        <v>283</v>
      </c>
      <c r="AP89" s="40"/>
      <c r="AQ89" s="40"/>
      <c r="AR89" s="29"/>
      <c r="AS89" s="22"/>
      <c r="AT89" s="23">
        <v>0.82</v>
      </c>
      <c r="AU89" s="75">
        <f t="shared" si="108"/>
        <v>0</v>
      </c>
      <c r="AW89" s="41" t="s">
        <v>444</v>
      </c>
      <c r="AX89" s="41" t="s">
        <v>283</v>
      </c>
      <c r="AY89" s="40"/>
      <c r="AZ89" s="40"/>
      <c r="BA89" s="29"/>
      <c r="BB89" s="22"/>
      <c r="BC89" s="23">
        <v>0.82</v>
      </c>
      <c r="BD89" s="75">
        <f t="shared" si="109"/>
        <v>0</v>
      </c>
      <c r="BF89" s="41" t="s">
        <v>444</v>
      </c>
      <c r="BG89" s="41" t="s">
        <v>283</v>
      </c>
      <c r="BH89" s="40"/>
      <c r="BI89" s="40"/>
      <c r="BJ89" s="29"/>
      <c r="BK89" s="22"/>
      <c r="BL89" s="23">
        <v>0.82</v>
      </c>
      <c r="BM89" s="75">
        <f t="shared" si="110"/>
        <v>0</v>
      </c>
    </row>
    <row r="90" spans="2:65" outlineLevel="1" x14ac:dyDescent="0.25">
      <c r="B90" s="41" t="s">
        <v>444</v>
      </c>
      <c r="C90" s="41" t="s">
        <v>283</v>
      </c>
      <c r="D90" s="40"/>
      <c r="E90" s="40"/>
      <c r="F90" s="29"/>
      <c r="G90" s="22"/>
      <c r="H90" s="23">
        <v>0.82</v>
      </c>
      <c r="I90" s="75">
        <f t="shared" si="104"/>
        <v>0</v>
      </c>
      <c r="J90" s="171"/>
      <c r="L90" s="41" t="s">
        <v>444</v>
      </c>
      <c r="M90" s="41" t="s">
        <v>283</v>
      </c>
      <c r="N90" s="40"/>
      <c r="O90" s="40"/>
      <c r="P90" s="29"/>
      <c r="Q90" s="22"/>
      <c r="R90" s="23">
        <v>0.82</v>
      </c>
      <c r="S90" s="75">
        <f t="shared" si="105"/>
        <v>0</v>
      </c>
      <c r="T90" s="171"/>
      <c r="V90" s="41" t="s">
        <v>444</v>
      </c>
      <c r="W90" s="41" t="s">
        <v>283</v>
      </c>
      <c r="X90" s="40"/>
      <c r="Y90" s="40"/>
      <c r="Z90" s="29"/>
      <c r="AA90" s="22"/>
      <c r="AB90" s="23">
        <v>0.82</v>
      </c>
      <c r="AC90" s="75">
        <f t="shared" si="106"/>
        <v>0</v>
      </c>
      <c r="AE90" s="41" t="s">
        <v>444</v>
      </c>
      <c r="AF90" s="41" t="s">
        <v>283</v>
      </c>
      <c r="AG90" s="40"/>
      <c r="AH90" s="40"/>
      <c r="AI90" s="29"/>
      <c r="AJ90" s="22"/>
      <c r="AK90" s="23">
        <v>0.82</v>
      </c>
      <c r="AL90" s="75">
        <f t="shared" si="107"/>
        <v>0</v>
      </c>
      <c r="AN90" s="41" t="s">
        <v>444</v>
      </c>
      <c r="AO90" s="41" t="s">
        <v>283</v>
      </c>
      <c r="AP90" s="40"/>
      <c r="AQ90" s="40"/>
      <c r="AR90" s="29"/>
      <c r="AS90" s="22"/>
      <c r="AT90" s="23">
        <v>0.82</v>
      </c>
      <c r="AU90" s="75">
        <f t="shared" si="108"/>
        <v>0</v>
      </c>
      <c r="AW90" s="41" t="s">
        <v>444</v>
      </c>
      <c r="AX90" s="41" t="s">
        <v>283</v>
      </c>
      <c r="AY90" s="40"/>
      <c r="AZ90" s="40"/>
      <c r="BA90" s="29"/>
      <c r="BB90" s="22"/>
      <c r="BC90" s="23">
        <v>0.82</v>
      </c>
      <c r="BD90" s="75">
        <f t="shared" si="109"/>
        <v>0</v>
      </c>
      <c r="BF90" s="41" t="s">
        <v>444</v>
      </c>
      <c r="BG90" s="41" t="s">
        <v>283</v>
      </c>
      <c r="BH90" s="40"/>
      <c r="BI90" s="40"/>
      <c r="BJ90" s="29"/>
      <c r="BK90" s="22"/>
      <c r="BL90" s="23">
        <v>0.82</v>
      </c>
      <c r="BM90" s="75">
        <f t="shared" si="110"/>
        <v>0</v>
      </c>
    </row>
    <row r="91" spans="2:65" outlineLevel="1" x14ac:dyDescent="0.25">
      <c r="B91" s="41" t="s">
        <v>444</v>
      </c>
      <c r="C91" s="41" t="s">
        <v>283</v>
      </c>
      <c r="D91" s="40"/>
      <c r="E91" s="40"/>
      <c r="F91" s="29"/>
      <c r="G91" s="22"/>
      <c r="H91" s="23">
        <v>0.82</v>
      </c>
      <c r="I91" s="75">
        <f t="shared" si="104"/>
        <v>0</v>
      </c>
      <c r="J91" s="171"/>
      <c r="L91" s="41" t="s">
        <v>444</v>
      </c>
      <c r="M91" s="41" t="s">
        <v>283</v>
      </c>
      <c r="N91" s="40"/>
      <c r="O91" s="40"/>
      <c r="P91" s="29"/>
      <c r="Q91" s="22"/>
      <c r="R91" s="23">
        <v>0.82</v>
      </c>
      <c r="S91" s="75">
        <f t="shared" si="105"/>
        <v>0</v>
      </c>
      <c r="T91" s="171"/>
      <c r="V91" s="41" t="s">
        <v>444</v>
      </c>
      <c r="W91" s="41" t="s">
        <v>283</v>
      </c>
      <c r="X91" s="40"/>
      <c r="Y91" s="40"/>
      <c r="Z91" s="29"/>
      <c r="AA91" s="22"/>
      <c r="AB91" s="23">
        <v>0.82</v>
      </c>
      <c r="AC91" s="75">
        <f t="shared" si="106"/>
        <v>0</v>
      </c>
      <c r="AE91" s="41" t="s">
        <v>444</v>
      </c>
      <c r="AF91" s="41" t="s">
        <v>283</v>
      </c>
      <c r="AG91" s="40"/>
      <c r="AH91" s="40"/>
      <c r="AI91" s="29"/>
      <c r="AJ91" s="22"/>
      <c r="AK91" s="23">
        <v>0.82</v>
      </c>
      <c r="AL91" s="75">
        <f t="shared" si="107"/>
        <v>0</v>
      </c>
      <c r="AN91" s="41" t="s">
        <v>444</v>
      </c>
      <c r="AO91" s="41" t="s">
        <v>283</v>
      </c>
      <c r="AP91" s="40"/>
      <c r="AQ91" s="40"/>
      <c r="AR91" s="29"/>
      <c r="AS91" s="22"/>
      <c r="AT91" s="23">
        <v>0.82</v>
      </c>
      <c r="AU91" s="75">
        <f t="shared" si="108"/>
        <v>0</v>
      </c>
      <c r="AW91" s="41" t="s">
        <v>444</v>
      </c>
      <c r="AX91" s="41" t="s">
        <v>283</v>
      </c>
      <c r="AY91" s="40"/>
      <c r="AZ91" s="40"/>
      <c r="BA91" s="29"/>
      <c r="BB91" s="22"/>
      <c r="BC91" s="23">
        <v>0.82</v>
      </c>
      <c r="BD91" s="75">
        <f t="shared" si="109"/>
        <v>0</v>
      </c>
      <c r="BF91" s="41" t="s">
        <v>444</v>
      </c>
      <c r="BG91" s="41" t="s">
        <v>283</v>
      </c>
      <c r="BH91" s="40"/>
      <c r="BI91" s="40"/>
      <c r="BJ91" s="29"/>
      <c r="BK91" s="22"/>
      <c r="BL91" s="23">
        <v>0.82</v>
      </c>
      <c r="BM91" s="75">
        <f t="shared" si="110"/>
        <v>0</v>
      </c>
    </row>
    <row r="92" spans="2:65" outlineLevel="1" x14ac:dyDescent="0.25">
      <c r="B92" s="41" t="s">
        <v>444</v>
      </c>
      <c r="C92" s="41" t="s">
        <v>283</v>
      </c>
      <c r="D92" s="40"/>
      <c r="E92" s="40"/>
      <c r="F92" s="29"/>
      <c r="G92" s="22"/>
      <c r="H92" s="23">
        <v>0.82</v>
      </c>
      <c r="I92" s="75">
        <f t="shared" si="104"/>
        <v>0</v>
      </c>
      <c r="J92" s="171"/>
      <c r="L92" s="41" t="s">
        <v>444</v>
      </c>
      <c r="M92" s="41" t="s">
        <v>283</v>
      </c>
      <c r="N92" s="40"/>
      <c r="O92" s="40"/>
      <c r="P92" s="29"/>
      <c r="Q92" s="22"/>
      <c r="R92" s="23">
        <v>0.82</v>
      </c>
      <c r="S92" s="75">
        <f t="shared" si="105"/>
        <v>0</v>
      </c>
      <c r="T92" s="171"/>
      <c r="V92" s="41" t="s">
        <v>444</v>
      </c>
      <c r="W92" s="41" t="s">
        <v>283</v>
      </c>
      <c r="X92" s="40"/>
      <c r="Y92" s="40"/>
      <c r="Z92" s="29"/>
      <c r="AA92" s="22"/>
      <c r="AB92" s="23">
        <v>0.82</v>
      </c>
      <c r="AC92" s="75">
        <f t="shared" si="106"/>
        <v>0</v>
      </c>
      <c r="AE92" s="41" t="s">
        <v>444</v>
      </c>
      <c r="AF92" s="41" t="s">
        <v>283</v>
      </c>
      <c r="AG92" s="40"/>
      <c r="AH92" s="40"/>
      <c r="AI92" s="29"/>
      <c r="AJ92" s="22"/>
      <c r="AK92" s="23">
        <v>0.82</v>
      </c>
      <c r="AL92" s="75">
        <f t="shared" si="107"/>
        <v>0</v>
      </c>
      <c r="AN92" s="41" t="s">
        <v>444</v>
      </c>
      <c r="AO92" s="41" t="s">
        <v>283</v>
      </c>
      <c r="AP92" s="40"/>
      <c r="AQ92" s="40"/>
      <c r="AR92" s="29"/>
      <c r="AS92" s="22"/>
      <c r="AT92" s="23">
        <v>0.82</v>
      </c>
      <c r="AU92" s="75">
        <f t="shared" si="108"/>
        <v>0</v>
      </c>
      <c r="AW92" s="41" t="s">
        <v>444</v>
      </c>
      <c r="AX92" s="41" t="s">
        <v>283</v>
      </c>
      <c r="AY92" s="40"/>
      <c r="AZ92" s="40"/>
      <c r="BA92" s="29"/>
      <c r="BB92" s="22"/>
      <c r="BC92" s="23">
        <v>0.82</v>
      </c>
      <c r="BD92" s="75">
        <f t="shared" si="109"/>
        <v>0</v>
      </c>
      <c r="BF92" s="41" t="s">
        <v>444</v>
      </c>
      <c r="BG92" s="41" t="s">
        <v>283</v>
      </c>
      <c r="BH92" s="40"/>
      <c r="BI92" s="40"/>
      <c r="BJ92" s="29"/>
      <c r="BK92" s="22"/>
      <c r="BL92" s="23">
        <v>0.82</v>
      </c>
      <c r="BM92" s="75">
        <f t="shared" si="110"/>
        <v>0</v>
      </c>
    </row>
    <row r="93" spans="2:65" outlineLevel="1" x14ac:dyDescent="0.25">
      <c r="B93" s="41" t="s">
        <v>444</v>
      </c>
      <c r="C93" s="41" t="s">
        <v>283</v>
      </c>
      <c r="D93" s="40"/>
      <c r="E93" s="40"/>
      <c r="F93" s="29"/>
      <c r="G93" s="22"/>
      <c r="H93" s="23">
        <v>0.82</v>
      </c>
      <c r="I93" s="75">
        <f t="shared" si="104"/>
        <v>0</v>
      </c>
      <c r="J93" s="171"/>
      <c r="L93" s="41" t="s">
        <v>444</v>
      </c>
      <c r="M93" s="41" t="s">
        <v>283</v>
      </c>
      <c r="N93" s="40"/>
      <c r="O93" s="40"/>
      <c r="P93" s="29"/>
      <c r="Q93" s="22"/>
      <c r="R93" s="23">
        <v>0.82</v>
      </c>
      <c r="S93" s="75">
        <f t="shared" si="105"/>
        <v>0</v>
      </c>
      <c r="T93" s="171"/>
      <c r="V93" s="41" t="s">
        <v>444</v>
      </c>
      <c r="W93" s="41" t="s">
        <v>283</v>
      </c>
      <c r="X93" s="40"/>
      <c r="Y93" s="40"/>
      <c r="Z93" s="29"/>
      <c r="AA93" s="22"/>
      <c r="AB93" s="23">
        <v>0.82</v>
      </c>
      <c r="AC93" s="75">
        <f t="shared" si="106"/>
        <v>0</v>
      </c>
      <c r="AE93" s="41" t="s">
        <v>444</v>
      </c>
      <c r="AF93" s="41" t="s">
        <v>283</v>
      </c>
      <c r="AG93" s="40"/>
      <c r="AH93" s="40"/>
      <c r="AI93" s="29"/>
      <c r="AJ93" s="22"/>
      <c r="AK93" s="23">
        <v>0.82</v>
      </c>
      <c r="AL93" s="75">
        <f t="shared" si="107"/>
        <v>0</v>
      </c>
      <c r="AN93" s="41" t="s">
        <v>444</v>
      </c>
      <c r="AO93" s="41" t="s">
        <v>283</v>
      </c>
      <c r="AP93" s="40"/>
      <c r="AQ93" s="40"/>
      <c r="AR93" s="29"/>
      <c r="AS93" s="22"/>
      <c r="AT93" s="23">
        <v>0.82</v>
      </c>
      <c r="AU93" s="75">
        <f t="shared" si="108"/>
        <v>0</v>
      </c>
      <c r="AW93" s="41" t="s">
        <v>444</v>
      </c>
      <c r="AX93" s="41" t="s">
        <v>283</v>
      </c>
      <c r="AY93" s="40"/>
      <c r="AZ93" s="40"/>
      <c r="BA93" s="29"/>
      <c r="BB93" s="22"/>
      <c r="BC93" s="23">
        <v>0.82</v>
      </c>
      <c r="BD93" s="75">
        <f t="shared" si="109"/>
        <v>0</v>
      </c>
      <c r="BF93" s="41" t="s">
        <v>444</v>
      </c>
      <c r="BG93" s="41" t="s">
        <v>283</v>
      </c>
      <c r="BH93" s="40"/>
      <c r="BI93" s="40"/>
      <c r="BJ93" s="29"/>
      <c r="BK93" s="22"/>
      <c r="BL93" s="23">
        <v>0.82</v>
      </c>
      <c r="BM93" s="75">
        <f t="shared" si="110"/>
        <v>0</v>
      </c>
    </row>
    <row r="94" spans="2:65" outlineLevel="1" x14ac:dyDescent="0.25">
      <c r="B94" s="41" t="s">
        <v>444</v>
      </c>
      <c r="C94" s="41" t="s">
        <v>283</v>
      </c>
      <c r="D94" s="40"/>
      <c r="E94" s="40"/>
      <c r="F94" s="29"/>
      <c r="G94" s="22"/>
      <c r="H94" s="23">
        <v>0.82</v>
      </c>
      <c r="I94" s="75">
        <f t="shared" si="104"/>
        <v>0</v>
      </c>
      <c r="J94" s="171"/>
      <c r="L94" s="41" t="s">
        <v>444</v>
      </c>
      <c r="M94" s="41" t="s">
        <v>283</v>
      </c>
      <c r="N94" s="40"/>
      <c r="O94" s="40"/>
      <c r="P94" s="29"/>
      <c r="Q94" s="22"/>
      <c r="R94" s="23">
        <v>0.82</v>
      </c>
      <c r="S94" s="75">
        <f t="shared" si="105"/>
        <v>0</v>
      </c>
      <c r="T94" s="171"/>
      <c r="V94" s="41" t="s">
        <v>444</v>
      </c>
      <c r="W94" s="41" t="s">
        <v>283</v>
      </c>
      <c r="X94" s="40"/>
      <c r="Y94" s="40"/>
      <c r="Z94" s="29"/>
      <c r="AA94" s="22"/>
      <c r="AB94" s="23">
        <v>0.82</v>
      </c>
      <c r="AC94" s="75">
        <f t="shared" si="106"/>
        <v>0</v>
      </c>
      <c r="AE94" s="41" t="s">
        <v>444</v>
      </c>
      <c r="AF94" s="41" t="s">
        <v>283</v>
      </c>
      <c r="AG94" s="40"/>
      <c r="AH94" s="40"/>
      <c r="AI94" s="29"/>
      <c r="AJ94" s="22"/>
      <c r="AK94" s="23">
        <v>0.82</v>
      </c>
      <c r="AL94" s="75">
        <f t="shared" si="107"/>
        <v>0</v>
      </c>
      <c r="AN94" s="41" t="s">
        <v>444</v>
      </c>
      <c r="AO94" s="41" t="s">
        <v>283</v>
      </c>
      <c r="AP94" s="40"/>
      <c r="AQ94" s="40"/>
      <c r="AR94" s="29"/>
      <c r="AS94" s="22"/>
      <c r="AT94" s="23">
        <v>0.82</v>
      </c>
      <c r="AU94" s="75">
        <f t="shared" si="108"/>
        <v>0</v>
      </c>
      <c r="AW94" s="41" t="s">
        <v>444</v>
      </c>
      <c r="AX94" s="41" t="s">
        <v>283</v>
      </c>
      <c r="AY94" s="40"/>
      <c r="AZ94" s="40"/>
      <c r="BA94" s="29"/>
      <c r="BB94" s="22"/>
      <c r="BC94" s="23">
        <v>0.82</v>
      </c>
      <c r="BD94" s="75">
        <f t="shared" si="109"/>
        <v>0</v>
      </c>
      <c r="BF94" s="41" t="s">
        <v>444</v>
      </c>
      <c r="BG94" s="41" t="s">
        <v>283</v>
      </c>
      <c r="BH94" s="40"/>
      <c r="BI94" s="40"/>
      <c r="BJ94" s="29"/>
      <c r="BK94" s="22"/>
      <c r="BL94" s="23">
        <v>0.82</v>
      </c>
      <c r="BM94" s="75">
        <f t="shared" si="110"/>
        <v>0</v>
      </c>
    </row>
    <row r="95" spans="2:65" s="24" customFormat="1" x14ac:dyDescent="0.25">
      <c r="B95" s="8" t="s">
        <v>446</v>
      </c>
      <c r="C95" s="25"/>
      <c r="D95" s="28">
        <f>SUM(D80:D94)</f>
        <v>0</v>
      </c>
      <c r="E95" s="28">
        <f>SUM(E80:E94)</f>
        <v>0</v>
      </c>
      <c r="F95" s="30"/>
      <c r="G95" s="25"/>
      <c r="H95" s="26"/>
      <c r="I95" s="28">
        <f>SUM(I80:I94)</f>
        <v>0</v>
      </c>
      <c r="J95" s="170"/>
      <c r="L95" s="8" t="s">
        <v>446</v>
      </c>
      <c r="M95" s="25"/>
      <c r="N95" s="28">
        <f>SUM(N80:N94)</f>
        <v>0</v>
      </c>
      <c r="O95" s="28">
        <f>SUM(O80:O94)</f>
        <v>0</v>
      </c>
      <c r="P95" s="30"/>
      <c r="Q95" s="25"/>
      <c r="R95" s="26"/>
      <c r="S95" s="28">
        <f>SUM(S80:S94)</f>
        <v>0</v>
      </c>
      <c r="T95" s="170"/>
      <c r="V95" s="8" t="s">
        <v>446</v>
      </c>
      <c r="W95" s="25"/>
      <c r="X95" s="28">
        <f>SUM(X80:X94)</f>
        <v>0</v>
      </c>
      <c r="Y95" s="28">
        <f>SUM(Y80:Y94)</f>
        <v>0</v>
      </c>
      <c r="Z95" s="30"/>
      <c r="AA95" s="25"/>
      <c r="AB95" s="26"/>
      <c r="AC95" s="28">
        <f>SUM(AC80:AC94)</f>
        <v>0</v>
      </c>
      <c r="AE95" s="8" t="s">
        <v>446</v>
      </c>
      <c r="AF95" s="25"/>
      <c r="AG95" s="28">
        <f>SUM(AG80:AG94)</f>
        <v>0</v>
      </c>
      <c r="AH95" s="28">
        <f>SUM(AH80:AH94)</f>
        <v>0</v>
      </c>
      <c r="AI95" s="30"/>
      <c r="AJ95" s="25"/>
      <c r="AK95" s="26"/>
      <c r="AL95" s="28">
        <f>SUM(AL80:AL94)</f>
        <v>0</v>
      </c>
      <c r="AN95" s="8" t="s">
        <v>446</v>
      </c>
      <c r="AO95" s="25"/>
      <c r="AP95" s="28">
        <f>SUM(AP80:AP94)</f>
        <v>0</v>
      </c>
      <c r="AQ95" s="28">
        <f>SUM(AQ80:AQ94)</f>
        <v>0</v>
      </c>
      <c r="AR95" s="30"/>
      <c r="AS95" s="25"/>
      <c r="AT95" s="26"/>
      <c r="AU95" s="28">
        <f>SUM(AU80:AU94)</f>
        <v>0</v>
      </c>
      <c r="AW95" s="8" t="s">
        <v>446</v>
      </c>
      <c r="AX95" s="25"/>
      <c r="AY95" s="28">
        <f>SUM(AY80:AY94)</f>
        <v>0</v>
      </c>
      <c r="AZ95" s="28">
        <f>SUM(AZ80:AZ94)</f>
        <v>0</v>
      </c>
      <c r="BA95" s="30"/>
      <c r="BB95" s="25"/>
      <c r="BC95" s="26"/>
      <c r="BD95" s="28">
        <f>SUM(BD80:BD94)</f>
        <v>0</v>
      </c>
      <c r="BF95" s="8" t="s">
        <v>446</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2" t="s">
        <v>380</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2" t="s">
        <v>380</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x14ac:dyDescent="0.25">
      <c r="B98" s="41" t="s">
        <v>444</v>
      </c>
      <c r="C98" s="41" t="s">
        <v>283</v>
      </c>
      <c r="D98" s="40"/>
      <c r="E98" s="40"/>
      <c r="F98" s="29"/>
      <c r="G98" s="22"/>
      <c r="H98" s="23">
        <v>0.82</v>
      </c>
      <c r="I98" s="75">
        <f>D98*G98*H98</f>
        <v>0</v>
      </c>
      <c r="J98" s="171"/>
      <c r="L98" s="41" t="s">
        <v>444</v>
      </c>
      <c r="M98" s="41" t="s">
        <v>283</v>
      </c>
      <c r="N98" s="40"/>
      <c r="O98" s="40"/>
      <c r="P98" s="29"/>
      <c r="Q98" s="22">
        <v>0.08</v>
      </c>
      <c r="R98" s="23">
        <v>0.82</v>
      </c>
      <c r="S98" s="75">
        <f>N98*Q98*R98</f>
        <v>0</v>
      </c>
      <c r="T98" s="171"/>
      <c r="V98" s="41" t="s">
        <v>444</v>
      </c>
      <c r="W98" s="41" t="s">
        <v>283</v>
      </c>
      <c r="X98" s="40"/>
      <c r="Y98" s="40"/>
      <c r="Z98" s="29"/>
      <c r="AA98" s="22">
        <v>0.08</v>
      </c>
      <c r="AB98" s="23">
        <v>0.82</v>
      </c>
      <c r="AC98" s="75">
        <f>X98*AA98*AB98</f>
        <v>0</v>
      </c>
      <c r="AE98" s="41" t="s">
        <v>444</v>
      </c>
      <c r="AF98" s="41" t="s">
        <v>283</v>
      </c>
      <c r="AG98" s="40"/>
      <c r="AH98" s="40"/>
      <c r="AI98" s="29"/>
      <c r="AJ98" s="22">
        <v>0.08</v>
      </c>
      <c r="AK98" s="23">
        <v>0.82</v>
      </c>
      <c r="AL98" s="75">
        <f>AG98*AJ98*AK98</f>
        <v>0</v>
      </c>
      <c r="AN98" s="41" t="s">
        <v>444</v>
      </c>
      <c r="AO98" s="41" t="s">
        <v>283</v>
      </c>
      <c r="AP98" s="40"/>
      <c r="AQ98" s="40"/>
      <c r="AR98" s="29"/>
      <c r="AS98" s="22">
        <v>0.08</v>
      </c>
      <c r="AT98" s="23">
        <v>0.82</v>
      </c>
      <c r="AU98" s="75">
        <f>AP98*AS98*AT98</f>
        <v>0</v>
      </c>
      <c r="AW98" s="41" t="s">
        <v>444</v>
      </c>
      <c r="AX98" s="41" t="s">
        <v>283</v>
      </c>
      <c r="AY98" s="40"/>
      <c r="AZ98" s="40"/>
      <c r="BA98" s="29"/>
      <c r="BB98" s="22">
        <v>0.08</v>
      </c>
      <c r="BC98" s="23">
        <v>0.82</v>
      </c>
      <c r="BD98" s="75">
        <f>AY98*BB98*BC98</f>
        <v>0</v>
      </c>
      <c r="BF98" s="41" t="s">
        <v>444</v>
      </c>
      <c r="BG98" s="41" t="s">
        <v>283</v>
      </c>
      <c r="BH98" s="40"/>
      <c r="BI98" s="40"/>
      <c r="BJ98" s="29"/>
      <c r="BK98" s="22">
        <v>0.08</v>
      </c>
      <c r="BL98" s="23">
        <v>0.82</v>
      </c>
      <c r="BM98" s="75">
        <f>BH98*BK98*BL98</f>
        <v>0</v>
      </c>
    </row>
    <row r="99" spans="2:65" x14ac:dyDescent="0.25">
      <c r="B99" s="41" t="s">
        <v>444</v>
      </c>
      <c r="C99" s="41" t="s">
        <v>283</v>
      </c>
      <c r="D99" s="40"/>
      <c r="E99" s="40"/>
      <c r="F99" s="29"/>
      <c r="G99" s="22"/>
      <c r="H99" s="23">
        <v>0.82</v>
      </c>
      <c r="I99" s="75">
        <f t="shared" ref="I99:I112" si="118">D99*G99*H99</f>
        <v>0</v>
      </c>
      <c r="J99" s="171"/>
      <c r="L99" s="41" t="s">
        <v>444</v>
      </c>
      <c r="M99" s="41" t="s">
        <v>283</v>
      </c>
      <c r="N99" s="40"/>
      <c r="O99" s="40"/>
      <c r="P99" s="29"/>
      <c r="Q99" s="22"/>
      <c r="R99" s="23">
        <v>0.82</v>
      </c>
      <c r="S99" s="75">
        <f t="shared" ref="S99:S112" si="119">N99*Q99*R99</f>
        <v>0</v>
      </c>
      <c r="T99" s="171"/>
      <c r="V99" s="41" t="s">
        <v>444</v>
      </c>
      <c r="W99" s="41" t="s">
        <v>283</v>
      </c>
      <c r="X99" s="40"/>
      <c r="Y99" s="40"/>
      <c r="Z99" s="29"/>
      <c r="AA99" s="22"/>
      <c r="AB99" s="23">
        <v>0.82</v>
      </c>
      <c r="AC99" s="75">
        <f t="shared" ref="AC99:AC112" si="120">X99*AA99*AB99</f>
        <v>0</v>
      </c>
      <c r="AE99" s="41" t="s">
        <v>444</v>
      </c>
      <c r="AF99" s="41" t="s">
        <v>283</v>
      </c>
      <c r="AG99" s="40"/>
      <c r="AH99" s="40"/>
      <c r="AI99" s="29"/>
      <c r="AJ99" s="22"/>
      <c r="AK99" s="23">
        <v>0.82</v>
      </c>
      <c r="AL99" s="75">
        <f t="shared" ref="AL99:AL112" si="121">AG99*AJ99*AK99</f>
        <v>0</v>
      </c>
      <c r="AN99" s="41" t="s">
        <v>444</v>
      </c>
      <c r="AO99" s="41" t="s">
        <v>283</v>
      </c>
      <c r="AP99" s="40"/>
      <c r="AQ99" s="40"/>
      <c r="AR99" s="29"/>
      <c r="AS99" s="22"/>
      <c r="AT99" s="23">
        <v>0.82</v>
      </c>
      <c r="AU99" s="75">
        <f t="shared" ref="AU99:AU112" si="122">AP99*AS99*AT99</f>
        <v>0</v>
      </c>
      <c r="AW99" s="41" t="s">
        <v>444</v>
      </c>
      <c r="AX99" s="41" t="s">
        <v>283</v>
      </c>
      <c r="AY99" s="40"/>
      <c r="AZ99" s="40"/>
      <c r="BA99" s="29"/>
      <c r="BB99" s="22"/>
      <c r="BC99" s="23">
        <v>0.82</v>
      </c>
      <c r="BD99" s="75">
        <f t="shared" ref="BD99:BD112" si="123">AY99*BB99*BC99</f>
        <v>0</v>
      </c>
      <c r="BF99" s="41" t="s">
        <v>444</v>
      </c>
      <c r="BG99" s="41" t="s">
        <v>283</v>
      </c>
      <c r="BH99" s="40"/>
      <c r="BI99" s="40"/>
      <c r="BJ99" s="29"/>
      <c r="BK99" s="22"/>
      <c r="BL99" s="23">
        <v>0.82</v>
      </c>
      <c r="BM99" s="75">
        <f t="shared" ref="BM99:BM112" si="124">BH99*BK99*BL99</f>
        <v>0</v>
      </c>
    </row>
    <row r="100" spans="2:65" x14ac:dyDescent="0.25">
      <c r="B100" s="41" t="s">
        <v>444</v>
      </c>
      <c r="C100" s="41" t="s">
        <v>283</v>
      </c>
      <c r="D100" s="40"/>
      <c r="E100" s="40"/>
      <c r="F100" s="29"/>
      <c r="G100" s="22"/>
      <c r="H100" s="23">
        <v>0.82</v>
      </c>
      <c r="I100" s="75">
        <f t="shared" si="118"/>
        <v>0</v>
      </c>
      <c r="J100" s="171"/>
      <c r="L100" s="41" t="s">
        <v>444</v>
      </c>
      <c r="M100" s="41" t="s">
        <v>283</v>
      </c>
      <c r="N100" s="40"/>
      <c r="O100" s="40"/>
      <c r="P100" s="29"/>
      <c r="Q100" s="22"/>
      <c r="R100" s="23">
        <v>0.82</v>
      </c>
      <c r="S100" s="75">
        <f t="shared" si="119"/>
        <v>0</v>
      </c>
      <c r="T100" s="171"/>
      <c r="V100" s="41" t="s">
        <v>444</v>
      </c>
      <c r="W100" s="41" t="s">
        <v>283</v>
      </c>
      <c r="X100" s="40"/>
      <c r="Y100" s="40"/>
      <c r="Z100" s="29"/>
      <c r="AA100" s="22"/>
      <c r="AB100" s="23">
        <v>0.82</v>
      </c>
      <c r="AC100" s="75">
        <f t="shared" si="120"/>
        <v>0</v>
      </c>
      <c r="AE100" s="41" t="s">
        <v>444</v>
      </c>
      <c r="AF100" s="41" t="s">
        <v>283</v>
      </c>
      <c r="AG100" s="40"/>
      <c r="AH100" s="40"/>
      <c r="AI100" s="29"/>
      <c r="AJ100" s="22"/>
      <c r="AK100" s="23">
        <v>0.82</v>
      </c>
      <c r="AL100" s="75">
        <f t="shared" si="121"/>
        <v>0</v>
      </c>
      <c r="AN100" s="41" t="s">
        <v>444</v>
      </c>
      <c r="AO100" s="41" t="s">
        <v>283</v>
      </c>
      <c r="AP100" s="40"/>
      <c r="AQ100" s="40"/>
      <c r="AR100" s="29"/>
      <c r="AS100" s="22"/>
      <c r="AT100" s="23">
        <v>0.82</v>
      </c>
      <c r="AU100" s="75">
        <f t="shared" si="122"/>
        <v>0</v>
      </c>
      <c r="AW100" s="41" t="s">
        <v>444</v>
      </c>
      <c r="AX100" s="41" t="s">
        <v>283</v>
      </c>
      <c r="AY100" s="40"/>
      <c r="AZ100" s="40"/>
      <c r="BA100" s="29"/>
      <c r="BB100" s="22"/>
      <c r="BC100" s="23">
        <v>0.82</v>
      </c>
      <c r="BD100" s="75">
        <f t="shared" si="123"/>
        <v>0</v>
      </c>
      <c r="BF100" s="41" t="s">
        <v>444</v>
      </c>
      <c r="BG100" s="41" t="s">
        <v>283</v>
      </c>
      <c r="BH100" s="40"/>
      <c r="BI100" s="40"/>
      <c r="BJ100" s="29"/>
      <c r="BK100" s="22"/>
      <c r="BL100" s="23">
        <v>0.82</v>
      </c>
      <c r="BM100" s="75">
        <f t="shared" si="124"/>
        <v>0</v>
      </c>
    </row>
    <row r="101" spans="2:65" x14ac:dyDescent="0.25">
      <c r="B101" s="41" t="s">
        <v>444</v>
      </c>
      <c r="C101" s="41" t="s">
        <v>283</v>
      </c>
      <c r="D101" s="40"/>
      <c r="E101" s="40"/>
      <c r="F101" s="29"/>
      <c r="G101" s="22"/>
      <c r="H101" s="23">
        <v>0.82</v>
      </c>
      <c r="I101" s="75">
        <f t="shared" si="118"/>
        <v>0</v>
      </c>
      <c r="J101" s="171"/>
      <c r="L101" s="41" t="s">
        <v>444</v>
      </c>
      <c r="M101" s="41" t="s">
        <v>283</v>
      </c>
      <c r="N101" s="40"/>
      <c r="O101" s="40"/>
      <c r="P101" s="29"/>
      <c r="Q101" s="22"/>
      <c r="R101" s="23">
        <v>0.82</v>
      </c>
      <c r="S101" s="75">
        <f t="shared" si="119"/>
        <v>0</v>
      </c>
      <c r="T101" s="171"/>
      <c r="V101" s="41" t="s">
        <v>444</v>
      </c>
      <c r="W101" s="41" t="s">
        <v>283</v>
      </c>
      <c r="X101" s="40"/>
      <c r="Y101" s="40"/>
      <c r="Z101" s="29"/>
      <c r="AA101" s="22"/>
      <c r="AB101" s="23">
        <v>0.82</v>
      </c>
      <c r="AC101" s="75">
        <f t="shared" si="120"/>
        <v>0</v>
      </c>
      <c r="AE101" s="41" t="s">
        <v>444</v>
      </c>
      <c r="AF101" s="41" t="s">
        <v>283</v>
      </c>
      <c r="AG101" s="40"/>
      <c r="AH101" s="40"/>
      <c r="AI101" s="29"/>
      <c r="AJ101" s="22"/>
      <c r="AK101" s="23">
        <v>0.82</v>
      </c>
      <c r="AL101" s="75">
        <f t="shared" si="121"/>
        <v>0</v>
      </c>
      <c r="AN101" s="41" t="s">
        <v>444</v>
      </c>
      <c r="AO101" s="41" t="s">
        <v>283</v>
      </c>
      <c r="AP101" s="40"/>
      <c r="AQ101" s="40"/>
      <c r="AR101" s="29"/>
      <c r="AS101" s="22"/>
      <c r="AT101" s="23">
        <v>0.82</v>
      </c>
      <c r="AU101" s="75">
        <f t="shared" si="122"/>
        <v>0</v>
      </c>
      <c r="AW101" s="41" t="s">
        <v>444</v>
      </c>
      <c r="AX101" s="41" t="s">
        <v>283</v>
      </c>
      <c r="AY101" s="40"/>
      <c r="AZ101" s="40"/>
      <c r="BA101" s="29"/>
      <c r="BB101" s="22"/>
      <c r="BC101" s="23">
        <v>0.82</v>
      </c>
      <c r="BD101" s="75">
        <f t="shared" si="123"/>
        <v>0</v>
      </c>
      <c r="BF101" s="41" t="s">
        <v>444</v>
      </c>
      <c r="BG101" s="41" t="s">
        <v>283</v>
      </c>
      <c r="BH101" s="40"/>
      <c r="BI101" s="40"/>
      <c r="BJ101" s="29"/>
      <c r="BK101" s="22"/>
      <c r="BL101" s="23">
        <v>0.82</v>
      </c>
      <c r="BM101" s="75">
        <f t="shared" si="124"/>
        <v>0</v>
      </c>
    </row>
    <row r="102" spans="2:65" x14ac:dyDescent="0.25">
      <c r="B102" s="41" t="s">
        <v>444</v>
      </c>
      <c r="C102" s="41" t="s">
        <v>283</v>
      </c>
      <c r="D102" s="40"/>
      <c r="E102" s="40"/>
      <c r="F102" s="29"/>
      <c r="G102" s="22"/>
      <c r="H102" s="23">
        <v>0.82</v>
      </c>
      <c r="I102" s="75">
        <f t="shared" si="118"/>
        <v>0</v>
      </c>
      <c r="J102" s="171"/>
      <c r="L102" s="41" t="s">
        <v>444</v>
      </c>
      <c r="M102" s="41" t="s">
        <v>283</v>
      </c>
      <c r="N102" s="40"/>
      <c r="O102" s="40"/>
      <c r="P102" s="29"/>
      <c r="Q102" s="22"/>
      <c r="R102" s="23">
        <v>0.82</v>
      </c>
      <c r="S102" s="75">
        <f t="shared" si="119"/>
        <v>0</v>
      </c>
      <c r="T102" s="171"/>
      <c r="V102" s="41" t="s">
        <v>444</v>
      </c>
      <c r="W102" s="41" t="s">
        <v>283</v>
      </c>
      <c r="X102" s="40"/>
      <c r="Y102" s="40"/>
      <c r="Z102" s="29"/>
      <c r="AA102" s="22"/>
      <c r="AB102" s="23">
        <v>0.82</v>
      </c>
      <c r="AC102" s="75">
        <f t="shared" si="120"/>
        <v>0</v>
      </c>
      <c r="AE102" s="41" t="s">
        <v>444</v>
      </c>
      <c r="AF102" s="41" t="s">
        <v>283</v>
      </c>
      <c r="AG102" s="40"/>
      <c r="AH102" s="40"/>
      <c r="AI102" s="29"/>
      <c r="AJ102" s="22"/>
      <c r="AK102" s="23">
        <v>0.82</v>
      </c>
      <c r="AL102" s="75">
        <f t="shared" si="121"/>
        <v>0</v>
      </c>
      <c r="AN102" s="41" t="s">
        <v>444</v>
      </c>
      <c r="AO102" s="41" t="s">
        <v>283</v>
      </c>
      <c r="AP102" s="40"/>
      <c r="AQ102" s="40"/>
      <c r="AR102" s="29"/>
      <c r="AS102" s="22"/>
      <c r="AT102" s="23">
        <v>0.82</v>
      </c>
      <c r="AU102" s="75">
        <f t="shared" si="122"/>
        <v>0</v>
      </c>
      <c r="AW102" s="41" t="s">
        <v>444</v>
      </c>
      <c r="AX102" s="41" t="s">
        <v>283</v>
      </c>
      <c r="AY102" s="40"/>
      <c r="AZ102" s="40"/>
      <c r="BA102" s="29"/>
      <c r="BB102" s="22"/>
      <c r="BC102" s="23">
        <v>0.82</v>
      </c>
      <c r="BD102" s="75">
        <f t="shared" si="123"/>
        <v>0</v>
      </c>
      <c r="BF102" s="41" t="s">
        <v>444</v>
      </c>
      <c r="BG102" s="41" t="s">
        <v>283</v>
      </c>
      <c r="BH102" s="40"/>
      <c r="BI102" s="40"/>
      <c r="BJ102" s="29"/>
      <c r="BK102" s="22"/>
      <c r="BL102" s="23">
        <v>0.82</v>
      </c>
      <c r="BM102" s="75">
        <f t="shared" si="124"/>
        <v>0</v>
      </c>
    </row>
    <row r="103" spans="2:65" x14ac:dyDescent="0.25">
      <c r="B103" s="41" t="s">
        <v>444</v>
      </c>
      <c r="C103" s="41" t="s">
        <v>283</v>
      </c>
      <c r="D103" s="40"/>
      <c r="E103" s="40"/>
      <c r="F103" s="29"/>
      <c r="G103" s="22"/>
      <c r="H103" s="23">
        <v>0.82</v>
      </c>
      <c r="I103" s="75">
        <f t="shared" si="118"/>
        <v>0</v>
      </c>
      <c r="J103" s="171"/>
      <c r="L103" s="41" t="s">
        <v>444</v>
      </c>
      <c r="M103" s="41" t="s">
        <v>283</v>
      </c>
      <c r="N103" s="40"/>
      <c r="O103" s="40"/>
      <c r="P103" s="29"/>
      <c r="Q103" s="22"/>
      <c r="R103" s="23">
        <v>0.82</v>
      </c>
      <c r="S103" s="75">
        <f t="shared" si="119"/>
        <v>0</v>
      </c>
      <c r="T103" s="171"/>
      <c r="V103" s="41" t="s">
        <v>444</v>
      </c>
      <c r="W103" s="41" t="s">
        <v>283</v>
      </c>
      <c r="X103" s="40"/>
      <c r="Y103" s="40"/>
      <c r="Z103" s="29"/>
      <c r="AA103" s="22"/>
      <c r="AB103" s="23">
        <v>0.82</v>
      </c>
      <c r="AC103" s="75">
        <f t="shared" si="120"/>
        <v>0</v>
      </c>
      <c r="AE103" s="41" t="s">
        <v>444</v>
      </c>
      <c r="AF103" s="41" t="s">
        <v>283</v>
      </c>
      <c r="AG103" s="40"/>
      <c r="AH103" s="40"/>
      <c r="AI103" s="29"/>
      <c r="AJ103" s="22"/>
      <c r="AK103" s="23">
        <v>0.82</v>
      </c>
      <c r="AL103" s="75">
        <f t="shared" si="121"/>
        <v>0</v>
      </c>
      <c r="AN103" s="41" t="s">
        <v>444</v>
      </c>
      <c r="AO103" s="41" t="s">
        <v>283</v>
      </c>
      <c r="AP103" s="40"/>
      <c r="AQ103" s="40"/>
      <c r="AR103" s="29"/>
      <c r="AS103" s="22"/>
      <c r="AT103" s="23">
        <v>0.82</v>
      </c>
      <c r="AU103" s="75">
        <f t="shared" si="122"/>
        <v>0</v>
      </c>
      <c r="AW103" s="41" t="s">
        <v>444</v>
      </c>
      <c r="AX103" s="41" t="s">
        <v>283</v>
      </c>
      <c r="AY103" s="40"/>
      <c r="AZ103" s="40"/>
      <c r="BA103" s="29"/>
      <c r="BB103" s="22"/>
      <c r="BC103" s="23">
        <v>0.82</v>
      </c>
      <c r="BD103" s="75">
        <f t="shared" si="123"/>
        <v>0</v>
      </c>
      <c r="BF103" s="41" t="s">
        <v>444</v>
      </c>
      <c r="BG103" s="41" t="s">
        <v>283</v>
      </c>
      <c r="BH103" s="40"/>
      <c r="BI103" s="40"/>
      <c r="BJ103" s="29"/>
      <c r="BK103" s="22"/>
      <c r="BL103" s="23">
        <v>0.82</v>
      </c>
      <c r="BM103" s="75">
        <f t="shared" si="124"/>
        <v>0</v>
      </c>
    </row>
    <row r="104" spans="2:65" x14ac:dyDescent="0.25">
      <c r="B104" s="41" t="s">
        <v>444</v>
      </c>
      <c r="C104" s="41" t="s">
        <v>283</v>
      </c>
      <c r="D104" s="40"/>
      <c r="E104" s="40"/>
      <c r="F104" s="29"/>
      <c r="G104" s="22"/>
      <c r="H104" s="23">
        <v>0.82</v>
      </c>
      <c r="I104" s="75">
        <f t="shared" si="118"/>
        <v>0</v>
      </c>
      <c r="J104" s="171"/>
      <c r="L104" s="41" t="s">
        <v>444</v>
      </c>
      <c r="M104" s="41" t="s">
        <v>283</v>
      </c>
      <c r="N104" s="40"/>
      <c r="O104" s="40"/>
      <c r="P104" s="29"/>
      <c r="Q104" s="22"/>
      <c r="R104" s="23">
        <v>0.82</v>
      </c>
      <c r="S104" s="75">
        <f t="shared" si="119"/>
        <v>0</v>
      </c>
      <c r="T104" s="171"/>
      <c r="V104" s="41" t="s">
        <v>444</v>
      </c>
      <c r="W104" s="41" t="s">
        <v>283</v>
      </c>
      <c r="X104" s="40"/>
      <c r="Y104" s="40"/>
      <c r="Z104" s="29"/>
      <c r="AA104" s="22"/>
      <c r="AB104" s="23">
        <v>0.82</v>
      </c>
      <c r="AC104" s="75">
        <f t="shared" si="120"/>
        <v>0</v>
      </c>
      <c r="AE104" s="41" t="s">
        <v>444</v>
      </c>
      <c r="AF104" s="41" t="s">
        <v>283</v>
      </c>
      <c r="AG104" s="40"/>
      <c r="AH104" s="40"/>
      <c r="AI104" s="29"/>
      <c r="AJ104" s="22"/>
      <c r="AK104" s="23">
        <v>0.82</v>
      </c>
      <c r="AL104" s="75">
        <f t="shared" si="121"/>
        <v>0</v>
      </c>
      <c r="AN104" s="41" t="s">
        <v>444</v>
      </c>
      <c r="AO104" s="41" t="s">
        <v>283</v>
      </c>
      <c r="AP104" s="40"/>
      <c r="AQ104" s="40"/>
      <c r="AR104" s="29"/>
      <c r="AS104" s="22"/>
      <c r="AT104" s="23">
        <v>0.82</v>
      </c>
      <c r="AU104" s="75">
        <f t="shared" si="122"/>
        <v>0</v>
      </c>
      <c r="AW104" s="41" t="s">
        <v>444</v>
      </c>
      <c r="AX104" s="41" t="s">
        <v>283</v>
      </c>
      <c r="AY104" s="40"/>
      <c r="AZ104" s="40"/>
      <c r="BA104" s="29"/>
      <c r="BB104" s="22"/>
      <c r="BC104" s="23">
        <v>0.82</v>
      </c>
      <c r="BD104" s="75">
        <f t="shared" si="123"/>
        <v>0</v>
      </c>
      <c r="BF104" s="41" t="s">
        <v>444</v>
      </c>
      <c r="BG104" s="41" t="s">
        <v>283</v>
      </c>
      <c r="BH104" s="40"/>
      <c r="BI104" s="40"/>
      <c r="BJ104" s="29"/>
      <c r="BK104" s="22"/>
      <c r="BL104" s="23">
        <v>0.82</v>
      </c>
      <c r="BM104" s="75">
        <f t="shared" si="124"/>
        <v>0</v>
      </c>
    </row>
    <row r="105" spans="2:65" outlineLevel="1" x14ac:dyDescent="0.25">
      <c r="B105" s="41" t="s">
        <v>444</v>
      </c>
      <c r="C105" s="41" t="s">
        <v>283</v>
      </c>
      <c r="D105" s="40"/>
      <c r="E105" s="40"/>
      <c r="F105" s="29"/>
      <c r="G105" s="22"/>
      <c r="H105" s="23">
        <v>0.82</v>
      </c>
      <c r="I105" s="75">
        <f t="shared" si="118"/>
        <v>0</v>
      </c>
      <c r="J105" s="171"/>
      <c r="L105" s="41" t="s">
        <v>444</v>
      </c>
      <c r="M105" s="41" t="s">
        <v>283</v>
      </c>
      <c r="N105" s="40"/>
      <c r="O105" s="40"/>
      <c r="P105" s="29"/>
      <c r="Q105" s="22"/>
      <c r="R105" s="23">
        <v>0.82</v>
      </c>
      <c r="S105" s="75">
        <f t="shared" si="119"/>
        <v>0</v>
      </c>
      <c r="T105" s="171"/>
      <c r="V105" s="41" t="s">
        <v>444</v>
      </c>
      <c r="W105" s="41" t="s">
        <v>283</v>
      </c>
      <c r="X105" s="40"/>
      <c r="Y105" s="40"/>
      <c r="Z105" s="29"/>
      <c r="AA105" s="22"/>
      <c r="AB105" s="23">
        <v>0.82</v>
      </c>
      <c r="AC105" s="75">
        <f t="shared" si="120"/>
        <v>0</v>
      </c>
      <c r="AE105" s="41" t="s">
        <v>444</v>
      </c>
      <c r="AF105" s="41" t="s">
        <v>283</v>
      </c>
      <c r="AG105" s="40"/>
      <c r="AH105" s="40"/>
      <c r="AI105" s="29"/>
      <c r="AJ105" s="22"/>
      <c r="AK105" s="23">
        <v>0.82</v>
      </c>
      <c r="AL105" s="75">
        <f t="shared" si="121"/>
        <v>0</v>
      </c>
      <c r="AN105" s="41" t="s">
        <v>444</v>
      </c>
      <c r="AO105" s="41" t="s">
        <v>283</v>
      </c>
      <c r="AP105" s="40"/>
      <c r="AQ105" s="40"/>
      <c r="AR105" s="29"/>
      <c r="AS105" s="22"/>
      <c r="AT105" s="23">
        <v>0.82</v>
      </c>
      <c r="AU105" s="75">
        <f t="shared" si="122"/>
        <v>0</v>
      </c>
      <c r="AW105" s="41" t="s">
        <v>444</v>
      </c>
      <c r="AX105" s="41" t="s">
        <v>283</v>
      </c>
      <c r="AY105" s="40"/>
      <c r="AZ105" s="40"/>
      <c r="BA105" s="29"/>
      <c r="BB105" s="22"/>
      <c r="BC105" s="23">
        <v>0.82</v>
      </c>
      <c r="BD105" s="75">
        <f t="shared" si="123"/>
        <v>0</v>
      </c>
      <c r="BF105" s="41" t="s">
        <v>444</v>
      </c>
      <c r="BG105" s="41" t="s">
        <v>283</v>
      </c>
      <c r="BH105" s="40"/>
      <c r="BI105" s="40"/>
      <c r="BJ105" s="29"/>
      <c r="BK105" s="22"/>
      <c r="BL105" s="23">
        <v>0.82</v>
      </c>
      <c r="BM105" s="75">
        <f t="shared" si="124"/>
        <v>0</v>
      </c>
    </row>
    <row r="106" spans="2:65" outlineLevel="1" x14ac:dyDescent="0.25">
      <c r="B106" s="41" t="s">
        <v>444</v>
      </c>
      <c r="C106" s="41" t="s">
        <v>283</v>
      </c>
      <c r="D106" s="40"/>
      <c r="E106" s="40"/>
      <c r="F106" s="29"/>
      <c r="G106" s="22"/>
      <c r="H106" s="23">
        <v>0.82</v>
      </c>
      <c r="I106" s="75">
        <f t="shared" si="118"/>
        <v>0</v>
      </c>
      <c r="J106" s="171"/>
      <c r="L106" s="41" t="s">
        <v>444</v>
      </c>
      <c r="M106" s="41" t="s">
        <v>283</v>
      </c>
      <c r="N106" s="40"/>
      <c r="O106" s="40"/>
      <c r="P106" s="29"/>
      <c r="Q106" s="22"/>
      <c r="R106" s="23">
        <v>0.82</v>
      </c>
      <c r="S106" s="75">
        <f t="shared" si="119"/>
        <v>0</v>
      </c>
      <c r="T106" s="171"/>
      <c r="V106" s="41" t="s">
        <v>444</v>
      </c>
      <c r="W106" s="41" t="s">
        <v>283</v>
      </c>
      <c r="X106" s="40"/>
      <c r="Y106" s="40"/>
      <c r="Z106" s="29"/>
      <c r="AA106" s="22"/>
      <c r="AB106" s="23">
        <v>0.82</v>
      </c>
      <c r="AC106" s="75">
        <f t="shared" si="120"/>
        <v>0</v>
      </c>
      <c r="AE106" s="41" t="s">
        <v>444</v>
      </c>
      <c r="AF106" s="41" t="s">
        <v>283</v>
      </c>
      <c r="AG106" s="40"/>
      <c r="AH106" s="40"/>
      <c r="AI106" s="29"/>
      <c r="AJ106" s="22"/>
      <c r="AK106" s="23">
        <v>0.82</v>
      </c>
      <c r="AL106" s="75">
        <f t="shared" si="121"/>
        <v>0</v>
      </c>
      <c r="AN106" s="41" t="s">
        <v>444</v>
      </c>
      <c r="AO106" s="41" t="s">
        <v>283</v>
      </c>
      <c r="AP106" s="40"/>
      <c r="AQ106" s="40"/>
      <c r="AR106" s="29"/>
      <c r="AS106" s="22"/>
      <c r="AT106" s="23">
        <v>0.82</v>
      </c>
      <c r="AU106" s="75">
        <f t="shared" si="122"/>
        <v>0</v>
      </c>
      <c r="AW106" s="41" t="s">
        <v>444</v>
      </c>
      <c r="AX106" s="41" t="s">
        <v>283</v>
      </c>
      <c r="AY106" s="40"/>
      <c r="AZ106" s="40"/>
      <c r="BA106" s="29"/>
      <c r="BB106" s="22"/>
      <c r="BC106" s="23">
        <v>0.82</v>
      </c>
      <c r="BD106" s="75">
        <f t="shared" si="123"/>
        <v>0</v>
      </c>
      <c r="BF106" s="41" t="s">
        <v>444</v>
      </c>
      <c r="BG106" s="41" t="s">
        <v>283</v>
      </c>
      <c r="BH106" s="40"/>
      <c r="BI106" s="40"/>
      <c r="BJ106" s="29"/>
      <c r="BK106" s="22"/>
      <c r="BL106" s="23">
        <v>0.82</v>
      </c>
      <c r="BM106" s="75">
        <f t="shared" si="124"/>
        <v>0</v>
      </c>
    </row>
    <row r="107" spans="2:65" outlineLevel="1" x14ac:dyDescent="0.25">
      <c r="B107" s="41" t="s">
        <v>444</v>
      </c>
      <c r="C107" s="41" t="s">
        <v>283</v>
      </c>
      <c r="D107" s="40"/>
      <c r="E107" s="40"/>
      <c r="F107" s="29"/>
      <c r="G107" s="22"/>
      <c r="H107" s="23">
        <v>0.82</v>
      </c>
      <c r="I107" s="75">
        <f t="shared" si="118"/>
        <v>0</v>
      </c>
      <c r="J107" s="171"/>
      <c r="L107" s="41" t="s">
        <v>444</v>
      </c>
      <c r="M107" s="41" t="s">
        <v>283</v>
      </c>
      <c r="N107" s="40"/>
      <c r="O107" s="40"/>
      <c r="P107" s="29"/>
      <c r="Q107" s="22"/>
      <c r="R107" s="23">
        <v>0.82</v>
      </c>
      <c r="S107" s="75">
        <f t="shared" si="119"/>
        <v>0</v>
      </c>
      <c r="T107" s="171"/>
      <c r="V107" s="41" t="s">
        <v>444</v>
      </c>
      <c r="W107" s="41" t="s">
        <v>283</v>
      </c>
      <c r="X107" s="40"/>
      <c r="Y107" s="40"/>
      <c r="Z107" s="29"/>
      <c r="AA107" s="22"/>
      <c r="AB107" s="23">
        <v>0.82</v>
      </c>
      <c r="AC107" s="75">
        <f t="shared" si="120"/>
        <v>0</v>
      </c>
      <c r="AE107" s="41" t="s">
        <v>444</v>
      </c>
      <c r="AF107" s="41" t="s">
        <v>283</v>
      </c>
      <c r="AG107" s="40"/>
      <c r="AH107" s="40"/>
      <c r="AI107" s="29"/>
      <c r="AJ107" s="22"/>
      <c r="AK107" s="23">
        <v>0.82</v>
      </c>
      <c r="AL107" s="75">
        <f t="shared" si="121"/>
        <v>0</v>
      </c>
      <c r="AN107" s="41" t="s">
        <v>444</v>
      </c>
      <c r="AO107" s="41" t="s">
        <v>283</v>
      </c>
      <c r="AP107" s="40"/>
      <c r="AQ107" s="40"/>
      <c r="AR107" s="29"/>
      <c r="AS107" s="22"/>
      <c r="AT107" s="23">
        <v>0.82</v>
      </c>
      <c r="AU107" s="75">
        <f t="shared" si="122"/>
        <v>0</v>
      </c>
      <c r="AW107" s="41" t="s">
        <v>444</v>
      </c>
      <c r="AX107" s="41" t="s">
        <v>283</v>
      </c>
      <c r="AY107" s="40"/>
      <c r="AZ107" s="40"/>
      <c r="BA107" s="29"/>
      <c r="BB107" s="22"/>
      <c r="BC107" s="23">
        <v>0.82</v>
      </c>
      <c r="BD107" s="75">
        <f t="shared" si="123"/>
        <v>0</v>
      </c>
      <c r="BF107" s="41" t="s">
        <v>444</v>
      </c>
      <c r="BG107" s="41" t="s">
        <v>283</v>
      </c>
      <c r="BH107" s="40"/>
      <c r="BI107" s="40"/>
      <c r="BJ107" s="29"/>
      <c r="BK107" s="22"/>
      <c r="BL107" s="23">
        <v>0.82</v>
      </c>
      <c r="BM107" s="75">
        <f t="shared" si="124"/>
        <v>0</v>
      </c>
    </row>
    <row r="108" spans="2:65" outlineLevel="1" x14ac:dyDescent="0.25">
      <c r="B108" s="41" t="s">
        <v>444</v>
      </c>
      <c r="C108" s="41" t="s">
        <v>283</v>
      </c>
      <c r="D108" s="40"/>
      <c r="E108" s="40"/>
      <c r="F108" s="29"/>
      <c r="G108" s="22"/>
      <c r="H108" s="23">
        <v>0.82</v>
      </c>
      <c r="I108" s="75">
        <f t="shared" si="118"/>
        <v>0</v>
      </c>
      <c r="J108" s="171"/>
      <c r="L108" s="41" t="s">
        <v>444</v>
      </c>
      <c r="M108" s="41" t="s">
        <v>283</v>
      </c>
      <c r="N108" s="40"/>
      <c r="O108" s="40"/>
      <c r="P108" s="29"/>
      <c r="Q108" s="22"/>
      <c r="R108" s="23">
        <v>0.82</v>
      </c>
      <c r="S108" s="75">
        <f t="shared" si="119"/>
        <v>0</v>
      </c>
      <c r="T108" s="171"/>
      <c r="V108" s="41" t="s">
        <v>444</v>
      </c>
      <c r="W108" s="41" t="s">
        <v>283</v>
      </c>
      <c r="X108" s="40"/>
      <c r="Y108" s="40"/>
      <c r="Z108" s="29"/>
      <c r="AA108" s="22"/>
      <c r="AB108" s="23">
        <v>0.82</v>
      </c>
      <c r="AC108" s="75">
        <f t="shared" si="120"/>
        <v>0</v>
      </c>
      <c r="AE108" s="41" t="s">
        <v>444</v>
      </c>
      <c r="AF108" s="41" t="s">
        <v>283</v>
      </c>
      <c r="AG108" s="40"/>
      <c r="AH108" s="40"/>
      <c r="AI108" s="29"/>
      <c r="AJ108" s="22"/>
      <c r="AK108" s="23">
        <v>0.82</v>
      </c>
      <c r="AL108" s="75">
        <f t="shared" si="121"/>
        <v>0</v>
      </c>
      <c r="AN108" s="41" t="s">
        <v>444</v>
      </c>
      <c r="AO108" s="41" t="s">
        <v>283</v>
      </c>
      <c r="AP108" s="40"/>
      <c r="AQ108" s="40"/>
      <c r="AR108" s="29"/>
      <c r="AS108" s="22"/>
      <c r="AT108" s="23">
        <v>0.82</v>
      </c>
      <c r="AU108" s="75">
        <f t="shared" si="122"/>
        <v>0</v>
      </c>
      <c r="AW108" s="41" t="s">
        <v>444</v>
      </c>
      <c r="AX108" s="41" t="s">
        <v>283</v>
      </c>
      <c r="AY108" s="40"/>
      <c r="AZ108" s="40"/>
      <c r="BA108" s="29"/>
      <c r="BB108" s="22"/>
      <c r="BC108" s="23">
        <v>0.82</v>
      </c>
      <c r="BD108" s="75">
        <f t="shared" si="123"/>
        <v>0</v>
      </c>
      <c r="BF108" s="41" t="s">
        <v>444</v>
      </c>
      <c r="BG108" s="41" t="s">
        <v>283</v>
      </c>
      <c r="BH108" s="40"/>
      <c r="BI108" s="40"/>
      <c r="BJ108" s="29"/>
      <c r="BK108" s="22"/>
      <c r="BL108" s="23">
        <v>0.82</v>
      </c>
      <c r="BM108" s="75">
        <f t="shared" si="124"/>
        <v>0</v>
      </c>
    </row>
    <row r="109" spans="2:65" outlineLevel="1" x14ac:dyDescent="0.25">
      <c r="B109" s="41" t="s">
        <v>444</v>
      </c>
      <c r="C109" s="41" t="s">
        <v>283</v>
      </c>
      <c r="D109" s="40"/>
      <c r="E109" s="40"/>
      <c r="F109" s="29"/>
      <c r="G109" s="22"/>
      <c r="H109" s="23">
        <v>0.82</v>
      </c>
      <c r="I109" s="75">
        <f t="shared" si="118"/>
        <v>0</v>
      </c>
      <c r="J109" s="171"/>
      <c r="L109" s="41" t="s">
        <v>444</v>
      </c>
      <c r="M109" s="41" t="s">
        <v>283</v>
      </c>
      <c r="N109" s="40"/>
      <c r="O109" s="40"/>
      <c r="P109" s="29"/>
      <c r="Q109" s="22"/>
      <c r="R109" s="23">
        <v>0.82</v>
      </c>
      <c r="S109" s="75">
        <f t="shared" si="119"/>
        <v>0</v>
      </c>
      <c r="T109" s="171"/>
      <c r="V109" s="41" t="s">
        <v>444</v>
      </c>
      <c r="W109" s="41" t="s">
        <v>283</v>
      </c>
      <c r="X109" s="40"/>
      <c r="Y109" s="40"/>
      <c r="Z109" s="29"/>
      <c r="AA109" s="22"/>
      <c r="AB109" s="23">
        <v>0.82</v>
      </c>
      <c r="AC109" s="75">
        <f t="shared" si="120"/>
        <v>0</v>
      </c>
      <c r="AE109" s="41" t="s">
        <v>444</v>
      </c>
      <c r="AF109" s="41" t="s">
        <v>283</v>
      </c>
      <c r="AG109" s="40"/>
      <c r="AH109" s="40"/>
      <c r="AI109" s="29"/>
      <c r="AJ109" s="22"/>
      <c r="AK109" s="23">
        <v>0.82</v>
      </c>
      <c r="AL109" s="75">
        <f t="shared" si="121"/>
        <v>0</v>
      </c>
      <c r="AN109" s="41" t="s">
        <v>444</v>
      </c>
      <c r="AO109" s="41" t="s">
        <v>283</v>
      </c>
      <c r="AP109" s="40"/>
      <c r="AQ109" s="40"/>
      <c r="AR109" s="29"/>
      <c r="AS109" s="22"/>
      <c r="AT109" s="23">
        <v>0.82</v>
      </c>
      <c r="AU109" s="75">
        <f t="shared" si="122"/>
        <v>0</v>
      </c>
      <c r="AW109" s="41" t="s">
        <v>444</v>
      </c>
      <c r="AX109" s="41" t="s">
        <v>283</v>
      </c>
      <c r="AY109" s="40"/>
      <c r="AZ109" s="40"/>
      <c r="BA109" s="29"/>
      <c r="BB109" s="22"/>
      <c r="BC109" s="23">
        <v>0.82</v>
      </c>
      <c r="BD109" s="75">
        <f t="shared" si="123"/>
        <v>0</v>
      </c>
      <c r="BF109" s="41" t="s">
        <v>444</v>
      </c>
      <c r="BG109" s="41" t="s">
        <v>283</v>
      </c>
      <c r="BH109" s="40"/>
      <c r="BI109" s="40"/>
      <c r="BJ109" s="29"/>
      <c r="BK109" s="22"/>
      <c r="BL109" s="23">
        <v>0.82</v>
      </c>
      <c r="BM109" s="75">
        <f t="shared" si="124"/>
        <v>0</v>
      </c>
    </row>
    <row r="110" spans="2:65" outlineLevel="1" x14ac:dyDescent="0.25">
      <c r="B110" s="41" t="s">
        <v>444</v>
      </c>
      <c r="C110" s="41" t="s">
        <v>283</v>
      </c>
      <c r="D110" s="40"/>
      <c r="E110" s="40"/>
      <c r="F110" s="29"/>
      <c r="G110" s="22"/>
      <c r="H110" s="23">
        <v>0.82</v>
      </c>
      <c r="I110" s="75">
        <f t="shared" si="118"/>
        <v>0</v>
      </c>
      <c r="J110" s="171"/>
      <c r="L110" s="41" t="s">
        <v>444</v>
      </c>
      <c r="M110" s="41" t="s">
        <v>283</v>
      </c>
      <c r="N110" s="40"/>
      <c r="O110" s="40"/>
      <c r="P110" s="29"/>
      <c r="Q110" s="22"/>
      <c r="R110" s="23">
        <v>0.82</v>
      </c>
      <c r="S110" s="75">
        <f t="shared" si="119"/>
        <v>0</v>
      </c>
      <c r="T110" s="171"/>
      <c r="V110" s="41" t="s">
        <v>444</v>
      </c>
      <c r="W110" s="41" t="s">
        <v>283</v>
      </c>
      <c r="X110" s="40"/>
      <c r="Y110" s="40"/>
      <c r="Z110" s="29"/>
      <c r="AA110" s="22"/>
      <c r="AB110" s="23">
        <v>0.82</v>
      </c>
      <c r="AC110" s="75">
        <f t="shared" si="120"/>
        <v>0</v>
      </c>
      <c r="AE110" s="41" t="s">
        <v>444</v>
      </c>
      <c r="AF110" s="41" t="s">
        <v>283</v>
      </c>
      <c r="AG110" s="40"/>
      <c r="AH110" s="40"/>
      <c r="AI110" s="29"/>
      <c r="AJ110" s="22"/>
      <c r="AK110" s="23">
        <v>0.82</v>
      </c>
      <c r="AL110" s="75">
        <f t="shared" si="121"/>
        <v>0</v>
      </c>
      <c r="AN110" s="41" t="s">
        <v>444</v>
      </c>
      <c r="AO110" s="41" t="s">
        <v>283</v>
      </c>
      <c r="AP110" s="40"/>
      <c r="AQ110" s="40"/>
      <c r="AR110" s="29"/>
      <c r="AS110" s="22"/>
      <c r="AT110" s="23">
        <v>0.82</v>
      </c>
      <c r="AU110" s="75">
        <f t="shared" si="122"/>
        <v>0</v>
      </c>
      <c r="AW110" s="41" t="s">
        <v>444</v>
      </c>
      <c r="AX110" s="41" t="s">
        <v>283</v>
      </c>
      <c r="AY110" s="40"/>
      <c r="AZ110" s="40"/>
      <c r="BA110" s="29"/>
      <c r="BB110" s="22"/>
      <c r="BC110" s="23">
        <v>0.82</v>
      </c>
      <c r="BD110" s="75">
        <f t="shared" si="123"/>
        <v>0</v>
      </c>
      <c r="BF110" s="41" t="s">
        <v>444</v>
      </c>
      <c r="BG110" s="41" t="s">
        <v>283</v>
      </c>
      <c r="BH110" s="40"/>
      <c r="BI110" s="40"/>
      <c r="BJ110" s="29"/>
      <c r="BK110" s="22"/>
      <c r="BL110" s="23">
        <v>0.82</v>
      </c>
      <c r="BM110" s="75">
        <f t="shared" si="124"/>
        <v>0</v>
      </c>
    </row>
    <row r="111" spans="2:65" outlineLevel="1" x14ac:dyDescent="0.25">
      <c r="B111" s="41" t="s">
        <v>444</v>
      </c>
      <c r="C111" s="41" t="s">
        <v>283</v>
      </c>
      <c r="D111" s="40"/>
      <c r="E111" s="40"/>
      <c r="F111" s="29"/>
      <c r="G111" s="22"/>
      <c r="H111" s="23">
        <v>0.82</v>
      </c>
      <c r="I111" s="75">
        <f t="shared" si="118"/>
        <v>0</v>
      </c>
      <c r="J111" s="171"/>
      <c r="L111" s="41" t="s">
        <v>444</v>
      </c>
      <c r="M111" s="41" t="s">
        <v>283</v>
      </c>
      <c r="N111" s="40"/>
      <c r="O111" s="40"/>
      <c r="P111" s="29"/>
      <c r="Q111" s="22"/>
      <c r="R111" s="23">
        <v>0.82</v>
      </c>
      <c r="S111" s="75">
        <f t="shared" si="119"/>
        <v>0</v>
      </c>
      <c r="T111" s="171"/>
      <c r="V111" s="41" t="s">
        <v>444</v>
      </c>
      <c r="W111" s="41" t="s">
        <v>283</v>
      </c>
      <c r="X111" s="40"/>
      <c r="Y111" s="40"/>
      <c r="Z111" s="29"/>
      <c r="AA111" s="22"/>
      <c r="AB111" s="23">
        <v>0.82</v>
      </c>
      <c r="AC111" s="75">
        <f t="shared" si="120"/>
        <v>0</v>
      </c>
      <c r="AE111" s="41" t="s">
        <v>444</v>
      </c>
      <c r="AF111" s="41" t="s">
        <v>283</v>
      </c>
      <c r="AG111" s="40"/>
      <c r="AH111" s="40"/>
      <c r="AI111" s="29"/>
      <c r="AJ111" s="22"/>
      <c r="AK111" s="23">
        <v>0.82</v>
      </c>
      <c r="AL111" s="75">
        <f t="shared" si="121"/>
        <v>0</v>
      </c>
      <c r="AN111" s="41" t="s">
        <v>444</v>
      </c>
      <c r="AO111" s="41" t="s">
        <v>283</v>
      </c>
      <c r="AP111" s="40"/>
      <c r="AQ111" s="40"/>
      <c r="AR111" s="29"/>
      <c r="AS111" s="22"/>
      <c r="AT111" s="23">
        <v>0.82</v>
      </c>
      <c r="AU111" s="75">
        <f t="shared" si="122"/>
        <v>0</v>
      </c>
      <c r="AW111" s="41" t="s">
        <v>444</v>
      </c>
      <c r="AX111" s="41" t="s">
        <v>283</v>
      </c>
      <c r="AY111" s="40"/>
      <c r="AZ111" s="40"/>
      <c r="BA111" s="29"/>
      <c r="BB111" s="22"/>
      <c r="BC111" s="23">
        <v>0.82</v>
      </c>
      <c r="BD111" s="75">
        <f t="shared" si="123"/>
        <v>0</v>
      </c>
      <c r="BF111" s="41" t="s">
        <v>444</v>
      </c>
      <c r="BG111" s="41" t="s">
        <v>283</v>
      </c>
      <c r="BH111" s="40"/>
      <c r="BI111" s="40"/>
      <c r="BJ111" s="29"/>
      <c r="BK111" s="22"/>
      <c r="BL111" s="23">
        <v>0.82</v>
      </c>
      <c r="BM111" s="75">
        <f t="shared" si="124"/>
        <v>0</v>
      </c>
    </row>
    <row r="112" spans="2:65" outlineLevel="1" x14ac:dyDescent="0.25">
      <c r="B112" s="41" t="s">
        <v>444</v>
      </c>
      <c r="C112" s="41" t="s">
        <v>283</v>
      </c>
      <c r="D112" s="40"/>
      <c r="E112" s="40"/>
      <c r="F112" s="29"/>
      <c r="G112" s="22"/>
      <c r="H112" s="23">
        <v>0.82</v>
      </c>
      <c r="I112" s="75">
        <f t="shared" si="118"/>
        <v>0</v>
      </c>
      <c r="J112" s="171"/>
      <c r="L112" s="41" t="s">
        <v>444</v>
      </c>
      <c r="M112" s="41" t="s">
        <v>283</v>
      </c>
      <c r="N112" s="40"/>
      <c r="O112" s="40"/>
      <c r="P112" s="29"/>
      <c r="Q112" s="22"/>
      <c r="R112" s="23">
        <v>0.82</v>
      </c>
      <c r="S112" s="75">
        <f t="shared" si="119"/>
        <v>0</v>
      </c>
      <c r="T112" s="171"/>
      <c r="V112" s="41" t="s">
        <v>444</v>
      </c>
      <c r="W112" s="41" t="s">
        <v>283</v>
      </c>
      <c r="X112" s="40"/>
      <c r="Y112" s="40"/>
      <c r="Z112" s="29"/>
      <c r="AA112" s="22"/>
      <c r="AB112" s="23">
        <v>0.82</v>
      </c>
      <c r="AC112" s="75">
        <f t="shared" si="120"/>
        <v>0</v>
      </c>
      <c r="AE112" s="41" t="s">
        <v>444</v>
      </c>
      <c r="AF112" s="41" t="s">
        <v>283</v>
      </c>
      <c r="AG112" s="40"/>
      <c r="AH112" s="40"/>
      <c r="AI112" s="29"/>
      <c r="AJ112" s="22"/>
      <c r="AK112" s="23">
        <v>0.82</v>
      </c>
      <c r="AL112" s="75">
        <f t="shared" si="121"/>
        <v>0</v>
      </c>
      <c r="AN112" s="41" t="s">
        <v>444</v>
      </c>
      <c r="AO112" s="41" t="s">
        <v>283</v>
      </c>
      <c r="AP112" s="40"/>
      <c r="AQ112" s="40"/>
      <c r="AR112" s="29"/>
      <c r="AS112" s="22"/>
      <c r="AT112" s="23">
        <v>0.82</v>
      </c>
      <c r="AU112" s="75">
        <f t="shared" si="122"/>
        <v>0</v>
      </c>
      <c r="AW112" s="41" t="s">
        <v>444</v>
      </c>
      <c r="AX112" s="41" t="s">
        <v>283</v>
      </c>
      <c r="AY112" s="40"/>
      <c r="AZ112" s="40"/>
      <c r="BA112" s="29"/>
      <c r="BB112" s="22"/>
      <c r="BC112" s="23">
        <v>0.82</v>
      </c>
      <c r="BD112" s="75">
        <f t="shared" si="123"/>
        <v>0</v>
      </c>
      <c r="BF112" s="41" t="s">
        <v>444</v>
      </c>
      <c r="BG112" s="41" t="s">
        <v>283</v>
      </c>
      <c r="BH112" s="40"/>
      <c r="BI112" s="40"/>
      <c r="BJ112" s="29"/>
      <c r="BK112" s="22"/>
      <c r="BL112" s="23">
        <v>0.82</v>
      </c>
      <c r="BM112" s="75">
        <f t="shared" si="124"/>
        <v>0</v>
      </c>
    </row>
    <row r="113" spans="2:65" s="24" customFormat="1" x14ac:dyDescent="0.25">
      <c r="B113" s="8" t="s">
        <v>447</v>
      </c>
      <c r="C113" s="25"/>
      <c r="D113" s="28">
        <f>SUM(D98:D112)</f>
        <v>0</v>
      </c>
      <c r="E113" s="28">
        <f>SUM(E98:E112)</f>
        <v>0</v>
      </c>
      <c r="F113" s="30"/>
      <c r="G113" s="25"/>
      <c r="H113" s="26"/>
      <c r="I113" s="28">
        <f>SUM(I98:I112)</f>
        <v>0</v>
      </c>
      <c r="J113" s="170"/>
      <c r="L113" s="8" t="s">
        <v>447</v>
      </c>
      <c r="M113" s="25"/>
      <c r="N113" s="28">
        <f>SUM(N98:N112)</f>
        <v>0</v>
      </c>
      <c r="O113" s="28">
        <f>SUM(O98:O112)</f>
        <v>0</v>
      </c>
      <c r="P113" s="30"/>
      <c r="Q113" s="25"/>
      <c r="R113" s="26"/>
      <c r="S113" s="28">
        <f>SUM(S98:S112)</f>
        <v>0</v>
      </c>
      <c r="T113" s="170"/>
      <c r="V113" s="8" t="s">
        <v>447</v>
      </c>
      <c r="W113" s="25"/>
      <c r="X113" s="28">
        <f>SUM(X98:X112)</f>
        <v>0</v>
      </c>
      <c r="Y113" s="28">
        <f>SUM(Y98:Y112)</f>
        <v>0</v>
      </c>
      <c r="Z113" s="30"/>
      <c r="AA113" s="25"/>
      <c r="AB113" s="26"/>
      <c r="AC113" s="28">
        <f>SUM(AC98:AC112)</f>
        <v>0</v>
      </c>
      <c r="AE113" s="8" t="s">
        <v>447</v>
      </c>
      <c r="AF113" s="25"/>
      <c r="AG113" s="28">
        <f>SUM(AG98:AG112)</f>
        <v>0</v>
      </c>
      <c r="AH113" s="28">
        <f>SUM(AH98:AH112)</f>
        <v>0</v>
      </c>
      <c r="AI113" s="30"/>
      <c r="AJ113" s="25"/>
      <c r="AK113" s="26"/>
      <c r="AL113" s="28">
        <f>SUM(AL98:AL112)</f>
        <v>0</v>
      </c>
      <c r="AN113" s="8" t="s">
        <v>447</v>
      </c>
      <c r="AO113" s="25"/>
      <c r="AP113" s="28">
        <f>SUM(AP98:AP112)</f>
        <v>0</v>
      </c>
      <c r="AQ113" s="28">
        <f>SUM(AQ98:AQ112)</f>
        <v>0</v>
      </c>
      <c r="AR113" s="30"/>
      <c r="AS113" s="25"/>
      <c r="AT113" s="26"/>
      <c r="AU113" s="28">
        <f>SUM(AU98:AU112)</f>
        <v>0</v>
      </c>
      <c r="AW113" s="8" t="s">
        <v>447</v>
      </c>
      <c r="AX113" s="25"/>
      <c r="AY113" s="28">
        <f>SUM(AY98:AY112)</f>
        <v>0</v>
      </c>
      <c r="AZ113" s="28">
        <f>SUM(AZ98:AZ112)</f>
        <v>0</v>
      </c>
      <c r="BA113" s="30"/>
      <c r="BB113" s="25"/>
      <c r="BC113" s="26"/>
      <c r="BD113" s="28">
        <f>SUM(BD98:BD112)</f>
        <v>0</v>
      </c>
      <c r="BF113" s="8" t="s">
        <v>447</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2" t="s">
        <v>380</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2" t="s">
        <v>380</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x14ac:dyDescent="0.25">
      <c r="B116" s="41" t="s">
        <v>444</v>
      </c>
      <c r="C116" s="41" t="s">
        <v>283</v>
      </c>
      <c r="D116" s="40"/>
      <c r="E116" s="40"/>
      <c r="F116" s="40"/>
      <c r="G116" s="31"/>
      <c r="H116" s="32"/>
      <c r="I116" s="29"/>
      <c r="J116" s="171"/>
      <c r="L116" s="41" t="s">
        <v>444</v>
      </c>
      <c r="M116" s="41" t="s">
        <v>283</v>
      </c>
      <c r="N116" s="40"/>
      <c r="O116" s="40"/>
      <c r="P116" s="40"/>
      <c r="Q116" s="31"/>
      <c r="R116" s="32"/>
      <c r="S116" s="29"/>
      <c r="T116" s="171"/>
      <c r="V116" s="41" t="s">
        <v>444</v>
      </c>
      <c r="W116" s="41" t="s">
        <v>283</v>
      </c>
      <c r="X116" s="40"/>
      <c r="Y116" s="40"/>
      <c r="Z116" s="40"/>
      <c r="AA116" s="31"/>
      <c r="AB116" s="32"/>
      <c r="AC116" s="29"/>
      <c r="AE116" s="41" t="s">
        <v>444</v>
      </c>
      <c r="AF116" s="41" t="s">
        <v>283</v>
      </c>
      <c r="AG116" s="40"/>
      <c r="AH116" s="40"/>
      <c r="AI116" s="40"/>
      <c r="AJ116" s="31"/>
      <c r="AK116" s="32"/>
      <c r="AL116" s="29"/>
      <c r="AN116" s="41" t="s">
        <v>444</v>
      </c>
      <c r="AO116" s="41" t="s">
        <v>283</v>
      </c>
      <c r="AP116" s="40"/>
      <c r="AQ116" s="40"/>
      <c r="AR116" s="40"/>
      <c r="AS116" s="31"/>
      <c r="AT116" s="32"/>
      <c r="AU116" s="29"/>
      <c r="AW116" s="41" t="s">
        <v>444</v>
      </c>
      <c r="AX116" s="41" t="s">
        <v>283</v>
      </c>
      <c r="AY116" s="40"/>
      <c r="AZ116" s="40"/>
      <c r="BA116" s="40"/>
      <c r="BB116" s="31"/>
      <c r="BC116" s="32"/>
      <c r="BD116" s="29"/>
      <c r="BF116" s="41" t="s">
        <v>444</v>
      </c>
      <c r="BG116" s="41" t="s">
        <v>283</v>
      </c>
      <c r="BH116" s="40"/>
      <c r="BI116" s="40"/>
      <c r="BJ116" s="40"/>
      <c r="BK116" s="31"/>
      <c r="BL116" s="32"/>
      <c r="BM116" s="29"/>
    </row>
    <row r="117" spans="2:65" x14ac:dyDescent="0.25">
      <c r="B117" s="41" t="s">
        <v>444</v>
      </c>
      <c r="C117" s="41" t="s">
        <v>283</v>
      </c>
      <c r="D117" s="40"/>
      <c r="E117" s="40"/>
      <c r="F117" s="40"/>
      <c r="G117" s="31"/>
      <c r="H117" s="32"/>
      <c r="I117" s="29"/>
      <c r="J117" s="171"/>
      <c r="L117" s="41" t="s">
        <v>444</v>
      </c>
      <c r="M117" s="41" t="s">
        <v>283</v>
      </c>
      <c r="N117" s="40"/>
      <c r="O117" s="40"/>
      <c r="P117" s="40"/>
      <c r="Q117" s="31"/>
      <c r="R117" s="32"/>
      <c r="S117" s="29"/>
      <c r="T117" s="171"/>
      <c r="V117" s="41" t="s">
        <v>444</v>
      </c>
      <c r="W117" s="41" t="s">
        <v>283</v>
      </c>
      <c r="X117" s="40"/>
      <c r="Y117" s="40"/>
      <c r="Z117" s="40"/>
      <c r="AA117" s="31"/>
      <c r="AB117" s="32"/>
      <c r="AC117" s="29"/>
      <c r="AE117" s="41" t="s">
        <v>444</v>
      </c>
      <c r="AF117" s="41" t="s">
        <v>283</v>
      </c>
      <c r="AG117" s="40"/>
      <c r="AH117" s="40"/>
      <c r="AI117" s="40"/>
      <c r="AJ117" s="31"/>
      <c r="AK117" s="32"/>
      <c r="AL117" s="29"/>
      <c r="AN117" s="41" t="s">
        <v>444</v>
      </c>
      <c r="AO117" s="41" t="s">
        <v>283</v>
      </c>
      <c r="AP117" s="40"/>
      <c r="AQ117" s="40"/>
      <c r="AR117" s="40"/>
      <c r="AS117" s="31"/>
      <c r="AT117" s="32"/>
      <c r="AU117" s="29"/>
      <c r="AW117" s="41" t="s">
        <v>444</v>
      </c>
      <c r="AX117" s="41" t="s">
        <v>283</v>
      </c>
      <c r="AY117" s="40"/>
      <c r="AZ117" s="40"/>
      <c r="BA117" s="40"/>
      <c r="BB117" s="31"/>
      <c r="BC117" s="32"/>
      <c r="BD117" s="29"/>
      <c r="BF117" s="41" t="s">
        <v>444</v>
      </c>
      <c r="BG117" s="41" t="s">
        <v>283</v>
      </c>
      <c r="BH117" s="40"/>
      <c r="BI117" s="40"/>
      <c r="BJ117" s="40"/>
      <c r="BK117" s="31"/>
      <c r="BL117" s="32"/>
      <c r="BM117" s="29"/>
    </row>
    <row r="118" spans="2:65" x14ac:dyDescent="0.25">
      <c r="B118" s="41" t="s">
        <v>444</v>
      </c>
      <c r="C118" s="41" t="s">
        <v>283</v>
      </c>
      <c r="D118" s="40"/>
      <c r="E118" s="40"/>
      <c r="F118" s="40"/>
      <c r="G118" s="31"/>
      <c r="H118" s="32"/>
      <c r="I118" s="29"/>
      <c r="J118" s="171"/>
      <c r="L118" s="41" t="s">
        <v>444</v>
      </c>
      <c r="M118" s="41" t="s">
        <v>283</v>
      </c>
      <c r="N118" s="40"/>
      <c r="O118" s="40"/>
      <c r="P118" s="40"/>
      <c r="Q118" s="31"/>
      <c r="R118" s="32"/>
      <c r="S118" s="29"/>
      <c r="T118" s="171"/>
      <c r="V118" s="41" t="s">
        <v>444</v>
      </c>
      <c r="W118" s="41" t="s">
        <v>283</v>
      </c>
      <c r="X118" s="40"/>
      <c r="Y118" s="40"/>
      <c r="Z118" s="40"/>
      <c r="AA118" s="31"/>
      <c r="AB118" s="32"/>
      <c r="AC118" s="29"/>
      <c r="AE118" s="41" t="s">
        <v>444</v>
      </c>
      <c r="AF118" s="41" t="s">
        <v>283</v>
      </c>
      <c r="AG118" s="40"/>
      <c r="AH118" s="40"/>
      <c r="AI118" s="40"/>
      <c r="AJ118" s="31"/>
      <c r="AK118" s="32"/>
      <c r="AL118" s="29"/>
      <c r="AN118" s="41" t="s">
        <v>444</v>
      </c>
      <c r="AO118" s="41" t="s">
        <v>283</v>
      </c>
      <c r="AP118" s="40"/>
      <c r="AQ118" s="40"/>
      <c r="AR118" s="40"/>
      <c r="AS118" s="31"/>
      <c r="AT118" s="32"/>
      <c r="AU118" s="29"/>
      <c r="AW118" s="41" t="s">
        <v>444</v>
      </c>
      <c r="AX118" s="41" t="s">
        <v>283</v>
      </c>
      <c r="AY118" s="40"/>
      <c r="AZ118" s="40"/>
      <c r="BA118" s="40"/>
      <c r="BB118" s="31"/>
      <c r="BC118" s="32"/>
      <c r="BD118" s="29"/>
      <c r="BF118" s="41" t="s">
        <v>444</v>
      </c>
      <c r="BG118" s="41" t="s">
        <v>283</v>
      </c>
      <c r="BH118" s="40"/>
      <c r="BI118" s="40"/>
      <c r="BJ118" s="40"/>
      <c r="BK118" s="31"/>
      <c r="BL118" s="32"/>
      <c r="BM118" s="29"/>
    </row>
    <row r="119" spans="2:65" x14ac:dyDescent="0.25">
      <c r="B119" s="41" t="s">
        <v>444</v>
      </c>
      <c r="C119" s="41" t="s">
        <v>283</v>
      </c>
      <c r="D119" s="40"/>
      <c r="E119" s="40"/>
      <c r="F119" s="40"/>
      <c r="G119" s="31"/>
      <c r="H119" s="32"/>
      <c r="I119" s="29"/>
      <c r="J119" s="171"/>
      <c r="L119" s="41" t="s">
        <v>444</v>
      </c>
      <c r="M119" s="41" t="s">
        <v>283</v>
      </c>
      <c r="N119" s="40"/>
      <c r="O119" s="40"/>
      <c r="P119" s="40"/>
      <c r="Q119" s="31"/>
      <c r="R119" s="32"/>
      <c r="S119" s="29"/>
      <c r="T119" s="171"/>
      <c r="V119" s="41" t="s">
        <v>444</v>
      </c>
      <c r="W119" s="41" t="s">
        <v>283</v>
      </c>
      <c r="X119" s="40"/>
      <c r="Y119" s="40"/>
      <c r="Z119" s="40"/>
      <c r="AA119" s="31"/>
      <c r="AB119" s="32"/>
      <c r="AC119" s="29"/>
      <c r="AE119" s="41" t="s">
        <v>444</v>
      </c>
      <c r="AF119" s="41" t="s">
        <v>283</v>
      </c>
      <c r="AG119" s="40"/>
      <c r="AH119" s="40"/>
      <c r="AI119" s="40"/>
      <c r="AJ119" s="31"/>
      <c r="AK119" s="32"/>
      <c r="AL119" s="29"/>
      <c r="AN119" s="41" t="s">
        <v>444</v>
      </c>
      <c r="AO119" s="41" t="s">
        <v>283</v>
      </c>
      <c r="AP119" s="40"/>
      <c r="AQ119" s="40"/>
      <c r="AR119" s="40"/>
      <c r="AS119" s="31"/>
      <c r="AT119" s="32"/>
      <c r="AU119" s="29"/>
      <c r="AW119" s="41" t="s">
        <v>444</v>
      </c>
      <c r="AX119" s="41" t="s">
        <v>283</v>
      </c>
      <c r="AY119" s="40"/>
      <c r="AZ119" s="40"/>
      <c r="BA119" s="40"/>
      <c r="BB119" s="31"/>
      <c r="BC119" s="32"/>
      <c r="BD119" s="29"/>
      <c r="BF119" s="41" t="s">
        <v>444</v>
      </c>
      <c r="BG119" s="41" t="s">
        <v>283</v>
      </c>
      <c r="BH119" s="40"/>
      <c r="BI119" s="40"/>
      <c r="BJ119" s="40"/>
      <c r="BK119" s="31"/>
      <c r="BL119" s="32"/>
      <c r="BM119" s="29"/>
    </row>
    <row r="120" spans="2:65" x14ac:dyDescent="0.25">
      <c r="B120" s="41" t="s">
        <v>444</v>
      </c>
      <c r="C120" s="41" t="s">
        <v>283</v>
      </c>
      <c r="D120" s="40"/>
      <c r="E120" s="40"/>
      <c r="F120" s="40"/>
      <c r="G120" s="31"/>
      <c r="H120" s="32"/>
      <c r="I120" s="29"/>
      <c r="J120" s="171"/>
      <c r="L120" s="41" t="s">
        <v>444</v>
      </c>
      <c r="M120" s="41" t="s">
        <v>283</v>
      </c>
      <c r="N120" s="40"/>
      <c r="O120" s="40"/>
      <c r="P120" s="40"/>
      <c r="Q120" s="31"/>
      <c r="R120" s="32"/>
      <c r="S120" s="29"/>
      <c r="T120" s="171"/>
      <c r="V120" s="41" t="s">
        <v>444</v>
      </c>
      <c r="W120" s="41" t="s">
        <v>283</v>
      </c>
      <c r="X120" s="40"/>
      <c r="Y120" s="40"/>
      <c r="Z120" s="40"/>
      <c r="AA120" s="31"/>
      <c r="AB120" s="32"/>
      <c r="AC120" s="29"/>
      <c r="AE120" s="41" t="s">
        <v>444</v>
      </c>
      <c r="AF120" s="41" t="s">
        <v>283</v>
      </c>
      <c r="AG120" s="40"/>
      <c r="AH120" s="40"/>
      <c r="AI120" s="40"/>
      <c r="AJ120" s="31"/>
      <c r="AK120" s="32"/>
      <c r="AL120" s="29"/>
      <c r="AN120" s="41" t="s">
        <v>444</v>
      </c>
      <c r="AO120" s="41" t="s">
        <v>283</v>
      </c>
      <c r="AP120" s="40"/>
      <c r="AQ120" s="40"/>
      <c r="AR120" s="40"/>
      <c r="AS120" s="31"/>
      <c r="AT120" s="32"/>
      <c r="AU120" s="29"/>
      <c r="AW120" s="41" t="s">
        <v>444</v>
      </c>
      <c r="AX120" s="41" t="s">
        <v>283</v>
      </c>
      <c r="AY120" s="40"/>
      <c r="AZ120" s="40"/>
      <c r="BA120" s="40"/>
      <c r="BB120" s="31"/>
      <c r="BC120" s="32"/>
      <c r="BD120" s="29"/>
      <c r="BF120" s="41" t="s">
        <v>444</v>
      </c>
      <c r="BG120" s="41" t="s">
        <v>283</v>
      </c>
      <c r="BH120" s="40"/>
      <c r="BI120" s="40"/>
      <c r="BJ120" s="40"/>
      <c r="BK120" s="31"/>
      <c r="BL120" s="32"/>
      <c r="BM120" s="29"/>
    </row>
    <row r="121" spans="2:65" x14ac:dyDescent="0.25">
      <c r="B121" s="41" t="s">
        <v>444</v>
      </c>
      <c r="C121" s="41" t="s">
        <v>283</v>
      </c>
      <c r="D121" s="40"/>
      <c r="E121" s="40"/>
      <c r="F121" s="40"/>
      <c r="G121" s="31"/>
      <c r="H121" s="32"/>
      <c r="I121" s="29"/>
      <c r="J121" s="171"/>
      <c r="L121" s="41" t="s">
        <v>444</v>
      </c>
      <c r="M121" s="41" t="s">
        <v>283</v>
      </c>
      <c r="N121" s="40"/>
      <c r="O121" s="40"/>
      <c r="P121" s="40"/>
      <c r="Q121" s="31"/>
      <c r="R121" s="32"/>
      <c r="S121" s="29"/>
      <c r="T121" s="171"/>
      <c r="V121" s="41" t="s">
        <v>444</v>
      </c>
      <c r="W121" s="41" t="s">
        <v>283</v>
      </c>
      <c r="X121" s="40"/>
      <c r="Y121" s="40"/>
      <c r="Z121" s="40"/>
      <c r="AA121" s="31"/>
      <c r="AB121" s="32"/>
      <c r="AC121" s="29"/>
      <c r="AE121" s="41" t="s">
        <v>444</v>
      </c>
      <c r="AF121" s="41" t="s">
        <v>283</v>
      </c>
      <c r="AG121" s="40"/>
      <c r="AH121" s="40"/>
      <c r="AI121" s="40"/>
      <c r="AJ121" s="31"/>
      <c r="AK121" s="32"/>
      <c r="AL121" s="29"/>
      <c r="AN121" s="41" t="s">
        <v>444</v>
      </c>
      <c r="AO121" s="41" t="s">
        <v>283</v>
      </c>
      <c r="AP121" s="40"/>
      <c r="AQ121" s="40"/>
      <c r="AR121" s="40"/>
      <c r="AS121" s="31"/>
      <c r="AT121" s="32"/>
      <c r="AU121" s="29"/>
      <c r="AW121" s="41" t="s">
        <v>444</v>
      </c>
      <c r="AX121" s="41" t="s">
        <v>283</v>
      </c>
      <c r="AY121" s="40"/>
      <c r="AZ121" s="40"/>
      <c r="BA121" s="40"/>
      <c r="BB121" s="31"/>
      <c r="BC121" s="32"/>
      <c r="BD121" s="29"/>
      <c r="BF121" s="41" t="s">
        <v>444</v>
      </c>
      <c r="BG121" s="41" t="s">
        <v>283</v>
      </c>
      <c r="BH121" s="40"/>
      <c r="BI121" s="40"/>
      <c r="BJ121" s="40"/>
      <c r="BK121" s="31"/>
      <c r="BL121" s="32"/>
      <c r="BM121" s="29"/>
    </row>
    <row r="122" spans="2:65" x14ac:dyDescent="0.25">
      <c r="B122" s="41" t="s">
        <v>444</v>
      </c>
      <c r="C122" s="41" t="s">
        <v>283</v>
      </c>
      <c r="D122" s="40"/>
      <c r="E122" s="40"/>
      <c r="F122" s="40"/>
      <c r="G122" s="31"/>
      <c r="H122" s="32"/>
      <c r="I122" s="29"/>
      <c r="J122" s="171"/>
      <c r="L122" s="41" t="s">
        <v>444</v>
      </c>
      <c r="M122" s="41" t="s">
        <v>283</v>
      </c>
      <c r="N122" s="40"/>
      <c r="O122" s="40"/>
      <c r="P122" s="40"/>
      <c r="Q122" s="31"/>
      <c r="R122" s="32"/>
      <c r="S122" s="29"/>
      <c r="T122" s="171"/>
      <c r="V122" s="41" t="s">
        <v>444</v>
      </c>
      <c r="W122" s="41" t="s">
        <v>283</v>
      </c>
      <c r="X122" s="40"/>
      <c r="Y122" s="40"/>
      <c r="Z122" s="40"/>
      <c r="AA122" s="31"/>
      <c r="AB122" s="32"/>
      <c r="AC122" s="29"/>
      <c r="AE122" s="41" t="s">
        <v>444</v>
      </c>
      <c r="AF122" s="41" t="s">
        <v>283</v>
      </c>
      <c r="AG122" s="40"/>
      <c r="AH122" s="40"/>
      <c r="AI122" s="40"/>
      <c r="AJ122" s="31"/>
      <c r="AK122" s="32"/>
      <c r="AL122" s="29"/>
      <c r="AN122" s="41" t="s">
        <v>444</v>
      </c>
      <c r="AO122" s="41" t="s">
        <v>283</v>
      </c>
      <c r="AP122" s="40"/>
      <c r="AQ122" s="40"/>
      <c r="AR122" s="40"/>
      <c r="AS122" s="31"/>
      <c r="AT122" s="32"/>
      <c r="AU122" s="29"/>
      <c r="AW122" s="41" t="s">
        <v>444</v>
      </c>
      <c r="AX122" s="41" t="s">
        <v>283</v>
      </c>
      <c r="AY122" s="40"/>
      <c r="AZ122" s="40"/>
      <c r="BA122" s="40"/>
      <c r="BB122" s="31"/>
      <c r="BC122" s="32"/>
      <c r="BD122" s="29"/>
      <c r="BF122" s="41" t="s">
        <v>444</v>
      </c>
      <c r="BG122" s="41" t="s">
        <v>283</v>
      </c>
      <c r="BH122" s="40"/>
      <c r="BI122" s="40"/>
      <c r="BJ122" s="40"/>
      <c r="BK122" s="31"/>
      <c r="BL122" s="32"/>
      <c r="BM122" s="29"/>
    </row>
    <row r="123" spans="2:65" outlineLevel="1" x14ac:dyDescent="0.25">
      <c r="B123" s="41" t="s">
        <v>444</v>
      </c>
      <c r="C123" s="41" t="s">
        <v>283</v>
      </c>
      <c r="D123" s="40"/>
      <c r="E123" s="40"/>
      <c r="F123" s="40"/>
      <c r="G123" s="31"/>
      <c r="H123" s="32"/>
      <c r="I123" s="29"/>
      <c r="J123" s="171"/>
      <c r="L123" s="41" t="s">
        <v>444</v>
      </c>
      <c r="M123" s="41" t="s">
        <v>283</v>
      </c>
      <c r="N123" s="40"/>
      <c r="O123" s="40"/>
      <c r="P123" s="40"/>
      <c r="Q123" s="31"/>
      <c r="R123" s="32"/>
      <c r="S123" s="29"/>
      <c r="T123" s="171"/>
      <c r="V123" s="41" t="s">
        <v>444</v>
      </c>
      <c r="W123" s="41" t="s">
        <v>283</v>
      </c>
      <c r="X123" s="40"/>
      <c r="Y123" s="40"/>
      <c r="Z123" s="40"/>
      <c r="AA123" s="31"/>
      <c r="AB123" s="32"/>
      <c r="AC123" s="29"/>
      <c r="AE123" s="41" t="s">
        <v>444</v>
      </c>
      <c r="AF123" s="41" t="s">
        <v>283</v>
      </c>
      <c r="AG123" s="40"/>
      <c r="AH123" s="40"/>
      <c r="AI123" s="40"/>
      <c r="AJ123" s="31"/>
      <c r="AK123" s="32"/>
      <c r="AL123" s="29"/>
      <c r="AN123" s="41" t="s">
        <v>444</v>
      </c>
      <c r="AO123" s="41" t="s">
        <v>283</v>
      </c>
      <c r="AP123" s="40"/>
      <c r="AQ123" s="40"/>
      <c r="AR123" s="40"/>
      <c r="AS123" s="31"/>
      <c r="AT123" s="32"/>
      <c r="AU123" s="29"/>
      <c r="AW123" s="41" t="s">
        <v>444</v>
      </c>
      <c r="AX123" s="41" t="s">
        <v>283</v>
      </c>
      <c r="AY123" s="40"/>
      <c r="AZ123" s="40"/>
      <c r="BA123" s="40"/>
      <c r="BB123" s="31"/>
      <c r="BC123" s="32"/>
      <c r="BD123" s="29"/>
      <c r="BF123" s="41" t="s">
        <v>444</v>
      </c>
      <c r="BG123" s="41" t="s">
        <v>283</v>
      </c>
      <c r="BH123" s="40"/>
      <c r="BI123" s="40"/>
      <c r="BJ123" s="40"/>
      <c r="BK123" s="31"/>
      <c r="BL123" s="32"/>
      <c r="BM123" s="29"/>
    </row>
    <row r="124" spans="2:65" outlineLevel="1" x14ac:dyDescent="0.25">
      <c r="B124" s="41" t="s">
        <v>444</v>
      </c>
      <c r="C124" s="41" t="s">
        <v>283</v>
      </c>
      <c r="D124" s="40"/>
      <c r="E124" s="40"/>
      <c r="F124" s="40"/>
      <c r="G124" s="31"/>
      <c r="H124" s="32"/>
      <c r="I124" s="29"/>
      <c r="J124" s="171"/>
      <c r="L124" s="41" t="s">
        <v>444</v>
      </c>
      <c r="M124" s="41" t="s">
        <v>283</v>
      </c>
      <c r="N124" s="40"/>
      <c r="O124" s="40"/>
      <c r="P124" s="40"/>
      <c r="Q124" s="31"/>
      <c r="R124" s="32"/>
      <c r="S124" s="29"/>
      <c r="T124" s="171"/>
      <c r="V124" s="41" t="s">
        <v>444</v>
      </c>
      <c r="W124" s="41" t="s">
        <v>283</v>
      </c>
      <c r="X124" s="40"/>
      <c r="Y124" s="40"/>
      <c r="Z124" s="40"/>
      <c r="AA124" s="31"/>
      <c r="AB124" s="32"/>
      <c r="AC124" s="29"/>
      <c r="AE124" s="41" t="s">
        <v>444</v>
      </c>
      <c r="AF124" s="41" t="s">
        <v>283</v>
      </c>
      <c r="AG124" s="40"/>
      <c r="AH124" s="40"/>
      <c r="AI124" s="40"/>
      <c r="AJ124" s="31"/>
      <c r="AK124" s="32"/>
      <c r="AL124" s="29"/>
      <c r="AN124" s="41" t="s">
        <v>444</v>
      </c>
      <c r="AO124" s="41" t="s">
        <v>283</v>
      </c>
      <c r="AP124" s="40"/>
      <c r="AQ124" s="40"/>
      <c r="AR124" s="40"/>
      <c r="AS124" s="31"/>
      <c r="AT124" s="32"/>
      <c r="AU124" s="29"/>
      <c r="AW124" s="41" t="s">
        <v>444</v>
      </c>
      <c r="AX124" s="41" t="s">
        <v>283</v>
      </c>
      <c r="AY124" s="40"/>
      <c r="AZ124" s="40"/>
      <c r="BA124" s="40"/>
      <c r="BB124" s="31"/>
      <c r="BC124" s="32"/>
      <c r="BD124" s="29"/>
      <c r="BF124" s="41" t="s">
        <v>444</v>
      </c>
      <c r="BG124" s="41" t="s">
        <v>283</v>
      </c>
      <c r="BH124" s="40"/>
      <c r="BI124" s="40"/>
      <c r="BJ124" s="40"/>
      <c r="BK124" s="31"/>
      <c r="BL124" s="32"/>
      <c r="BM124" s="29"/>
    </row>
    <row r="125" spans="2:65" outlineLevel="1" x14ac:dyDescent="0.25">
      <c r="B125" s="41" t="s">
        <v>444</v>
      </c>
      <c r="C125" s="41" t="s">
        <v>283</v>
      </c>
      <c r="D125" s="40"/>
      <c r="E125" s="40"/>
      <c r="F125" s="40"/>
      <c r="G125" s="31"/>
      <c r="H125" s="32"/>
      <c r="I125" s="29"/>
      <c r="J125" s="171"/>
      <c r="L125" s="41" t="s">
        <v>444</v>
      </c>
      <c r="M125" s="41" t="s">
        <v>283</v>
      </c>
      <c r="N125" s="40"/>
      <c r="O125" s="40"/>
      <c r="P125" s="40"/>
      <c r="Q125" s="31"/>
      <c r="R125" s="32"/>
      <c r="S125" s="29"/>
      <c r="T125" s="171"/>
      <c r="V125" s="41" t="s">
        <v>444</v>
      </c>
      <c r="W125" s="41" t="s">
        <v>283</v>
      </c>
      <c r="X125" s="40"/>
      <c r="Y125" s="40"/>
      <c r="Z125" s="40"/>
      <c r="AA125" s="31"/>
      <c r="AB125" s="32"/>
      <c r="AC125" s="29"/>
      <c r="AE125" s="41" t="s">
        <v>444</v>
      </c>
      <c r="AF125" s="41" t="s">
        <v>283</v>
      </c>
      <c r="AG125" s="40"/>
      <c r="AH125" s="40"/>
      <c r="AI125" s="40"/>
      <c r="AJ125" s="31"/>
      <c r="AK125" s="32"/>
      <c r="AL125" s="29"/>
      <c r="AN125" s="41" t="s">
        <v>444</v>
      </c>
      <c r="AO125" s="41" t="s">
        <v>283</v>
      </c>
      <c r="AP125" s="40"/>
      <c r="AQ125" s="40"/>
      <c r="AR125" s="40"/>
      <c r="AS125" s="31"/>
      <c r="AT125" s="32"/>
      <c r="AU125" s="29"/>
      <c r="AW125" s="41" t="s">
        <v>444</v>
      </c>
      <c r="AX125" s="41" t="s">
        <v>283</v>
      </c>
      <c r="AY125" s="40"/>
      <c r="AZ125" s="40"/>
      <c r="BA125" s="40"/>
      <c r="BB125" s="31"/>
      <c r="BC125" s="32"/>
      <c r="BD125" s="29"/>
      <c r="BF125" s="41" t="s">
        <v>444</v>
      </c>
      <c r="BG125" s="41" t="s">
        <v>283</v>
      </c>
      <c r="BH125" s="40"/>
      <c r="BI125" s="40"/>
      <c r="BJ125" s="40"/>
      <c r="BK125" s="31"/>
      <c r="BL125" s="32"/>
      <c r="BM125" s="29"/>
    </row>
    <row r="126" spans="2:65" outlineLevel="1" x14ac:dyDescent="0.25">
      <c r="B126" s="41" t="s">
        <v>444</v>
      </c>
      <c r="C126" s="41" t="s">
        <v>283</v>
      </c>
      <c r="D126" s="40"/>
      <c r="E126" s="40"/>
      <c r="F126" s="40"/>
      <c r="G126" s="31"/>
      <c r="H126" s="32"/>
      <c r="I126" s="29"/>
      <c r="J126" s="171"/>
      <c r="L126" s="41" t="s">
        <v>444</v>
      </c>
      <c r="M126" s="41" t="s">
        <v>283</v>
      </c>
      <c r="N126" s="40"/>
      <c r="O126" s="40"/>
      <c r="P126" s="40"/>
      <c r="Q126" s="31"/>
      <c r="R126" s="32"/>
      <c r="S126" s="29"/>
      <c r="T126" s="171"/>
      <c r="V126" s="41" t="s">
        <v>444</v>
      </c>
      <c r="W126" s="41" t="s">
        <v>283</v>
      </c>
      <c r="X126" s="40"/>
      <c r="Y126" s="40"/>
      <c r="Z126" s="40"/>
      <c r="AA126" s="31"/>
      <c r="AB126" s="32"/>
      <c r="AC126" s="29"/>
      <c r="AE126" s="41" t="s">
        <v>444</v>
      </c>
      <c r="AF126" s="41" t="s">
        <v>283</v>
      </c>
      <c r="AG126" s="40"/>
      <c r="AH126" s="40"/>
      <c r="AI126" s="40"/>
      <c r="AJ126" s="31"/>
      <c r="AK126" s="32"/>
      <c r="AL126" s="29"/>
      <c r="AN126" s="41" t="s">
        <v>444</v>
      </c>
      <c r="AO126" s="41" t="s">
        <v>283</v>
      </c>
      <c r="AP126" s="40"/>
      <c r="AQ126" s="40"/>
      <c r="AR126" s="40"/>
      <c r="AS126" s="31"/>
      <c r="AT126" s="32"/>
      <c r="AU126" s="29"/>
      <c r="AW126" s="41" t="s">
        <v>444</v>
      </c>
      <c r="AX126" s="41" t="s">
        <v>283</v>
      </c>
      <c r="AY126" s="40"/>
      <c r="AZ126" s="40"/>
      <c r="BA126" s="40"/>
      <c r="BB126" s="31"/>
      <c r="BC126" s="32"/>
      <c r="BD126" s="29"/>
      <c r="BF126" s="41" t="s">
        <v>444</v>
      </c>
      <c r="BG126" s="41" t="s">
        <v>283</v>
      </c>
      <c r="BH126" s="40"/>
      <c r="BI126" s="40"/>
      <c r="BJ126" s="40"/>
      <c r="BK126" s="31"/>
      <c r="BL126" s="32"/>
      <c r="BM126" s="29"/>
    </row>
    <row r="127" spans="2:65" outlineLevel="1" x14ac:dyDescent="0.25">
      <c r="B127" s="41" t="s">
        <v>444</v>
      </c>
      <c r="C127" s="41" t="s">
        <v>283</v>
      </c>
      <c r="D127" s="40"/>
      <c r="E127" s="40"/>
      <c r="F127" s="40"/>
      <c r="G127" s="31"/>
      <c r="H127" s="32"/>
      <c r="I127" s="29"/>
      <c r="J127" s="171"/>
      <c r="L127" s="41" t="s">
        <v>444</v>
      </c>
      <c r="M127" s="41" t="s">
        <v>283</v>
      </c>
      <c r="N127" s="40"/>
      <c r="O127" s="40"/>
      <c r="P127" s="40"/>
      <c r="Q127" s="31"/>
      <c r="R127" s="32"/>
      <c r="S127" s="29"/>
      <c r="T127" s="171"/>
      <c r="V127" s="41" t="s">
        <v>444</v>
      </c>
      <c r="W127" s="41" t="s">
        <v>283</v>
      </c>
      <c r="X127" s="40"/>
      <c r="Y127" s="40"/>
      <c r="Z127" s="40"/>
      <c r="AA127" s="31"/>
      <c r="AB127" s="32"/>
      <c r="AC127" s="29"/>
      <c r="AE127" s="41" t="s">
        <v>444</v>
      </c>
      <c r="AF127" s="41" t="s">
        <v>283</v>
      </c>
      <c r="AG127" s="40"/>
      <c r="AH127" s="40"/>
      <c r="AI127" s="40"/>
      <c r="AJ127" s="31"/>
      <c r="AK127" s="32"/>
      <c r="AL127" s="29"/>
      <c r="AN127" s="41" t="s">
        <v>444</v>
      </c>
      <c r="AO127" s="41" t="s">
        <v>283</v>
      </c>
      <c r="AP127" s="40"/>
      <c r="AQ127" s="40"/>
      <c r="AR127" s="40"/>
      <c r="AS127" s="31"/>
      <c r="AT127" s="32"/>
      <c r="AU127" s="29"/>
      <c r="AW127" s="41" t="s">
        <v>444</v>
      </c>
      <c r="AX127" s="41" t="s">
        <v>283</v>
      </c>
      <c r="AY127" s="40"/>
      <c r="AZ127" s="40"/>
      <c r="BA127" s="40"/>
      <c r="BB127" s="31"/>
      <c r="BC127" s="32"/>
      <c r="BD127" s="29"/>
      <c r="BF127" s="41" t="s">
        <v>444</v>
      </c>
      <c r="BG127" s="41" t="s">
        <v>283</v>
      </c>
      <c r="BH127" s="40"/>
      <c r="BI127" s="40"/>
      <c r="BJ127" s="40"/>
      <c r="BK127" s="31"/>
      <c r="BL127" s="32"/>
      <c r="BM127" s="29"/>
    </row>
    <row r="128" spans="2:65" outlineLevel="1" x14ac:dyDescent="0.25">
      <c r="B128" s="41" t="s">
        <v>444</v>
      </c>
      <c r="C128" s="41" t="s">
        <v>283</v>
      </c>
      <c r="D128" s="40"/>
      <c r="E128" s="40"/>
      <c r="F128" s="40"/>
      <c r="G128" s="31"/>
      <c r="H128" s="32"/>
      <c r="I128" s="29"/>
      <c r="J128" s="171"/>
      <c r="L128" s="41" t="s">
        <v>444</v>
      </c>
      <c r="M128" s="41" t="s">
        <v>283</v>
      </c>
      <c r="N128" s="40"/>
      <c r="O128" s="40"/>
      <c r="P128" s="40"/>
      <c r="Q128" s="31"/>
      <c r="R128" s="32"/>
      <c r="S128" s="29"/>
      <c r="T128" s="171"/>
      <c r="V128" s="41" t="s">
        <v>444</v>
      </c>
      <c r="W128" s="41" t="s">
        <v>283</v>
      </c>
      <c r="X128" s="40"/>
      <c r="Y128" s="40"/>
      <c r="Z128" s="40"/>
      <c r="AA128" s="31"/>
      <c r="AB128" s="32"/>
      <c r="AC128" s="29"/>
      <c r="AE128" s="41" t="s">
        <v>444</v>
      </c>
      <c r="AF128" s="41" t="s">
        <v>283</v>
      </c>
      <c r="AG128" s="40"/>
      <c r="AH128" s="40"/>
      <c r="AI128" s="40"/>
      <c r="AJ128" s="31"/>
      <c r="AK128" s="32"/>
      <c r="AL128" s="29"/>
      <c r="AN128" s="41" t="s">
        <v>444</v>
      </c>
      <c r="AO128" s="41" t="s">
        <v>283</v>
      </c>
      <c r="AP128" s="40"/>
      <c r="AQ128" s="40"/>
      <c r="AR128" s="40"/>
      <c r="AS128" s="31"/>
      <c r="AT128" s="32"/>
      <c r="AU128" s="29"/>
      <c r="AW128" s="41" t="s">
        <v>444</v>
      </c>
      <c r="AX128" s="41" t="s">
        <v>283</v>
      </c>
      <c r="AY128" s="40"/>
      <c r="AZ128" s="40"/>
      <c r="BA128" s="40"/>
      <c r="BB128" s="31"/>
      <c r="BC128" s="32"/>
      <c r="BD128" s="29"/>
      <c r="BF128" s="41" t="s">
        <v>444</v>
      </c>
      <c r="BG128" s="41" t="s">
        <v>283</v>
      </c>
      <c r="BH128" s="40"/>
      <c r="BI128" s="40"/>
      <c r="BJ128" s="40"/>
      <c r="BK128" s="31"/>
      <c r="BL128" s="32"/>
      <c r="BM128" s="29"/>
    </row>
    <row r="129" spans="2:65" outlineLevel="1" x14ac:dyDescent="0.25">
      <c r="B129" s="41" t="s">
        <v>444</v>
      </c>
      <c r="C129" s="41" t="s">
        <v>283</v>
      </c>
      <c r="D129" s="40"/>
      <c r="E129" s="40"/>
      <c r="F129" s="40"/>
      <c r="G129" s="31"/>
      <c r="H129" s="32"/>
      <c r="I129" s="29"/>
      <c r="J129" s="171"/>
      <c r="L129" s="41" t="s">
        <v>444</v>
      </c>
      <c r="M129" s="41" t="s">
        <v>283</v>
      </c>
      <c r="N129" s="40"/>
      <c r="O129" s="40"/>
      <c r="P129" s="40"/>
      <c r="Q129" s="31"/>
      <c r="R129" s="32"/>
      <c r="S129" s="29"/>
      <c r="T129" s="171"/>
      <c r="V129" s="41" t="s">
        <v>444</v>
      </c>
      <c r="W129" s="41" t="s">
        <v>283</v>
      </c>
      <c r="X129" s="40"/>
      <c r="Y129" s="40"/>
      <c r="Z129" s="40"/>
      <c r="AA129" s="31"/>
      <c r="AB129" s="32"/>
      <c r="AC129" s="29"/>
      <c r="AE129" s="41" t="s">
        <v>444</v>
      </c>
      <c r="AF129" s="41" t="s">
        <v>283</v>
      </c>
      <c r="AG129" s="40"/>
      <c r="AH129" s="40"/>
      <c r="AI129" s="40"/>
      <c r="AJ129" s="31"/>
      <c r="AK129" s="32"/>
      <c r="AL129" s="29"/>
      <c r="AN129" s="41" t="s">
        <v>444</v>
      </c>
      <c r="AO129" s="41" t="s">
        <v>283</v>
      </c>
      <c r="AP129" s="40"/>
      <c r="AQ129" s="40"/>
      <c r="AR129" s="40"/>
      <c r="AS129" s="31"/>
      <c r="AT129" s="32"/>
      <c r="AU129" s="29"/>
      <c r="AW129" s="41" t="s">
        <v>444</v>
      </c>
      <c r="AX129" s="41" t="s">
        <v>283</v>
      </c>
      <c r="AY129" s="40"/>
      <c r="AZ129" s="40"/>
      <c r="BA129" s="40"/>
      <c r="BB129" s="31"/>
      <c r="BC129" s="32"/>
      <c r="BD129" s="29"/>
      <c r="BF129" s="41" t="s">
        <v>444</v>
      </c>
      <c r="BG129" s="41" t="s">
        <v>283</v>
      </c>
      <c r="BH129" s="40"/>
      <c r="BI129" s="40"/>
      <c r="BJ129" s="40"/>
      <c r="BK129" s="31"/>
      <c r="BL129" s="32"/>
      <c r="BM129" s="29"/>
    </row>
    <row r="130" spans="2:65" outlineLevel="1" x14ac:dyDescent="0.25">
      <c r="B130" s="41" t="s">
        <v>444</v>
      </c>
      <c r="C130" s="41" t="s">
        <v>283</v>
      </c>
      <c r="D130" s="40"/>
      <c r="E130" s="40"/>
      <c r="F130" s="40"/>
      <c r="G130" s="31"/>
      <c r="H130" s="32"/>
      <c r="I130" s="29"/>
      <c r="J130" s="171"/>
      <c r="L130" s="41" t="s">
        <v>444</v>
      </c>
      <c r="M130" s="41" t="s">
        <v>283</v>
      </c>
      <c r="N130" s="40"/>
      <c r="O130" s="40"/>
      <c r="P130" s="40"/>
      <c r="Q130" s="31"/>
      <c r="R130" s="32"/>
      <c r="S130" s="29"/>
      <c r="T130" s="171"/>
      <c r="V130" s="41" t="s">
        <v>444</v>
      </c>
      <c r="W130" s="41" t="s">
        <v>283</v>
      </c>
      <c r="X130" s="40"/>
      <c r="Y130" s="40"/>
      <c r="Z130" s="40"/>
      <c r="AA130" s="31"/>
      <c r="AB130" s="32"/>
      <c r="AC130" s="29"/>
      <c r="AE130" s="41" t="s">
        <v>444</v>
      </c>
      <c r="AF130" s="41" t="s">
        <v>283</v>
      </c>
      <c r="AG130" s="40"/>
      <c r="AH130" s="40"/>
      <c r="AI130" s="40"/>
      <c r="AJ130" s="31"/>
      <c r="AK130" s="32"/>
      <c r="AL130" s="29"/>
      <c r="AN130" s="41" t="s">
        <v>444</v>
      </c>
      <c r="AO130" s="41" t="s">
        <v>283</v>
      </c>
      <c r="AP130" s="40"/>
      <c r="AQ130" s="40"/>
      <c r="AR130" s="40"/>
      <c r="AS130" s="31"/>
      <c r="AT130" s="32"/>
      <c r="AU130" s="29"/>
      <c r="AW130" s="41" t="s">
        <v>444</v>
      </c>
      <c r="AX130" s="41" t="s">
        <v>283</v>
      </c>
      <c r="AY130" s="40"/>
      <c r="AZ130" s="40"/>
      <c r="BA130" s="40"/>
      <c r="BB130" s="31"/>
      <c r="BC130" s="32"/>
      <c r="BD130" s="29"/>
      <c r="BF130" s="41" t="s">
        <v>444</v>
      </c>
      <c r="BG130" s="41" t="s">
        <v>283</v>
      </c>
      <c r="BH130" s="40"/>
      <c r="BI130" s="40"/>
      <c r="BJ130" s="40"/>
      <c r="BK130" s="31"/>
      <c r="BL130" s="32"/>
      <c r="BM130" s="29"/>
    </row>
    <row r="131" spans="2:65" s="24" customFormat="1" x14ac:dyDescent="0.25">
      <c r="B131" s="8" t="s">
        <v>448</v>
      </c>
      <c r="C131" s="25"/>
      <c r="D131" s="28">
        <f>SUM(D116:D130)</f>
        <v>0</v>
      </c>
      <c r="E131" s="28">
        <f>SUM(E116:E130)</f>
        <v>0</v>
      </c>
      <c r="F131" s="28">
        <f>SUM(F116:F130)</f>
        <v>0</v>
      </c>
      <c r="G131" s="25"/>
      <c r="H131" s="26"/>
      <c r="I131" s="30"/>
      <c r="J131" s="170"/>
      <c r="L131" s="8" t="s">
        <v>448</v>
      </c>
      <c r="M131" s="25"/>
      <c r="N131" s="28">
        <f t="shared" ref="N131:P131" si="132">SUM(N116:N130)</f>
        <v>0</v>
      </c>
      <c r="O131" s="28">
        <f t="shared" si="132"/>
        <v>0</v>
      </c>
      <c r="P131" s="28">
        <f t="shared" si="132"/>
        <v>0</v>
      </c>
      <c r="Q131" s="25"/>
      <c r="R131" s="26"/>
      <c r="S131" s="30"/>
      <c r="T131" s="170"/>
      <c r="V131" s="8" t="s">
        <v>448</v>
      </c>
      <c r="W131" s="25"/>
      <c r="X131" s="30"/>
      <c r="Y131" s="30"/>
      <c r="Z131" s="28">
        <f t="shared" ref="Z131" si="133">SUM(Z116:Z130)</f>
        <v>0</v>
      </c>
      <c r="AA131" s="25"/>
      <c r="AB131" s="26"/>
      <c r="AC131" s="30"/>
      <c r="AE131" s="8" t="s">
        <v>448</v>
      </c>
      <c r="AF131" s="25"/>
      <c r="AG131" s="30"/>
      <c r="AH131" s="30"/>
      <c r="AI131" s="28">
        <f t="shared" ref="AI131" si="134">SUM(AI116:AI130)</f>
        <v>0</v>
      </c>
      <c r="AJ131" s="25"/>
      <c r="AK131" s="26"/>
      <c r="AL131" s="30"/>
      <c r="AN131" s="8" t="s">
        <v>448</v>
      </c>
      <c r="AO131" s="25"/>
      <c r="AP131" s="30"/>
      <c r="AQ131" s="30"/>
      <c r="AR131" s="28">
        <f t="shared" ref="AR131" si="135">SUM(AR116:AR130)</f>
        <v>0</v>
      </c>
      <c r="AS131" s="25"/>
      <c r="AT131" s="26"/>
      <c r="AU131" s="30"/>
      <c r="AW131" s="8" t="s">
        <v>448</v>
      </c>
      <c r="AX131" s="25"/>
      <c r="AY131" s="30"/>
      <c r="AZ131" s="30"/>
      <c r="BA131" s="28">
        <f t="shared" ref="BA131" si="136">SUM(BA116:BA130)</f>
        <v>0</v>
      </c>
      <c r="BB131" s="25"/>
      <c r="BC131" s="26"/>
      <c r="BD131" s="30"/>
      <c r="BF131" s="8" t="s">
        <v>448</v>
      </c>
      <c r="BG131" s="25"/>
      <c r="BH131" s="30"/>
      <c r="BI131" s="30"/>
      <c r="BJ131" s="28">
        <f t="shared" ref="BJ131" si="137">SUM(BJ116:BJ130)</f>
        <v>0</v>
      </c>
      <c r="BK131" s="25"/>
      <c r="BL131" s="26"/>
      <c r="BM131" s="30"/>
    </row>
    <row r="133" spans="2:65" ht="38.25" x14ac:dyDescent="0.25">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2" t="s">
        <v>380</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2" t="s">
        <v>380</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x14ac:dyDescent="0.25">
      <c r="B134" s="41" t="s">
        <v>444</v>
      </c>
      <c r="C134" s="41" t="s">
        <v>283</v>
      </c>
      <c r="D134" s="40"/>
      <c r="E134" s="40"/>
      <c r="F134" s="40"/>
      <c r="G134" s="31"/>
      <c r="H134" s="32"/>
      <c r="I134" s="29"/>
      <c r="J134" s="171"/>
      <c r="L134" s="41" t="s">
        <v>444</v>
      </c>
      <c r="M134" s="41" t="s">
        <v>283</v>
      </c>
      <c r="N134" s="40"/>
      <c r="O134" s="40"/>
      <c r="P134" s="40"/>
      <c r="Q134" s="31"/>
      <c r="R134" s="32"/>
      <c r="S134" s="29"/>
      <c r="T134" s="171"/>
      <c r="V134" s="41" t="s">
        <v>444</v>
      </c>
      <c r="W134" s="41" t="s">
        <v>283</v>
      </c>
      <c r="X134" s="40"/>
      <c r="Y134" s="40"/>
      <c r="Z134" s="40"/>
      <c r="AA134" s="31"/>
      <c r="AB134" s="32"/>
      <c r="AC134" s="29"/>
      <c r="AE134" s="41" t="s">
        <v>444</v>
      </c>
      <c r="AF134" s="41" t="s">
        <v>283</v>
      </c>
      <c r="AG134" s="40"/>
      <c r="AH134" s="40"/>
      <c r="AI134" s="40"/>
      <c r="AJ134" s="31"/>
      <c r="AK134" s="32"/>
      <c r="AL134" s="29"/>
      <c r="AN134" s="41" t="s">
        <v>444</v>
      </c>
      <c r="AO134" s="41" t="s">
        <v>283</v>
      </c>
      <c r="AP134" s="40"/>
      <c r="AQ134" s="40"/>
      <c r="AR134" s="40"/>
      <c r="AS134" s="31"/>
      <c r="AT134" s="32"/>
      <c r="AU134" s="29"/>
      <c r="AW134" s="41" t="s">
        <v>444</v>
      </c>
      <c r="AX134" s="41" t="s">
        <v>283</v>
      </c>
      <c r="AY134" s="40"/>
      <c r="AZ134" s="40"/>
      <c r="BA134" s="40"/>
      <c r="BB134" s="31"/>
      <c r="BC134" s="32"/>
      <c r="BD134" s="29"/>
      <c r="BF134" s="41" t="s">
        <v>444</v>
      </c>
      <c r="BG134" s="41" t="s">
        <v>283</v>
      </c>
      <c r="BH134" s="40"/>
      <c r="BI134" s="40"/>
      <c r="BJ134" s="40"/>
      <c r="BK134" s="31"/>
      <c r="BL134" s="32"/>
      <c r="BM134" s="29"/>
    </row>
    <row r="135" spans="2:65" x14ac:dyDescent="0.25">
      <c r="B135" s="41" t="s">
        <v>444</v>
      </c>
      <c r="C135" s="41" t="s">
        <v>283</v>
      </c>
      <c r="D135" s="40"/>
      <c r="E135" s="40"/>
      <c r="F135" s="40"/>
      <c r="G135" s="31"/>
      <c r="H135" s="32"/>
      <c r="I135" s="29"/>
      <c r="J135" s="171"/>
      <c r="L135" s="41" t="s">
        <v>444</v>
      </c>
      <c r="M135" s="41" t="s">
        <v>283</v>
      </c>
      <c r="N135" s="40"/>
      <c r="O135" s="40"/>
      <c r="P135" s="40"/>
      <c r="Q135" s="31"/>
      <c r="R135" s="32"/>
      <c r="S135" s="29"/>
      <c r="T135" s="171"/>
      <c r="V135" s="41" t="s">
        <v>444</v>
      </c>
      <c r="W135" s="41" t="s">
        <v>283</v>
      </c>
      <c r="X135" s="40"/>
      <c r="Y135" s="40"/>
      <c r="Z135" s="40"/>
      <c r="AA135" s="31"/>
      <c r="AB135" s="32"/>
      <c r="AC135" s="29"/>
      <c r="AE135" s="41" t="s">
        <v>444</v>
      </c>
      <c r="AF135" s="41" t="s">
        <v>283</v>
      </c>
      <c r="AG135" s="40"/>
      <c r="AH135" s="40"/>
      <c r="AI135" s="40"/>
      <c r="AJ135" s="31"/>
      <c r="AK135" s="32"/>
      <c r="AL135" s="29"/>
      <c r="AN135" s="41" t="s">
        <v>444</v>
      </c>
      <c r="AO135" s="41" t="s">
        <v>283</v>
      </c>
      <c r="AP135" s="40"/>
      <c r="AQ135" s="40"/>
      <c r="AR135" s="40"/>
      <c r="AS135" s="31"/>
      <c r="AT135" s="32"/>
      <c r="AU135" s="29"/>
      <c r="AW135" s="41" t="s">
        <v>444</v>
      </c>
      <c r="AX135" s="41" t="s">
        <v>283</v>
      </c>
      <c r="AY135" s="40"/>
      <c r="AZ135" s="40"/>
      <c r="BA135" s="40"/>
      <c r="BB135" s="31"/>
      <c r="BC135" s="32"/>
      <c r="BD135" s="29"/>
      <c r="BF135" s="41" t="s">
        <v>444</v>
      </c>
      <c r="BG135" s="41" t="s">
        <v>283</v>
      </c>
      <c r="BH135" s="40"/>
      <c r="BI135" s="40"/>
      <c r="BJ135" s="40"/>
      <c r="BK135" s="31"/>
      <c r="BL135" s="32"/>
      <c r="BM135" s="29"/>
    </row>
    <row r="136" spans="2:65" x14ac:dyDescent="0.25">
      <c r="B136" s="41" t="s">
        <v>444</v>
      </c>
      <c r="C136" s="41" t="s">
        <v>283</v>
      </c>
      <c r="D136" s="40"/>
      <c r="E136" s="40"/>
      <c r="F136" s="40"/>
      <c r="G136" s="31"/>
      <c r="H136" s="32"/>
      <c r="I136" s="29"/>
      <c r="J136" s="171"/>
      <c r="L136" s="41" t="s">
        <v>444</v>
      </c>
      <c r="M136" s="41" t="s">
        <v>283</v>
      </c>
      <c r="N136" s="40"/>
      <c r="O136" s="40"/>
      <c r="P136" s="40"/>
      <c r="Q136" s="31"/>
      <c r="R136" s="32"/>
      <c r="S136" s="29"/>
      <c r="T136" s="171"/>
      <c r="V136" s="41" t="s">
        <v>444</v>
      </c>
      <c r="W136" s="41" t="s">
        <v>283</v>
      </c>
      <c r="X136" s="40"/>
      <c r="Y136" s="40"/>
      <c r="Z136" s="40"/>
      <c r="AA136" s="31"/>
      <c r="AB136" s="32"/>
      <c r="AC136" s="29"/>
      <c r="AE136" s="41" t="s">
        <v>444</v>
      </c>
      <c r="AF136" s="41" t="s">
        <v>283</v>
      </c>
      <c r="AG136" s="40"/>
      <c r="AH136" s="40"/>
      <c r="AI136" s="40"/>
      <c r="AJ136" s="31"/>
      <c r="AK136" s="32"/>
      <c r="AL136" s="29"/>
      <c r="AN136" s="41" t="s">
        <v>444</v>
      </c>
      <c r="AO136" s="41" t="s">
        <v>283</v>
      </c>
      <c r="AP136" s="40"/>
      <c r="AQ136" s="40"/>
      <c r="AR136" s="40"/>
      <c r="AS136" s="31"/>
      <c r="AT136" s="32"/>
      <c r="AU136" s="29"/>
      <c r="AW136" s="41" t="s">
        <v>444</v>
      </c>
      <c r="AX136" s="41" t="s">
        <v>283</v>
      </c>
      <c r="AY136" s="40"/>
      <c r="AZ136" s="40"/>
      <c r="BA136" s="40"/>
      <c r="BB136" s="31"/>
      <c r="BC136" s="32"/>
      <c r="BD136" s="29"/>
      <c r="BF136" s="41" t="s">
        <v>444</v>
      </c>
      <c r="BG136" s="41" t="s">
        <v>283</v>
      </c>
      <c r="BH136" s="40"/>
      <c r="BI136" s="40"/>
      <c r="BJ136" s="40"/>
      <c r="BK136" s="31"/>
      <c r="BL136" s="32"/>
      <c r="BM136" s="29"/>
    </row>
    <row r="137" spans="2:65" x14ac:dyDescent="0.25">
      <c r="B137" s="41" t="s">
        <v>444</v>
      </c>
      <c r="C137" s="41" t="s">
        <v>283</v>
      </c>
      <c r="D137" s="40"/>
      <c r="E137" s="40"/>
      <c r="F137" s="40"/>
      <c r="G137" s="31"/>
      <c r="H137" s="32"/>
      <c r="I137" s="29"/>
      <c r="J137" s="171"/>
      <c r="L137" s="41" t="s">
        <v>444</v>
      </c>
      <c r="M137" s="41" t="s">
        <v>283</v>
      </c>
      <c r="N137" s="40"/>
      <c r="O137" s="40"/>
      <c r="P137" s="40"/>
      <c r="Q137" s="31"/>
      <c r="R137" s="32"/>
      <c r="S137" s="29"/>
      <c r="T137" s="171"/>
      <c r="V137" s="41" t="s">
        <v>444</v>
      </c>
      <c r="W137" s="41" t="s">
        <v>283</v>
      </c>
      <c r="X137" s="40"/>
      <c r="Y137" s="40"/>
      <c r="Z137" s="40"/>
      <c r="AA137" s="31"/>
      <c r="AB137" s="32"/>
      <c r="AC137" s="29"/>
      <c r="AE137" s="41" t="s">
        <v>444</v>
      </c>
      <c r="AF137" s="41" t="s">
        <v>283</v>
      </c>
      <c r="AG137" s="40"/>
      <c r="AH137" s="40"/>
      <c r="AI137" s="40"/>
      <c r="AJ137" s="31"/>
      <c r="AK137" s="32"/>
      <c r="AL137" s="29"/>
      <c r="AN137" s="41" t="s">
        <v>444</v>
      </c>
      <c r="AO137" s="41" t="s">
        <v>283</v>
      </c>
      <c r="AP137" s="40"/>
      <c r="AQ137" s="40"/>
      <c r="AR137" s="40"/>
      <c r="AS137" s="31"/>
      <c r="AT137" s="32"/>
      <c r="AU137" s="29"/>
      <c r="AW137" s="41" t="s">
        <v>444</v>
      </c>
      <c r="AX137" s="41" t="s">
        <v>283</v>
      </c>
      <c r="AY137" s="40"/>
      <c r="AZ137" s="40"/>
      <c r="BA137" s="40"/>
      <c r="BB137" s="31"/>
      <c r="BC137" s="32"/>
      <c r="BD137" s="29"/>
      <c r="BF137" s="41" t="s">
        <v>444</v>
      </c>
      <c r="BG137" s="41" t="s">
        <v>283</v>
      </c>
      <c r="BH137" s="40"/>
      <c r="BI137" s="40"/>
      <c r="BJ137" s="40"/>
      <c r="BK137" s="31"/>
      <c r="BL137" s="32"/>
      <c r="BM137" s="29"/>
    </row>
    <row r="138" spans="2:65" x14ac:dyDescent="0.25">
      <c r="B138" s="41" t="s">
        <v>444</v>
      </c>
      <c r="C138" s="41" t="s">
        <v>283</v>
      </c>
      <c r="D138" s="40"/>
      <c r="E138" s="40"/>
      <c r="F138" s="40"/>
      <c r="G138" s="31"/>
      <c r="H138" s="32"/>
      <c r="I138" s="29"/>
      <c r="J138" s="171"/>
      <c r="L138" s="41" t="s">
        <v>444</v>
      </c>
      <c r="M138" s="41" t="s">
        <v>283</v>
      </c>
      <c r="N138" s="40"/>
      <c r="O138" s="40"/>
      <c r="P138" s="40"/>
      <c r="Q138" s="31"/>
      <c r="R138" s="32"/>
      <c r="S138" s="29"/>
      <c r="T138" s="171"/>
      <c r="V138" s="41" t="s">
        <v>444</v>
      </c>
      <c r="W138" s="41" t="s">
        <v>283</v>
      </c>
      <c r="X138" s="40"/>
      <c r="Y138" s="40"/>
      <c r="Z138" s="40"/>
      <c r="AA138" s="31"/>
      <c r="AB138" s="32"/>
      <c r="AC138" s="29"/>
      <c r="AE138" s="41" t="s">
        <v>444</v>
      </c>
      <c r="AF138" s="41" t="s">
        <v>283</v>
      </c>
      <c r="AG138" s="40"/>
      <c r="AH138" s="40"/>
      <c r="AI138" s="40"/>
      <c r="AJ138" s="31"/>
      <c r="AK138" s="32"/>
      <c r="AL138" s="29"/>
      <c r="AN138" s="41" t="s">
        <v>444</v>
      </c>
      <c r="AO138" s="41" t="s">
        <v>283</v>
      </c>
      <c r="AP138" s="40"/>
      <c r="AQ138" s="40"/>
      <c r="AR138" s="40"/>
      <c r="AS138" s="31"/>
      <c r="AT138" s="32"/>
      <c r="AU138" s="29"/>
      <c r="AW138" s="41" t="s">
        <v>444</v>
      </c>
      <c r="AX138" s="41" t="s">
        <v>283</v>
      </c>
      <c r="AY138" s="40"/>
      <c r="AZ138" s="40"/>
      <c r="BA138" s="40"/>
      <c r="BB138" s="31"/>
      <c r="BC138" s="32"/>
      <c r="BD138" s="29"/>
      <c r="BF138" s="41" t="s">
        <v>444</v>
      </c>
      <c r="BG138" s="41" t="s">
        <v>283</v>
      </c>
      <c r="BH138" s="40"/>
      <c r="BI138" s="40"/>
      <c r="BJ138" s="40"/>
      <c r="BK138" s="31"/>
      <c r="BL138" s="32"/>
      <c r="BM138" s="29"/>
    </row>
    <row r="139" spans="2:65" x14ac:dyDescent="0.25">
      <c r="B139" s="41" t="s">
        <v>444</v>
      </c>
      <c r="C139" s="41" t="s">
        <v>283</v>
      </c>
      <c r="D139" s="40"/>
      <c r="E139" s="40"/>
      <c r="F139" s="40"/>
      <c r="G139" s="31"/>
      <c r="H139" s="32"/>
      <c r="I139" s="29"/>
      <c r="J139" s="171"/>
      <c r="L139" s="41" t="s">
        <v>444</v>
      </c>
      <c r="M139" s="41" t="s">
        <v>283</v>
      </c>
      <c r="N139" s="40"/>
      <c r="O139" s="40"/>
      <c r="P139" s="40"/>
      <c r="Q139" s="31"/>
      <c r="R139" s="32"/>
      <c r="S139" s="29"/>
      <c r="T139" s="171"/>
      <c r="V139" s="41" t="s">
        <v>444</v>
      </c>
      <c r="W139" s="41" t="s">
        <v>283</v>
      </c>
      <c r="X139" s="40"/>
      <c r="Y139" s="40"/>
      <c r="Z139" s="40"/>
      <c r="AA139" s="31"/>
      <c r="AB139" s="32"/>
      <c r="AC139" s="29"/>
      <c r="AE139" s="41" t="s">
        <v>444</v>
      </c>
      <c r="AF139" s="41" t="s">
        <v>283</v>
      </c>
      <c r="AG139" s="40"/>
      <c r="AH139" s="40"/>
      <c r="AI139" s="40"/>
      <c r="AJ139" s="31"/>
      <c r="AK139" s="32"/>
      <c r="AL139" s="29"/>
      <c r="AN139" s="41" t="s">
        <v>444</v>
      </c>
      <c r="AO139" s="41" t="s">
        <v>283</v>
      </c>
      <c r="AP139" s="40"/>
      <c r="AQ139" s="40"/>
      <c r="AR139" s="40"/>
      <c r="AS139" s="31"/>
      <c r="AT139" s="32"/>
      <c r="AU139" s="29"/>
      <c r="AW139" s="41" t="s">
        <v>444</v>
      </c>
      <c r="AX139" s="41" t="s">
        <v>283</v>
      </c>
      <c r="AY139" s="40"/>
      <c r="AZ139" s="40"/>
      <c r="BA139" s="40"/>
      <c r="BB139" s="31"/>
      <c r="BC139" s="32"/>
      <c r="BD139" s="29"/>
      <c r="BF139" s="41" t="s">
        <v>444</v>
      </c>
      <c r="BG139" s="41" t="s">
        <v>283</v>
      </c>
      <c r="BH139" s="40"/>
      <c r="BI139" s="40"/>
      <c r="BJ139" s="40"/>
      <c r="BK139" s="31"/>
      <c r="BL139" s="32"/>
      <c r="BM139" s="29"/>
    </row>
    <row r="140" spans="2:65" x14ac:dyDescent="0.25">
      <c r="B140" s="41" t="s">
        <v>444</v>
      </c>
      <c r="C140" s="41" t="s">
        <v>283</v>
      </c>
      <c r="D140" s="40"/>
      <c r="E140" s="40"/>
      <c r="F140" s="40"/>
      <c r="G140" s="31"/>
      <c r="H140" s="32"/>
      <c r="I140" s="29"/>
      <c r="J140" s="171"/>
      <c r="L140" s="41" t="s">
        <v>444</v>
      </c>
      <c r="M140" s="41" t="s">
        <v>283</v>
      </c>
      <c r="N140" s="40"/>
      <c r="O140" s="40"/>
      <c r="P140" s="40"/>
      <c r="Q140" s="31"/>
      <c r="R140" s="32"/>
      <c r="S140" s="29"/>
      <c r="T140" s="171"/>
      <c r="V140" s="41" t="s">
        <v>444</v>
      </c>
      <c r="W140" s="41" t="s">
        <v>283</v>
      </c>
      <c r="X140" s="40"/>
      <c r="Y140" s="40"/>
      <c r="Z140" s="40"/>
      <c r="AA140" s="31"/>
      <c r="AB140" s="32"/>
      <c r="AC140" s="29"/>
      <c r="AE140" s="41" t="s">
        <v>444</v>
      </c>
      <c r="AF140" s="41" t="s">
        <v>283</v>
      </c>
      <c r="AG140" s="40"/>
      <c r="AH140" s="40"/>
      <c r="AI140" s="40"/>
      <c r="AJ140" s="31"/>
      <c r="AK140" s="32"/>
      <c r="AL140" s="29"/>
      <c r="AN140" s="41" t="s">
        <v>444</v>
      </c>
      <c r="AO140" s="41" t="s">
        <v>283</v>
      </c>
      <c r="AP140" s="40"/>
      <c r="AQ140" s="40"/>
      <c r="AR140" s="40"/>
      <c r="AS140" s="31"/>
      <c r="AT140" s="32"/>
      <c r="AU140" s="29"/>
      <c r="AW140" s="41" t="s">
        <v>444</v>
      </c>
      <c r="AX140" s="41" t="s">
        <v>283</v>
      </c>
      <c r="AY140" s="40"/>
      <c r="AZ140" s="40"/>
      <c r="BA140" s="40"/>
      <c r="BB140" s="31"/>
      <c r="BC140" s="32"/>
      <c r="BD140" s="29"/>
      <c r="BF140" s="41" t="s">
        <v>444</v>
      </c>
      <c r="BG140" s="41" t="s">
        <v>283</v>
      </c>
      <c r="BH140" s="40"/>
      <c r="BI140" s="40"/>
      <c r="BJ140" s="40"/>
      <c r="BK140" s="31"/>
      <c r="BL140" s="32"/>
      <c r="BM140" s="29"/>
    </row>
    <row r="141" spans="2:65" outlineLevel="1" x14ac:dyDescent="0.25">
      <c r="B141" s="41" t="s">
        <v>444</v>
      </c>
      <c r="C141" s="41" t="s">
        <v>283</v>
      </c>
      <c r="D141" s="40"/>
      <c r="E141" s="40"/>
      <c r="F141" s="40"/>
      <c r="G141" s="31"/>
      <c r="H141" s="32"/>
      <c r="I141" s="29"/>
      <c r="J141" s="171"/>
      <c r="L141" s="41" t="s">
        <v>444</v>
      </c>
      <c r="M141" s="41" t="s">
        <v>283</v>
      </c>
      <c r="N141" s="40"/>
      <c r="O141" s="40"/>
      <c r="P141" s="40"/>
      <c r="Q141" s="31"/>
      <c r="R141" s="32"/>
      <c r="S141" s="29"/>
      <c r="T141" s="171"/>
      <c r="V141" s="41" t="s">
        <v>444</v>
      </c>
      <c r="W141" s="41" t="s">
        <v>283</v>
      </c>
      <c r="X141" s="40"/>
      <c r="Y141" s="40"/>
      <c r="Z141" s="40"/>
      <c r="AA141" s="31"/>
      <c r="AB141" s="32"/>
      <c r="AC141" s="29"/>
      <c r="AE141" s="41" t="s">
        <v>444</v>
      </c>
      <c r="AF141" s="41" t="s">
        <v>283</v>
      </c>
      <c r="AG141" s="40"/>
      <c r="AH141" s="40"/>
      <c r="AI141" s="40"/>
      <c r="AJ141" s="31"/>
      <c r="AK141" s="32"/>
      <c r="AL141" s="29"/>
      <c r="AN141" s="41" t="s">
        <v>444</v>
      </c>
      <c r="AO141" s="41" t="s">
        <v>283</v>
      </c>
      <c r="AP141" s="40"/>
      <c r="AQ141" s="40"/>
      <c r="AR141" s="40"/>
      <c r="AS141" s="31"/>
      <c r="AT141" s="32"/>
      <c r="AU141" s="29"/>
      <c r="AW141" s="41" t="s">
        <v>444</v>
      </c>
      <c r="AX141" s="41" t="s">
        <v>283</v>
      </c>
      <c r="AY141" s="40"/>
      <c r="AZ141" s="40"/>
      <c r="BA141" s="40"/>
      <c r="BB141" s="31"/>
      <c r="BC141" s="32"/>
      <c r="BD141" s="29"/>
      <c r="BF141" s="41" t="s">
        <v>444</v>
      </c>
      <c r="BG141" s="41" t="s">
        <v>283</v>
      </c>
      <c r="BH141" s="40"/>
      <c r="BI141" s="40"/>
      <c r="BJ141" s="40"/>
      <c r="BK141" s="31"/>
      <c r="BL141" s="32"/>
      <c r="BM141" s="29"/>
    </row>
    <row r="142" spans="2:65" outlineLevel="1" x14ac:dyDescent="0.25">
      <c r="B142" s="41" t="s">
        <v>444</v>
      </c>
      <c r="C142" s="41" t="s">
        <v>283</v>
      </c>
      <c r="D142" s="40"/>
      <c r="E142" s="40"/>
      <c r="F142" s="40"/>
      <c r="G142" s="31"/>
      <c r="H142" s="32"/>
      <c r="I142" s="29"/>
      <c r="J142" s="171"/>
      <c r="L142" s="41" t="s">
        <v>444</v>
      </c>
      <c r="M142" s="41" t="s">
        <v>283</v>
      </c>
      <c r="N142" s="40"/>
      <c r="O142" s="40"/>
      <c r="P142" s="40"/>
      <c r="Q142" s="31"/>
      <c r="R142" s="32"/>
      <c r="S142" s="29"/>
      <c r="T142" s="171"/>
      <c r="V142" s="41" t="s">
        <v>444</v>
      </c>
      <c r="W142" s="41" t="s">
        <v>283</v>
      </c>
      <c r="X142" s="40"/>
      <c r="Y142" s="40"/>
      <c r="Z142" s="40"/>
      <c r="AA142" s="31"/>
      <c r="AB142" s="32"/>
      <c r="AC142" s="29"/>
      <c r="AE142" s="41" t="s">
        <v>444</v>
      </c>
      <c r="AF142" s="41" t="s">
        <v>283</v>
      </c>
      <c r="AG142" s="40"/>
      <c r="AH142" s="40"/>
      <c r="AI142" s="40"/>
      <c r="AJ142" s="31"/>
      <c r="AK142" s="32"/>
      <c r="AL142" s="29"/>
      <c r="AN142" s="41" t="s">
        <v>444</v>
      </c>
      <c r="AO142" s="41" t="s">
        <v>283</v>
      </c>
      <c r="AP142" s="40"/>
      <c r="AQ142" s="40"/>
      <c r="AR142" s="40"/>
      <c r="AS142" s="31"/>
      <c r="AT142" s="32"/>
      <c r="AU142" s="29"/>
      <c r="AW142" s="41" t="s">
        <v>444</v>
      </c>
      <c r="AX142" s="41" t="s">
        <v>283</v>
      </c>
      <c r="AY142" s="40"/>
      <c r="AZ142" s="40"/>
      <c r="BA142" s="40"/>
      <c r="BB142" s="31"/>
      <c r="BC142" s="32"/>
      <c r="BD142" s="29"/>
      <c r="BF142" s="41" t="s">
        <v>444</v>
      </c>
      <c r="BG142" s="41" t="s">
        <v>283</v>
      </c>
      <c r="BH142" s="40"/>
      <c r="BI142" s="40"/>
      <c r="BJ142" s="40"/>
      <c r="BK142" s="31"/>
      <c r="BL142" s="32"/>
      <c r="BM142" s="29"/>
    </row>
    <row r="143" spans="2:65" outlineLevel="1" x14ac:dyDescent="0.25">
      <c r="B143" s="41" t="s">
        <v>444</v>
      </c>
      <c r="C143" s="41" t="s">
        <v>283</v>
      </c>
      <c r="D143" s="40"/>
      <c r="E143" s="40"/>
      <c r="F143" s="40"/>
      <c r="G143" s="31"/>
      <c r="H143" s="32"/>
      <c r="I143" s="29"/>
      <c r="J143" s="171"/>
      <c r="L143" s="41" t="s">
        <v>444</v>
      </c>
      <c r="M143" s="41" t="s">
        <v>283</v>
      </c>
      <c r="N143" s="40"/>
      <c r="O143" s="40"/>
      <c r="P143" s="40"/>
      <c r="Q143" s="31"/>
      <c r="R143" s="32"/>
      <c r="S143" s="29"/>
      <c r="T143" s="171"/>
      <c r="V143" s="41" t="s">
        <v>444</v>
      </c>
      <c r="W143" s="41" t="s">
        <v>283</v>
      </c>
      <c r="X143" s="40"/>
      <c r="Y143" s="40"/>
      <c r="Z143" s="40"/>
      <c r="AA143" s="31"/>
      <c r="AB143" s="32"/>
      <c r="AC143" s="29"/>
      <c r="AE143" s="41" t="s">
        <v>444</v>
      </c>
      <c r="AF143" s="41" t="s">
        <v>283</v>
      </c>
      <c r="AG143" s="40"/>
      <c r="AH143" s="40"/>
      <c r="AI143" s="40"/>
      <c r="AJ143" s="31"/>
      <c r="AK143" s="32"/>
      <c r="AL143" s="29"/>
      <c r="AN143" s="41" t="s">
        <v>444</v>
      </c>
      <c r="AO143" s="41" t="s">
        <v>283</v>
      </c>
      <c r="AP143" s="40"/>
      <c r="AQ143" s="40"/>
      <c r="AR143" s="40"/>
      <c r="AS143" s="31"/>
      <c r="AT143" s="32"/>
      <c r="AU143" s="29"/>
      <c r="AW143" s="41" t="s">
        <v>444</v>
      </c>
      <c r="AX143" s="41" t="s">
        <v>283</v>
      </c>
      <c r="AY143" s="40"/>
      <c r="AZ143" s="40"/>
      <c r="BA143" s="40"/>
      <c r="BB143" s="31"/>
      <c r="BC143" s="32"/>
      <c r="BD143" s="29"/>
      <c r="BF143" s="41" t="s">
        <v>444</v>
      </c>
      <c r="BG143" s="41" t="s">
        <v>283</v>
      </c>
      <c r="BH143" s="40"/>
      <c r="BI143" s="40"/>
      <c r="BJ143" s="40"/>
      <c r="BK143" s="31"/>
      <c r="BL143" s="32"/>
      <c r="BM143" s="29"/>
    </row>
    <row r="144" spans="2:65" outlineLevel="1" x14ac:dyDescent="0.25">
      <c r="B144" s="41" t="s">
        <v>444</v>
      </c>
      <c r="C144" s="41" t="s">
        <v>283</v>
      </c>
      <c r="D144" s="40"/>
      <c r="E144" s="40"/>
      <c r="F144" s="40"/>
      <c r="G144" s="31"/>
      <c r="H144" s="32"/>
      <c r="I144" s="29"/>
      <c r="J144" s="171"/>
      <c r="L144" s="41" t="s">
        <v>444</v>
      </c>
      <c r="M144" s="41" t="s">
        <v>283</v>
      </c>
      <c r="N144" s="40"/>
      <c r="O144" s="40"/>
      <c r="P144" s="40"/>
      <c r="Q144" s="31"/>
      <c r="R144" s="32"/>
      <c r="S144" s="29"/>
      <c r="T144" s="171"/>
      <c r="V144" s="41" t="s">
        <v>444</v>
      </c>
      <c r="W144" s="41" t="s">
        <v>283</v>
      </c>
      <c r="X144" s="40"/>
      <c r="Y144" s="40"/>
      <c r="Z144" s="40"/>
      <c r="AA144" s="31"/>
      <c r="AB144" s="32"/>
      <c r="AC144" s="29"/>
      <c r="AE144" s="41" t="s">
        <v>444</v>
      </c>
      <c r="AF144" s="41" t="s">
        <v>283</v>
      </c>
      <c r="AG144" s="40"/>
      <c r="AH144" s="40"/>
      <c r="AI144" s="40"/>
      <c r="AJ144" s="31"/>
      <c r="AK144" s="32"/>
      <c r="AL144" s="29"/>
      <c r="AN144" s="41" t="s">
        <v>444</v>
      </c>
      <c r="AO144" s="41" t="s">
        <v>283</v>
      </c>
      <c r="AP144" s="40"/>
      <c r="AQ144" s="40"/>
      <c r="AR144" s="40"/>
      <c r="AS144" s="31"/>
      <c r="AT144" s="32"/>
      <c r="AU144" s="29"/>
      <c r="AW144" s="41" t="s">
        <v>444</v>
      </c>
      <c r="AX144" s="41" t="s">
        <v>283</v>
      </c>
      <c r="AY144" s="40"/>
      <c r="AZ144" s="40"/>
      <c r="BA144" s="40"/>
      <c r="BB144" s="31"/>
      <c r="BC144" s="32"/>
      <c r="BD144" s="29"/>
      <c r="BF144" s="41" t="s">
        <v>444</v>
      </c>
      <c r="BG144" s="41" t="s">
        <v>283</v>
      </c>
      <c r="BH144" s="40"/>
      <c r="BI144" s="40"/>
      <c r="BJ144" s="40"/>
      <c r="BK144" s="31"/>
      <c r="BL144" s="32"/>
      <c r="BM144" s="29"/>
    </row>
    <row r="145" spans="2:65" outlineLevel="1" x14ac:dyDescent="0.25">
      <c r="B145" s="41" t="s">
        <v>444</v>
      </c>
      <c r="C145" s="41" t="s">
        <v>283</v>
      </c>
      <c r="D145" s="40"/>
      <c r="E145" s="40"/>
      <c r="F145" s="40"/>
      <c r="G145" s="31"/>
      <c r="H145" s="32"/>
      <c r="I145" s="29"/>
      <c r="J145" s="171"/>
      <c r="L145" s="41" t="s">
        <v>444</v>
      </c>
      <c r="M145" s="41" t="s">
        <v>283</v>
      </c>
      <c r="N145" s="40"/>
      <c r="O145" s="40"/>
      <c r="P145" s="40"/>
      <c r="Q145" s="31"/>
      <c r="R145" s="32"/>
      <c r="S145" s="29"/>
      <c r="T145" s="171"/>
      <c r="V145" s="41" t="s">
        <v>444</v>
      </c>
      <c r="W145" s="41" t="s">
        <v>283</v>
      </c>
      <c r="X145" s="40"/>
      <c r="Y145" s="40"/>
      <c r="Z145" s="40"/>
      <c r="AA145" s="31"/>
      <c r="AB145" s="32"/>
      <c r="AC145" s="29"/>
      <c r="AE145" s="41" t="s">
        <v>444</v>
      </c>
      <c r="AF145" s="41" t="s">
        <v>283</v>
      </c>
      <c r="AG145" s="40"/>
      <c r="AH145" s="40"/>
      <c r="AI145" s="40"/>
      <c r="AJ145" s="31"/>
      <c r="AK145" s="32"/>
      <c r="AL145" s="29"/>
      <c r="AN145" s="41" t="s">
        <v>444</v>
      </c>
      <c r="AO145" s="41" t="s">
        <v>283</v>
      </c>
      <c r="AP145" s="40"/>
      <c r="AQ145" s="40"/>
      <c r="AR145" s="40"/>
      <c r="AS145" s="31"/>
      <c r="AT145" s="32"/>
      <c r="AU145" s="29"/>
      <c r="AW145" s="41" t="s">
        <v>444</v>
      </c>
      <c r="AX145" s="41" t="s">
        <v>283</v>
      </c>
      <c r="AY145" s="40"/>
      <c r="AZ145" s="40"/>
      <c r="BA145" s="40"/>
      <c r="BB145" s="31"/>
      <c r="BC145" s="32"/>
      <c r="BD145" s="29"/>
      <c r="BF145" s="41" t="s">
        <v>444</v>
      </c>
      <c r="BG145" s="41" t="s">
        <v>283</v>
      </c>
      <c r="BH145" s="40"/>
      <c r="BI145" s="40"/>
      <c r="BJ145" s="40"/>
      <c r="BK145" s="31"/>
      <c r="BL145" s="32"/>
      <c r="BM145" s="29"/>
    </row>
    <row r="146" spans="2:65" outlineLevel="1" x14ac:dyDescent="0.25">
      <c r="B146" s="41" t="s">
        <v>444</v>
      </c>
      <c r="C146" s="41" t="s">
        <v>283</v>
      </c>
      <c r="D146" s="40"/>
      <c r="E146" s="40"/>
      <c r="F146" s="40"/>
      <c r="G146" s="31"/>
      <c r="H146" s="32"/>
      <c r="I146" s="29"/>
      <c r="J146" s="171"/>
      <c r="L146" s="41" t="s">
        <v>444</v>
      </c>
      <c r="M146" s="41" t="s">
        <v>283</v>
      </c>
      <c r="N146" s="40"/>
      <c r="O146" s="40"/>
      <c r="P146" s="40"/>
      <c r="Q146" s="31"/>
      <c r="R146" s="32"/>
      <c r="S146" s="29"/>
      <c r="T146" s="171"/>
      <c r="V146" s="41" t="s">
        <v>444</v>
      </c>
      <c r="W146" s="41" t="s">
        <v>283</v>
      </c>
      <c r="X146" s="40"/>
      <c r="Y146" s="40"/>
      <c r="Z146" s="40"/>
      <c r="AA146" s="31"/>
      <c r="AB146" s="32"/>
      <c r="AC146" s="29"/>
      <c r="AE146" s="41" t="s">
        <v>444</v>
      </c>
      <c r="AF146" s="41" t="s">
        <v>283</v>
      </c>
      <c r="AG146" s="40"/>
      <c r="AH146" s="40"/>
      <c r="AI146" s="40"/>
      <c r="AJ146" s="31"/>
      <c r="AK146" s="32"/>
      <c r="AL146" s="29"/>
      <c r="AN146" s="41" t="s">
        <v>444</v>
      </c>
      <c r="AO146" s="41" t="s">
        <v>283</v>
      </c>
      <c r="AP146" s="40"/>
      <c r="AQ146" s="40"/>
      <c r="AR146" s="40"/>
      <c r="AS146" s="31"/>
      <c r="AT146" s="32"/>
      <c r="AU146" s="29"/>
      <c r="AW146" s="41" t="s">
        <v>444</v>
      </c>
      <c r="AX146" s="41" t="s">
        <v>283</v>
      </c>
      <c r="AY146" s="40"/>
      <c r="AZ146" s="40"/>
      <c r="BA146" s="40"/>
      <c r="BB146" s="31"/>
      <c r="BC146" s="32"/>
      <c r="BD146" s="29"/>
      <c r="BF146" s="41" t="s">
        <v>444</v>
      </c>
      <c r="BG146" s="41" t="s">
        <v>283</v>
      </c>
      <c r="BH146" s="40"/>
      <c r="BI146" s="40"/>
      <c r="BJ146" s="40"/>
      <c r="BK146" s="31"/>
      <c r="BL146" s="32"/>
      <c r="BM146" s="29"/>
    </row>
    <row r="147" spans="2:65" outlineLevel="1" x14ac:dyDescent="0.25">
      <c r="B147" s="41" t="s">
        <v>444</v>
      </c>
      <c r="C147" s="41" t="s">
        <v>283</v>
      </c>
      <c r="D147" s="40"/>
      <c r="E147" s="40"/>
      <c r="F147" s="40"/>
      <c r="G147" s="31"/>
      <c r="H147" s="32"/>
      <c r="I147" s="29"/>
      <c r="J147" s="171"/>
      <c r="L147" s="41" t="s">
        <v>444</v>
      </c>
      <c r="M147" s="41" t="s">
        <v>283</v>
      </c>
      <c r="N147" s="40"/>
      <c r="O147" s="40"/>
      <c r="P147" s="40"/>
      <c r="Q147" s="31"/>
      <c r="R147" s="32"/>
      <c r="S147" s="29"/>
      <c r="T147" s="171"/>
      <c r="V147" s="41" t="s">
        <v>444</v>
      </c>
      <c r="W147" s="41" t="s">
        <v>283</v>
      </c>
      <c r="X147" s="40"/>
      <c r="Y147" s="40"/>
      <c r="Z147" s="40"/>
      <c r="AA147" s="31"/>
      <c r="AB147" s="32"/>
      <c r="AC147" s="29"/>
      <c r="AE147" s="41" t="s">
        <v>444</v>
      </c>
      <c r="AF147" s="41" t="s">
        <v>283</v>
      </c>
      <c r="AG147" s="40"/>
      <c r="AH147" s="40"/>
      <c r="AI147" s="40"/>
      <c r="AJ147" s="31"/>
      <c r="AK147" s="32"/>
      <c r="AL147" s="29"/>
      <c r="AN147" s="41" t="s">
        <v>444</v>
      </c>
      <c r="AO147" s="41" t="s">
        <v>283</v>
      </c>
      <c r="AP147" s="40"/>
      <c r="AQ147" s="40"/>
      <c r="AR147" s="40"/>
      <c r="AS147" s="31"/>
      <c r="AT147" s="32"/>
      <c r="AU147" s="29"/>
      <c r="AW147" s="41" t="s">
        <v>444</v>
      </c>
      <c r="AX147" s="41" t="s">
        <v>283</v>
      </c>
      <c r="AY147" s="40"/>
      <c r="AZ147" s="40"/>
      <c r="BA147" s="40"/>
      <c r="BB147" s="31"/>
      <c r="BC147" s="32"/>
      <c r="BD147" s="29"/>
      <c r="BF147" s="41" t="s">
        <v>444</v>
      </c>
      <c r="BG147" s="41" t="s">
        <v>283</v>
      </c>
      <c r="BH147" s="40"/>
      <c r="BI147" s="40"/>
      <c r="BJ147" s="40"/>
      <c r="BK147" s="31"/>
      <c r="BL147" s="32"/>
      <c r="BM147" s="29"/>
    </row>
    <row r="148" spans="2:65" outlineLevel="1" x14ac:dyDescent="0.25">
      <c r="B148" s="41" t="s">
        <v>444</v>
      </c>
      <c r="C148" s="41" t="s">
        <v>283</v>
      </c>
      <c r="D148" s="40"/>
      <c r="E148" s="40"/>
      <c r="F148" s="40"/>
      <c r="G148" s="31"/>
      <c r="H148" s="32"/>
      <c r="I148" s="29"/>
      <c r="J148" s="171"/>
      <c r="L148" s="41" t="s">
        <v>444</v>
      </c>
      <c r="M148" s="41" t="s">
        <v>283</v>
      </c>
      <c r="N148" s="40"/>
      <c r="O148" s="40"/>
      <c r="P148" s="40"/>
      <c r="Q148" s="31"/>
      <c r="R148" s="32"/>
      <c r="S148" s="29"/>
      <c r="T148" s="171"/>
      <c r="V148" s="41" t="s">
        <v>444</v>
      </c>
      <c r="W148" s="41" t="s">
        <v>283</v>
      </c>
      <c r="X148" s="40"/>
      <c r="Y148" s="40"/>
      <c r="Z148" s="40"/>
      <c r="AA148" s="31"/>
      <c r="AB148" s="32"/>
      <c r="AC148" s="29"/>
      <c r="AE148" s="41" t="s">
        <v>444</v>
      </c>
      <c r="AF148" s="41" t="s">
        <v>283</v>
      </c>
      <c r="AG148" s="40"/>
      <c r="AH148" s="40"/>
      <c r="AI148" s="40"/>
      <c r="AJ148" s="31"/>
      <c r="AK148" s="32"/>
      <c r="AL148" s="29"/>
      <c r="AN148" s="41" t="s">
        <v>444</v>
      </c>
      <c r="AO148" s="41" t="s">
        <v>283</v>
      </c>
      <c r="AP148" s="40"/>
      <c r="AQ148" s="40"/>
      <c r="AR148" s="40"/>
      <c r="AS148" s="31"/>
      <c r="AT148" s="32"/>
      <c r="AU148" s="29"/>
      <c r="AW148" s="41" t="s">
        <v>444</v>
      </c>
      <c r="AX148" s="41" t="s">
        <v>283</v>
      </c>
      <c r="AY148" s="40"/>
      <c r="AZ148" s="40"/>
      <c r="BA148" s="40"/>
      <c r="BB148" s="31"/>
      <c r="BC148" s="32"/>
      <c r="BD148" s="29"/>
      <c r="BF148" s="41" t="s">
        <v>444</v>
      </c>
      <c r="BG148" s="41" t="s">
        <v>283</v>
      </c>
      <c r="BH148" s="40"/>
      <c r="BI148" s="40"/>
      <c r="BJ148" s="40"/>
      <c r="BK148" s="31"/>
      <c r="BL148" s="32"/>
      <c r="BM148" s="29"/>
    </row>
    <row r="149" spans="2:65" x14ac:dyDescent="0.25">
      <c r="B149" s="8" t="s">
        <v>449</v>
      </c>
      <c r="C149" s="25"/>
      <c r="D149" s="28">
        <f t="shared" ref="D149:E149" si="145">SUM(D134:D148)</f>
        <v>0</v>
      </c>
      <c r="E149" s="28">
        <f t="shared" si="145"/>
        <v>0</v>
      </c>
      <c r="F149" s="28">
        <f t="shared" ref="F149" si="146">SUM(F134:F148)</f>
        <v>0</v>
      </c>
      <c r="G149" s="25"/>
      <c r="H149" s="26"/>
      <c r="I149" s="30"/>
      <c r="J149" s="170"/>
      <c r="L149" s="8" t="s">
        <v>449</v>
      </c>
      <c r="M149" s="25"/>
      <c r="N149" s="28">
        <f t="shared" ref="N149:O149" si="147">SUM(N134:N148)</f>
        <v>0</v>
      </c>
      <c r="O149" s="28">
        <f t="shared" si="147"/>
        <v>0</v>
      </c>
      <c r="P149" s="28">
        <f t="shared" ref="P149" si="148">SUM(P134:P148)</f>
        <v>0</v>
      </c>
      <c r="Q149" s="25"/>
      <c r="R149" s="26"/>
      <c r="S149" s="30"/>
      <c r="T149" s="170"/>
      <c r="V149" s="8" t="s">
        <v>449</v>
      </c>
      <c r="W149" s="25"/>
      <c r="X149" s="30"/>
      <c r="Y149" s="30"/>
      <c r="Z149" s="28">
        <f t="shared" ref="Z149" si="149">SUM(Z134:Z148)</f>
        <v>0</v>
      </c>
      <c r="AA149" s="25"/>
      <c r="AB149" s="26"/>
      <c r="AC149" s="30"/>
      <c r="AE149" s="8" t="s">
        <v>449</v>
      </c>
      <c r="AF149" s="25"/>
      <c r="AG149" s="30"/>
      <c r="AH149" s="30"/>
      <c r="AI149" s="28">
        <f t="shared" ref="AI149" si="150">SUM(AI134:AI148)</f>
        <v>0</v>
      </c>
      <c r="AJ149" s="25"/>
      <c r="AK149" s="26"/>
      <c r="AL149" s="30"/>
      <c r="AN149" s="8" t="s">
        <v>449</v>
      </c>
      <c r="AO149" s="25"/>
      <c r="AP149" s="30"/>
      <c r="AQ149" s="30"/>
      <c r="AR149" s="28">
        <f t="shared" ref="AR149" si="151">SUM(AR134:AR148)</f>
        <v>0</v>
      </c>
      <c r="AS149" s="25"/>
      <c r="AT149" s="26"/>
      <c r="AU149" s="30"/>
      <c r="AW149" s="8" t="s">
        <v>449</v>
      </c>
      <c r="AX149" s="25"/>
      <c r="AY149" s="30"/>
      <c r="AZ149" s="30"/>
      <c r="BA149" s="28">
        <f t="shared" ref="BA149" si="152">SUM(BA134:BA148)</f>
        <v>0</v>
      </c>
      <c r="BB149" s="25"/>
      <c r="BC149" s="26"/>
      <c r="BD149" s="30"/>
      <c r="BF149" s="8" t="s">
        <v>449</v>
      </c>
      <c r="BG149" s="25"/>
      <c r="BH149" s="30"/>
      <c r="BI149" s="30"/>
      <c r="BJ149" s="28">
        <f t="shared" ref="BJ149" si="153">SUM(BJ134:BJ148)</f>
        <v>0</v>
      </c>
      <c r="BK149" s="25"/>
      <c r="BL149" s="26"/>
      <c r="BM149" s="30"/>
    </row>
    <row r="151" spans="2:65" s="20" customFormat="1" ht="38.25" x14ac:dyDescent="0.25">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2" t="s">
        <v>380</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2" t="s">
        <v>380</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x14ac:dyDescent="0.25">
      <c r="B152" s="41" t="s">
        <v>444</v>
      </c>
      <c r="C152" s="41" t="s">
        <v>283</v>
      </c>
      <c r="D152" s="40"/>
      <c r="E152" s="40"/>
      <c r="F152" s="29"/>
      <c r="G152" s="31"/>
      <c r="H152" s="23">
        <v>0.05</v>
      </c>
      <c r="I152" s="75">
        <f>E152*H152</f>
        <v>0</v>
      </c>
      <c r="J152" s="171"/>
      <c r="L152" s="41" t="s">
        <v>444</v>
      </c>
      <c r="M152" s="41" t="s">
        <v>283</v>
      </c>
      <c r="N152" s="40"/>
      <c r="O152" s="40"/>
      <c r="P152" s="29"/>
      <c r="Q152" s="31"/>
      <c r="R152" s="23">
        <v>0.05</v>
      </c>
      <c r="S152" s="75">
        <f>O152*R152</f>
        <v>0</v>
      </c>
      <c r="T152" s="171"/>
      <c r="V152" s="41" t="s">
        <v>444</v>
      </c>
      <c r="W152" s="41" t="s">
        <v>283</v>
      </c>
      <c r="X152" s="40"/>
      <c r="Y152" s="40"/>
      <c r="Z152" s="29"/>
      <c r="AA152" s="31"/>
      <c r="AB152" s="23">
        <v>0.05</v>
      </c>
      <c r="AC152" s="75">
        <f>Y152*AB152</f>
        <v>0</v>
      </c>
      <c r="AE152" s="41" t="s">
        <v>444</v>
      </c>
      <c r="AF152" s="41" t="s">
        <v>283</v>
      </c>
      <c r="AG152" s="40"/>
      <c r="AH152" s="40"/>
      <c r="AI152" s="29"/>
      <c r="AJ152" s="31"/>
      <c r="AK152" s="23">
        <v>0.05</v>
      </c>
      <c r="AL152" s="75">
        <f>AH152*AK152</f>
        <v>0</v>
      </c>
      <c r="AN152" s="41" t="s">
        <v>444</v>
      </c>
      <c r="AO152" s="41" t="s">
        <v>283</v>
      </c>
      <c r="AP152" s="40"/>
      <c r="AQ152" s="40"/>
      <c r="AR152" s="29"/>
      <c r="AS152" s="31"/>
      <c r="AT152" s="23">
        <v>0.05</v>
      </c>
      <c r="AU152" s="75">
        <f>AQ152*AT152</f>
        <v>0</v>
      </c>
      <c r="AW152" s="41" t="s">
        <v>444</v>
      </c>
      <c r="AX152" s="41" t="s">
        <v>283</v>
      </c>
      <c r="AY152" s="40"/>
      <c r="AZ152" s="40"/>
      <c r="BA152" s="29"/>
      <c r="BB152" s="31"/>
      <c r="BC152" s="23">
        <v>0.05</v>
      </c>
      <c r="BD152" s="75">
        <f>AZ152*BC152</f>
        <v>0</v>
      </c>
      <c r="BF152" s="41" t="s">
        <v>444</v>
      </c>
      <c r="BG152" s="41" t="s">
        <v>283</v>
      </c>
      <c r="BH152" s="40"/>
      <c r="BI152" s="40"/>
      <c r="BJ152" s="29"/>
      <c r="BK152" s="31"/>
      <c r="BL152" s="23">
        <v>0.05</v>
      </c>
      <c r="BM152" s="75">
        <f>BI152*BL152</f>
        <v>0</v>
      </c>
    </row>
    <row r="153" spans="2:65" x14ac:dyDescent="0.25">
      <c r="B153" s="41" t="s">
        <v>444</v>
      </c>
      <c r="C153" s="41" t="s">
        <v>283</v>
      </c>
      <c r="D153" s="244"/>
      <c r="E153" s="40"/>
      <c r="F153" s="29"/>
      <c r="G153" s="31"/>
      <c r="H153" s="23">
        <v>0.05</v>
      </c>
      <c r="I153" s="75">
        <f t="shared" ref="I153:I166" si="161">E153*H153</f>
        <v>0</v>
      </c>
      <c r="J153" s="171"/>
      <c r="L153" s="41" t="s">
        <v>444</v>
      </c>
      <c r="M153" s="41" t="s">
        <v>283</v>
      </c>
      <c r="N153" s="40"/>
      <c r="O153" s="40"/>
      <c r="P153" s="29"/>
      <c r="Q153" s="31"/>
      <c r="R153" s="23">
        <v>0.05</v>
      </c>
      <c r="S153" s="75">
        <f t="shared" ref="S153:S166" si="162">O153*R153</f>
        <v>0</v>
      </c>
      <c r="T153" s="171"/>
      <c r="V153" s="41" t="s">
        <v>444</v>
      </c>
      <c r="W153" s="41" t="s">
        <v>283</v>
      </c>
      <c r="X153" s="40"/>
      <c r="Y153" s="40"/>
      <c r="Z153" s="29"/>
      <c r="AA153" s="31"/>
      <c r="AB153" s="23">
        <v>0.05</v>
      </c>
      <c r="AC153" s="75">
        <f t="shared" ref="AC153:AC166" si="163">Y153*AB153</f>
        <v>0</v>
      </c>
      <c r="AE153" s="41" t="s">
        <v>444</v>
      </c>
      <c r="AF153" s="41" t="s">
        <v>283</v>
      </c>
      <c r="AG153" s="40"/>
      <c r="AH153" s="40"/>
      <c r="AI153" s="29"/>
      <c r="AJ153" s="31"/>
      <c r="AK153" s="23">
        <v>0.05</v>
      </c>
      <c r="AL153" s="75">
        <f t="shared" ref="AL153:AL166" si="164">AH153*AK153</f>
        <v>0</v>
      </c>
      <c r="AN153" s="41" t="s">
        <v>444</v>
      </c>
      <c r="AO153" s="41" t="s">
        <v>283</v>
      </c>
      <c r="AP153" s="40"/>
      <c r="AQ153" s="40"/>
      <c r="AR153" s="29"/>
      <c r="AS153" s="31"/>
      <c r="AT153" s="23">
        <v>0.05</v>
      </c>
      <c r="AU153" s="75">
        <f t="shared" ref="AU153:AU166" si="165">AQ153*AT153</f>
        <v>0</v>
      </c>
      <c r="AW153" s="41" t="s">
        <v>444</v>
      </c>
      <c r="AX153" s="41" t="s">
        <v>283</v>
      </c>
      <c r="AY153" s="40"/>
      <c r="AZ153" s="40"/>
      <c r="BA153" s="29"/>
      <c r="BB153" s="31"/>
      <c r="BC153" s="23">
        <v>0.05</v>
      </c>
      <c r="BD153" s="75">
        <f t="shared" ref="BD153:BD166" si="166">AZ153*BC153</f>
        <v>0</v>
      </c>
      <c r="BF153" s="41" t="s">
        <v>444</v>
      </c>
      <c r="BG153" s="41" t="s">
        <v>283</v>
      </c>
      <c r="BH153" s="40"/>
      <c r="BI153" s="40"/>
      <c r="BJ153" s="29"/>
      <c r="BK153" s="31"/>
      <c r="BL153" s="23">
        <v>0.05</v>
      </c>
      <c r="BM153" s="75">
        <f t="shared" ref="BM153:BM166" si="167">BI153*BL153</f>
        <v>0</v>
      </c>
    </row>
    <row r="154" spans="2:65" x14ac:dyDescent="0.25">
      <c r="B154" s="41" t="s">
        <v>444</v>
      </c>
      <c r="C154" s="41" t="s">
        <v>283</v>
      </c>
      <c r="D154" s="40"/>
      <c r="E154" s="40"/>
      <c r="F154" s="29"/>
      <c r="G154" s="31"/>
      <c r="H154" s="23">
        <v>0.05</v>
      </c>
      <c r="I154" s="75">
        <f t="shared" si="161"/>
        <v>0</v>
      </c>
      <c r="J154" s="171"/>
      <c r="L154" s="41" t="s">
        <v>444</v>
      </c>
      <c r="M154" s="41" t="s">
        <v>283</v>
      </c>
      <c r="N154" s="40"/>
      <c r="O154" s="40"/>
      <c r="P154" s="29"/>
      <c r="Q154" s="31"/>
      <c r="R154" s="23">
        <v>0.05</v>
      </c>
      <c r="S154" s="75">
        <f t="shared" si="162"/>
        <v>0</v>
      </c>
      <c r="T154" s="171"/>
      <c r="V154" s="41" t="s">
        <v>444</v>
      </c>
      <c r="W154" s="41" t="s">
        <v>283</v>
      </c>
      <c r="X154" s="40"/>
      <c r="Y154" s="40"/>
      <c r="Z154" s="29"/>
      <c r="AA154" s="31"/>
      <c r="AB154" s="23">
        <v>0.05</v>
      </c>
      <c r="AC154" s="75">
        <f t="shared" si="163"/>
        <v>0</v>
      </c>
      <c r="AE154" s="41" t="s">
        <v>444</v>
      </c>
      <c r="AF154" s="41" t="s">
        <v>283</v>
      </c>
      <c r="AG154" s="40"/>
      <c r="AH154" s="40"/>
      <c r="AI154" s="29"/>
      <c r="AJ154" s="31"/>
      <c r="AK154" s="23">
        <v>0.05</v>
      </c>
      <c r="AL154" s="75">
        <f t="shared" si="164"/>
        <v>0</v>
      </c>
      <c r="AN154" s="41" t="s">
        <v>444</v>
      </c>
      <c r="AO154" s="41" t="s">
        <v>283</v>
      </c>
      <c r="AP154" s="40"/>
      <c r="AQ154" s="40"/>
      <c r="AR154" s="29"/>
      <c r="AS154" s="31"/>
      <c r="AT154" s="23">
        <v>0.05</v>
      </c>
      <c r="AU154" s="75">
        <f t="shared" si="165"/>
        <v>0</v>
      </c>
      <c r="AW154" s="41" t="s">
        <v>444</v>
      </c>
      <c r="AX154" s="41" t="s">
        <v>283</v>
      </c>
      <c r="AY154" s="40"/>
      <c r="AZ154" s="40"/>
      <c r="BA154" s="29"/>
      <c r="BB154" s="31"/>
      <c r="BC154" s="23">
        <v>0.05</v>
      </c>
      <c r="BD154" s="75">
        <f t="shared" si="166"/>
        <v>0</v>
      </c>
      <c r="BF154" s="41" t="s">
        <v>444</v>
      </c>
      <c r="BG154" s="41" t="s">
        <v>283</v>
      </c>
      <c r="BH154" s="40"/>
      <c r="BI154" s="40"/>
      <c r="BJ154" s="29"/>
      <c r="BK154" s="31"/>
      <c r="BL154" s="23">
        <v>0.05</v>
      </c>
      <c r="BM154" s="75">
        <f t="shared" si="167"/>
        <v>0</v>
      </c>
    </row>
    <row r="155" spans="2:65" x14ac:dyDescent="0.25">
      <c r="B155" s="41" t="s">
        <v>444</v>
      </c>
      <c r="C155" s="41" t="s">
        <v>283</v>
      </c>
      <c r="D155" s="40"/>
      <c r="E155" s="40"/>
      <c r="F155" s="29"/>
      <c r="G155" s="31"/>
      <c r="H155" s="23">
        <v>0.05</v>
      </c>
      <c r="I155" s="75">
        <f t="shared" si="161"/>
        <v>0</v>
      </c>
      <c r="J155" s="171"/>
      <c r="L155" s="41" t="s">
        <v>444</v>
      </c>
      <c r="M155" s="41" t="s">
        <v>283</v>
      </c>
      <c r="N155" s="40"/>
      <c r="O155" s="40"/>
      <c r="P155" s="29"/>
      <c r="Q155" s="31"/>
      <c r="R155" s="23">
        <v>0.05</v>
      </c>
      <c r="S155" s="75">
        <f t="shared" si="162"/>
        <v>0</v>
      </c>
      <c r="T155" s="171"/>
      <c r="V155" s="41" t="s">
        <v>444</v>
      </c>
      <c r="W155" s="41" t="s">
        <v>283</v>
      </c>
      <c r="X155" s="40"/>
      <c r="Y155" s="40"/>
      <c r="Z155" s="29"/>
      <c r="AA155" s="31"/>
      <c r="AB155" s="23">
        <v>0.05</v>
      </c>
      <c r="AC155" s="75">
        <f t="shared" si="163"/>
        <v>0</v>
      </c>
      <c r="AE155" s="41" t="s">
        <v>444</v>
      </c>
      <c r="AF155" s="41" t="s">
        <v>283</v>
      </c>
      <c r="AG155" s="40"/>
      <c r="AH155" s="40"/>
      <c r="AI155" s="29"/>
      <c r="AJ155" s="31"/>
      <c r="AK155" s="23">
        <v>0.05</v>
      </c>
      <c r="AL155" s="75">
        <f t="shared" si="164"/>
        <v>0</v>
      </c>
      <c r="AN155" s="41" t="s">
        <v>444</v>
      </c>
      <c r="AO155" s="41" t="s">
        <v>283</v>
      </c>
      <c r="AP155" s="40"/>
      <c r="AQ155" s="40"/>
      <c r="AR155" s="29"/>
      <c r="AS155" s="31"/>
      <c r="AT155" s="23">
        <v>0.05</v>
      </c>
      <c r="AU155" s="75">
        <f t="shared" si="165"/>
        <v>0</v>
      </c>
      <c r="AW155" s="41" t="s">
        <v>444</v>
      </c>
      <c r="AX155" s="41" t="s">
        <v>283</v>
      </c>
      <c r="AY155" s="40"/>
      <c r="AZ155" s="40"/>
      <c r="BA155" s="29"/>
      <c r="BB155" s="31"/>
      <c r="BC155" s="23">
        <v>0.05</v>
      </c>
      <c r="BD155" s="75">
        <f t="shared" si="166"/>
        <v>0</v>
      </c>
      <c r="BF155" s="41" t="s">
        <v>444</v>
      </c>
      <c r="BG155" s="41" t="s">
        <v>283</v>
      </c>
      <c r="BH155" s="40"/>
      <c r="BI155" s="40"/>
      <c r="BJ155" s="29"/>
      <c r="BK155" s="31"/>
      <c r="BL155" s="23">
        <v>0.05</v>
      </c>
      <c r="BM155" s="75">
        <f t="shared" si="167"/>
        <v>0</v>
      </c>
    </row>
    <row r="156" spans="2:65" x14ac:dyDescent="0.25">
      <c r="B156" s="41" t="s">
        <v>444</v>
      </c>
      <c r="C156" s="41" t="s">
        <v>283</v>
      </c>
      <c r="D156" s="40"/>
      <c r="E156" s="40"/>
      <c r="F156" s="29"/>
      <c r="G156" s="31"/>
      <c r="H156" s="23">
        <v>0.05</v>
      </c>
      <c r="I156" s="75">
        <f t="shared" si="161"/>
        <v>0</v>
      </c>
      <c r="J156" s="171"/>
      <c r="L156" s="41" t="s">
        <v>444</v>
      </c>
      <c r="M156" s="41" t="s">
        <v>283</v>
      </c>
      <c r="N156" s="40"/>
      <c r="O156" s="40"/>
      <c r="P156" s="29"/>
      <c r="Q156" s="31"/>
      <c r="R156" s="23">
        <v>0.05</v>
      </c>
      <c r="S156" s="75">
        <f t="shared" si="162"/>
        <v>0</v>
      </c>
      <c r="T156" s="171"/>
      <c r="V156" s="41" t="s">
        <v>444</v>
      </c>
      <c r="W156" s="41" t="s">
        <v>283</v>
      </c>
      <c r="X156" s="40"/>
      <c r="Y156" s="40"/>
      <c r="Z156" s="29"/>
      <c r="AA156" s="31"/>
      <c r="AB156" s="23">
        <v>0.05</v>
      </c>
      <c r="AC156" s="75">
        <f t="shared" si="163"/>
        <v>0</v>
      </c>
      <c r="AE156" s="41" t="s">
        <v>444</v>
      </c>
      <c r="AF156" s="41" t="s">
        <v>283</v>
      </c>
      <c r="AG156" s="40"/>
      <c r="AH156" s="40"/>
      <c r="AI156" s="29"/>
      <c r="AJ156" s="31"/>
      <c r="AK156" s="23">
        <v>0.05</v>
      </c>
      <c r="AL156" s="75">
        <f t="shared" si="164"/>
        <v>0</v>
      </c>
      <c r="AN156" s="41" t="s">
        <v>444</v>
      </c>
      <c r="AO156" s="41" t="s">
        <v>283</v>
      </c>
      <c r="AP156" s="40"/>
      <c r="AQ156" s="40"/>
      <c r="AR156" s="29"/>
      <c r="AS156" s="31"/>
      <c r="AT156" s="23">
        <v>0.05</v>
      </c>
      <c r="AU156" s="75">
        <f t="shared" si="165"/>
        <v>0</v>
      </c>
      <c r="AW156" s="41" t="s">
        <v>444</v>
      </c>
      <c r="AX156" s="41" t="s">
        <v>283</v>
      </c>
      <c r="AY156" s="40"/>
      <c r="AZ156" s="40"/>
      <c r="BA156" s="29"/>
      <c r="BB156" s="31"/>
      <c r="BC156" s="23">
        <v>0.05</v>
      </c>
      <c r="BD156" s="75">
        <f t="shared" si="166"/>
        <v>0</v>
      </c>
      <c r="BF156" s="41" t="s">
        <v>444</v>
      </c>
      <c r="BG156" s="41" t="s">
        <v>283</v>
      </c>
      <c r="BH156" s="40"/>
      <c r="BI156" s="40"/>
      <c r="BJ156" s="29"/>
      <c r="BK156" s="31"/>
      <c r="BL156" s="23">
        <v>0.05</v>
      </c>
      <c r="BM156" s="75">
        <f t="shared" si="167"/>
        <v>0</v>
      </c>
    </row>
    <row r="157" spans="2:65" x14ac:dyDescent="0.25">
      <c r="B157" s="41" t="s">
        <v>444</v>
      </c>
      <c r="C157" s="41" t="s">
        <v>283</v>
      </c>
      <c r="D157" s="40"/>
      <c r="E157" s="40"/>
      <c r="F157" s="29"/>
      <c r="G157" s="31"/>
      <c r="H157" s="23">
        <v>0.05</v>
      </c>
      <c r="I157" s="75">
        <f t="shared" si="161"/>
        <v>0</v>
      </c>
      <c r="J157" s="171"/>
      <c r="L157" s="41" t="s">
        <v>444</v>
      </c>
      <c r="M157" s="41" t="s">
        <v>283</v>
      </c>
      <c r="N157" s="40"/>
      <c r="O157" s="40"/>
      <c r="P157" s="29"/>
      <c r="Q157" s="31"/>
      <c r="R157" s="23">
        <v>0.05</v>
      </c>
      <c r="S157" s="75">
        <f t="shared" si="162"/>
        <v>0</v>
      </c>
      <c r="T157" s="171"/>
      <c r="V157" s="41" t="s">
        <v>444</v>
      </c>
      <c r="W157" s="41" t="s">
        <v>283</v>
      </c>
      <c r="X157" s="40"/>
      <c r="Y157" s="40"/>
      <c r="Z157" s="29"/>
      <c r="AA157" s="31"/>
      <c r="AB157" s="23">
        <v>0.05</v>
      </c>
      <c r="AC157" s="75">
        <f t="shared" si="163"/>
        <v>0</v>
      </c>
      <c r="AE157" s="41" t="s">
        <v>444</v>
      </c>
      <c r="AF157" s="41" t="s">
        <v>283</v>
      </c>
      <c r="AG157" s="40"/>
      <c r="AH157" s="40"/>
      <c r="AI157" s="29"/>
      <c r="AJ157" s="31"/>
      <c r="AK157" s="23">
        <v>0.05</v>
      </c>
      <c r="AL157" s="75">
        <f t="shared" si="164"/>
        <v>0</v>
      </c>
      <c r="AN157" s="41" t="s">
        <v>444</v>
      </c>
      <c r="AO157" s="41" t="s">
        <v>283</v>
      </c>
      <c r="AP157" s="40"/>
      <c r="AQ157" s="40"/>
      <c r="AR157" s="29"/>
      <c r="AS157" s="31"/>
      <c r="AT157" s="23">
        <v>0.05</v>
      </c>
      <c r="AU157" s="75">
        <f t="shared" si="165"/>
        <v>0</v>
      </c>
      <c r="AW157" s="41" t="s">
        <v>444</v>
      </c>
      <c r="AX157" s="41" t="s">
        <v>283</v>
      </c>
      <c r="AY157" s="40"/>
      <c r="AZ157" s="40"/>
      <c r="BA157" s="29"/>
      <c r="BB157" s="31"/>
      <c r="BC157" s="23">
        <v>0.05</v>
      </c>
      <c r="BD157" s="75">
        <f t="shared" si="166"/>
        <v>0</v>
      </c>
      <c r="BF157" s="41" t="s">
        <v>444</v>
      </c>
      <c r="BG157" s="41" t="s">
        <v>283</v>
      </c>
      <c r="BH157" s="40"/>
      <c r="BI157" s="40"/>
      <c r="BJ157" s="29"/>
      <c r="BK157" s="31"/>
      <c r="BL157" s="23">
        <v>0.05</v>
      </c>
      <c r="BM157" s="75">
        <f t="shared" si="167"/>
        <v>0</v>
      </c>
    </row>
    <row r="158" spans="2:65" x14ac:dyDescent="0.25">
      <c r="B158" s="41" t="s">
        <v>444</v>
      </c>
      <c r="C158" s="41" t="s">
        <v>283</v>
      </c>
      <c r="D158" s="40"/>
      <c r="E158" s="40"/>
      <c r="F158" s="29"/>
      <c r="G158" s="31"/>
      <c r="H158" s="23">
        <v>0.05</v>
      </c>
      <c r="I158" s="75">
        <f t="shared" si="161"/>
        <v>0</v>
      </c>
      <c r="J158" s="171"/>
      <c r="L158" s="41" t="s">
        <v>444</v>
      </c>
      <c r="M158" s="41" t="s">
        <v>283</v>
      </c>
      <c r="N158" s="40"/>
      <c r="O158" s="40"/>
      <c r="P158" s="29"/>
      <c r="Q158" s="31"/>
      <c r="R158" s="23">
        <v>0.05</v>
      </c>
      <c r="S158" s="75">
        <f t="shared" si="162"/>
        <v>0</v>
      </c>
      <c r="T158" s="171"/>
      <c r="V158" s="41" t="s">
        <v>444</v>
      </c>
      <c r="W158" s="41" t="s">
        <v>283</v>
      </c>
      <c r="X158" s="40"/>
      <c r="Y158" s="40"/>
      <c r="Z158" s="29"/>
      <c r="AA158" s="31"/>
      <c r="AB158" s="23">
        <v>0.05</v>
      </c>
      <c r="AC158" s="75">
        <f t="shared" si="163"/>
        <v>0</v>
      </c>
      <c r="AE158" s="41" t="s">
        <v>444</v>
      </c>
      <c r="AF158" s="41" t="s">
        <v>283</v>
      </c>
      <c r="AG158" s="40"/>
      <c r="AH158" s="40"/>
      <c r="AI158" s="29"/>
      <c r="AJ158" s="31"/>
      <c r="AK158" s="23">
        <v>0.05</v>
      </c>
      <c r="AL158" s="75">
        <f t="shared" si="164"/>
        <v>0</v>
      </c>
      <c r="AN158" s="41" t="s">
        <v>444</v>
      </c>
      <c r="AO158" s="41" t="s">
        <v>283</v>
      </c>
      <c r="AP158" s="40"/>
      <c r="AQ158" s="40"/>
      <c r="AR158" s="29"/>
      <c r="AS158" s="31"/>
      <c r="AT158" s="23">
        <v>0.05</v>
      </c>
      <c r="AU158" s="75">
        <f t="shared" si="165"/>
        <v>0</v>
      </c>
      <c r="AW158" s="41" t="s">
        <v>444</v>
      </c>
      <c r="AX158" s="41" t="s">
        <v>283</v>
      </c>
      <c r="AY158" s="40"/>
      <c r="AZ158" s="40"/>
      <c r="BA158" s="29"/>
      <c r="BB158" s="31"/>
      <c r="BC158" s="23">
        <v>0.05</v>
      </c>
      <c r="BD158" s="75">
        <f t="shared" si="166"/>
        <v>0</v>
      </c>
      <c r="BF158" s="41" t="s">
        <v>444</v>
      </c>
      <c r="BG158" s="41" t="s">
        <v>283</v>
      </c>
      <c r="BH158" s="40"/>
      <c r="BI158" s="40"/>
      <c r="BJ158" s="29"/>
      <c r="BK158" s="31"/>
      <c r="BL158" s="23">
        <v>0.05</v>
      </c>
      <c r="BM158" s="75">
        <f t="shared" si="167"/>
        <v>0</v>
      </c>
    </row>
    <row r="159" spans="2:65" outlineLevel="1" x14ac:dyDescent="0.25">
      <c r="B159" s="41" t="s">
        <v>444</v>
      </c>
      <c r="C159" s="41" t="s">
        <v>283</v>
      </c>
      <c r="D159" s="40"/>
      <c r="E159" s="40"/>
      <c r="F159" s="29"/>
      <c r="G159" s="31"/>
      <c r="H159" s="23">
        <v>0.05</v>
      </c>
      <c r="I159" s="75">
        <f t="shared" si="161"/>
        <v>0</v>
      </c>
      <c r="J159" s="171"/>
      <c r="L159" s="41" t="s">
        <v>444</v>
      </c>
      <c r="M159" s="41" t="s">
        <v>283</v>
      </c>
      <c r="N159" s="40"/>
      <c r="O159" s="40"/>
      <c r="P159" s="29"/>
      <c r="Q159" s="31"/>
      <c r="R159" s="23">
        <v>0.05</v>
      </c>
      <c r="S159" s="75">
        <f t="shared" si="162"/>
        <v>0</v>
      </c>
      <c r="T159" s="171"/>
      <c r="V159" s="41" t="s">
        <v>444</v>
      </c>
      <c r="W159" s="41" t="s">
        <v>283</v>
      </c>
      <c r="X159" s="40"/>
      <c r="Y159" s="40"/>
      <c r="Z159" s="29"/>
      <c r="AA159" s="31"/>
      <c r="AB159" s="23">
        <v>0.05</v>
      </c>
      <c r="AC159" s="75">
        <f t="shared" si="163"/>
        <v>0</v>
      </c>
      <c r="AE159" s="41" t="s">
        <v>444</v>
      </c>
      <c r="AF159" s="41" t="s">
        <v>283</v>
      </c>
      <c r="AG159" s="40"/>
      <c r="AH159" s="40"/>
      <c r="AI159" s="29"/>
      <c r="AJ159" s="31"/>
      <c r="AK159" s="23">
        <v>0.05</v>
      </c>
      <c r="AL159" s="75">
        <f t="shared" si="164"/>
        <v>0</v>
      </c>
      <c r="AN159" s="41" t="s">
        <v>444</v>
      </c>
      <c r="AO159" s="41" t="s">
        <v>283</v>
      </c>
      <c r="AP159" s="40"/>
      <c r="AQ159" s="40"/>
      <c r="AR159" s="29"/>
      <c r="AS159" s="31"/>
      <c r="AT159" s="23">
        <v>0.05</v>
      </c>
      <c r="AU159" s="75">
        <f t="shared" si="165"/>
        <v>0</v>
      </c>
      <c r="AW159" s="41" t="s">
        <v>444</v>
      </c>
      <c r="AX159" s="41" t="s">
        <v>283</v>
      </c>
      <c r="AY159" s="40"/>
      <c r="AZ159" s="40"/>
      <c r="BA159" s="29"/>
      <c r="BB159" s="31"/>
      <c r="BC159" s="23">
        <v>0.05</v>
      </c>
      <c r="BD159" s="75">
        <f t="shared" si="166"/>
        <v>0</v>
      </c>
      <c r="BF159" s="41" t="s">
        <v>444</v>
      </c>
      <c r="BG159" s="41" t="s">
        <v>283</v>
      </c>
      <c r="BH159" s="40"/>
      <c r="BI159" s="40"/>
      <c r="BJ159" s="29"/>
      <c r="BK159" s="31"/>
      <c r="BL159" s="23">
        <v>0.05</v>
      </c>
      <c r="BM159" s="75">
        <f t="shared" si="167"/>
        <v>0</v>
      </c>
    </row>
    <row r="160" spans="2:65" outlineLevel="1" x14ac:dyDescent="0.25">
      <c r="B160" s="41" t="s">
        <v>444</v>
      </c>
      <c r="C160" s="41" t="s">
        <v>283</v>
      </c>
      <c r="D160" s="40"/>
      <c r="E160" s="40"/>
      <c r="F160" s="29"/>
      <c r="G160" s="31"/>
      <c r="H160" s="23">
        <v>0.05</v>
      </c>
      <c r="I160" s="75">
        <f t="shared" si="161"/>
        <v>0</v>
      </c>
      <c r="J160" s="171"/>
      <c r="L160" s="41" t="s">
        <v>444</v>
      </c>
      <c r="M160" s="41" t="s">
        <v>283</v>
      </c>
      <c r="N160" s="40"/>
      <c r="O160" s="40"/>
      <c r="P160" s="29"/>
      <c r="Q160" s="31"/>
      <c r="R160" s="23">
        <v>0.05</v>
      </c>
      <c r="S160" s="75">
        <f t="shared" si="162"/>
        <v>0</v>
      </c>
      <c r="T160" s="171"/>
      <c r="V160" s="41" t="s">
        <v>444</v>
      </c>
      <c r="W160" s="41" t="s">
        <v>283</v>
      </c>
      <c r="X160" s="40"/>
      <c r="Y160" s="40"/>
      <c r="Z160" s="29"/>
      <c r="AA160" s="31"/>
      <c r="AB160" s="23">
        <v>0.05</v>
      </c>
      <c r="AC160" s="75">
        <f t="shared" si="163"/>
        <v>0</v>
      </c>
      <c r="AE160" s="41" t="s">
        <v>444</v>
      </c>
      <c r="AF160" s="41" t="s">
        <v>283</v>
      </c>
      <c r="AG160" s="40"/>
      <c r="AH160" s="40"/>
      <c r="AI160" s="29"/>
      <c r="AJ160" s="31"/>
      <c r="AK160" s="23">
        <v>0.05</v>
      </c>
      <c r="AL160" s="75">
        <f t="shared" si="164"/>
        <v>0</v>
      </c>
      <c r="AN160" s="41" t="s">
        <v>444</v>
      </c>
      <c r="AO160" s="41" t="s">
        <v>283</v>
      </c>
      <c r="AP160" s="40"/>
      <c r="AQ160" s="40"/>
      <c r="AR160" s="29"/>
      <c r="AS160" s="31"/>
      <c r="AT160" s="23">
        <v>0.05</v>
      </c>
      <c r="AU160" s="75">
        <f t="shared" si="165"/>
        <v>0</v>
      </c>
      <c r="AW160" s="41" t="s">
        <v>444</v>
      </c>
      <c r="AX160" s="41" t="s">
        <v>283</v>
      </c>
      <c r="AY160" s="40"/>
      <c r="AZ160" s="40"/>
      <c r="BA160" s="29"/>
      <c r="BB160" s="31"/>
      <c r="BC160" s="23">
        <v>0.05</v>
      </c>
      <c r="BD160" s="75">
        <f t="shared" si="166"/>
        <v>0</v>
      </c>
      <c r="BF160" s="41" t="s">
        <v>444</v>
      </c>
      <c r="BG160" s="41" t="s">
        <v>283</v>
      </c>
      <c r="BH160" s="40"/>
      <c r="BI160" s="40"/>
      <c r="BJ160" s="29"/>
      <c r="BK160" s="31"/>
      <c r="BL160" s="23">
        <v>0.05</v>
      </c>
      <c r="BM160" s="75">
        <f t="shared" si="167"/>
        <v>0</v>
      </c>
    </row>
    <row r="161" spans="2:65" outlineLevel="1" x14ac:dyDescent="0.25">
      <c r="B161" s="41" t="s">
        <v>444</v>
      </c>
      <c r="C161" s="41" t="s">
        <v>283</v>
      </c>
      <c r="D161" s="40"/>
      <c r="E161" s="40"/>
      <c r="F161" s="29"/>
      <c r="G161" s="31"/>
      <c r="H161" s="23">
        <v>0.05</v>
      </c>
      <c r="I161" s="75">
        <f t="shared" si="161"/>
        <v>0</v>
      </c>
      <c r="J161" s="171"/>
      <c r="L161" s="41" t="s">
        <v>444</v>
      </c>
      <c r="M161" s="41" t="s">
        <v>283</v>
      </c>
      <c r="N161" s="40"/>
      <c r="O161" s="40"/>
      <c r="P161" s="29"/>
      <c r="Q161" s="31"/>
      <c r="R161" s="23">
        <v>0.05</v>
      </c>
      <c r="S161" s="75">
        <f t="shared" si="162"/>
        <v>0</v>
      </c>
      <c r="T161" s="171"/>
      <c r="V161" s="41" t="s">
        <v>444</v>
      </c>
      <c r="W161" s="41" t="s">
        <v>283</v>
      </c>
      <c r="X161" s="40"/>
      <c r="Y161" s="40"/>
      <c r="Z161" s="29"/>
      <c r="AA161" s="31"/>
      <c r="AB161" s="23">
        <v>0.05</v>
      </c>
      <c r="AC161" s="75">
        <f t="shared" si="163"/>
        <v>0</v>
      </c>
      <c r="AE161" s="41" t="s">
        <v>444</v>
      </c>
      <c r="AF161" s="41" t="s">
        <v>283</v>
      </c>
      <c r="AG161" s="40"/>
      <c r="AH161" s="40"/>
      <c r="AI161" s="29"/>
      <c r="AJ161" s="31"/>
      <c r="AK161" s="23">
        <v>0.05</v>
      </c>
      <c r="AL161" s="75">
        <f t="shared" si="164"/>
        <v>0</v>
      </c>
      <c r="AN161" s="41" t="s">
        <v>444</v>
      </c>
      <c r="AO161" s="41" t="s">
        <v>283</v>
      </c>
      <c r="AP161" s="40"/>
      <c r="AQ161" s="40"/>
      <c r="AR161" s="29"/>
      <c r="AS161" s="31"/>
      <c r="AT161" s="23">
        <v>0.05</v>
      </c>
      <c r="AU161" s="75">
        <f t="shared" si="165"/>
        <v>0</v>
      </c>
      <c r="AW161" s="41" t="s">
        <v>444</v>
      </c>
      <c r="AX161" s="41" t="s">
        <v>283</v>
      </c>
      <c r="AY161" s="40"/>
      <c r="AZ161" s="40"/>
      <c r="BA161" s="29"/>
      <c r="BB161" s="31"/>
      <c r="BC161" s="23">
        <v>0.05</v>
      </c>
      <c r="BD161" s="75">
        <f t="shared" si="166"/>
        <v>0</v>
      </c>
      <c r="BF161" s="41" t="s">
        <v>444</v>
      </c>
      <c r="BG161" s="41" t="s">
        <v>283</v>
      </c>
      <c r="BH161" s="40"/>
      <c r="BI161" s="40"/>
      <c r="BJ161" s="29"/>
      <c r="BK161" s="31"/>
      <c r="BL161" s="23">
        <v>0.05</v>
      </c>
      <c r="BM161" s="75">
        <f t="shared" si="167"/>
        <v>0</v>
      </c>
    </row>
    <row r="162" spans="2:65" outlineLevel="1" x14ac:dyDescent="0.25">
      <c r="B162" s="41" t="s">
        <v>444</v>
      </c>
      <c r="C162" s="41" t="s">
        <v>283</v>
      </c>
      <c r="D162" s="40"/>
      <c r="E162" s="40"/>
      <c r="F162" s="29"/>
      <c r="G162" s="31"/>
      <c r="H162" s="23">
        <v>0.05</v>
      </c>
      <c r="I162" s="75">
        <f t="shared" si="161"/>
        <v>0</v>
      </c>
      <c r="J162" s="171"/>
      <c r="L162" s="41" t="s">
        <v>444</v>
      </c>
      <c r="M162" s="41" t="s">
        <v>283</v>
      </c>
      <c r="N162" s="40"/>
      <c r="O162" s="40"/>
      <c r="P162" s="29"/>
      <c r="Q162" s="31"/>
      <c r="R162" s="23">
        <v>0.05</v>
      </c>
      <c r="S162" s="75">
        <f t="shared" si="162"/>
        <v>0</v>
      </c>
      <c r="T162" s="171"/>
      <c r="V162" s="41" t="s">
        <v>444</v>
      </c>
      <c r="W162" s="41" t="s">
        <v>283</v>
      </c>
      <c r="X162" s="40"/>
      <c r="Y162" s="40"/>
      <c r="Z162" s="29"/>
      <c r="AA162" s="31"/>
      <c r="AB162" s="23">
        <v>0.05</v>
      </c>
      <c r="AC162" s="75">
        <f t="shared" si="163"/>
        <v>0</v>
      </c>
      <c r="AE162" s="41" t="s">
        <v>444</v>
      </c>
      <c r="AF162" s="41" t="s">
        <v>283</v>
      </c>
      <c r="AG162" s="40"/>
      <c r="AH162" s="40"/>
      <c r="AI162" s="29"/>
      <c r="AJ162" s="31"/>
      <c r="AK162" s="23">
        <v>0.05</v>
      </c>
      <c r="AL162" s="75">
        <f t="shared" si="164"/>
        <v>0</v>
      </c>
      <c r="AN162" s="41" t="s">
        <v>444</v>
      </c>
      <c r="AO162" s="41" t="s">
        <v>283</v>
      </c>
      <c r="AP162" s="40"/>
      <c r="AQ162" s="40"/>
      <c r="AR162" s="29"/>
      <c r="AS162" s="31"/>
      <c r="AT162" s="23">
        <v>0.05</v>
      </c>
      <c r="AU162" s="75">
        <f t="shared" si="165"/>
        <v>0</v>
      </c>
      <c r="AW162" s="41" t="s">
        <v>444</v>
      </c>
      <c r="AX162" s="41" t="s">
        <v>283</v>
      </c>
      <c r="AY162" s="40"/>
      <c r="AZ162" s="40"/>
      <c r="BA162" s="29"/>
      <c r="BB162" s="31"/>
      <c r="BC162" s="23">
        <v>0.05</v>
      </c>
      <c r="BD162" s="75">
        <f t="shared" si="166"/>
        <v>0</v>
      </c>
      <c r="BF162" s="41" t="s">
        <v>444</v>
      </c>
      <c r="BG162" s="41" t="s">
        <v>283</v>
      </c>
      <c r="BH162" s="40"/>
      <c r="BI162" s="40"/>
      <c r="BJ162" s="29"/>
      <c r="BK162" s="31"/>
      <c r="BL162" s="23">
        <v>0.05</v>
      </c>
      <c r="BM162" s="75">
        <f t="shared" si="167"/>
        <v>0</v>
      </c>
    </row>
    <row r="163" spans="2:65" outlineLevel="1" x14ac:dyDescent="0.25">
      <c r="B163" s="41" t="s">
        <v>444</v>
      </c>
      <c r="C163" s="41" t="s">
        <v>283</v>
      </c>
      <c r="D163" s="40"/>
      <c r="E163" s="40"/>
      <c r="F163" s="29"/>
      <c r="G163" s="31"/>
      <c r="H163" s="23">
        <v>0.05</v>
      </c>
      <c r="I163" s="75">
        <f t="shared" si="161"/>
        <v>0</v>
      </c>
      <c r="J163" s="171"/>
      <c r="L163" s="41" t="s">
        <v>444</v>
      </c>
      <c r="M163" s="41" t="s">
        <v>283</v>
      </c>
      <c r="N163" s="40"/>
      <c r="O163" s="40"/>
      <c r="P163" s="29"/>
      <c r="Q163" s="31"/>
      <c r="R163" s="23">
        <v>0.05</v>
      </c>
      <c r="S163" s="75">
        <f t="shared" si="162"/>
        <v>0</v>
      </c>
      <c r="T163" s="171"/>
      <c r="V163" s="41" t="s">
        <v>444</v>
      </c>
      <c r="W163" s="41" t="s">
        <v>283</v>
      </c>
      <c r="X163" s="40"/>
      <c r="Y163" s="40"/>
      <c r="Z163" s="29"/>
      <c r="AA163" s="31"/>
      <c r="AB163" s="23">
        <v>0.05</v>
      </c>
      <c r="AC163" s="75">
        <f t="shared" si="163"/>
        <v>0</v>
      </c>
      <c r="AE163" s="41" t="s">
        <v>444</v>
      </c>
      <c r="AF163" s="41" t="s">
        <v>283</v>
      </c>
      <c r="AG163" s="40"/>
      <c r="AH163" s="40"/>
      <c r="AI163" s="29"/>
      <c r="AJ163" s="31"/>
      <c r="AK163" s="23">
        <v>0.05</v>
      </c>
      <c r="AL163" s="75">
        <f t="shared" si="164"/>
        <v>0</v>
      </c>
      <c r="AN163" s="41" t="s">
        <v>444</v>
      </c>
      <c r="AO163" s="41" t="s">
        <v>283</v>
      </c>
      <c r="AP163" s="40"/>
      <c r="AQ163" s="40"/>
      <c r="AR163" s="29"/>
      <c r="AS163" s="31"/>
      <c r="AT163" s="23">
        <v>0.05</v>
      </c>
      <c r="AU163" s="75">
        <f t="shared" si="165"/>
        <v>0</v>
      </c>
      <c r="AW163" s="41" t="s">
        <v>444</v>
      </c>
      <c r="AX163" s="41" t="s">
        <v>283</v>
      </c>
      <c r="AY163" s="40"/>
      <c r="AZ163" s="40"/>
      <c r="BA163" s="29"/>
      <c r="BB163" s="31"/>
      <c r="BC163" s="23">
        <v>0.05</v>
      </c>
      <c r="BD163" s="75">
        <f t="shared" si="166"/>
        <v>0</v>
      </c>
      <c r="BF163" s="41" t="s">
        <v>444</v>
      </c>
      <c r="BG163" s="41" t="s">
        <v>283</v>
      </c>
      <c r="BH163" s="40"/>
      <c r="BI163" s="40"/>
      <c r="BJ163" s="29"/>
      <c r="BK163" s="31"/>
      <c r="BL163" s="23">
        <v>0.05</v>
      </c>
      <c r="BM163" s="75">
        <f t="shared" si="167"/>
        <v>0</v>
      </c>
    </row>
    <row r="164" spans="2:65" outlineLevel="1" x14ac:dyDescent="0.25">
      <c r="B164" s="41" t="s">
        <v>444</v>
      </c>
      <c r="C164" s="41" t="s">
        <v>283</v>
      </c>
      <c r="D164" s="40"/>
      <c r="E164" s="40"/>
      <c r="F164" s="29"/>
      <c r="G164" s="31"/>
      <c r="H164" s="23">
        <v>0.05</v>
      </c>
      <c r="I164" s="75">
        <f t="shared" si="161"/>
        <v>0</v>
      </c>
      <c r="J164" s="171"/>
      <c r="L164" s="41" t="s">
        <v>444</v>
      </c>
      <c r="M164" s="41" t="s">
        <v>283</v>
      </c>
      <c r="N164" s="40"/>
      <c r="O164" s="40"/>
      <c r="P164" s="29"/>
      <c r="Q164" s="31"/>
      <c r="R164" s="23">
        <v>0.05</v>
      </c>
      <c r="S164" s="75">
        <f t="shared" si="162"/>
        <v>0</v>
      </c>
      <c r="T164" s="171"/>
      <c r="V164" s="41" t="s">
        <v>444</v>
      </c>
      <c r="W164" s="41" t="s">
        <v>283</v>
      </c>
      <c r="X164" s="40"/>
      <c r="Y164" s="40"/>
      <c r="Z164" s="29"/>
      <c r="AA164" s="31"/>
      <c r="AB164" s="23">
        <v>0.05</v>
      </c>
      <c r="AC164" s="75">
        <f t="shared" si="163"/>
        <v>0</v>
      </c>
      <c r="AE164" s="41" t="s">
        <v>444</v>
      </c>
      <c r="AF164" s="41" t="s">
        <v>283</v>
      </c>
      <c r="AG164" s="40"/>
      <c r="AH164" s="40"/>
      <c r="AI164" s="29"/>
      <c r="AJ164" s="31"/>
      <c r="AK164" s="23">
        <v>0.05</v>
      </c>
      <c r="AL164" s="75">
        <f t="shared" si="164"/>
        <v>0</v>
      </c>
      <c r="AN164" s="41" t="s">
        <v>444</v>
      </c>
      <c r="AO164" s="41" t="s">
        <v>283</v>
      </c>
      <c r="AP164" s="40"/>
      <c r="AQ164" s="40"/>
      <c r="AR164" s="29"/>
      <c r="AS164" s="31"/>
      <c r="AT164" s="23">
        <v>0.05</v>
      </c>
      <c r="AU164" s="75">
        <f t="shared" si="165"/>
        <v>0</v>
      </c>
      <c r="AW164" s="41" t="s">
        <v>444</v>
      </c>
      <c r="AX164" s="41" t="s">
        <v>283</v>
      </c>
      <c r="AY164" s="40"/>
      <c r="AZ164" s="40"/>
      <c r="BA164" s="29"/>
      <c r="BB164" s="31"/>
      <c r="BC164" s="23">
        <v>0.05</v>
      </c>
      <c r="BD164" s="75">
        <f t="shared" si="166"/>
        <v>0</v>
      </c>
      <c r="BF164" s="41" t="s">
        <v>444</v>
      </c>
      <c r="BG164" s="41" t="s">
        <v>283</v>
      </c>
      <c r="BH164" s="40"/>
      <c r="BI164" s="40"/>
      <c r="BJ164" s="29"/>
      <c r="BK164" s="31"/>
      <c r="BL164" s="23">
        <v>0.05</v>
      </c>
      <c r="BM164" s="75">
        <f t="shared" si="167"/>
        <v>0</v>
      </c>
    </row>
    <row r="165" spans="2:65" outlineLevel="1" x14ac:dyDescent="0.25">
      <c r="B165" s="41" t="s">
        <v>444</v>
      </c>
      <c r="C165" s="41" t="s">
        <v>283</v>
      </c>
      <c r="D165" s="40"/>
      <c r="E165" s="40"/>
      <c r="F165" s="29"/>
      <c r="G165" s="31"/>
      <c r="H165" s="23">
        <v>0.05</v>
      </c>
      <c r="I165" s="75">
        <f t="shared" si="161"/>
        <v>0</v>
      </c>
      <c r="J165" s="171"/>
      <c r="L165" s="41" t="s">
        <v>444</v>
      </c>
      <c r="M165" s="41" t="s">
        <v>283</v>
      </c>
      <c r="N165" s="40"/>
      <c r="O165" s="40"/>
      <c r="P165" s="29"/>
      <c r="Q165" s="31"/>
      <c r="R165" s="23">
        <v>0.05</v>
      </c>
      <c r="S165" s="75">
        <f t="shared" si="162"/>
        <v>0</v>
      </c>
      <c r="T165" s="171"/>
      <c r="V165" s="41" t="s">
        <v>444</v>
      </c>
      <c r="W165" s="41" t="s">
        <v>283</v>
      </c>
      <c r="X165" s="40"/>
      <c r="Y165" s="40"/>
      <c r="Z165" s="29"/>
      <c r="AA165" s="31"/>
      <c r="AB165" s="23">
        <v>0.05</v>
      </c>
      <c r="AC165" s="75">
        <f t="shared" si="163"/>
        <v>0</v>
      </c>
      <c r="AE165" s="41" t="s">
        <v>444</v>
      </c>
      <c r="AF165" s="41" t="s">
        <v>283</v>
      </c>
      <c r="AG165" s="40"/>
      <c r="AH165" s="40"/>
      <c r="AI165" s="29"/>
      <c r="AJ165" s="31"/>
      <c r="AK165" s="23">
        <v>0.05</v>
      </c>
      <c r="AL165" s="75">
        <f t="shared" si="164"/>
        <v>0</v>
      </c>
      <c r="AN165" s="41" t="s">
        <v>444</v>
      </c>
      <c r="AO165" s="41" t="s">
        <v>283</v>
      </c>
      <c r="AP165" s="40"/>
      <c r="AQ165" s="40"/>
      <c r="AR165" s="29"/>
      <c r="AS165" s="31"/>
      <c r="AT165" s="23">
        <v>0.05</v>
      </c>
      <c r="AU165" s="75">
        <f t="shared" si="165"/>
        <v>0</v>
      </c>
      <c r="AW165" s="41" t="s">
        <v>444</v>
      </c>
      <c r="AX165" s="41" t="s">
        <v>283</v>
      </c>
      <c r="AY165" s="40"/>
      <c r="AZ165" s="40"/>
      <c r="BA165" s="29"/>
      <c r="BB165" s="31"/>
      <c r="BC165" s="23">
        <v>0.05</v>
      </c>
      <c r="BD165" s="75">
        <f t="shared" si="166"/>
        <v>0</v>
      </c>
      <c r="BF165" s="41" t="s">
        <v>444</v>
      </c>
      <c r="BG165" s="41" t="s">
        <v>283</v>
      </c>
      <c r="BH165" s="40"/>
      <c r="BI165" s="40"/>
      <c r="BJ165" s="29"/>
      <c r="BK165" s="31"/>
      <c r="BL165" s="23">
        <v>0.05</v>
      </c>
      <c r="BM165" s="75">
        <f t="shared" si="167"/>
        <v>0</v>
      </c>
    </row>
    <row r="166" spans="2:65" outlineLevel="1" x14ac:dyDescent="0.25">
      <c r="B166" s="41" t="s">
        <v>444</v>
      </c>
      <c r="C166" s="41" t="s">
        <v>283</v>
      </c>
      <c r="D166" s="40"/>
      <c r="E166" s="40"/>
      <c r="F166" s="29"/>
      <c r="G166" s="31"/>
      <c r="H166" s="23">
        <v>0.05</v>
      </c>
      <c r="I166" s="75">
        <f t="shared" si="161"/>
        <v>0</v>
      </c>
      <c r="J166" s="171"/>
      <c r="L166" s="41" t="s">
        <v>444</v>
      </c>
      <c r="M166" s="41" t="s">
        <v>283</v>
      </c>
      <c r="N166" s="40"/>
      <c r="O166" s="40"/>
      <c r="P166" s="29"/>
      <c r="Q166" s="31"/>
      <c r="R166" s="23">
        <v>0.05</v>
      </c>
      <c r="S166" s="75">
        <f t="shared" si="162"/>
        <v>0</v>
      </c>
      <c r="T166" s="171"/>
      <c r="V166" s="41" t="s">
        <v>444</v>
      </c>
      <c r="W166" s="41" t="s">
        <v>283</v>
      </c>
      <c r="X166" s="40"/>
      <c r="Y166" s="40"/>
      <c r="Z166" s="29"/>
      <c r="AA166" s="31"/>
      <c r="AB166" s="23">
        <v>0.05</v>
      </c>
      <c r="AC166" s="75">
        <f t="shared" si="163"/>
        <v>0</v>
      </c>
      <c r="AE166" s="41" t="s">
        <v>444</v>
      </c>
      <c r="AF166" s="41" t="s">
        <v>283</v>
      </c>
      <c r="AG166" s="40"/>
      <c r="AH166" s="40"/>
      <c r="AI166" s="29"/>
      <c r="AJ166" s="31"/>
      <c r="AK166" s="23">
        <v>0.05</v>
      </c>
      <c r="AL166" s="75">
        <f t="shared" si="164"/>
        <v>0</v>
      </c>
      <c r="AN166" s="41" t="s">
        <v>444</v>
      </c>
      <c r="AO166" s="41" t="s">
        <v>283</v>
      </c>
      <c r="AP166" s="40"/>
      <c r="AQ166" s="40"/>
      <c r="AR166" s="29"/>
      <c r="AS166" s="31"/>
      <c r="AT166" s="23">
        <v>0.05</v>
      </c>
      <c r="AU166" s="75">
        <f t="shared" si="165"/>
        <v>0</v>
      </c>
      <c r="AW166" s="41" t="s">
        <v>444</v>
      </c>
      <c r="AX166" s="41" t="s">
        <v>283</v>
      </c>
      <c r="AY166" s="40"/>
      <c r="AZ166" s="40"/>
      <c r="BA166" s="29"/>
      <c r="BB166" s="31"/>
      <c r="BC166" s="23">
        <v>0.05</v>
      </c>
      <c r="BD166" s="75">
        <f t="shared" si="166"/>
        <v>0</v>
      </c>
      <c r="BF166" s="41" t="s">
        <v>444</v>
      </c>
      <c r="BG166" s="41" t="s">
        <v>283</v>
      </c>
      <c r="BH166" s="40"/>
      <c r="BI166" s="40"/>
      <c r="BJ166" s="29"/>
      <c r="BK166" s="31"/>
      <c r="BL166" s="23">
        <v>0.05</v>
      </c>
      <c r="BM166" s="75">
        <f t="shared" si="167"/>
        <v>0</v>
      </c>
    </row>
    <row r="167" spans="2:65" s="24" customFormat="1" x14ac:dyDescent="0.25">
      <c r="B167" s="8" t="s">
        <v>450</v>
      </c>
      <c r="C167" s="25"/>
      <c r="D167" s="28">
        <f t="shared" ref="D167:E167" si="168">SUM(D152:D166)</f>
        <v>0</v>
      </c>
      <c r="E167" s="28">
        <f t="shared" si="168"/>
        <v>0</v>
      </c>
      <c r="F167" s="30"/>
      <c r="G167" s="25"/>
      <c r="H167" s="26"/>
      <c r="I167" s="28">
        <f>SUM(I152:I166)</f>
        <v>0</v>
      </c>
      <c r="J167" s="170"/>
      <c r="L167" s="8" t="s">
        <v>450</v>
      </c>
      <c r="M167" s="25"/>
      <c r="N167" s="28">
        <f t="shared" ref="N167:O167" si="169">SUM(N152:N166)</f>
        <v>0</v>
      </c>
      <c r="O167" s="28">
        <f t="shared" si="169"/>
        <v>0</v>
      </c>
      <c r="P167" s="30"/>
      <c r="Q167" s="25"/>
      <c r="R167" s="26"/>
      <c r="S167" s="28">
        <f>SUM(S152:S166)</f>
        <v>0</v>
      </c>
      <c r="T167" s="170"/>
      <c r="V167" s="8" t="s">
        <v>450</v>
      </c>
      <c r="W167" s="25"/>
      <c r="X167" s="30"/>
      <c r="Y167" s="30">
        <f>SUM(Y152:Y166)</f>
        <v>0</v>
      </c>
      <c r="Z167" s="30"/>
      <c r="AA167" s="25"/>
      <c r="AB167" s="26"/>
      <c r="AC167" s="28">
        <f>SUM(AC152:AC166)</f>
        <v>0</v>
      </c>
      <c r="AE167" s="8" t="s">
        <v>450</v>
      </c>
      <c r="AF167" s="25"/>
      <c r="AG167" s="30"/>
      <c r="AH167" s="30">
        <f>SUM(AH152:AH166)</f>
        <v>0</v>
      </c>
      <c r="AI167" s="30"/>
      <c r="AJ167" s="25"/>
      <c r="AK167" s="26"/>
      <c r="AL167" s="28">
        <f>SUM(AL152:AL166)</f>
        <v>0</v>
      </c>
      <c r="AN167" s="8" t="s">
        <v>450</v>
      </c>
      <c r="AO167" s="25"/>
      <c r="AP167" s="30"/>
      <c r="AQ167" s="30">
        <f>SUM(AQ152:AQ166)</f>
        <v>0</v>
      </c>
      <c r="AR167" s="30"/>
      <c r="AS167" s="25"/>
      <c r="AT167" s="26"/>
      <c r="AU167" s="28">
        <f>SUM(AU152:AU166)</f>
        <v>0</v>
      </c>
      <c r="AW167" s="8" t="s">
        <v>450</v>
      </c>
      <c r="AX167" s="25"/>
      <c r="AY167" s="30"/>
      <c r="AZ167" s="30">
        <f>SUM(AZ152:AZ166)</f>
        <v>0</v>
      </c>
      <c r="BA167" s="30"/>
      <c r="BB167" s="25"/>
      <c r="BC167" s="26"/>
      <c r="BD167" s="28">
        <f>SUM(BD152:BD166)</f>
        <v>0</v>
      </c>
      <c r="BF167" s="8" t="s">
        <v>450</v>
      </c>
      <c r="BG167" s="25"/>
      <c r="BH167" s="30"/>
      <c r="BI167" s="30">
        <f>SUM(BI152:BI166)</f>
        <v>0</v>
      </c>
      <c r="BJ167" s="30"/>
      <c r="BK167" s="25"/>
      <c r="BL167" s="26"/>
      <c r="BM167" s="28">
        <f>SUM(BM152:BM166)</f>
        <v>0</v>
      </c>
    </row>
    <row r="169" spans="2:65" s="20" customFormat="1" ht="38.25" x14ac:dyDescent="0.25">
      <c r="B169" s="27" t="s">
        <v>451</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2" t="s">
        <v>380</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2" t="s">
        <v>380</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x14ac:dyDescent="0.25">
      <c r="B170" s="41" t="s">
        <v>444</v>
      </c>
      <c r="C170" s="41" t="s">
        <v>283</v>
      </c>
      <c r="D170" s="40"/>
      <c r="E170" s="40"/>
      <c r="F170" s="40"/>
      <c r="G170" s="31"/>
      <c r="H170" s="32"/>
      <c r="I170" s="29"/>
      <c r="J170" s="171"/>
      <c r="L170" s="41" t="s">
        <v>444</v>
      </c>
      <c r="M170" s="41" t="s">
        <v>283</v>
      </c>
      <c r="N170" s="40"/>
      <c r="O170" s="40"/>
      <c r="P170" s="40"/>
      <c r="Q170" s="31"/>
      <c r="R170" s="32"/>
      <c r="S170" s="29"/>
      <c r="T170" s="171"/>
      <c r="V170" s="41" t="s">
        <v>444</v>
      </c>
      <c r="W170" s="41" t="s">
        <v>283</v>
      </c>
      <c r="X170" s="40"/>
      <c r="Y170" s="40"/>
      <c r="Z170" s="40"/>
      <c r="AA170" s="31"/>
      <c r="AB170" s="32"/>
      <c r="AC170" s="29"/>
      <c r="AE170" s="41" t="s">
        <v>444</v>
      </c>
      <c r="AF170" s="41" t="s">
        <v>283</v>
      </c>
      <c r="AG170" s="40"/>
      <c r="AH170" s="40"/>
      <c r="AI170" s="40"/>
      <c r="AJ170" s="31"/>
      <c r="AK170" s="32"/>
      <c r="AL170" s="29"/>
      <c r="AN170" s="41" t="s">
        <v>444</v>
      </c>
      <c r="AO170" s="41" t="s">
        <v>283</v>
      </c>
      <c r="AP170" s="40"/>
      <c r="AQ170" s="40"/>
      <c r="AR170" s="40"/>
      <c r="AS170" s="31"/>
      <c r="AT170" s="32"/>
      <c r="AU170" s="29"/>
      <c r="AW170" s="41" t="s">
        <v>444</v>
      </c>
      <c r="AX170" s="41" t="s">
        <v>283</v>
      </c>
      <c r="AY170" s="40"/>
      <c r="AZ170" s="40"/>
      <c r="BA170" s="40"/>
      <c r="BB170" s="31"/>
      <c r="BC170" s="32"/>
      <c r="BD170" s="29"/>
      <c r="BF170" s="41" t="s">
        <v>444</v>
      </c>
      <c r="BG170" s="41" t="s">
        <v>283</v>
      </c>
      <c r="BH170" s="40"/>
      <c r="BI170" s="40"/>
      <c r="BJ170" s="40"/>
      <c r="BK170" s="31"/>
      <c r="BL170" s="32"/>
      <c r="BM170" s="29"/>
    </row>
    <row r="171" spans="2:65" x14ac:dyDescent="0.25">
      <c r="B171" s="41" t="s">
        <v>444</v>
      </c>
      <c r="C171" s="41" t="s">
        <v>283</v>
      </c>
      <c r="D171" s="40"/>
      <c r="E171" s="40"/>
      <c r="F171" s="40"/>
      <c r="G171" s="31"/>
      <c r="H171" s="32"/>
      <c r="I171" s="29"/>
      <c r="J171" s="171"/>
      <c r="L171" s="41" t="s">
        <v>444</v>
      </c>
      <c r="M171" s="41" t="s">
        <v>283</v>
      </c>
      <c r="N171" s="40"/>
      <c r="O171" s="40"/>
      <c r="P171" s="40"/>
      <c r="Q171" s="31"/>
      <c r="R171" s="32"/>
      <c r="S171" s="29"/>
      <c r="T171" s="171"/>
      <c r="V171" s="41" t="s">
        <v>444</v>
      </c>
      <c r="W171" s="41" t="s">
        <v>283</v>
      </c>
      <c r="X171" s="40"/>
      <c r="Y171" s="40"/>
      <c r="Z171" s="40"/>
      <c r="AA171" s="31"/>
      <c r="AB171" s="32"/>
      <c r="AC171" s="29"/>
      <c r="AE171" s="41" t="s">
        <v>444</v>
      </c>
      <c r="AF171" s="41" t="s">
        <v>283</v>
      </c>
      <c r="AG171" s="40"/>
      <c r="AH171" s="40"/>
      <c r="AI171" s="40"/>
      <c r="AJ171" s="31"/>
      <c r="AK171" s="32"/>
      <c r="AL171" s="29"/>
      <c r="AN171" s="41" t="s">
        <v>444</v>
      </c>
      <c r="AO171" s="41" t="s">
        <v>283</v>
      </c>
      <c r="AP171" s="40"/>
      <c r="AQ171" s="40"/>
      <c r="AR171" s="40"/>
      <c r="AS171" s="31"/>
      <c r="AT171" s="32"/>
      <c r="AU171" s="29"/>
      <c r="AW171" s="41" t="s">
        <v>444</v>
      </c>
      <c r="AX171" s="41" t="s">
        <v>283</v>
      </c>
      <c r="AY171" s="40"/>
      <c r="AZ171" s="40"/>
      <c r="BA171" s="40"/>
      <c r="BB171" s="31"/>
      <c r="BC171" s="32"/>
      <c r="BD171" s="29"/>
      <c r="BF171" s="41" t="s">
        <v>444</v>
      </c>
      <c r="BG171" s="41" t="s">
        <v>283</v>
      </c>
      <c r="BH171" s="40"/>
      <c r="BI171" s="40"/>
      <c r="BJ171" s="40"/>
      <c r="BK171" s="31"/>
      <c r="BL171" s="32"/>
      <c r="BM171" s="29"/>
    </row>
    <row r="172" spans="2:65" x14ac:dyDescent="0.25">
      <c r="B172" s="41" t="s">
        <v>444</v>
      </c>
      <c r="C172" s="41" t="s">
        <v>283</v>
      </c>
      <c r="D172" s="40"/>
      <c r="E172" s="40"/>
      <c r="F172" s="40"/>
      <c r="G172" s="31"/>
      <c r="H172" s="32"/>
      <c r="I172" s="29"/>
      <c r="J172" s="171"/>
      <c r="L172" s="41" t="s">
        <v>444</v>
      </c>
      <c r="M172" s="41" t="s">
        <v>283</v>
      </c>
      <c r="N172" s="40"/>
      <c r="O172" s="40"/>
      <c r="P172" s="40"/>
      <c r="Q172" s="31"/>
      <c r="R172" s="32"/>
      <c r="S172" s="29"/>
      <c r="T172" s="171"/>
      <c r="V172" s="41" t="s">
        <v>444</v>
      </c>
      <c r="W172" s="41" t="s">
        <v>283</v>
      </c>
      <c r="X172" s="40"/>
      <c r="Y172" s="40"/>
      <c r="Z172" s="40"/>
      <c r="AA172" s="31"/>
      <c r="AB172" s="32"/>
      <c r="AC172" s="29"/>
      <c r="AE172" s="41" t="s">
        <v>444</v>
      </c>
      <c r="AF172" s="41" t="s">
        <v>283</v>
      </c>
      <c r="AG172" s="40"/>
      <c r="AH172" s="40"/>
      <c r="AI172" s="40"/>
      <c r="AJ172" s="31"/>
      <c r="AK172" s="32"/>
      <c r="AL172" s="29"/>
      <c r="AN172" s="41" t="s">
        <v>444</v>
      </c>
      <c r="AO172" s="41" t="s">
        <v>283</v>
      </c>
      <c r="AP172" s="40"/>
      <c r="AQ172" s="40"/>
      <c r="AR172" s="40"/>
      <c r="AS172" s="31"/>
      <c r="AT172" s="32"/>
      <c r="AU172" s="29"/>
      <c r="AW172" s="41" t="s">
        <v>444</v>
      </c>
      <c r="AX172" s="41" t="s">
        <v>283</v>
      </c>
      <c r="AY172" s="40"/>
      <c r="AZ172" s="40"/>
      <c r="BA172" s="40"/>
      <c r="BB172" s="31"/>
      <c r="BC172" s="32"/>
      <c r="BD172" s="29"/>
      <c r="BF172" s="41" t="s">
        <v>444</v>
      </c>
      <c r="BG172" s="41" t="s">
        <v>283</v>
      </c>
      <c r="BH172" s="40"/>
      <c r="BI172" s="40"/>
      <c r="BJ172" s="40"/>
      <c r="BK172" s="31"/>
      <c r="BL172" s="32"/>
      <c r="BM172" s="29"/>
    </row>
    <row r="173" spans="2:65" x14ac:dyDescent="0.25">
      <c r="B173" s="41" t="s">
        <v>444</v>
      </c>
      <c r="C173" s="41" t="s">
        <v>283</v>
      </c>
      <c r="D173" s="40"/>
      <c r="E173" s="40"/>
      <c r="F173" s="40"/>
      <c r="G173" s="31"/>
      <c r="H173" s="32"/>
      <c r="I173" s="29"/>
      <c r="J173" s="171"/>
      <c r="L173" s="41" t="s">
        <v>444</v>
      </c>
      <c r="M173" s="41" t="s">
        <v>283</v>
      </c>
      <c r="N173" s="40"/>
      <c r="O173" s="40"/>
      <c r="P173" s="40"/>
      <c r="Q173" s="31"/>
      <c r="R173" s="32"/>
      <c r="S173" s="29"/>
      <c r="T173" s="171"/>
      <c r="V173" s="41" t="s">
        <v>444</v>
      </c>
      <c r="W173" s="41" t="s">
        <v>283</v>
      </c>
      <c r="X173" s="40"/>
      <c r="Y173" s="40"/>
      <c r="Z173" s="40"/>
      <c r="AA173" s="31"/>
      <c r="AB173" s="32"/>
      <c r="AC173" s="29"/>
      <c r="AE173" s="41" t="s">
        <v>444</v>
      </c>
      <c r="AF173" s="41" t="s">
        <v>283</v>
      </c>
      <c r="AG173" s="40"/>
      <c r="AH173" s="40"/>
      <c r="AI173" s="40"/>
      <c r="AJ173" s="31"/>
      <c r="AK173" s="32"/>
      <c r="AL173" s="29"/>
      <c r="AN173" s="41" t="s">
        <v>444</v>
      </c>
      <c r="AO173" s="41" t="s">
        <v>283</v>
      </c>
      <c r="AP173" s="40"/>
      <c r="AQ173" s="40"/>
      <c r="AR173" s="40"/>
      <c r="AS173" s="31"/>
      <c r="AT173" s="32"/>
      <c r="AU173" s="29"/>
      <c r="AW173" s="41" t="s">
        <v>444</v>
      </c>
      <c r="AX173" s="41" t="s">
        <v>283</v>
      </c>
      <c r="AY173" s="40"/>
      <c r="AZ173" s="40"/>
      <c r="BA173" s="40"/>
      <c r="BB173" s="31"/>
      <c r="BC173" s="32"/>
      <c r="BD173" s="29"/>
      <c r="BF173" s="41" t="s">
        <v>444</v>
      </c>
      <c r="BG173" s="41" t="s">
        <v>283</v>
      </c>
      <c r="BH173" s="40"/>
      <c r="BI173" s="40"/>
      <c r="BJ173" s="40"/>
      <c r="BK173" s="31"/>
      <c r="BL173" s="32"/>
      <c r="BM173" s="29"/>
    </row>
    <row r="174" spans="2:65" x14ac:dyDescent="0.25">
      <c r="B174" s="41" t="s">
        <v>444</v>
      </c>
      <c r="C174" s="41" t="s">
        <v>283</v>
      </c>
      <c r="D174" s="40"/>
      <c r="E174" s="40"/>
      <c r="F174" s="40"/>
      <c r="G174" s="31"/>
      <c r="H174" s="32"/>
      <c r="I174" s="29"/>
      <c r="J174" s="171"/>
      <c r="L174" s="41" t="s">
        <v>444</v>
      </c>
      <c r="M174" s="41" t="s">
        <v>283</v>
      </c>
      <c r="N174" s="40"/>
      <c r="O174" s="40"/>
      <c r="P174" s="40"/>
      <c r="Q174" s="31"/>
      <c r="R174" s="32"/>
      <c r="S174" s="29"/>
      <c r="T174" s="171"/>
      <c r="V174" s="41" t="s">
        <v>444</v>
      </c>
      <c r="W174" s="41" t="s">
        <v>283</v>
      </c>
      <c r="X174" s="40"/>
      <c r="Y174" s="40"/>
      <c r="Z174" s="40"/>
      <c r="AA174" s="31"/>
      <c r="AB174" s="32"/>
      <c r="AC174" s="29"/>
      <c r="AE174" s="41" t="s">
        <v>444</v>
      </c>
      <c r="AF174" s="41" t="s">
        <v>283</v>
      </c>
      <c r="AG174" s="40"/>
      <c r="AH174" s="40"/>
      <c r="AI174" s="40"/>
      <c r="AJ174" s="31"/>
      <c r="AK174" s="32"/>
      <c r="AL174" s="29"/>
      <c r="AN174" s="41" t="s">
        <v>444</v>
      </c>
      <c r="AO174" s="41" t="s">
        <v>283</v>
      </c>
      <c r="AP174" s="40"/>
      <c r="AQ174" s="40"/>
      <c r="AR174" s="40"/>
      <c r="AS174" s="31"/>
      <c r="AT174" s="32"/>
      <c r="AU174" s="29"/>
      <c r="AW174" s="41" t="s">
        <v>444</v>
      </c>
      <c r="AX174" s="41" t="s">
        <v>283</v>
      </c>
      <c r="AY174" s="40"/>
      <c r="AZ174" s="40"/>
      <c r="BA174" s="40"/>
      <c r="BB174" s="31"/>
      <c r="BC174" s="32"/>
      <c r="BD174" s="29"/>
      <c r="BF174" s="41" t="s">
        <v>444</v>
      </c>
      <c r="BG174" s="41" t="s">
        <v>283</v>
      </c>
      <c r="BH174" s="40"/>
      <c r="BI174" s="40"/>
      <c r="BJ174" s="40"/>
      <c r="BK174" s="31"/>
      <c r="BL174" s="32"/>
      <c r="BM174" s="29"/>
    </row>
    <row r="175" spans="2:65" x14ac:dyDescent="0.25">
      <c r="B175" s="41" t="s">
        <v>444</v>
      </c>
      <c r="C175" s="41" t="s">
        <v>283</v>
      </c>
      <c r="D175" s="40"/>
      <c r="E175" s="40"/>
      <c r="F175" s="40"/>
      <c r="G175" s="31"/>
      <c r="H175" s="32"/>
      <c r="I175" s="29"/>
      <c r="J175" s="171"/>
      <c r="L175" s="41" t="s">
        <v>444</v>
      </c>
      <c r="M175" s="41" t="s">
        <v>283</v>
      </c>
      <c r="N175" s="40"/>
      <c r="O175" s="40"/>
      <c r="P175" s="40"/>
      <c r="Q175" s="31"/>
      <c r="R175" s="32"/>
      <c r="S175" s="29"/>
      <c r="T175" s="171"/>
      <c r="V175" s="41" t="s">
        <v>444</v>
      </c>
      <c r="W175" s="41" t="s">
        <v>283</v>
      </c>
      <c r="X175" s="40"/>
      <c r="Y175" s="40"/>
      <c r="Z175" s="40"/>
      <c r="AA175" s="31"/>
      <c r="AB175" s="32"/>
      <c r="AC175" s="29"/>
      <c r="AE175" s="41" t="s">
        <v>444</v>
      </c>
      <c r="AF175" s="41" t="s">
        <v>283</v>
      </c>
      <c r="AG175" s="40"/>
      <c r="AH175" s="40"/>
      <c r="AI175" s="40"/>
      <c r="AJ175" s="31"/>
      <c r="AK175" s="32"/>
      <c r="AL175" s="29"/>
      <c r="AN175" s="41" t="s">
        <v>444</v>
      </c>
      <c r="AO175" s="41" t="s">
        <v>283</v>
      </c>
      <c r="AP175" s="40"/>
      <c r="AQ175" s="40"/>
      <c r="AR175" s="40"/>
      <c r="AS175" s="31"/>
      <c r="AT175" s="32"/>
      <c r="AU175" s="29"/>
      <c r="AW175" s="41" t="s">
        <v>444</v>
      </c>
      <c r="AX175" s="41" t="s">
        <v>283</v>
      </c>
      <c r="AY175" s="40"/>
      <c r="AZ175" s="40"/>
      <c r="BA175" s="40"/>
      <c r="BB175" s="31"/>
      <c r="BC175" s="32"/>
      <c r="BD175" s="29"/>
      <c r="BF175" s="41" t="s">
        <v>444</v>
      </c>
      <c r="BG175" s="41" t="s">
        <v>283</v>
      </c>
      <c r="BH175" s="40"/>
      <c r="BI175" s="40"/>
      <c r="BJ175" s="40"/>
      <c r="BK175" s="31"/>
      <c r="BL175" s="32"/>
      <c r="BM175" s="29"/>
    </row>
    <row r="176" spans="2:65" x14ac:dyDescent="0.25">
      <c r="B176" s="41" t="s">
        <v>444</v>
      </c>
      <c r="C176" s="41" t="s">
        <v>283</v>
      </c>
      <c r="D176" s="40"/>
      <c r="E176" s="40"/>
      <c r="F176" s="40"/>
      <c r="G176" s="31"/>
      <c r="H176" s="32"/>
      <c r="I176" s="29"/>
      <c r="J176" s="171"/>
      <c r="L176" s="41" t="s">
        <v>444</v>
      </c>
      <c r="M176" s="41" t="s">
        <v>283</v>
      </c>
      <c r="N176" s="40"/>
      <c r="O176" s="40"/>
      <c r="P176" s="40"/>
      <c r="Q176" s="31"/>
      <c r="R176" s="32"/>
      <c r="S176" s="29"/>
      <c r="T176" s="171"/>
      <c r="V176" s="41" t="s">
        <v>444</v>
      </c>
      <c r="W176" s="41" t="s">
        <v>283</v>
      </c>
      <c r="X176" s="40"/>
      <c r="Y176" s="40"/>
      <c r="Z176" s="40"/>
      <c r="AA176" s="31"/>
      <c r="AB176" s="32"/>
      <c r="AC176" s="29"/>
      <c r="AE176" s="41" t="s">
        <v>444</v>
      </c>
      <c r="AF176" s="41" t="s">
        <v>283</v>
      </c>
      <c r="AG176" s="40"/>
      <c r="AH176" s="40"/>
      <c r="AI176" s="40"/>
      <c r="AJ176" s="31"/>
      <c r="AK176" s="32"/>
      <c r="AL176" s="29"/>
      <c r="AN176" s="41" t="s">
        <v>444</v>
      </c>
      <c r="AO176" s="41" t="s">
        <v>283</v>
      </c>
      <c r="AP176" s="40"/>
      <c r="AQ176" s="40"/>
      <c r="AR176" s="40"/>
      <c r="AS176" s="31"/>
      <c r="AT176" s="32"/>
      <c r="AU176" s="29"/>
      <c r="AW176" s="41" t="s">
        <v>444</v>
      </c>
      <c r="AX176" s="41" t="s">
        <v>283</v>
      </c>
      <c r="AY176" s="40"/>
      <c r="AZ176" s="40"/>
      <c r="BA176" s="40"/>
      <c r="BB176" s="31"/>
      <c r="BC176" s="32"/>
      <c r="BD176" s="29"/>
      <c r="BF176" s="41" t="s">
        <v>444</v>
      </c>
      <c r="BG176" s="41" t="s">
        <v>283</v>
      </c>
      <c r="BH176" s="40"/>
      <c r="BI176" s="40"/>
      <c r="BJ176" s="40"/>
      <c r="BK176" s="31"/>
      <c r="BL176" s="32"/>
      <c r="BM176" s="29"/>
    </row>
    <row r="177" spans="2:65" outlineLevel="1" x14ac:dyDescent="0.25">
      <c r="B177" s="41" t="s">
        <v>444</v>
      </c>
      <c r="C177" s="41" t="s">
        <v>283</v>
      </c>
      <c r="D177" s="40"/>
      <c r="E177" s="40"/>
      <c r="F177" s="40"/>
      <c r="G177" s="31"/>
      <c r="H177" s="32"/>
      <c r="I177" s="29"/>
      <c r="J177" s="171"/>
      <c r="L177" s="41" t="s">
        <v>444</v>
      </c>
      <c r="M177" s="41" t="s">
        <v>283</v>
      </c>
      <c r="N177" s="40"/>
      <c r="O177" s="40"/>
      <c r="P177" s="40"/>
      <c r="Q177" s="31"/>
      <c r="R177" s="32"/>
      <c r="S177" s="29"/>
      <c r="T177" s="171"/>
      <c r="V177" s="41" t="s">
        <v>444</v>
      </c>
      <c r="W177" s="41" t="s">
        <v>283</v>
      </c>
      <c r="X177" s="40"/>
      <c r="Y177" s="40"/>
      <c r="Z177" s="40"/>
      <c r="AA177" s="31"/>
      <c r="AB177" s="32"/>
      <c r="AC177" s="29"/>
      <c r="AE177" s="41" t="s">
        <v>444</v>
      </c>
      <c r="AF177" s="41" t="s">
        <v>283</v>
      </c>
      <c r="AG177" s="40"/>
      <c r="AH177" s="40"/>
      <c r="AI177" s="40"/>
      <c r="AJ177" s="31"/>
      <c r="AK177" s="32"/>
      <c r="AL177" s="29"/>
      <c r="AN177" s="41" t="s">
        <v>444</v>
      </c>
      <c r="AO177" s="41" t="s">
        <v>283</v>
      </c>
      <c r="AP177" s="40"/>
      <c r="AQ177" s="40"/>
      <c r="AR177" s="40"/>
      <c r="AS177" s="31"/>
      <c r="AT177" s="32"/>
      <c r="AU177" s="29"/>
      <c r="AW177" s="41" t="s">
        <v>444</v>
      </c>
      <c r="AX177" s="41" t="s">
        <v>283</v>
      </c>
      <c r="AY177" s="40"/>
      <c r="AZ177" s="40"/>
      <c r="BA177" s="40"/>
      <c r="BB177" s="31"/>
      <c r="BC177" s="32"/>
      <c r="BD177" s="29"/>
      <c r="BF177" s="41" t="s">
        <v>444</v>
      </c>
      <c r="BG177" s="41" t="s">
        <v>283</v>
      </c>
      <c r="BH177" s="40"/>
      <c r="BI177" s="40"/>
      <c r="BJ177" s="40"/>
      <c r="BK177" s="31"/>
      <c r="BL177" s="32"/>
      <c r="BM177" s="29"/>
    </row>
    <row r="178" spans="2:65" outlineLevel="1" x14ac:dyDescent="0.25">
      <c r="B178" s="41" t="s">
        <v>444</v>
      </c>
      <c r="C178" s="41" t="s">
        <v>283</v>
      </c>
      <c r="D178" s="40"/>
      <c r="E178" s="40"/>
      <c r="F178" s="40"/>
      <c r="G178" s="31"/>
      <c r="H178" s="32"/>
      <c r="I178" s="29"/>
      <c r="J178" s="171"/>
      <c r="L178" s="41" t="s">
        <v>444</v>
      </c>
      <c r="M178" s="41" t="s">
        <v>283</v>
      </c>
      <c r="N178" s="40"/>
      <c r="O178" s="40"/>
      <c r="P178" s="40"/>
      <c r="Q178" s="31"/>
      <c r="R178" s="32"/>
      <c r="S178" s="29"/>
      <c r="T178" s="171"/>
      <c r="V178" s="41" t="s">
        <v>444</v>
      </c>
      <c r="W178" s="41" t="s">
        <v>283</v>
      </c>
      <c r="X178" s="40"/>
      <c r="Y178" s="40"/>
      <c r="Z178" s="40"/>
      <c r="AA178" s="31"/>
      <c r="AB178" s="32"/>
      <c r="AC178" s="29"/>
      <c r="AE178" s="41" t="s">
        <v>444</v>
      </c>
      <c r="AF178" s="41" t="s">
        <v>283</v>
      </c>
      <c r="AG178" s="40"/>
      <c r="AH178" s="40"/>
      <c r="AI178" s="40"/>
      <c r="AJ178" s="31"/>
      <c r="AK178" s="32"/>
      <c r="AL178" s="29"/>
      <c r="AN178" s="41" t="s">
        <v>444</v>
      </c>
      <c r="AO178" s="41" t="s">
        <v>283</v>
      </c>
      <c r="AP178" s="40"/>
      <c r="AQ178" s="40"/>
      <c r="AR178" s="40"/>
      <c r="AS178" s="31"/>
      <c r="AT178" s="32"/>
      <c r="AU178" s="29"/>
      <c r="AW178" s="41" t="s">
        <v>444</v>
      </c>
      <c r="AX178" s="41" t="s">
        <v>283</v>
      </c>
      <c r="AY178" s="40"/>
      <c r="AZ178" s="40"/>
      <c r="BA178" s="40"/>
      <c r="BB178" s="31"/>
      <c r="BC178" s="32"/>
      <c r="BD178" s="29"/>
      <c r="BF178" s="41" t="s">
        <v>444</v>
      </c>
      <c r="BG178" s="41" t="s">
        <v>283</v>
      </c>
      <c r="BH178" s="40"/>
      <c r="BI178" s="40"/>
      <c r="BJ178" s="40"/>
      <c r="BK178" s="31"/>
      <c r="BL178" s="32"/>
      <c r="BM178" s="29"/>
    </row>
    <row r="179" spans="2:65" outlineLevel="1" x14ac:dyDescent="0.25">
      <c r="B179" s="41" t="s">
        <v>444</v>
      </c>
      <c r="C179" s="41" t="s">
        <v>283</v>
      </c>
      <c r="D179" s="40"/>
      <c r="E179" s="40"/>
      <c r="F179" s="40"/>
      <c r="G179" s="31"/>
      <c r="H179" s="32"/>
      <c r="I179" s="29"/>
      <c r="J179" s="171"/>
      <c r="L179" s="41" t="s">
        <v>444</v>
      </c>
      <c r="M179" s="41" t="s">
        <v>283</v>
      </c>
      <c r="N179" s="40"/>
      <c r="O179" s="40"/>
      <c r="P179" s="40"/>
      <c r="Q179" s="31"/>
      <c r="R179" s="32"/>
      <c r="S179" s="29"/>
      <c r="T179" s="171"/>
      <c r="V179" s="41" t="s">
        <v>444</v>
      </c>
      <c r="W179" s="41" t="s">
        <v>283</v>
      </c>
      <c r="X179" s="40"/>
      <c r="Y179" s="40"/>
      <c r="Z179" s="40"/>
      <c r="AA179" s="31"/>
      <c r="AB179" s="32"/>
      <c r="AC179" s="29"/>
      <c r="AE179" s="41" t="s">
        <v>444</v>
      </c>
      <c r="AF179" s="41" t="s">
        <v>283</v>
      </c>
      <c r="AG179" s="40"/>
      <c r="AH179" s="40"/>
      <c r="AI179" s="40"/>
      <c r="AJ179" s="31"/>
      <c r="AK179" s="32"/>
      <c r="AL179" s="29"/>
      <c r="AN179" s="41" t="s">
        <v>444</v>
      </c>
      <c r="AO179" s="41" t="s">
        <v>283</v>
      </c>
      <c r="AP179" s="40"/>
      <c r="AQ179" s="40"/>
      <c r="AR179" s="40"/>
      <c r="AS179" s="31"/>
      <c r="AT179" s="32"/>
      <c r="AU179" s="29"/>
      <c r="AW179" s="41" t="s">
        <v>444</v>
      </c>
      <c r="AX179" s="41" t="s">
        <v>283</v>
      </c>
      <c r="AY179" s="40"/>
      <c r="AZ179" s="40"/>
      <c r="BA179" s="40"/>
      <c r="BB179" s="31"/>
      <c r="BC179" s="32"/>
      <c r="BD179" s="29"/>
      <c r="BF179" s="41" t="s">
        <v>444</v>
      </c>
      <c r="BG179" s="41" t="s">
        <v>283</v>
      </c>
      <c r="BH179" s="40"/>
      <c r="BI179" s="40"/>
      <c r="BJ179" s="40"/>
      <c r="BK179" s="31"/>
      <c r="BL179" s="32"/>
      <c r="BM179" s="29"/>
    </row>
    <row r="180" spans="2:65" outlineLevel="1" x14ac:dyDescent="0.25">
      <c r="B180" s="41" t="s">
        <v>444</v>
      </c>
      <c r="C180" s="41" t="s">
        <v>283</v>
      </c>
      <c r="D180" s="40"/>
      <c r="E180" s="40"/>
      <c r="F180" s="40"/>
      <c r="G180" s="31"/>
      <c r="H180" s="32"/>
      <c r="I180" s="29"/>
      <c r="J180" s="171"/>
      <c r="L180" s="41" t="s">
        <v>444</v>
      </c>
      <c r="M180" s="41" t="s">
        <v>283</v>
      </c>
      <c r="N180" s="40"/>
      <c r="O180" s="40"/>
      <c r="P180" s="40"/>
      <c r="Q180" s="31"/>
      <c r="R180" s="32"/>
      <c r="S180" s="29"/>
      <c r="T180" s="171"/>
      <c r="V180" s="41" t="s">
        <v>444</v>
      </c>
      <c r="W180" s="41" t="s">
        <v>283</v>
      </c>
      <c r="X180" s="40"/>
      <c r="Y180" s="40"/>
      <c r="Z180" s="40"/>
      <c r="AA180" s="31"/>
      <c r="AB180" s="32"/>
      <c r="AC180" s="29"/>
      <c r="AE180" s="41" t="s">
        <v>444</v>
      </c>
      <c r="AF180" s="41" t="s">
        <v>283</v>
      </c>
      <c r="AG180" s="40"/>
      <c r="AH180" s="40"/>
      <c r="AI180" s="40"/>
      <c r="AJ180" s="31"/>
      <c r="AK180" s="32"/>
      <c r="AL180" s="29"/>
      <c r="AN180" s="41" t="s">
        <v>444</v>
      </c>
      <c r="AO180" s="41" t="s">
        <v>283</v>
      </c>
      <c r="AP180" s="40"/>
      <c r="AQ180" s="40"/>
      <c r="AR180" s="40"/>
      <c r="AS180" s="31"/>
      <c r="AT180" s="32"/>
      <c r="AU180" s="29"/>
      <c r="AW180" s="41" t="s">
        <v>444</v>
      </c>
      <c r="AX180" s="41" t="s">
        <v>283</v>
      </c>
      <c r="AY180" s="40"/>
      <c r="AZ180" s="40"/>
      <c r="BA180" s="40"/>
      <c r="BB180" s="31"/>
      <c r="BC180" s="32"/>
      <c r="BD180" s="29"/>
      <c r="BF180" s="41" t="s">
        <v>444</v>
      </c>
      <c r="BG180" s="41" t="s">
        <v>283</v>
      </c>
      <c r="BH180" s="40"/>
      <c r="BI180" s="40"/>
      <c r="BJ180" s="40"/>
      <c r="BK180" s="31"/>
      <c r="BL180" s="32"/>
      <c r="BM180" s="29"/>
    </row>
    <row r="181" spans="2:65" outlineLevel="1" x14ac:dyDescent="0.25">
      <c r="B181" s="41" t="s">
        <v>444</v>
      </c>
      <c r="C181" s="41" t="s">
        <v>283</v>
      </c>
      <c r="D181" s="40"/>
      <c r="E181" s="40"/>
      <c r="F181" s="40"/>
      <c r="G181" s="31"/>
      <c r="H181" s="32"/>
      <c r="I181" s="29"/>
      <c r="J181" s="171"/>
      <c r="L181" s="41" t="s">
        <v>444</v>
      </c>
      <c r="M181" s="41" t="s">
        <v>283</v>
      </c>
      <c r="N181" s="40"/>
      <c r="O181" s="40"/>
      <c r="P181" s="40"/>
      <c r="Q181" s="31"/>
      <c r="R181" s="32"/>
      <c r="S181" s="29"/>
      <c r="T181" s="171"/>
      <c r="V181" s="41" t="s">
        <v>444</v>
      </c>
      <c r="W181" s="41" t="s">
        <v>283</v>
      </c>
      <c r="X181" s="40"/>
      <c r="Y181" s="40"/>
      <c r="Z181" s="40"/>
      <c r="AA181" s="31"/>
      <c r="AB181" s="32"/>
      <c r="AC181" s="29"/>
      <c r="AE181" s="41" t="s">
        <v>444</v>
      </c>
      <c r="AF181" s="41" t="s">
        <v>283</v>
      </c>
      <c r="AG181" s="40"/>
      <c r="AH181" s="40"/>
      <c r="AI181" s="40"/>
      <c r="AJ181" s="31"/>
      <c r="AK181" s="32"/>
      <c r="AL181" s="29"/>
      <c r="AN181" s="41" t="s">
        <v>444</v>
      </c>
      <c r="AO181" s="41" t="s">
        <v>283</v>
      </c>
      <c r="AP181" s="40"/>
      <c r="AQ181" s="40"/>
      <c r="AR181" s="40"/>
      <c r="AS181" s="31"/>
      <c r="AT181" s="32"/>
      <c r="AU181" s="29"/>
      <c r="AW181" s="41" t="s">
        <v>444</v>
      </c>
      <c r="AX181" s="41" t="s">
        <v>283</v>
      </c>
      <c r="AY181" s="40"/>
      <c r="AZ181" s="40"/>
      <c r="BA181" s="40"/>
      <c r="BB181" s="31"/>
      <c r="BC181" s="32"/>
      <c r="BD181" s="29"/>
      <c r="BF181" s="41" t="s">
        <v>444</v>
      </c>
      <c r="BG181" s="41" t="s">
        <v>283</v>
      </c>
      <c r="BH181" s="40"/>
      <c r="BI181" s="40"/>
      <c r="BJ181" s="40"/>
      <c r="BK181" s="31"/>
      <c r="BL181" s="32"/>
      <c r="BM181" s="29"/>
    </row>
    <row r="182" spans="2:65" outlineLevel="1" x14ac:dyDescent="0.25">
      <c r="B182" s="41" t="s">
        <v>444</v>
      </c>
      <c r="C182" s="41" t="s">
        <v>283</v>
      </c>
      <c r="D182" s="40"/>
      <c r="E182" s="40"/>
      <c r="F182" s="40"/>
      <c r="G182" s="31"/>
      <c r="H182" s="32"/>
      <c r="I182" s="29"/>
      <c r="J182" s="171"/>
      <c r="L182" s="41" t="s">
        <v>444</v>
      </c>
      <c r="M182" s="41" t="s">
        <v>283</v>
      </c>
      <c r="N182" s="40"/>
      <c r="O182" s="40"/>
      <c r="P182" s="40"/>
      <c r="Q182" s="31"/>
      <c r="R182" s="32"/>
      <c r="S182" s="29"/>
      <c r="T182" s="171"/>
      <c r="V182" s="41" t="s">
        <v>444</v>
      </c>
      <c r="W182" s="41" t="s">
        <v>283</v>
      </c>
      <c r="X182" s="40"/>
      <c r="Y182" s="40"/>
      <c r="Z182" s="40"/>
      <c r="AA182" s="31"/>
      <c r="AB182" s="32"/>
      <c r="AC182" s="29"/>
      <c r="AE182" s="41" t="s">
        <v>444</v>
      </c>
      <c r="AF182" s="41" t="s">
        <v>283</v>
      </c>
      <c r="AG182" s="40"/>
      <c r="AH182" s="40"/>
      <c r="AI182" s="40"/>
      <c r="AJ182" s="31"/>
      <c r="AK182" s="32"/>
      <c r="AL182" s="29"/>
      <c r="AN182" s="41" t="s">
        <v>444</v>
      </c>
      <c r="AO182" s="41" t="s">
        <v>283</v>
      </c>
      <c r="AP182" s="40"/>
      <c r="AQ182" s="40"/>
      <c r="AR182" s="40"/>
      <c r="AS182" s="31"/>
      <c r="AT182" s="32"/>
      <c r="AU182" s="29"/>
      <c r="AW182" s="41" t="s">
        <v>444</v>
      </c>
      <c r="AX182" s="41" t="s">
        <v>283</v>
      </c>
      <c r="AY182" s="40"/>
      <c r="AZ182" s="40"/>
      <c r="BA182" s="40"/>
      <c r="BB182" s="31"/>
      <c r="BC182" s="32"/>
      <c r="BD182" s="29"/>
      <c r="BF182" s="41" t="s">
        <v>444</v>
      </c>
      <c r="BG182" s="41" t="s">
        <v>283</v>
      </c>
      <c r="BH182" s="40"/>
      <c r="BI182" s="40"/>
      <c r="BJ182" s="40"/>
      <c r="BK182" s="31"/>
      <c r="BL182" s="32"/>
      <c r="BM182" s="29"/>
    </row>
    <row r="183" spans="2:65" outlineLevel="1" x14ac:dyDescent="0.25">
      <c r="B183" s="41" t="s">
        <v>444</v>
      </c>
      <c r="C183" s="41" t="s">
        <v>283</v>
      </c>
      <c r="D183" s="40"/>
      <c r="E183" s="40"/>
      <c r="F183" s="40"/>
      <c r="G183" s="31"/>
      <c r="H183" s="32"/>
      <c r="I183" s="29"/>
      <c r="J183" s="171"/>
      <c r="L183" s="41" t="s">
        <v>444</v>
      </c>
      <c r="M183" s="41" t="s">
        <v>283</v>
      </c>
      <c r="N183" s="40"/>
      <c r="O183" s="40"/>
      <c r="P183" s="40"/>
      <c r="Q183" s="31"/>
      <c r="R183" s="32"/>
      <c r="S183" s="29"/>
      <c r="T183" s="171"/>
      <c r="V183" s="41" t="s">
        <v>444</v>
      </c>
      <c r="W183" s="41" t="s">
        <v>283</v>
      </c>
      <c r="X183" s="40"/>
      <c r="Y183" s="40"/>
      <c r="Z183" s="40"/>
      <c r="AA183" s="31"/>
      <c r="AB183" s="32"/>
      <c r="AC183" s="29"/>
      <c r="AE183" s="41" t="s">
        <v>444</v>
      </c>
      <c r="AF183" s="41" t="s">
        <v>283</v>
      </c>
      <c r="AG183" s="40"/>
      <c r="AH183" s="40"/>
      <c r="AI183" s="40"/>
      <c r="AJ183" s="31"/>
      <c r="AK183" s="32"/>
      <c r="AL183" s="29"/>
      <c r="AN183" s="41" t="s">
        <v>444</v>
      </c>
      <c r="AO183" s="41" t="s">
        <v>283</v>
      </c>
      <c r="AP183" s="40"/>
      <c r="AQ183" s="40"/>
      <c r="AR183" s="40"/>
      <c r="AS183" s="31"/>
      <c r="AT183" s="32"/>
      <c r="AU183" s="29"/>
      <c r="AW183" s="41" t="s">
        <v>444</v>
      </c>
      <c r="AX183" s="41" t="s">
        <v>283</v>
      </c>
      <c r="AY183" s="40"/>
      <c r="AZ183" s="40"/>
      <c r="BA183" s="40"/>
      <c r="BB183" s="31"/>
      <c r="BC183" s="32"/>
      <c r="BD183" s="29"/>
      <c r="BF183" s="41" t="s">
        <v>444</v>
      </c>
      <c r="BG183" s="41" t="s">
        <v>283</v>
      </c>
      <c r="BH183" s="40"/>
      <c r="BI183" s="40"/>
      <c r="BJ183" s="40"/>
      <c r="BK183" s="31"/>
      <c r="BL183" s="32"/>
      <c r="BM183" s="29"/>
    </row>
    <row r="184" spans="2:65" outlineLevel="1" x14ac:dyDescent="0.25">
      <c r="B184" s="41" t="s">
        <v>444</v>
      </c>
      <c r="C184" s="41" t="s">
        <v>283</v>
      </c>
      <c r="D184" s="40"/>
      <c r="E184" s="40"/>
      <c r="F184" s="40"/>
      <c r="G184" s="31"/>
      <c r="H184" s="32"/>
      <c r="I184" s="29"/>
      <c r="J184" s="171"/>
      <c r="L184" s="41" t="s">
        <v>444</v>
      </c>
      <c r="M184" s="41" t="s">
        <v>283</v>
      </c>
      <c r="N184" s="40"/>
      <c r="O184" s="40"/>
      <c r="P184" s="40"/>
      <c r="Q184" s="31"/>
      <c r="R184" s="32"/>
      <c r="S184" s="29"/>
      <c r="T184" s="171"/>
      <c r="V184" s="41" t="s">
        <v>444</v>
      </c>
      <c r="W184" s="41" t="s">
        <v>283</v>
      </c>
      <c r="X184" s="40"/>
      <c r="Y184" s="40"/>
      <c r="Z184" s="40"/>
      <c r="AA184" s="31"/>
      <c r="AB184" s="32"/>
      <c r="AC184" s="29"/>
      <c r="AE184" s="41" t="s">
        <v>444</v>
      </c>
      <c r="AF184" s="41" t="s">
        <v>283</v>
      </c>
      <c r="AG184" s="40"/>
      <c r="AH184" s="40"/>
      <c r="AI184" s="40"/>
      <c r="AJ184" s="31"/>
      <c r="AK184" s="32"/>
      <c r="AL184" s="29"/>
      <c r="AN184" s="41" t="s">
        <v>444</v>
      </c>
      <c r="AO184" s="41" t="s">
        <v>283</v>
      </c>
      <c r="AP184" s="40"/>
      <c r="AQ184" s="40"/>
      <c r="AR184" s="40"/>
      <c r="AS184" s="31"/>
      <c r="AT184" s="32"/>
      <c r="AU184" s="29"/>
      <c r="AW184" s="41" t="s">
        <v>444</v>
      </c>
      <c r="AX184" s="41" t="s">
        <v>283</v>
      </c>
      <c r="AY184" s="40"/>
      <c r="AZ184" s="40"/>
      <c r="BA184" s="40"/>
      <c r="BB184" s="31"/>
      <c r="BC184" s="32"/>
      <c r="BD184" s="29"/>
      <c r="BF184" s="41" t="s">
        <v>444</v>
      </c>
      <c r="BG184" s="41" t="s">
        <v>283</v>
      </c>
      <c r="BH184" s="40"/>
      <c r="BI184" s="40"/>
      <c r="BJ184" s="40"/>
      <c r="BK184" s="31"/>
      <c r="BL184" s="32"/>
      <c r="BM184" s="29"/>
    </row>
    <row r="185" spans="2:65" s="24" customFormat="1" x14ac:dyDescent="0.25">
      <c r="B185" s="8" t="s">
        <v>448</v>
      </c>
      <c r="C185" s="25"/>
      <c r="D185" s="28">
        <f t="shared" ref="D185:F185" si="177">SUM(D170:D184)</f>
        <v>0</v>
      </c>
      <c r="E185" s="28">
        <f t="shared" si="177"/>
        <v>0</v>
      </c>
      <c r="F185" s="28">
        <f t="shared" si="177"/>
        <v>0</v>
      </c>
      <c r="G185" s="25"/>
      <c r="H185" s="26"/>
      <c r="I185" s="30"/>
      <c r="J185" s="170"/>
      <c r="L185" s="8" t="s">
        <v>448</v>
      </c>
      <c r="M185" s="25"/>
      <c r="N185" s="28">
        <f t="shared" ref="N185:P185" si="178">SUM(N170:N184)</f>
        <v>0</v>
      </c>
      <c r="O185" s="28">
        <f t="shared" si="178"/>
        <v>0</v>
      </c>
      <c r="P185" s="28">
        <f t="shared" si="178"/>
        <v>0</v>
      </c>
      <c r="Q185" s="25"/>
      <c r="R185" s="26"/>
      <c r="S185" s="30"/>
      <c r="T185" s="170"/>
      <c r="V185" s="8" t="s">
        <v>448</v>
      </c>
      <c r="W185" s="25"/>
      <c r="X185" s="30"/>
      <c r="Y185" s="30"/>
      <c r="Z185" s="28">
        <f t="shared" ref="Z185" si="179">SUM(Z170:Z184)</f>
        <v>0</v>
      </c>
      <c r="AA185" s="25"/>
      <c r="AB185" s="26"/>
      <c r="AC185" s="30"/>
      <c r="AE185" s="8" t="s">
        <v>448</v>
      </c>
      <c r="AF185" s="25"/>
      <c r="AG185" s="30"/>
      <c r="AH185" s="30"/>
      <c r="AI185" s="28">
        <f t="shared" ref="AI185" si="180">SUM(AI170:AI184)</f>
        <v>0</v>
      </c>
      <c r="AJ185" s="25"/>
      <c r="AK185" s="26"/>
      <c r="AL185" s="30"/>
      <c r="AN185" s="8" t="s">
        <v>448</v>
      </c>
      <c r="AO185" s="25"/>
      <c r="AP185" s="30"/>
      <c r="AQ185" s="30"/>
      <c r="AR185" s="28">
        <f t="shared" ref="AR185" si="181">SUM(AR170:AR184)</f>
        <v>0</v>
      </c>
      <c r="AS185" s="25"/>
      <c r="AT185" s="26"/>
      <c r="AU185" s="30"/>
      <c r="AW185" s="8" t="s">
        <v>448</v>
      </c>
      <c r="AX185" s="25"/>
      <c r="AY185" s="30"/>
      <c r="AZ185" s="30"/>
      <c r="BA185" s="28">
        <f t="shared" ref="BA185" si="182">SUM(BA170:BA184)</f>
        <v>0</v>
      </c>
      <c r="BB185" s="25"/>
      <c r="BC185" s="26"/>
      <c r="BD185" s="30"/>
      <c r="BF185" s="8" t="s">
        <v>448</v>
      </c>
      <c r="BG185" s="25"/>
      <c r="BH185" s="30"/>
      <c r="BI185" s="30"/>
      <c r="BJ185" s="28">
        <f t="shared" ref="BJ185" si="183">SUM(BJ170:BJ184)</f>
        <v>0</v>
      </c>
      <c r="BK185" s="25"/>
      <c r="BL185" s="26"/>
      <c r="BM185" s="30"/>
    </row>
    <row r="187" spans="2:65" s="20" customFormat="1" ht="38.25" x14ac:dyDescent="0.25">
      <c r="B187" s="27" t="s">
        <v>452</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2" t="s">
        <v>380</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2" t="s">
        <v>380</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x14ac:dyDescent="0.25">
      <c r="B188" s="41" t="s">
        <v>444</v>
      </c>
      <c r="C188" s="41" t="s">
        <v>283</v>
      </c>
      <c r="D188" s="40"/>
      <c r="E188" s="40"/>
      <c r="F188" s="29"/>
      <c r="G188" s="22"/>
      <c r="H188" s="23">
        <v>0.82</v>
      </c>
      <c r="I188" s="75">
        <f>D188*G188*H188</f>
        <v>0</v>
      </c>
      <c r="J188" s="171"/>
      <c r="L188" s="41" t="s">
        <v>444</v>
      </c>
      <c r="M188" s="41" t="s">
        <v>283</v>
      </c>
      <c r="N188" s="40"/>
      <c r="O188" s="40"/>
      <c r="P188" s="29"/>
      <c r="Q188" s="22">
        <v>0.08</v>
      </c>
      <c r="R188" s="23">
        <v>0.82</v>
      </c>
      <c r="S188" s="75">
        <f>N188*Q188*R188</f>
        <v>0</v>
      </c>
      <c r="T188" s="171"/>
      <c r="V188" s="41" t="s">
        <v>444</v>
      </c>
      <c r="W188" s="41" t="s">
        <v>283</v>
      </c>
      <c r="X188" s="40"/>
      <c r="Y188" s="40"/>
      <c r="Z188" s="29"/>
      <c r="AA188" s="22">
        <v>0.08</v>
      </c>
      <c r="AB188" s="23">
        <v>0.82</v>
      </c>
      <c r="AC188" s="75">
        <f>X188*AA188*AB188</f>
        <v>0</v>
      </c>
      <c r="AE188" s="41" t="s">
        <v>444</v>
      </c>
      <c r="AF188" s="41" t="s">
        <v>283</v>
      </c>
      <c r="AG188" s="40"/>
      <c r="AH188" s="40"/>
      <c r="AI188" s="29"/>
      <c r="AJ188" s="22">
        <v>0.08</v>
      </c>
      <c r="AK188" s="23">
        <v>0.82</v>
      </c>
      <c r="AL188" s="75">
        <f>AG188*AJ188*AK188</f>
        <v>0</v>
      </c>
      <c r="AN188" s="41" t="s">
        <v>444</v>
      </c>
      <c r="AO188" s="41" t="s">
        <v>283</v>
      </c>
      <c r="AP188" s="40"/>
      <c r="AQ188" s="40"/>
      <c r="AR188" s="29"/>
      <c r="AS188" s="22">
        <v>0.08</v>
      </c>
      <c r="AT188" s="23">
        <v>0.82</v>
      </c>
      <c r="AU188" s="75">
        <f>AP188*AS188*AT188</f>
        <v>0</v>
      </c>
      <c r="AW188" s="41" t="s">
        <v>444</v>
      </c>
      <c r="AX188" s="41" t="s">
        <v>283</v>
      </c>
      <c r="AY188" s="40"/>
      <c r="AZ188" s="40"/>
      <c r="BA188" s="29"/>
      <c r="BB188" s="22">
        <v>0.08</v>
      </c>
      <c r="BC188" s="23">
        <v>0.82</v>
      </c>
      <c r="BD188" s="75">
        <f>AY188*BB188*BC188</f>
        <v>0</v>
      </c>
      <c r="BF188" s="41" t="s">
        <v>444</v>
      </c>
      <c r="BG188" s="41" t="s">
        <v>283</v>
      </c>
      <c r="BH188" s="40"/>
      <c r="BI188" s="40"/>
      <c r="BJ188" s="29"/>
      <c r="BK188" s="22">
        <v>0.08</v>
      </c>
      <c r="BL188" s="23">
        <v>0.82</v>
      </c>
      <c r="BM188" s="75">
        <f>BH188*BK188*BL188</f>
        <v>0</v>
      </c>
    </row>
    <row r="189" spans="2:65" x14ac:dyDescent="0.25">
      <c r="B189" s="41" t="s">
        <v>444</v>
      </c>
      <c r="C189" s="41" t="s">
        <v>283</v>
      </c>
      <c r="D189" s="40"/>
      <c r="E189" s="40"/>
      <c r="F189" s="29"/>
      <c r="G189" s="22"/>
      <c r="H189" s="23">
        <v>0.82</v>
      </c>
      <c r="I189" s="75">
        <f t="shared" ref="I189:I202" si="191">D189*G189*H189</f>
        <v>0</v>
      </c>
      <c r="J189" s="171"/>
      <c r="L189" s="41" t="s">
        <v>444</v>
      </c>
      <c r="M189" s="41" t="s">
        <v>283</v>
      </c>
      <c r="N189" s="40"/>
      <c r="O189" s="40"/>
      <c r="P189" s="29"/>
      <c r="Q189" s="22"/>
      <c r="R189" s="23">
        <v>0.82</v>
      </c>
      <c r="S189" s="75">
        <f t="shared" ref="S189:S202" si="192">N189*Q189*R189</f>
        <v>0</v>
      </c>
      <c r="T189" s="171"/>
      <c r="V189" s="41" t="s">
        <v>444</v>
      </c>
      <c r="W189" s="41" t="s">
        <v>283</v>
      </c>
      <c r="X189" s="40"/>
      <c r="Y189" s="40"/>
      <c r="Z189" s="29"/>
      <c r="AA189" s="22"/>
      <c r="AB189" s="23">
        <v>0.82</v>
      </c>
      <c r="AC189" s="75">
        <f t="shared" ref="AC189:AC202" si="193">X189*AA189*AB189</f>
        <v>0</v>
      </c>
      <c r="AE189" s="41" t="s">
        <v>444</v>
      </c>
      <c r="AF189" s="41" t="s">
        <v>283</v>
      </c>
      <c r="AG189" s="40"/>
      <c r="AH189" s="40"/>
      <c r="AI189" s="29"/>
      <c r="AJ189" s="22"/>
      <c r="AK189" s="23">
        <v>0.82</v>
      </c>
      <c r="AL189" s="75">
        <f t="shared" ref="AL189:AL202" si="194">AG189*AJ189*AK189</f>
        <v>0</v>
      </c>
      <c r="AN189" s="41" t="s">
        <v>444</v>
      </c>
      <c r="AO189" s="41" t="s">
        <v>283</v>
      </c>
      <c r="AP189" s="40"/>
      <c r="AQ189" s="40"/>
      <c r="AR189" s="29"/>
      <c r="AS189" s="22"/>
      <c r="AT189" s="23">
        <v>0.82</v>
      </c>
      <c r="AU189" s="75">
        <f t="shared" ref="AU189:AU202" si="195">AP189*AS189*AT189</f>
        <v>0</v>
      </c>
      <c r="AW189" s="41" t="s">
        <v>444</v>
      </c>
      <c r="AX189" s="41" t="s">
        <v>283</v>
      </c>
      <c r="AY189" s="40"/>
      <c r="AZ189" s="40"/>
      <c r="BA189" s="29"/>
      <c r="BB189" s="22"/>
      <c r="BC189" s="23">
        <v>0.82</v>
      </c>
      <c r="BD189" s="75">
        <f t="shared" ref="BD189:BD202" si="196">AY189*BB189*BC189</f>
        <v>0</v>
      </c>
      <c r="BF189" s="41" t="s">
        <v>444</v>
      </c>
      <c r="BG189" s="41" t="s">
        <v>283</v>
      </c>
      <c r="BH189" s="40"/>
      <c r="BI189" s="40"/>
      <c r="BJ189" s="29"/>
      <c r="BK189" s="22"/>
      <c r="BL189" s="23">
        <v>0.82</v>
      </c>
      <c r="BM189" s="75">
        <f t="shared" ref="BM189:BM202" si="197">BH189*BK189*BL189</f>
        <v>0</v>
      </c>
    </row>
    <row r="190" spans="2:65" x14ac:dyDescent="0.25">
      <c r="B190" s="41" t="s">
        <v>444</v>
      </c>
      <c r="C190" s="41" t="s">
        <v>283</v>
      </c>
      <c r="D190" s="40"/>
      <c r="E190" s="40"/>
      <c r="F190" s="29"/>
      <c r="G190" s="22"/>
      <c r="H190" s="23">
        <v>0.82</v>
      </c>
      <c r="I190" s="75">
        <f t="shared" si="191"/>
        <v>0</v>
      </c>
      <c r="J190" s="171"/>
      <c r="L190" s="41" t="s">
        <v>444</v>
      </c>
      <c r="M190" s="41" t="s">
        <v>283</v>
      </c>
      <c r="N190" s="40"/>
      <c r="O190" s="40"/>
      <c r="P190" s="29"/>
      <c r="Q190" s="22"/>
      <c r="R190" s="23">
        <v>0.82</v>
      </c>
      <c r="S190" s="75">
        <f t="shared" si="192"/>
        <v>0</v>
      </c>
      <c r="T190" s="171"/>
      <c r="V190" s="41" t="s">
        <v>444</v>
      </c>
      <c r="W190" s="41" t="s">
        <v>283</v>
      </c>
      <c r="X190" s="40"/>
      <c r="Y190" s="40"/>
      <c r="Z190" s="29"/>
      <c r="AA190" s="22"/>
      <c r="AB190" s="23">
        <v>0.82</v>
      </c>
      <c r="AC190" s="75">
        <f t="shared" si="193"/>
        <v>0</v>
      </c>
      <c r="AE190" s="41" t="s">
        <v>444</v>
      </c>
      <c r="AF190" s="41" t="s">
        <v>283</v>
      </c>
      <c r="AG190" s="40"/>
      <c r="AH190" s="40"/>
      <c r="AI190" s="29"/>
      <c r="AJ190" s="22"/>
      <c r="AK190" s="23">
        <v>0.82</v>
      </c>
      <c r="AL190" s="75">
        <f t="shared" si="194"/>
        <v>0</v>
      </c>
      <c r="AN190" s="41" t="s">
        <v>444</v>
      </c>
      <c r="AO190" s="41" t="s">
        <v>283</v>
      </c>
      <c r="AP190" s="40"/>
      <c r="AQ190" s="40"/>
      <c r="AR190" s="29"/>
      <c r="AS190" s="22"/>
      <c r="AT190" s="23">
        <v>0.82</v>
      </c>
      <c r="AU190" s="75">
        <f t="shared" si="195"/>
        <v>0</v>
      </c>
      <c r="AW190" s="41" t="s">
        <v>444</v>
      </c>
      <c r="AX190" s="41" t="s">
        <v>283</v>
      </c>
      <c r="AY190" s="40"/>
      <c r="AZ190" s="40"/>
      <c r="BA190" s="29"/>
      <c r="BB190" s="22"/>
      <c r="BC190" s="23">
        <v>0.82</v>
      </c>
      <c r="BD190" s="75">
        <f t="shared" si="196"/>
        <v>0</v>
      </c>
      <c r="BF190" s="41" t="s">
        <v>444</v>
      </c>
      <c r="BG190" s="41" t="s">
        <v>283</v>
      </c>
      <c r="BH190" s="40"/>
      <c r="BI190" s="40"/>
      <c r="BJ190" s="29"/>
      <c r="BK190" s="22"/>
      <c r="BL190" s="23">
        <v>0.82</v>
      </c>
      <c r="BM190" s="75">
        <f t="shared" si="197"/>
        <v>0</v>
      </c>
    </row>
    <row r="191" spans="2:65" x14ac:dyDescent="0.25">
      <c r="B191" s="41" t="s">
        <v>444</v>
      </c>
      <c r="C191" s="41" t="s">
        <v>283</v>
      </c>
      <c r="D191" s="40"/>
      <c r="E191" s="40"/>
      <c r="F191" s="29"/>
      <c r="G191" s="22"/>
      <c r="H191" s="23">
        <v>0.82</v>
      </c>
      <c r="I191" s="75">
        <f t="shared" si="191"/>
        <v>0</v>
      </c>
      <c r="J191" s="171"/>
      <c r="L191" s="41" t="s">
        <v>444</v>
      </c>
      <c r="M191" s="41" t="s">
        <v>283</v>
      </c>
      <c r="N191" s="40"/>
      <c r="O191" s="40"/>
      <c r="P191" s="29"/>
      <c r="Q191" s="22"/>
      <c r="R191" s="23">
        <v>0.82</v>
      </c>
      <c r="S191" s="75">
        <f t="shared" si="192"/>
        <v>0</v>
      </c>
      <c r="T191" s="171"/>
      <c r="V191" s="41" t="s">
        <v>444</v>
      </c>
      <c r="W191" s="41" t="s">
        <v>283</v>
      </c>
      <c r="X191" s="40"/>
      <c r="Y191" s="40"/>
      <c r="Z191" s="29"/>
      <c r="AA191" s="22"/>
      <c r="AB191" s="23">
        <v>0.82</v>
      </c>
      <c r="AC191" s="75">
        <f t="shared" si="193"/>
        <v>0</v>
      </c>
      <c r="AE191" s="41" t="s">
        <v>444</v>
      </c>
      <c r="AF191" s="41" t="s">
        <v>283</v>
      </c>
      <c r="AG191" s="40"/>
      <c r="AH191" s="40"/>
      <c r="AI191" s="29"/>
      <c r="AJ191" s="22"/>
      <c r="AK191" s="23">
        <v>0.82</v>
      </c>
      <c r="AL191" s="75">
        <f t="shared" si="194"/>
        <v>0</v>
      </c>
      <c r="AN191" s="41" t="s">
        <v>444</v>
      </c>
      <c r="AO191" s="41" t="s">
        <v>283</v>
      </c>
      <c r="AP191" s="40"/>
      <c r="AQ191" s="40"/>
      <c r="AR191" s="29"/>
      <c r="AS191" s="22"/>
      <c r="AT191" s="23">
        <v>0.82</v>
      </c>
      <c r="AU191" s="75">
        <f t="shared" si="195"/>
        <v>0</v>
      </c>
      <c r="AW191" s="41" t="s">
        <v>444</v>
      </c>
      <c r="AX191" s="41" t="s">
        <v>283</v>
      </c>
      <c r="AY191" s="40"/>
      <c r="AZ191" s="40"/>
      <c r="BA191" s="29"/>
      <c r="BB191" s="22"/>
      <c r="BC191" s="23">
        <v>0.82</v>
      </c>
      <c r="BD191" s="75">
        <f t="shared" si="196"/>
        <v>0</v>
      </c>
      <c r="BF191" s="41" t="s">
        <v>444</v>
      </c>
      <c r="BG191" s="41" t="s">
        <v>283</v>
      </c>
      <c r="BH191" s="40"/>
      <c r="BI191" s="40"/>
      <c r="BJ191" s="29"/>
      <c r="BK191" s="22"/>
      <c r="BL191" s="23">
        <v>0.82</v>
      </c>
      <c r="BM191" s="75">
        <f t="shared" si="197"/>
        <v>0</v>
      </c>
    </row>
    <row r="192" spans="2:65" x14ac:dyDescent="0.25">
      <c r="B192" s="41" t="s">
        <v>444</v>
      </c>
      <c r="C192" s="41" t="s">
        <v>283</v>
      </c>
      <c r="D192" s="40"/>
      <c r="E192" s="40"/>
      <c r="F192" s="29"/>
      <c r="G192" s="22"/>
      <c r="H192" s="23">
        <v>0.82</v>
      </c>
      <c r="I192" s="75">
        <f t="shared" si="191"/>
        <v>0</v>
      </c>
      <c r="J192" s="171"/>
      <c r="L192" s="41" t="s">
        <v>444</v>
      </c>
      <c r="M192" s="41" t="s">
        <v>283</v>
      </c>
      <c r="N192" s="40"/>
      <c r="O192" s="40"/>
      <c r="P192" s="29"/>
      <c r="Q192" s="22"/>
      <c r="R192" s="23">
        <v>0.82</v>
      </c>
      <c r="S192" s="75">
        <f t="shared" si="192"/>
        <v>0</v>
      </c>
      <c r="T192" s="171"/>
      <c r="V192" s="41" t="s">
        <v>444</v>
      </c>
      <c r="W192" s="41" t="s">
        <v>283</v>
      </c>
      <c r="X192" s="40"/>
      <c r="Y192" s="40"/>
      <c r="Z192" s="29"/>
      <c r="AA192" s="22"/>
      <c r="AB192" s="23">
        <v>0.82</v>
      </c>
      <c r="AC192" s="75">
        <f t="shared" si="193"/>
        <v>0</v>
      </c>
      <c r="AE192" s="41" t="s">
        <v>444</v>
      </c>
      <c r="AF192" s="41" t="s">
        <v>283</v>
      </c>
      <c r="AG192" s="40"/>
      <c r="AH192" s="40"/>
      <c r="AI192" s="29"/>
      <c r="AJ192" s="22"/>
      <c r="AK192" s="23">
        <v>0.82</v>
      </c>
      <c r="AL192" s="75">
        <f t="shared" si="194"/>
        <v>0</v>
      </c>
      <c r="AN192" s="41" t="s">
        <v>444</v>
      </c>
      <c r="AO192" s="41" t="s">
        <v>283</v>
      </c>
      <c r="AP192" s="40"/>
      <c r="AQ192" s="40"/>
      <c r="AR192" s="29"/>
      <c r="AS192" s="22"/>
      <c r="AT192" s="23">
        <v>0.82</v>
      </c>
      <c r="AU192" s="75">
        <f t="shared" si="195"/>
        <v>0</v>
      </c>
      <c r="AW192" s="41" t="s">
        <v>444</v>
      </c>
      <c r="AX192" s="41" t="s">
        <v>283</v>
      </c>
      <c r="AY192" s="40"/>
      <c r="AZ192" s="40"/>
      <c r="BA192" s="29"/>
      <c r="BB192" s="22"/>
      <c r="BC192" s="23">
        <v>0.82</v>
      </c>
      <c r="BD192" s="75">
        <f t="shared" si="196"/>
        <v>0</v>
      </c>
      <c r="BF192" s="41" t="s">
        <v>444</v>
      </c>
      <c r="BG192" s="41" t="s">
        <v>283</v>
      </c>
      <c r="BH192" s="40"/>
      <c r="BI192" s="40"/>
      <c r="BJ192" s="29"/>
      <c r="BK192" s="22"/>
      <c r="BL192" s="23">
        <v>0.82</v>
      </c>
      <c r="BM192" s="75">
        <f t="shared" si="197"/>
        <v>0</v>
      </c>
    </row>
    <row r="193" spans="2:65" x14ac:dyDescent="0.25">
      <c r="B193" s="41" t="s">
        <v>444</v>
      </c>
      <c r="C193" s="41" t="s">
        <v>283</v>
      </c>
      <c r="D193" s="40"/>
      <c r="E193" s="40"/>
      <c r="F193" s="29"/>
      <c r="G193" s="22"/>
      <c r="H193" s="23">
        <v>0.82</v>
      </c>
      <c r="I193" s="75">
        <f t="shared" si="191"/>
        <v>0</v>
      </c>
      <c r="J193" s="171"/>
      <c r="L193" s="41" t="s">
        <v>444</v>
      </c>
      <c r="M193" s="41" t="s">
        <v>283</v>
      </c>
      <c r="N193" s="40"/>
      <c r="O193" s="40"/>
      <c r="P193" s="29"/>
      <c r="Q193" s="22"/>
      <c r="R193" s="23">
        <v>0.82</v>
      </c>
      <c r="S193" s="75">
        <f t="shared" si="192"/>
        <v>0</v>
      </c>
      <c r="T193" s="171"/>
      <c r="V193" s="41" t="s">
        <v>444</v>
      </c>
      <c r="W193" s="41" t="s">
        <v>283</v>
      </c>
      <c r="X193" s="40"/>
      <c r="Y193" s="40"/>
      <c r="Z193" s="29"/>
      <c r="AA193" s="22"/>
      <c r="AB193" s="23">
        <v>0.82</v>
      </c>
      <c r="AC193" s="75">
        <f t="shared" si="193"/>
        <v>0</v>
      </c>
      <c r="AE193" s="41" t="s">
        <v>444</v>
      </c>
      <c r="AF193" s="41" t="s">
        <v>283</v>
      </c>
      <c r="AG193" s="40"/>
      <c r="AH193" s="40"/>
      <c r="AI193" s="29"/>
      <c r="AJ193" s="22"/>
      <c r="AK193" s="23">
        <v>0.82</v>
      </c>
      <c r="AL193" s="75">
        <f t="shared" si="194"/>
        <v>0</v>
      </c>
      <c r="AN193" s="41" t="s">
        <v>444</v>
      </c>
      <c r="AO193" s="41" t="s">
        <v>283</v>
      </c>
      <c r="AP193" s="40"/>
      <c r="AQ193" s="40"/>
      <c r="AR193" s="29"/>
      <c r="AS193" s="22"/>
      <c r="AT193" s="23">
        <v>0.82</v>
      </c>
      <c r="AU193" s="75">
        <f t="shared" si="195"/>
        <v>0</v>
      </c>
      <c r="AW193" s="41" t="s">
        <v>444</v>
      </c>
      <c r="AX193" s="41" t="s">
        <v>283</v>
      </c>
      <c r="AY193" s="40"/>
      <c r="AZ193" s="40"/>
      <c r="BA193" s="29"/>
      <c r="BB193" s="22"/>
      <c r="BC193" s="23">
        <v>0.82</v>
      </c>
      <c r="BD193" s="75">
        <f t="shared" si="196"/>
        <v>0</v>
      </c>
      <c r="BF193" s="41" t="s">
        <v>444</v>
      </c>
      <c r="BG193" s="41" t="s">
        <v>283</v>
      </c>
      <c r="BH193" s="40"/>
      <c r="BI193" s="40"/>
      <c r="BJ193" s="29"/>
      <c r="BK193" s="22"/>
      <c r="BL193" s="23">
        <v>0.82</v>
      </c>
      <c r="BM193" s="75">
        <f t="shared" si="197"/>
        <v>0</v>
      </c>
    </row>
    <row r="194" spans="2:65" x14ac:dyDescent="0.25">
      <c r="B194" s="41" t="s">
        <v>444</v>
      </c>
      <c r="C194" s="41" t="s">
        <v>283</v>
      </c>
      <c r="D194" s="40"/>
      <c r="E194" s="40"/>
      <c r="F194" s="29"/>
      <c r="G194" s="22"/>
      <c r="H194" s="23">
        <v>0.82</v>
      </c>
      <c r="I194" s="75">
        <f t="shared" si="191"/>
        <v>0</v>
      </c>
      <c r="J194" s="171"/>
      <c r="L194" s="41" t="s">
        <v>444</v>
      </c>
      <c r="M194" s="41" t="s">
        <v>283</v>
      </c>
      <c r="N194" s="40"/>
      <c r="O194" s="40"/>
      <c r="P194" s="29"/>
      <c r="Q194" s="22"/>
      <c r="R194" s="23">
        <v>0.82</v>
      </c>
      <c r="S194" s="75">
        <f t="shared" si="192"/>
        <v>0</v>
      </c>
      <c r="T194" s="171"/>
      <c r="V194" s="41" t="s">
        <v>444</v>
      </c>
      <c r="W194" s="41" t="s">
        <v>283</v>
      </c>
      <c r="X194" s="40"/>
      <c r="Y194" s="40"/>
      <c r="Z194" s="29"/>
      <c r="AA194" s="22"/>
      <c r="AB194" s="23">
        <v>0.82</v>
      </c>
      <c r="AC194" s="75">
        <f t="shared" si="193"/>
        <v>0</v>
      </c>
      <c r="AE194" s="41" t="s">
        <v>444</v>
      </c>
      <c r="AF194" s="41" t="s">
        <v>283</v>
      </c>
      <c r="AG194" s="40"/>
      <c r="AH194" s="40"/>
      <c r="AI194" s="29"/>
      <c r="AJ194" s="22"/>
      <c r="AK194" s="23">
        <v>0.82</v>
      </c>
      <c r="AL194" s="75">
        <f t="shared" si="194"/>
        <v>0</v>
      </c>
      <c r="AN194" s="41" t="s">
        <v>444</v>
      </c>
      <c r="AO194" s="41" t="s">
        <v>283</v>
      </c>
      <c r="AP194" s="40"/>
      <c r="AQ194" s="40"/>
      <c r="AR194" s="29"/>
      <c r="AS194" s="22"/>
      <c r="AT194" s="23">
        <v>0.82</v>
      </c>
      <c r="AU194" s="75">
        <f t="shared" si="195"/>
        <v>0</v>
      </c>
      <c r="AW194" s="41" t="s">
        <v>444</v>
      </c>
      <c r="AX194" s="41" t="s">
        <v>283</v>
      </c>
      <c r="AY194" s="40"/>
      <c r="AZ194" s="40"/>
      <c r="BA194" s="29"/>
      <c r="BB194" s="22"/>
      <c r="BC194" s="23">
        <v>0.82</v>
      </c>
      <c r="BD194" s="75">
        <f t="shared" si="196"/>
        <v>0</v>
      </c>
      <c r="BF194" s="41" t="s">
        <v>444</v>
      </c>
      <c r="BG194" s="41" t="s">
        <v>283</v>
      </c>
      <c r="BH194" s="40"/>
      <c r="BI194" s="40"/>
      <c r="BJ194" s="29"/>
      <c r="BK194" s="22"/>
      <c r="BL194" s="23">
        <v>0.82</v>
      </c>
      <c r="BM194" s="75">
        <f t="shared" si="197"/>
        <v>0</v>
      </c>
    </row>
    <row r="195" spans="2:65" outlineLevel="1" x14ac:dyDescent="0.25">
      <c r="B195" s="41" t="s">
        <v>444</v>
      </c>
      <c r="C195" s="41" t="s">
        <v>283</v>
      </c>
      <c r="D195" s="40"/>
      <c r="E195" s="40"/>
      <c r="F195" s="29"/>
      <c r="G195" s="22"/>
      <c r="H195" s="23">
        <v>0.82</v>
      </c>
      <c r="I195" s="75">
        <f t="shared" si="191"/>
        <v>0</v>
      </c>
      <c r="J195" s="171"/>
      <c r="L195" s="41" t="s">
        <v>444</v>
      </c>
      <c r="M195" s="41" t="s">
        <v>283</v>
      </c>
      <c r="N195" s="40"/>
      <c r="O195" s="40"/>
      <c r="P195" s="29"/>
      <c r="Q195" s="22"/>
      <c r="R195" s="23">
        <v>0.82</v>
      </c>
      <c r="S195" s="75">
        <f t="shared" si="192"/>
        <v>0</v>
      </c>
      <c r="T195" s="171"/>
      <c r="V195" s="41" t="s">
        <v>444</v>
      </c>
      <c r="W195" s="41" t="s">
        <v>283</v>
      </c>
      <c r="X195" s="40"/>
      <c r="Y195" s="40"/>
      <c r="Z195" s="29"/>
      <c r="AA195" s="22"/>
      <c r="AB195" s="23">
        <v>0.82</v>
      </c>
      <c r="AC195" s="75">
        <f t="shared" si="193"/>
        <v>0</v>
      </c>
      <c r="AE195" s="41" t="s">
        <v>444</v>
      </c>
      <c r="AF195" s="41" t="s">
        <v>283</v>
      </c>
      <c r="AG195" s="40"/>
      <c r="AH195" s="40"/>
      <c r="AI195" s="29"/>
      <c r="AJ195" s="22"/>
      <c r="AK195" s="23">
        <v>0.82</v>
      </c>
      <c r="AL195" s="75">
        <f t="shared" si="194"/>
        <v>0</v>
      </c>
      <c r="AN195" s="41" t="s">
        <v>444</v>
      </c>
      <c r="AO195" s="41" t="s">
        <v>283</v>
      </c>
      <c r="AP195" s="40"/>
      <c r="AQ195" s="40"/>
      <c r="AR195" s="29"/>
      <c r="AS195" s="22"/>
      <c r="AT195" s="23">
        <v>0.82</v>
      </c>
      <c r="AU195" s="75">
        <f t="shared" si="195"/>
        <v>0</v>
      </c>
      <c r="AW195" s="41" t="s">
        <v>444</v>
      </c>
      <c r="AX195" s="41" t="s">
        <v>283</v>
      </c>
      <c r="AY195" s="40"/>
      <c r="AZ195" s="40"/>
      <c r="BA195" s="29"/>
      <c r="BB195" s="22"/>
      <c r="BC195" s="23">
        <v>0.82</v>
      </c>
      <c r="BD195" s="75">
        <f t="shared" si="196"/>
        <v>0</v>
      </c>
      <c r="BF195" s="41" t="s">
        <v>444</v>
      </c>
      <c r="BG195" s="41" t="s">
        <v>283</v>
      </c>
      <c r="BH195" s="40"/>
      <c r="BI195" s="40"/>
      <c r="BJ195" s="29"/>
      <c r="BK195" s="22"/>
      <c r="BL195" s="23">
        <v>0.82</v>
      </c>
      <c r="BM195" s="75">
        <f t="shared" si="197"/>
        <v>0</v>
      </c>
    </row>
    <row r="196" spans="2:65" outlineLevel="1" x14ac:dyDescent="0.25">
      <c r="B196" s="41" t="s">
        <v>444</v>
      </c>
      <c r="C196" s="41" t="s">
        <v>283</v>
      </c>
      <c r="D196" s="40"/>
      <c r="E196" s="40"/>
      <c r="F196" s="29"/>
      <c r="G196" s="22"/>
      <c r="H196" s="23">
        <v>0.82</v>
      </c>
      <c r="I196" s="75">
        <f t="shared" si="191"/>
        <v>0</v>
      </c>
      <c r="J196" s="171"/>
      <c r="L196" s="41" t="s">
        <v>444</v>
      </c>
      <c r="M196" s="41" t="s">
        <v>283</v>
      </c>
      <c r="N196" s="40"/>
      <c r="O196" s="40"/>
      <c r="P196" s="29"/>
      <c r="Q196" s="22"/>
      <c r="R196" s="23">
        <v>0.82</v>
      </c>
      <c r="S196" s="75">
        <f t="shared" si="192"/>
        <v>0</v>
      </c>
      <c r="T196" s="171"/>
      <c r="V196" s="41" t="s">
        <v>444</v>
      </c>
      <c r="W196" s="41" t="s">
        <v>283</v>
      </c>
      <c r="X196" s="40"/>
      <c r="Y196" s="40"/>
      <c r="Z196" s="29"/>
      <c r="AA196" s="22"/>
      <c r="AB196" s="23">
        <v>0.82</v>
      </c>
      <c r="AC196" s="75">
        <f t="shared" si="193"/>
        <v>0</v>
      </c>
      <c r="AE196" s="41" t="s">
        <v>444</v>
      </c>
      <c r="AF196" s="41" t="s">
        <v>283</v>
      </c>
      <c r="AG196" s="40"/>
      <c r="AH196" s="40"/>
      <c r="AI196" s="29"/>
      <c r="AJ196" s="22"/>
      <c r="AK196" s="23">
        <v>0.82</v>
      </c>
      <c r="AL196" s="75">
        <f t="shared" si="194"/>
        <v>0</v>
      </c>
      <c r="AN196" s="41" t="s">
        <v>444</v>
      </c>
      <c r="AO196" s="41" t="s">
        <v>283</v>
      </c>
      <c r="AP196" s="40"/>
      <c r="AQ196" s="40"/>
      <c r="AR196" s="29"/>
      <c r="AS196" s="22"/>
      <c r="AT196" s="23">
        <v>0.82</v>
      </c>
      <c r="AU196" s="75">
        <f t="shared" si="195"/>
        <v>0</v>
      </c>
      <c r="AW196" s="41" t="s">
        <v>444</v>
      </c>
      <c r="AX196" s="41" t="s">
        <v>283</v>
      </c>
      <c r="AY196" s="40"/>
      <c r="AZ196" s="40"/>
      <c r="BA196" s="29"/>
      <c r="BB196" s="22"/>
      <c r="BC196" s="23">
        <v>0.82</v>
      </c>
      <c r="BD196" s="75">
        <f t="shared" si="196"/>
        <v>0</v>
      </c>
      <c r="BF196" s="41" t="s">
        <v>444</v>
      </c>
      <c r="BG196" s="41" t="s">
        <v>283</v>
      </c>
      <c r="BH196" s="40"/>
      <c r="BI196" s="40"/>
      <c r="BJ196" s="29"/>
      <c r="BK196" s="22"/>
      <c r="BL196" s="23">
        <v>0.82</v>
      </c>
      <c r="BM196" s="75">
        <f t="shared" si="197"/>
        <v>0</v>
      </c>
    </row>
    <row r="197" spans="2:65" outlineLevel="1" x14ac:dyDescent="0.25">
      <c r="B197" s="41" t="s">
        <v>444</v>
      </c>
      <c r="C197" s="41" t="s">
        <v>283</v>
      </c>
      <c r="D197" s="40"/>
      <c r="E197" s="40"/>
      <c r="F197" s="29"/>
      <c r="G197" s="22"/>
      <c r="H197" s="23">
        <v>0.82</v>
      </c>
      <c r="I197" s="75">
        <f t="shared" si="191"/>
        <v>0</v>
      </c>
      <c r="J197" s="171"/>
      <c r="L197" s="41" t="s">
        <v>444</v>
      </c>
      <c r="M197" s="41" t="s">
        <v>283</v>
      </c>
      <c r="N197" s="40"/>
      <c r="O197" s="40"/>
      <c r="P197" s="29"/>
      <c r="Q197" s="22"/>
      <c r="R197" s="23">
        <v>0.82</v>
      </c>
      <c r="S197" s="75">
        <f t="shared" si="192"/>
        <v>0</v>
      </c>
      <c r="T197" s="171"/>
      <c r="V197" s="41" t="s">
        <v>444</v>
      </c>
      <c r="W197" s="41" t="s">
        <v>283</v>
      </c>
      <c r="X197" s="40"/>
      <c r="Y197" s="40"/>
      <c r="Z197" s="29"/>
      <c r="AA197" s="22"/>
      <c r="AB197" s="23">
        <v>0.82</v>
      </c>
      <c r="AC197" s="75">
        <f t="shared" si="193"/>
        <v>0</v>
      </c>
      <c r="AE197" s="41" t="s">
        <v>444</v>
      </c>
      <c r="AF197" s="41" t="s">
        <v>283</v>
      </c>
      <c r="AG197" s="40"/>
      <c r="AH197" s="40"/>
      <c r="AI197" s="29"/>
      <c r="AJ197" s="22"/>
      <c r="AK197" s="23">
        <v>0.82</v>
      </c>
      <c r="AL197" s="75">
        <f t="shared" si="194"/>
        <v>0</v>
      </c>
      <c r="AN197" s="41" t="s">
        <v>444</v>
      </c>
      <c r="AO197" s="41" t="s">
        <v>283</v>
      </c>
      <c r="AP197" s="40"/>
      <c r="AQ197" s="40"/>
      <c r="AR197" s="29"/>
      <c r="AS197" s="22"/>
      <c r="AT197" s="23">
        <v>0.82</v>
      </c>
      <c r="AU197" s="75">
        <f t="shared" si="195"/>
        <v>0</v>
      </c>
      <c r="AW197" s="41" t="s">
        <v>444</v>
      </c>
      <c r="AX197" s="41" t="s">
        <v>283</v>
      </c>
      <c r="AY197" s="40"/>
      <c r="AZ197" s="40"/>
      <c r="BA197" s="29"/>
      <c r="BB197" s="22"/>
      <c r="BC197" s="23">
        <v>0.82</v>
      </c>
      <c r="BD197" s="75">
        <f t="shared" si="196"/>
        <v>0</v>
      </c>
      <c r="BF197" s="41" t="s">
        <v>444</v>
      </c>
      <c r="BG197" s="41" t="s">
        <v>283</v>
      </c>
      <c r="BH197" s="40"/>
      <c r="BI197" s="40"/>
      <c r="BJ197" s="29"/>
      <c r="BK197" s="22"/>
      <c r="BL197" s="23">
        <v>0.82</v>
      </c>
      <c r="BM197" s="75">
        <f t="shared" si="197"/>
        <v>0</v>
      </c>
    </row>
    <row r="198" spans="2:65" outlineLevel="1" x14ac:dyDescent="0.25">
      <c r="B198" s="41" t="s">
        <v>444</v>
      </c>
      <c r="C198" s="41" t="s">
        <v>283</v>
      </c>
      <c r="D198" s="40"/>
      <c r="E198" s="40"/>
      <c r="F198" s="29"/>
      <c r="G198" s="22"/>
      <c r="H198" s="23">
        <v>0.82</v>
      </c>
      <c r="I198" s="75">
        <f t="shared" si="191"/>
        <v>0</v>
      </c>
      <c r="J198" s="171"/>
      <c r="L198" s="41" t="s">
        <v>444</v>
      </c>
      <c r="M198" s="41" t="s">
        <v>283</v>
      </c>
      <c r="N198" s="40"/>
      <c r="O198" s="40"/>
      <c r="P198" s="29"/>
      <c r="Q198" s="22"/>
      <c r="R198" s="23">
        <v>0.82</v>
      </c>
      <c r="S198" s="75">
        <f t="shared" si="192"/>
        <v>0</v>
      </c>
      <c r="T198" s="171"/>
      <c r="V198" s="41" t="s">
        <v>444</v>
      </c>
      <c r="W198" s="41" t="s">
        <v>283</v>
      </c>
      <c r="X198" s="40"/>
      <c r="Y198" s="40"/>
      <c r="Z198" s="29"/>
      <c r="AA198" s="22"/>
      <c r="AB198" s="23">
        <v>0.82</v>
      </c>
      <c r="AC198" s="75">
        <f t="shared" si="193"/>
        <v>0</v>
      </c>
      <c r="AE198" s="41" t="s">
        <v>444</v>
      </c>
      <c r="AF198" s="41" t="s">
        <v>283</v>
      </c>
      <c r="AG198" s="40"/>
      <c r="AH198" s="40"/>
      <c r="AI198" s="29"/>
      <c r="AJ198" s="22"/>
      <c r="AK198" s="23">
        <v>0.82</v>
      </c>
      <c r="AL198" s="75">
        <f t="shared" si="194"/>
        <v>0</v>
      </c>
      <c r="AN198" s="41" t="s">
        <v>444</v>
      </c>
      <c r="AO198" s="41" t="s">
        <v>283</v>
      </c>
      <c r="AP198" s="40"/>
      <c r="AQ198" s="40"/>
      <c r="AR198" s="29"/>
      <c r="AS198" s="22"/>
      <c r="AT198" s="23">
        <v>0.82</v>
      </c>
      <c r="AU198" s="75">
        <f t="shared" si="195"/>
        <v>0</v>
      </c>
      <c r="AW198" s="41" t="s">
        <v>444</v>
      </c>
      <c r="AX198" s="41" t="s">
        <v>283</v>
      </c>
      <c r="AY198" s="40"/>
      <c r="AZ198" s="40"/>
      <c r="BA198" s="29"/>
      <c r="BB198" s="22"/>
      <c r="BC198" s="23">
        <v>0.82</v>
      </c>
      <c r="BD198" s="75">
        <f t="shared" si="196"/>
        <v>0</v>
      </c>
      <c r="BF198" s="41" t="s">
        <v>444</v>
      </c>
      <c r="BG198" s="41" t="s">
        <v>283</v>
      </c>
      <c r="BH198" s="40"/>
      <c r="BI198" s="40"/>
      <c r="BJ198" s="29"/>
      <c r="BK198" s="22"/>
      <c r="BL198" s="23">
        <v>0.82</v>
      </c>
      <c r="BM198" s="75">
        <f t="shared" si="197"/>
        <v>0</v>
      </c>
    </row>
    <row r="199" spans="2:65" outlineLevel="1" x14ac:dyDescent="0.25">
      <c r="B199" s="41" t="s">
        <v>444</v>
      </c>
      <c r="C199" s="41" t="s">
        <v>283</v>
      </c>
      <c r="D199" s="40"/>
      <c r="E199" s="40"/>
      <c r="F199" s="29"/>
      <c r="G199" s="22"/>
      <c r="H199" s="23">
        <v>0.82</v>
      </c>
      <c r="I199" s="75">
        <f t="shared" si="191"/>
        <v>0</v>
      </c>
      <c r="J199" s="171"/>
      <c r="L199" s="41" t="s">
        <v>444</v>
      </c>
      <c r="M199" s="41" t="s">
        <v>283</v>
      </c>
      <c r="N199" s="40"/>
      <c r="O199" s="40"/>
      <c r="P199" s="29"/>
      <c r="Q199" s="22"/>
      <c r="R199" s="23">
        <v>0.82</v>
      </c>
      <c r="S199" s="75">
        <f t="shared" si="192"/>
        <v>0</v>
      </c>
      <c r="T199" s="171"/>
      <c r="V199" s="41" t="s">
        <v>444</v>
      </c>
      <c r="W199" s="41" t="s">
        <v>283</v>
      </c>
      <c r="X199" s="40"/>
      <c r="Y199" s="40"/>
      <c r="Z199" s="29"/>
      <c r="AA199" s="22"/>
      <c r="AB199" s="23">
        <v>0.82</v>
      </c>
      <c r="AC199" s="75">
        <f t="shared" si="193"/>
        <v>0</v>
      </c>
      <c r="AE199" s="41" t="s">
        <v>444</v>
      </c>
      <c r="AF199" s="41" t="s">
        <v>283</v>
      </c>
      <c r="AG199" s="40"/>
      <c r="AH199" s="40"/>
      <c r="AI199" s="29"/>
      <c r="AJ199" s="22"/>
      <c r="AK199" s="23">
        <v>0.82</v>
      </c>
      <c r="AL199" s="75">
        <f t="shared" si="194"/>
        <v>0</v>
      </c>
      <c r="AN199" s="41" t="s">
        <v>444</v>
      </c>
      <c r="AO199" s="41" t="s">
        <v>283</v>
      </c>
      <c r="AP199" s="40"/>
      <c r="AQ199" s="40"/>
      <c r="AR199" s="29"/>
      <c r="AS199" s="22"/>
      <c r="AT199" s="23">
        <v>0.82</v>
      </c>
      <c r="AU199" s="75">
        <f t="shared" si="195"/>
        <v>0</v>
      </c>
      <c r="AW199" s="41" t="s">
        <v>444</v>
      </c>
      <c r="AX199" s="41" t="s">
        <v>283</v>
      </c>
      <c r="AY199" s="40"/>
      <c r="AZ199" s="40"/>
      <c r="BA199" s="29"/>
      <c r="BB199" s="22"/>
      <c r="BC199" s="23">
        <v>0.82</v>
      </c>
      <c r="BD199" s="75">
        <f t="shared" si="196"/>
        <v>0</v>
      </c>
      <c r="BF199" s="41" t="s">
        <v>444</v>
      </c>
      <c r="BG199" s="41" t="s">
        <v>283</v>
      </c>
      <c r="BH199" s="40"/>
      <c r="BI199" s="40"/>
      <c r="BJ199" s="29"/>
      <c r="BK199" s="22"/>
      <c r="BL199" s="23">
        <v>0.82</v>
      </c>
      <c r="BM199" s="75">
        <f t="shared" si="197"/>
        <v>0</v>
      </c>
    </row>
    <row r="200" spans="2:65" outlineLevel="1" x14ac:dyDescent="0.25">
      <c r="B200" s="41" t="s">
        <v>444</v>
      </c>
      <c r="C200" s="41" t="s">
        <v>283</v>
      </c>
      <c r="D200" s="40"/>
      <c r="E200" s="40"/>
      <c r="F200" s="29"/>
      <c r="G200" s="22"/>
      <c r="H200" s="23">
        <v>0.82</v>
      </c>
      <c r="I200" s="75">
        <f t="shared" si="191"/>
        <v>0</v>
      </c>
      <c r="J200" s="171"/>
      <c r="L200" s="41" t="s">
        <v>444</v>
      </c>
      <c r="M200" s="41" t="s">
        <v>283</v>
      </c>
      <c r="N200" s="40"/>
      <c r="O200" s="40"/>
      <c r="P200" s="29"/>
      <c r="Q200" s="22"/>
      <c r="R200" s="23">
        <v>0.82</v>
      </c>
      <c r="S200" s="75">
        <f t="shared" si="192"/>
        <v>0</v>
      </c>
      <c r="T200" s="171"/>
      <c r="V200" s="41" t="s">
        <v>444</v>
      </c>
      <c r="W200" s="41" t="s">
        <v>283</v>
      </c>
      <c r="X200" s="40"/>
      <c r="Y200" s="40"/>
      <c r="Z200" s="29"/>
      <c r="AA200" s="22"/>
      <c r="AB200" s="23">
        <v>0.82</v>
      </c>
      <c r="AC200" s="75">
        <f t="shared" si="193"/>
        <v>0</v>
      </c>
      <c r="AE200" s="41" t="s">
        <v>444</v>
      </c>
      <c r="AF200" s="41" t="s">
        <v>283</v>
      </c>
      <c r="AG200" s="40"/>
      <c r="AH200" s="40"/>
      <c r="AI200" s="29"/>
      <c r="AJ200" s="22"/>
      <c r="AK200" s="23">
        <v>0.82</v>
      </c>
      <c r="AL200" s="75">
        <f t="shared" si="194"/>
        <v>0</v>
      </c>
      <c r="AN200" s="41" t="s">
        <v>444</v>
      </c>
      <c r="AO200" s="41" t="s">
        <v>283</v>
      </c>
      <c r="AP200" s="40"/>
      <c r="AQ200" s="40"/>
      <c r="AR200" s="29"/>
      <c r="AS200" s="22"/>
      <c r="AT200" s="23">
        <v>0.82</v>
      </c>
      <c r="AU200" s="75">
        <f t="shared" si="195"/>
        <v>0</v>
      </c>
      <c r="AW200" s="41" t="s">
        <v>444</v>
      </c>
      <c r="AX200" s="41" t="s">
        <v>283</v>
      </c>
      <c r="AY200" s="40"/>
      <c r="AZ200" s="40"/>
      <c r="BA200" s="29"/>
      <c r="BB200" s="22"/>
      <c r="BC200" s="23">
        <v>0.82</v>
      </c>
      <c r="BD200" s="75">
        <f t="shared" si="196"/>
        <v>0</v>
      </c>
      <c r="BF200" s="41" t="s">
        <v>444</v>
      </c>
      <c r="BG200" s="41" t="s">
        <v>283</v>
      </c>
      <c r="BH200" s="40"/>
      <c r="BI200" s="40"/>
      <c r="BJ200" s="29"/>
      <c r="BK200" s="22"/>
      <c r="BL200" s="23">
        <v>0.82</v>
      </c>
      <c r="BM200" s="75">
        <f t="shared" si="197"/>
        <v>0</v>
      </c>
    </row>
    <row r="201" spans="2:65" outlineLevel="1" x14ac:dyDescent="0.25">
      <c r="B201" s="41" t="s">
        <v>444</v>
      </c>
      <c r="C201" s="41" t="s">
        <v>283</v>
      </c>
      <c r="D201" s="40"/>
      <c r="E201" s="40"/>
      <c r="F201" s="29"/>
      <c r="G201" s="22"/>
      <c r="H201" s="23">
        <v>0.82</v>
      </c>
      <c r="I201" s="75">
        <f t="shared" si="191"/>
        <v>0</v>
      </c>
      <c r="J201" s="171"/>
      <c r="L201" s="41" t="s">
        <v>444</v>
      </c>
      <c r="M201" s="41" t="s">
        <v>283</v>
      </c>
      <c r="N201" s="40"/>
      <c r="O201" s="40"/>
      <c r="P201" s="29"/>
      <c r="Q201" s="22"/>
      <c r="R201" s="23">
        <v>0.82</v>
      </c>
      <c r="S201" s="75">
        <f t="shared" si="192"/>
        <v>0</v>
      </c>
      <c r="T201" s="171"/>
      <c r="V201" s="41" t="s">
        <v>444</v>
      </c>
      <c r="W201" s="41" t="s">
        <v>283</v>
      </c>
      <c r="X201" s="40"/>
      <c r="Y201" s="40"/>
      <c r="Z201" s="29"/>
      <c r="AA201" s="22"/>
      <c r="AB201" s="23">
        <v>0.82</v>
      </c>
      <c r="AC201" s="75">
        <f t="shared" si="193"/>
        <v>0</v>
      </c>
      <c r="AE201" s="41" t="s">
        <v>444</v>
      </c>
      <c r="AF201" s="41" t="s">
        <v>283</v>
      </c>
      <c r="AG201" s="40"/>
      <c r="AH201" s="40"/>
      <c r="AI201" s="29"/>
      <c r="AJ201" s="22"/>
      <c r="AK201" s="23">
        <v>0.82</v>
      </c>
      <c r="AL201" s="75">
        <f t="shared" si="194"/>
        <v>0</v>
      </c>
      <c r="AN201" s="41" t="s">
        <v>444</v>
      </c>
      <c r="AO201" s="41" t="s">
        <v>283</v>
      </c>
      <c r="AP201" s="40"/>
      <c r="AQ201" s="40"/>
      <c r="AR201" s="29"/>
      <c r="AS201" s="22"/>
      <c r="AT201" s="23">
        <v>0.82</v>
      </c>
      <c r="AU201" s="75">
        <f t="shared" si="195"/>
        <v>0</v>
      </c>
      <c r="AW201" s="41" t="s">
        <v>444</v>
      </c>
      <c r="AX201" s="41" t="s">
        <v>283</v>
      </c>
      <c r="AY201" s="40"/>
      <c r="AZ201" s="40"/>
      <c r="BA201" s="29"/>
      <c r="BB201" s="22"/>
      <c r="BC201" s="23">
        <v>0.82</v>
      </c>
      <c r="BD201" s="75">
        <f t="shared" si="196"/>
        <v>0</v>
      </c>
      <c r="BF201" s="41" t="s">
        <v>444</v>
      </c>
      <c r="BG201" s="41" t="s">
        <v>283</v>
      </c>
      <c r="BH201" s="40"/>
      <c r="BI201" s="40"/>
      <c r="BJ201" s="29"/>
      <c r="BK201" s="22"/>
      <c r="BL201" s="23">
        <v>0.82</v>
      </c>
      <c r="BM201" s="75">
        <f t="shared" si="197"/>
        <v>0</v>
      </c>
    </row>
    <row r="202" spans="2:65" outlineLevel="1" x14ac:dyDescent="0.25">
      <c r="B202" s="41" t="s">
        <v>444</v>
      </c>
      <c r="C202" s="41" t="s">
        <v>283</v>
      </c>
      <c r="D202" s="40"/>
      <c r="E202" s="40"/>
      <c r="F202" s="29"/>
      <c r="G202" s="22"/>
      <c r="H202" s="23">
        <v>0.82</v>
      </c>
      <c r="I202" s="75">
        <f t="shared" si="191"/>
        <v>0</v>
      </c>
      <c r="J202" s="171"/>
      <c r="L202" s="41" t="s">
        <v>444</v>
      </c>
      <c r="M202" s="41" t="s">
        <v>283</v>
      </c>
      <c r="N202" s="40"/>
      <c r="O202" s="40"/>
      <c r="P202" s="29"/>
      <c r="Q202" s="22"/>
      <c r="R202" s="23">
        <v>0.82</v>
      </c>
      <c r="S202" s="75">
        <f t="shared" si="192"/>
        <v>0</v>
      </c>
      <c r="T202" s="171"/>
      <c r="V202" s="41" t="s">
        <v>444</v>
      </c>
      <c r="W202" s="41" t="s">
        <v>283</v>
      </c>
      <c r="X202" s="40"/>
      <c r="Y202" s="40"/>
      <c r="Z202" s="29"/>
      <c r="AA202" s="22"/>
      <c r="AB202" s="23">
        <v>0.82</v>
      </c>
      <c r="AC202" s="75">
        <f t="shared" si="193"/>
        <v>0</v>
      </c>
      <c r="AE202" s="41" t="s">
        <v>444</v>
      </c>
      <c r="AF202" s="41" t="s">
        <v>283</v>
      </c>
      <c r="AG202" s="40"/>
      <c r="AH202" s="40"/>
      <c r="AI202" s="29"/>
      <c r="AJ202" s="22"/>
      <c r="AK202" s="23">
        <v>0.82</v>
      </c>
      <c r="AL202" s="75">
        <f t="shared" si="194"/>
        <v>0</v>
      </c>
      <c r="AN202" s="41" t="s">
        <v>444</v>
      </c>
      <c r="AO202" s="41" t="s">
        <v>283</v>
      </c>
      <c r="AP202" s="40"/>
      <c r="AQ202" s="40"/>
      <c r="AR202" s="29"/>
      <c r="AS202" s="22"/>
      <c r="AT202" s="23">
        <v>0.82</v>
      </c>
      <c r="AU202" s="75">
        <f t="shared" si="195"/>
        <v>0</v>
      </c>
      <c r="AW202" s="41" t="s">
        <v>444</v>
      </c>
      <c r="AX202" s="41" t="s">
        <v>283</v>
      </c>
      <c r="AY202" s="40"/>
      <c r="AZ202" s="40"/>
      <c r="BA202" s="29"/>
      <c r="BB202" s="22"/>
      <c r="BC202" s="23">
        <v>0.82</v>
      </c>
      <c r="BD202" s="75">
        <f t="shared" si="196"/>
        <v>0</v>
      </c>
      <c r="BF202" s="41" t="s">
        <v>444</v>
      </c>
      <c r="BG202" s="41" t="s">
        <v>283</v>
      </c>
      <c r="BH202" s="40"/>
      <c r="BI202" s="40"/>
      <c r="BJ202" s="29"/>
      <c r="BK202" s="22"/>
      <c r="BL202" s="23">
        <v>0.82</v>
      </c>
      <c r="BM202" s="75">
        <f t="shared" si="197"/>
        <v>0</v>
      </c>
    </row>
    <row r="203" spans="2:65" s="24" customFormat="1" x14ac:dyDescent="0.25">
      <c r="B203" s="8" t="s">
        <v>446</v>
      </c>
      <c r="C203" s="25"/>
      <c r="D203" s="28">
        <f>SUM(D188:D202)</f>
        <v>0</v>
      </c>
      <c r="E203" s="28">
        <f>SUM(E188:E202)</f>
        <v>0</v>
      </c>
      <c r="F203" s="30"/>
      <c r="G203" s="25"/>
      <c r="H203" s="26"/>
      <c r="I203" s="28">
        <f>SUM(I188:I202)</f>
        <v>0</v>
      </c>
      <c r="J203" s="170"/>
      <c r="L203" s="8" t="s">
        <v>446</v>
      </c>
      <c r="M203" s="25"/>
      <c r="N203" s="28">
        <f>SUM(N188:N202)</f>
        <v>0</v>
      </c>
      <c r="O203" s="28">
        <f>SUM(O188:O202)</f>
        <v>0</v>
      </c>
      <c r="P203" s="30"/>
      <c r="Q203" s="25"/>
      <c r="R203" s="26"/>
      <c r="S203" s="28">
        <f>SUM(S188:S202)</f>
        <v>0</v>
      </c>
      <c r="T203" s="170"/>
      <c r="V203" s="8" t="s">
        <v>446</v>
      </c>
      <c r="W203" s="25"/>
      <c r="X203" s="28">
        <f>SUM(X188:X202)</f>
        <v>0</v>
      </c>
      <c r="Y203" s="28">
        <f>SUM(Y188:Y202)</f>
        <v>0</v>
      </c>
      <c r="Z203" s="30"/>
      <c r="AA203" s="25"/>
      <c r="AB203" s="26"/>
      <c r="AC203" s="28">
        <f>SUM(AC188:AC202)</f>
        <v>0</v>
      </c>
      <c r="AE203" s="8" t="s">
        <v>446</v>
      </c>
      <c r="AF203" s="25"/>
      <c r="AG203" s="28">
        <f>SUM(AG188:AG202)</f>
        <v>0</v>
      </c>
      <c r="AH203" s="28">
        <f>SUM(AH188:AH202)</f>
        <v>0</v>
      </c>
      <c r="AI203" s="30"/>
      <c r="AJ203" s="25"/>
      <c r="AK203" s="26"/>
      <c r="AL203" s="28">
        <f>SUM(AL188:AL202)</f>
        <v>0</v>
      </c>
      <c r="AN203" s="8" t="s">
        <v>446</v>
      </c>
      <c r="AO203" s="25"/>
      <c r="AP203" s="28">
        <f>SUM(AP188:AP202)</f>
        <v>0</v>
      </c>
      <c r="AQ203" s="28">
        <f>SUM(AQ188:AQ202)</f>
        <v>0</v>
      </c>
      <c r="AR203" s="30"/>
      <c r="AS203" s="25"/>
      <c r="AT203" s="26"/>
      <c r="AU203" s="28">
        <f>SUM(AU188:AU202)</f>
        <v>0</v>
      </c>
      <c r="AW203" s="8" t="s">
        <v>446</v>
      </c>
      <c r="AX203" s="25"/>
      <c r="AY203" s="28">
        <f>SUM(AY188:AY202)</f>
        <v>0</v>
      </c>
      <c r="AZ203" s="28">
        <f>SUM(AZ188:AZ202)</f>
        <v>0</v>
      </c>
      <c r="BA203" s="30"/>
      <c r="BB203" s="25"/>
      <c r="BC203" s="26"/>
      <c r="BD203" s="28">
        <f>SUM(BD188:BD202)</f>
        <v>0</v>
      </c>
      <c r="BF203" s="8" t="s">
        <v>446</v>
      </c>
      <c r="BG203" s="25"/>
      <c r="BH203" s="28">
        <f>SUM(BH188:BH202)</f>
        <v>0</v>
      </c>
      <c r="BI203" s="28">
        <f>SUM(BI188:BI202)</f>
        <v>0</v>
      </c>
      <c r="BJ203" s="30"/>
      <c r="BK203" s="25"/>
      <c r="BL203" s="26"/>
      <c r="BM203" s="28">
        <f>SUM(BM188:BM202)</f>
        <v>0</v>
      </c>
    </row>
    <row r="207" spans="2:65" ht="25.5" x14ac:dyDescent="0.25">
      <c r="B207" s="226" t="s">
        <v>390</v>
      </c>
      <c r="C207" s="226" t="s">
        <v>391</v>
      </c>
      <c r="D207" s="226" t="s">
        <v>392</v>
      </c>
      <c r="E207" s="226" t="s">
        <v>393</v>
      </c>
      <c r="F207" s="226" t="s">
        <v>394</v>
      </c>
    </row>
    <row r="208" spans="2:65" x14ac:dyDescent="0.25">
      <c r="B208" s="5" t="s">
        <v>395</v>
      </c>
      <c r="C208" s="6">
        <f>SUM(A36,A39)</f>
        <v>0</v>
      </c>
      <c r="D208" s="6">
        <f>SUM(D36,D39)</f>
        <v>0</v>
      </c>
      <c r="E208" s="6">
        <f>SUM(E36,E39)</f>
        <v>0</v>
      </c>
      <c r="F208" s="5"/>
    </row>
    <row r="209" spans="2:6" x14ac:dyDescent="0.25">
      <c r="B209" s="5" t="s">
        <v>396</v>
      </c>
      <c r="C209" s="6">
        <f>SUM(A37)</f>
        <v>0</v>
      </c>
      <c r="D209" s="6">
        <f>SUM(D37)</f>
        <v>0</v>
      </c>
      <c r="E209" s="6">
        <f>SUM(E37)</f>
        <v>0</v>
      </c>
      <c r="F209" s="5"/>
    </row>
    <row r="210" spans="2:6" x14ac:dyDescent="0.25">
      <c r="B210" s="5" t="s">
        <v>397</v>
      </c>
      <c r="C210" s="6">
        <f>SUM(A38)</f>
        <v>0</v>
      </c>
      <c r="D210" s="6">
        <f>SUM(D38)</f>
        <v>0</v>
      </c>
      <c r="E210" s="6">
        <f>SUM(E38)</f>
        <v>0</v>
      </c>
      <c r="F210" s="5"/>
    </row>
    <row r="211" spans="2:6" x14ac:dyDescent="0.25">
      <c r="B211" s="5" t="s">
        <v>398</v>
      </c>
      <c r="C211" s="6">
        <f>SUM(A32:A35,A40)</f>
        <v>0</v>
      </c>
      <c r="D211" s="6">
        <f>SUM(D32:D35,D40)</f>
        <v>0</v>
      </c>
      <c r="E211" s="6">
        <f>SUM(E32:E35,E40)</f>
        <v>0</v>
      </c>
      <c r="F211" s="5"/>
    </row>
    <row r="212" spans="2:6" x14ac:dyDescent="0.25">
      <c r="B212" s="5" t="s">
        <v>225</v>
      </c>
      <c r="C212" s="6">
        <v>0</v>
      </c>
      <c r="D212" s="6">
        <v>0</v>
      </c>
      <c r="E212" s="6">
        <v>0</v>
      </c>
      <c r="F212" s="5"/>
    </row>
    <row r="213" spans="2:6" x14ac:dyDescent="0.25">
      <c r="B213" s="82" t="s">
        <v>107</v>
      </c>
      <c r="C213" s="74">
        <f>SUM(C208:C212)</f>
        <v>0</v>
      </c>
      <c r="D213" s="74">
        <f>SUM(D208:D212)</f>
        <v>0</v>
      </c>
      <c r="E213" s="74">
        <f>SUM(E208:E212)</f>
        <v>0</v>
      </c>
      <c r="F213" s="5"/>
    </row>
    <row r="216" spans="2:6" x14ac:dyDescent="0.25">
      <c r="C216" s="224">
        <v>3</v>
      </c>
      <c r="D216" s="224">
        <v>2127536</v>
      </c>
      <c r="E216" s="224">
        <v>2056184</v>
      </c>
    </row>
    <row r="217" spans="2:6" x14ac:dyDescent="0.25">
      <c r="C217" s="224">
        <v>2</v>
      </c>
      <c r="D217" s="224">
        <v>437000</v>
      </c>
      <c r="E217" s="224">
        <v>209733</v>
      </c>
    </row>
    <row r="218" spans="2:6" x14ac:dyDescent="0.25">
      <c r="C218" s="224">
        <v>5</v>
      </c>
      <c r="D218" s="224">
        <v>226400</v>
      </c>
      <c r="E218" s="224">
        <v>119522</v>
      </c>
    </row>
    <row r="219" spans="2:6" x14ac:dyDescent="0.25">
      <c r="C219" s="224">
        <v>1</v>
      </c>
      <c r="D219" s="224">
        <v>50000</v>
      </c>
      <c r="E219" s="224">
        <v>48355</v>
      </c>
    </row>
    <row r="220" spans="2:6" x14ac:dyDescent="0.25">
      <c r="C220" s="224">
        <v>0</v>
      </c>
      <c r="D220" s="224">
        <v>0</v>
      </c>
      <c r="E220" s="224">
        <v>0</v>
      </c>
    </row>
    <row r="221" spans="2:6" x14ac:dyDescent="0.25">
      <c r="C221" s="224">
        <v>11</v>
      </c>
      <c r="D221" s="224">
        <v>2840936</v>
      </c>
      <c r="E221" s="224">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40625" defaultRowHeight="12.75" outlineLevelCol="1" x14ac:dyDescent="0.25"/>
  <cols>
    <col min="1" max="1" width="9.140625" style="2"/>
    <col min="2" max="2" width="34.140625" style="2" bestFit="1" customWidth="1"/>
    <col min="3" max="3" width="11.7109375" style="2" bestFit="1" customWidth="1"/>
    <col min="4" max="9" width="10.28515625" style="2" customWidth="1"/>
    <col min="10" max="10" width="3.140625" style="2" customWidth="1"/>
    <col min="11" max="11" width="34.140625" style="2" customWidth="1" outlineLevel="1"/>
    <col min="12" max="12" width="11.7109375" style="2" customWidth="1" outlineLevel="1"/>
    <col min="13" max="18" width="10.28515625" style="2" customWidth="1" outlineLevel="1"/>
    <col min="19" max="19" width="3.140625" style="2" customWidth="1" outlineLevel="1"/>
    <col min="20" max="20" width="34.140625" style="2" bestFit="1" customWidth="1"/>
    <col min="21" max="21" width="11.7109375" style="2" bestFit="1" customWidth="1"/>
    <col min="22" max="27" width="10.28515625" style="2" customWidth="1"/>
    <col min="28" max="28" width="9.7109375" style="2" customWidth="1"/>
    <col min="29" max="29" width="25.7109375" style="2" bestFit="1" customWidth="1"/>
    <col min="30" max="30" width="10.42578125" style="2" customWidth="1"/>
    <col min="31" max="32" width="9.7109375" style="2" customWidth="1"/>
    <col min="33" max="16384" width="9.140625" style="2"/>
  </cols>
  <sheetData>
    <row r="2" spans="2:6" x14ac:dyDescent="0.2">
      <c r="B2" s="55" t="s">
        <v>334</v>
      </c>
    </row>
    <row r="3" spans="2:6" x14ac:dyDescent="0.25">
      <c r="D3" s="50" t="s">
        <v>335</v>
      </c>
      <c r="E3" s="50" t="s">
        <v>238</v>
      </c>
      <c r="F3" s="50" t="s">
        <v>336</v>
      </c>
    </row>
    <row r="4" spans="2:6" x14ac:dyDescent="0.25">
      <c r="B4" s="50" t="s">
        <v>337</v>
      </c>
      <c r="C4" s="84"/>
      <c r="D4" s="65">
        <f>D18/SUM(D23,D28)</f>
        <v>9.9016493237202052</v>
      </c>
      <c r="E4" s="84"/>
      <c r="F4" s="65">
        <f>F18/SUM(F23,F28)</f>
        <v>11.805505355070672</v>
      </c>
    </row>
    <row r="6" spans="2:6" x14ac:dyDescent="0.25">
      <c r="B6" s="50" t="s">
        <v>338</v>
      </c>
      <c r="C6" s="50" t="s">
        <v>86</v>
      </c>
      <c r="D6" s="50" t="s">
        <v>335</v>
      </c>
      <c r="E6" s="50" t="s">
        <v>238</v>
      </c>
      <c r="F6" s="50" t="s">
        <v>336</v>
      </c>
    </row>
    <row r="7" spans="2:6" x14ac:dyDescent="0.25">
      <c r="B7" s="69" t="s">
        <v>453</v>
      </c>
      <c r="C7" s="66"/>
      <c r="D7" s="70">
        <f>'N.Margin (Ind. Benchmark)'!E22</f>
        <v>0</v>
      </c>
      <c r="E7" s="21">
        <v>1.2</v>
      </c>
      <c r="F7" s="75">
        <f>D7*E7</f>
        <v>0</v>
      </c>
    </row>
    <row r="8" spans="2:6" x14ac:dyDescent="0.25">
      <c r="B8" s="5" t="s">
        <v>339</v>
      </c>
      <c r="C8" s="5" t="s">
        <v>345</v>
      </c>
      <c r="D8" s="11">
        <v>5000000</v>
      </c>
      <c r="E8" s="21">
        <v>1.2</v>
      </c>
      <c r="F8" s="75">
        <f>D8*E8</f>
        <v>6000000</v>
      </c>
    </row>
    <row r="9" spans="2:6" x14ac:dyDescent="0.25">
      <c r="B9" s="5" t="s">
        <v>341</v>
      </c>
      <c r="C9" s="5" t="s">
        <v>345</v>
      </c>
      <c r="D9" s="11">
        <v>30000</v>
      </c>
      <c r="E9" s="21">
        <v>1</v>
      </c>
      <c r="F9" s="75">
        <f>D9*E9</f>
        <v>30000</v>
      </c>
    </row>
    <row r="10" spans="2:6" x14ac:dyDescent="0.25">
      <c r="B10" s="71" t="s">
        <v>454</v>
      </c>
      <c r="C10" s="5" t="s">
        <v>345</v>
      </c>
      <c r="D10" s="6">
        <f>SUM(D11:D17)</f>
        <v>175000</v>
      </c>
      <c r="E10" s="32"/>
      <c r="F10" s="75">
        <f>SUM(F11:F17)</f>
        <v>175800</v>
      </c>
    </row>
    <row r="11" spans="2:6" x14ac:dyDescent="0.25">
      <c r="B11" s="86" t="s">
        <v>455</v>
      </c>
      <c r="C11" s="5" t="s">
        <v>345</v>
      </c>
      <c r="D11" s="11">
        <v>10000</v>
      </c>
      <c r="E11" s="21">
        <v>1.08</v>
      </c>
      <c r="F11" s="75">
        <f t="shared" ref="F11:F17" si="0">D11*E11</f>
        <v>10800</v>
      </c>
    </row>
    <row r="12" spans="2:6" x14ac:dyDescent="0.25">
      <c r="B12" s="86" t="s">
        <v>456</v>
      </c>
      <c r="C12" s="5" t="s">
        <v>345</v>
      </c>
      <c r="D12" s="11">
        <v>15000</v>
      </c>
      <c r="E12" s="21">
        <v>1</v>
      </c>
      <c r="F12" s="75">
        <f t="shared" si="0"/>
        <v>15000</v>
      </c>
    </row>
    <row r="13" spans="2:6" x14ac:dyDescent="0.25">
      <c r="B13" s="86" t="s">
        <v>457</v>
      </c>
      <c r="C13" s="5" t="s">
        <v>345</v>
      </c>
      <c r="D13" s="11">
        <v>20000</v>
      </c>
      <c r="E13" s="21">
        <v>1</v>
      </c>
      <c r="F13" s="75">
        <f t="shared" si="0"/>
        <v>20000</v>
      </c>
    </row>
    <row r="14" spans="2:6" x14ac:dyDescent="0.25">
      <c r="B14" s="86" t="s">
        <v>421</v>
      </c>
      <c r="C14" s="5" t="s">
        <v>345</v>
      </c>
      <c r="D14" s="11">
        <v>25000</v>
      </c>
      <c r="E14" s="21">
        <v>1</v>
      </c>
      <c r="F14" s="75">
        <f t="shared" si="0"/>
        <v>25000</v>
      </c>
    </row>
    <row r="15" spans="2:6" x14ac:dyDescent="0.25">
      <c r="B15" s="86" t="s">
        <v>458</v>
      </c>
      <c r="C15" s="5" t="s">
        <v>345</v>
      </c>
      <c r="D15" s="11">
        <v>30000</v>
      </c>
      <c r="E15" s="21">
        <v>1</v>
      </c>
      <c r="F15" s="75">
        <f t="shared" si="0"/>
        <v>30000</v>
      </c>
    </row>
    <row r="16" spans="2:6" x14ac:dyDescent="0.25">
      <c r="B16" s="86" t="s">
        <v>459</v>
      </c>
      <c r="C16" s="5" t="s">
        <v>345</v>
      </c>
      <c r="D16" s="11">
        <v>35000</v>
      </c>
      <c r="E16" s="21">
        <v>1</v>
      </c>
      <c r="F16" s="75">
        <f t="shared" si="0"/>
        <v>35000</v>
      </c>
    </row>
    <row r="17" spans="2:15" x14ac:dyDescent="0.25">
      <c r="B17" s="86" t="s">
        <v>460</v>
      </c>
      <c r="C17" s="5" t="s">
        <v>345</v>
      </c>
      <c r="D17" s="11">
        <v>40000</v>
      </c>
      <c r="E17" s="21">
        <v>1</v>
      </c>
      <c r="F17" s="75">
        <f t="shared" si="0"/>
        <v>40000</v>
      </c>
    </row>
    <row r="18" spans="2:15" s="24" customFormat="1" x14ac:dyDescent="0.25">
      <c r="B18" s="72" t="s">
        <v>461</v>
      </c>
      <c r="C18" s="73"/>
      <c r="D18" s="74">
        <f>SUM(D8:D10)</f>
        <v>5205000</v>
      </c>
      <c r="E18" s="74"/>
      <c r="F18" s="74">
        <f>SUM(F8:F10)</f>
        <v>6205800</v>
      </c>
      <c r="K18" s="2"/>
      <c r="L18" s="2"/>
      <c r="M18" s="2"/>
      <c r="N18" s="2"/>
      <c r="O18" s="2"/>
    </row>
    <row r="20" spans="2:15" x14ac:dyDescent="0.25">
      <c r="B20" s="82" t="s">
        <v>348</v>
      </c>
    </row>
    <row r="21" spans="2:15" x14ac:dyDescent="0.25">
      <c r="B21" s="71" t="s">
        <v>349</v>
      </c>
      <c r="C21" s="5"/>
      <c r="D21" s="77">
        <f>H52</f>
        <v>174000</v>
      </c>
      <c r="E21" s="21">
        <v>1</v>
      </c>
      <c r="F21" s="75">
        <f>D21*E21</f>
        <v>174000</v>
      </c>
    </row>
    <row r="22" spans="2:15" x14ac:dyDescent="0.25">
      <c r="B22" s="5" t="s">
        <v>351</v>
      </c>
      <c r="C22" s="5"/>
      <c r="D22" s="81">
        <f>G52</f>
        <v>88835</v>
      </c>
      <c r="E22" s="21">
        <v>1</v>
      </c>
      <c r="F22" s="75">
        <f>D22*E22</f>
        <v>88835</v>
      </c>
    </row>
    <row r="23" spans="2:15" s="24" customFormat="1" x14ac:dyDescent="0.25">
      <c r="B23" s="72" t="s">
        <v>461</v>
      </c>
      <c r="C23" s="73"/>
      <c r="D23" s="74">
        <f>SUM(D21:D22)</f>
        <v>262835</v>
      </c>
      <c r="E23" s="74"/>
      <c r="F23" s="74">
        <f>SUM(F21:F22)</f>
        <v>262835</v>
      </c>
      <c r="K23" s="2"/>
      <c r="L23" s="2"/>
      <c r="M23" s="2"/>
      <c r="N23" s="2"/>
      <c r="O23" s="2"/>
    </row>
    <row r="24" spans="2:15" s="24" customFormat="1" x14ac:dyDescent="0.25">
      <c r="K24" s="2"/>
      <c r="L24" s="2"/>
      <c r="M24" s="2"/>
      <c r="N24" s="2"/>
      <c r="O24" s="2"/>
    </row>
    <row r="25" spans="2:15" x14ac:dyDescent="0.25">
      <c r="B25" s="82" t="s">
        <v>462</v>
      </c>
    </row>
    <row r="26" spans="2:15" x14ac:dyDescent="0.25">
      <c r="B26" s="71" t="s">
        <v>349</v>
      </c>
      <c r="C26" s="5"/>
      <c r="D26" s="77">
        <f>Q52</f>
        <v>174000</v>
      </c>
      <c r="E26" s="21">
        <v>1</v>
      </c>
      <c r="F26" s="75">
        <f>D26*E26</f>
        <v>174000</v>
      </c>
    </row>
    <row r="27" spans="2:15" x14ac:dyDescent="0.25">
      <c r="B27" s="5" t="s">
        <v>351</v>
      </c>
      <c r="C27" s="5"/>
      <c r="D27" s="81">
        <f>P52</f>
        <v>88835</v>
      </c>
      <c r="E27" s="21">
        <v>1</v>
      </c>
      <c r="F27" s="75">
        <f>D27*E27</f>
        <v>88835</v>
      </c>
    </row>
    <row r="28" spans="2:15" s="24" customFormat="1" x14ac:dyDescent="0.25">
      <c r="B28" s="72" t="s">
        <v>461</v>
      </c>
      <c r="C28" s="73"/>
      <c r="D28" s="74">
        <f>SUM(D26:D27)</f>
        <v>262835</v>
      </c>
      <c r="E28" s="74"/>
      <c r="F28" s="74">
        <f>SUM(F26:F27)</f>
        <v>262835</v>
      </c>
      <c r="K28" s="2"/>
      <c r="L28" s="2"/>
      <c r="M28" s="2"/>
      <c r="N28" s="2"/>
      <c r="O28" s="2"/>
    </row>
    <row r="29" spans="2:15" x14ac:dyDescent="0.25">
      <c r="B29" s="64" t="s">
        <v>354</v>
      </c>
    </row>
    <row r="30" spans="2:15" x14ac:dyDescent="0.25">
      <c r="B30" s="64" t="s">
        <v>355</v>
      </c>
    </row>
    <row r="31" spans="2:15" x14ac:dyDescent="0.25">
      <c r="B31" s="64" t="s">
        <v>356</v>
      </c>
    </row>
    <row r="32" spans="2:15" x14ac:dyDescent="0.25">
      <c r="B32" s="67" t="s">
        <v>357</v>
      </c>
    </row>
    <row r="33" spans="2:27" x14ac:dyDescent="0.25">
      <c r="B33" s="67" t="s">
        <v>358</v>
      </c>
      <c r="T33" s="67"/>
    </row>
    <row r="34" spans="2:27" x14ac:dyDescent="0.25">
      <c r="B34" s="67" t="s">
        <v>359</v>
      </c>
      <c r="T34" s="67"/>
    </row>
    <row r="35" spans="2:27" x14ac:dyDescent="0.25">
      <c r="B35" s="67" t="s">
        <v>360</v>
      </c>
      <c r="T35" s="67"/>
    </row>
    <row r="36" spans="2:27" x14ac:dyDescent="0.25">
      <c r="B36" s="67" t="s">
        <v>361</v>
      </c>
      <c r="T36" s="67"/>
    </row>
    <row r="37" spans="2:27" x14ac:dyDescent="0.25">
      <c r="B37" s="67" t="s">
        <v>362</v>
      </c>
      <c r="T37" s="67"/>
    </row>
    <row r="38" spans="2:27" x14ac:dyDescent="0.25">
      <c r="T38" s="67"/>
    </row>
    <row r="40" spans="2:27" x14ac:dyDescent="0.25">
      <c r="B40" s="874" t="s">
        <v>363</v>
      </c>
      <c r="C40" s="874"/>
      <c r="D40" s="874"/>
      <c r="E40" s="874"/>
      <c r="F40" s="874"/>
      <c r="G40" s="874"/>
      <c r="H40" s="874"/>
      <c r="I40" s="874"/>
      <c r="K40" s="874" t="s">
        <v>463</v>
      </c>
      <c r="L40" s="874"/>
      <c r="M40" s="874"/>
      <c r="N40" s="874"/>
      <c r="O40" s="874"/>
      <c r="P40" s="874"/>
      <c r="Q40" s="874"/>
      <c r="R40" s="874"/>
      <c r="T40" s="875" t="s">
        <v>365</v>
      </c>
      <c r="U40" s="875"/>
      <c r="V40" s="875"/>
      <c r="W40" s="875"/>
      <c r="X40" s="875"/>
      <c r="Y40" s="875"/>
      <c r="Z40" s="875"/>
      <c r="AA40" s="875"/>
    </row>
    <row r="42" spans="2:27" s="20" customFormat="1" ht="54" customHeight="1" x14ac:dyDescent="0.25">
      <c r="B42" s="83" t="s">
        <v>464</v>
      </c>
      <c r="C42" s="3" t="s">
        <v>293</v>
      </c>
      <c r="D42" s="36" t="s">
        <v>296</v>
      </c>
      <c r="E42" s="36" t="s">
        <v>300</v>
      </c>
      <c r="F42" s="37" t="s">
        <v>367</v>
      </c>
      <c r="G42" s="3" t="s">
        <v>368</v>
      </c>
      <c r="H42" s="3" t="s">
        <v>369</v>
      </c>
      <c r="I42" s="38" t="s">
        <v>370</v>
      </c>
      <c r="K42" s="83" t="s">
        <v>465</v>
      </c>
      <c r="L42" s="3" t="s">
        <v>293</v>
      </c>
      <c r="M42" s="36" t="s">
        <v>296</v>
      </c>
      <c r="N42" s="36" t="s">
        <v>300</v>
      </c>
      <c r="O42" s="37" t="s">
        <v>367</v>
      </c>
      <c r="P42" s="3" t="s">
        <v>368</v>
      </c>
      <c r="Q42" s="3" t="s">
        <v>369</v>
      </c>
      <c r="R42" s="38" t="s">
        <v>370</v>
      </c>
      <c r="T42" s="3" t="s">
        <v>466</v>
      </c>
      <c r="U42" s="3" t="s">
        <v>293</v>
      </c>
      <c r="V42" s="36" t="s">
        <v>296</v>
      </c>
      <c r="W42" s="36" t="s">
        <v>300</v>
      </c>
      <c r="X42" s="37" t="s">
        <v>367</v>
      </c>
      <c r="Y42" s="3" t="s">
        <v>368</v>
      </c>
      <c r="Z42" s="3" t="s">
        <v>369</v>
      </c>
      <c r="AA42" s="38" t="s">
        <v>370</v>
      </c>
    </row>
    <row r="43" spans="2:27" ht="25.5" customHeight="1" x14ac:dyDescent="0.25">
      <c r="B43" s="5" t="str">
        <f>B54</f>
        <v>Facility (Overdraft)</v>
      </c>
      <c r="C43" s="7" t="s">
        <v>296</v>
      </c>
      <c r="D43" s="79">
        <f>D70</f>
        <v>750000</v>
      </c>
      <c r="E43" s="79">
        <f>E70</f>
        <v>0</v>
      </c>
      <c r="F43" s="79">
        <f>F70</f>
        <v>0</v>
      </c>
      <c r="G43" s="79">
        <f>I70</f>
        <v>50625</v>
      </c>
      <c r="H43" s="79">
        <f>F43*12</f>
        <v>0</v>
      </c>
      <c r="I43" s="34">
        <f>SUM(G43:H43)</f>
        <v>50625</v>
      </c>
      <c r="K43" s="5" t="str">
        <f>K54</f>
        <v>Facility (Overdraft)</v>
      </c>
      <c r="L43" s="7" t="s">
        <v>296</v>
      </c>
      <c r="M43" s="79">
        <f>M70</f>
        <v>750000</v>
      </c>
      <c r="N43" s="79">
        <f>N70</f>
        <v>0</v>
      </c>
      <c r="O43" s="79">
        <f>O70</f>
        <v>0</v>
      </c>
      <c r="P43" s="79">
        <f>R70</f>
        <v>50625</v>
      </c>
      <c r="Q43" s="79">
        <f>O43*12</f>
        <v>0</v>
      </c>
      <c r="R43" s="34">
        <f>SUM(P43:Q43)</f>
        <v>50625</v>
      </c>
      <c r="T43" s="5" t="str">
        <f>T54</f>
        <v>Facility (Overdraft)</v>
      </c>
      <c r="U43" s="7" t="s">
        <v>296</v>
      </c>
      <c r="V43" s="79">
        <f>V70</f>
        <v>0</v>
      </c>
      <c r="W43" s="79">
        <f>W70</f>
        <v>0</v>
      </c>
      <c r="X43" s="79">
        <f>X70</f>
        <v>0</v>
      </c>
      <c r="Y43" s="79">
        <f>AA70</f>
        <v>0</v>
      </c>
      <c r="Z43" s="79">
        <f>X43*12</f>
        <v>0</v>
      </c>
      <c r="AA43" s="34">
        <f>SUM(Y43:Z43)</f>
        <v>0</v>
      </c>
    </row>
    <row r="44" spans="2:27" ht="25.5" customHeight="1" x14ac:dyDescent="0.25">
      <c r="B44" s="5" t="str">
        <f>B72</f>
        <v>Facility (Overdraft with Reduction/ Sinking Fund)</v>
      </c>
      <c r="C44" s="7" t="s">
        <v>440</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440</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440</v>
      </c>
      <c r="V44" s="79">
        <f>V88</f>
        <v>0</v>
      </c>
      <c r="W44" s="79">
        <f>W88</f>
        <v>0</v>
      </c>
      <c r="X44" s="79">
        <f>X88</f>
        <v>0</v>
      </c>
      <c r="Y44" s="79">
        <f>AA88</f>
        <v>0</v>
      </c>
      <c r="Z44" s="79">
        <f t="shared" ref="Z44:Z51" si="5">X44*12</f>
        <v>0</v>
      </c>
      <c r="AA44" s="34">
        <f t="shared" ref="AA44:AA51" si="6">SUM(Y44:Z44)</f>
        <v>0</v>
      </c>
    </row>
    <row r="45" spans="2:27" ht="25.5" customHeight="1" x14ac:dyDescent="0.25">
      <c r="B45" s="5" t="str">
        <f>B90</f>
        <v>Facility (Trade Receivable)</v>
      </c>
      <c r="C45" s="7" t="s">
        <v>296</v>
      </c>
      <c r="D45" s="79">
        <f>D106</f>
        <v>150000</v>
      </c>
      <c r="E45" s="79">
        <f>E106</f>
        <v>0</v>
      </c>
      <c r="F45" s="79">
        <f>F106</f>
        <v>0</v>
      </c>
      <c r="G45" s="79">
        <f>I106</f>
        <v>11070</v>
      </c>
      <c r="H45" s="79">
        <f t="shared" si="1"/>
        <v>0</v>
      </c>
      <c r="I45" s="34">
        <f t="shared" si="2"/>
        <v>11070</v>
      </c>
      <c r="K45" s="5" t="str">
        <f>K90</f>
        <v>Facility (Trade Receivable)</v>
      </c>
      <c r="L45" s="7" t="s">
        <v>296</v>
      </c>
      <c r="M45" s="79">
        <f>M106</f>
        <v>150000</v>
      </c>
      <c r="N45" s="79">
        <f>N106</f>
        <v>0</v>
      </c>
      <c r="O45" s="79">
        <f>O106</f>
        <v>0</v>
      </c>
      <c r="P45" s="79">
        <f>R106</f>
        <v>11070</v>
      </c>
      <c r="Q45" s="79">
        <f t="shared" si="3"/>
        <v>0</v>
      </c>
      <c r="R45" s="34">
        <f t="shared" si="4"/>
        <v>11070</v>
      </c>
      <c r="T45" s="5" t="str">
        <f>T90</f>
        <v>Facility (Trade Receivable)</v>
      </c>
      <c r="U45" s="7" t="s">
        <v>296</v>
      </c>
      <c r="V45" s="79">
        <f>V106</f>
        <v>0</v>
      </c>
      <c r="W45" s="79">
        <f>W106</f>
        <v>0</v>
      </c>
      <c r="X45" s="79">
        <f>X106</f>
        <v>0</v>
      </c>
      <c r="Y45" s="79">
        <f>AA106</f>
        <v>0</v>
      </c>
      <c r="Z45" s="79">
        <f t="shared" si="5"/>
        <v>0</v>
      </c>
      <c r="AA45" s="34">
        <f t="shared" si="6"/>
        <v>0</v>
      </c>
    </row>
    <row r="46" spans="2:27" ht="25.5" customHeight="1" x14ac:dyDescent="0.25">
      <c r="B46" s="5" t="str">
        <f>B108</f>
        <v>Facility (BA)</v>
      </c>
      <c r="C46" s="7" t="s">
        <v>296</v>
      </c>
      <c r="D46" s="79">
        <f>D124</f>
        <v>200000</v>
      </c>
      <c r="E46" s="79">
        <f>E124</f>
        <v>0</v>
      </c>
      <c r="F46" s="79">
        <f>F124</f>
        <v>0</v>
      </c>
      <c r="G46" s="79">
        <f>I124</f>
        <v>14760</v>
      </c>
      <c r="H46" s="79">
        <f t="shared" si="1"/>
        <v>0</v>
      </c>
      <c r="I46" s="34">
        <f t="shared" si="2"/>
        <v>14760</v>
      </c>
      <c r="K46" s="5" t="str">
        <f>K108</f>
        <v>Facility (BA)</v>
      </c>
      <c r="L46" s="7" t="s">
        <v>296</v>
      </c>
      <c r="M46" s="79">
        <f>M124</f>
        <v>200000</v>
      </c>
      <c r="N46" s="79">
        <f>N124</f>
        <v>0</v>
      </c>
      <c r="O46" s="79">
        <f>O124</f>
        <v>0</v>
      </c>
      <c r="P46" s="79">
        <f>R124</f>
        <v>14760</v>
      </c>
      <c r="Q46" s="79">
        <f t="shared" si="3"/>
        <v>0</v>
      </c>
      <c r="R46" s="34">
        <f t="shared" si="4"/>
        <v>14760</v>
      </c>
      <c r="T46" s="5" t="str">
        <f>T108</f>
        <v>Facility (BA)</v>
      </c>
      <c r="U46" s="7" t="s">
        <v>296</v>
      </c>
      <c r="V46" s="79">
        <f>V124</f>
        <v>200000</v>
      </c>
      <c r="W46" s="79">
        <f>W124</f>
        <v>100000</v>
      </c>
      <c r="X46" s="79">
        <f>X124</f>
        <v>0</v>
      </c>
      <c r="Y46" s="79">
        <f>AA124</f>
        <v>13120</v>
      </c>
      <c r="Z46" s="79">
        <f t="shared" si="5"/>
        <v>0</v>
      </c>
      <c r="AA46" s="34">
        <f t="shared" si="6"/>
        <v>13120</v>
      </c>
    </row>
    <row r="47" spans="2:27" ht="25.5" customHeight="1" x14ac:dyDescent="0.25">
      <c r="B47" s="5" t="str">
        <f>B126</f>
        <v>Facility (Term-loan)</v>
      </c>
      <c r="C47" s="7" t="s">
        <v>440</v>
      </c>
      <c r="D47" s="79">
        <f>D142</f>
        <v>0</v>
      </c>
      <c r="E47" s="79">
        <f>E142</f>
        <v>0</v>
      </c>
      <c r="F47" s="79">
        <f>F142</f>
        <v>2500</v>
      </c>
      <c r="G47" s="79">
        <f>I142</f>
        <v>0</v>
      </c>
      <c r="H47" s="79">
        <f t="shared" si="1"/>
        <v>30000</v>
      </c>
      <c r="I47" s="34">
        <f t="shared" si="2"/>
        <v>30000</v>
      </c>
      <c r="K47" s="5" t="str">
        <f>K126</f>
        <v>Facility (Term-loan)</v>
      </c>
      <c r="L47" s="7" t="s">
        <v>440</v>
      </c>
      <c r="M47" s="79">
        <f>M142</f>
        <v>0</v>
      </c>
      <c r="N47" s="79">
        <f>N142</f>
        <v>0</v>
      </c>
      <c r="O47" s="79">
        <f>O142</f>
        <v>2500</v>
      </c>
      <c r="P47" s="79">
        <f>R142</f>
        <v>0</v>
      </c>
      <c r="Q47" s="79">
        <f t="shared" si="3"/>
        <v>30000</v>
      </c>
      <c r="R47" s="34">
        <f t="shared" si="4"/>
        <v>30000</v>
      </c>
      <c r="T47" s="5" t="str">
        <f>T126</f>
        <v>Facility (Term-loan)</v>
      </c>
      <c r="U47" s="7" t="s">
        <v>440</v>
      </c>
      <c r="V47" s="79">
        <f>V142</f>
        <v>0</v>
      </c>
      <c r="W47" s="79">
        <f>W142</f>
        <v>0</v>
      </c>
      <c r="X47" s="79">
        <f>X142</f>
        <v>2500</v>
      </c>
      <c r="Y47" s="79">
        <f>AA142</f>
        <v>0</v>
      </c>
      <c r="Z47" s="79">
        <f t="shared" si="5"/>
        <v>30000</v>
      </c>
      <c r="AA47" s="34">
        <f t="shared" si="6"/>
        <v>30000</v>
      </c>
    </row>
    <row r="48" spans="2:27" ht="25.5" customHeight="1" x14ac:dyDescent="0.25">
      <c r="B48" s="5" t="str">
        <f>B144</f>
        <v>Facility (Hire Purchase / Leasing)</v>
      </c>
      <c r="C48" s="7" t="s">
        <v>440</v>
      </c>
      <c r="D48" s="79">
        <f>D160</f>
        <v>0</v>
      </c>
      <c r="E48" s="79">
        <f>E160</f>
        <v>0</v>
      </c>
      <c r="F48" s="79">
        <f>F160</f>
        <v>3000</v>
      </c>
      <c r="G48" s="79">
        <f>I160</f>
        <v>0</v>
      </c>
      <c r="H48" s="79">
        <f t="shared" si="1"/>
        <v>36000</v>
      </c>
      <c r="I48" s="34">
        <f t="shared" si="2"/>
        <v>36000</v>
      </c>
      <c r="K48" s="5" t="str">
        <f>K144</f>
        <v>Facility (Hire Purchase / Leasing)</v>
      </c>
      <c r="L48" s="7" t="s">
        <v>440</v>
      </c>
      <c r="M48" s="79">
        <f>M160</f>
        <v>0</v>
      </c>
      <c r="N48" s="79">
        <f>N160</f>
        <v>0</v>
      </c>
      <c r="O48" s="79">
        <f>O160</f>
        <v>3000</v>
      </c>
      <c r="P48" s="79">
        <f>R160</f>
        <v>0</v>
      </c>
      <c r="Q48" s="79">
        <f t="shared" si="3"/>
        <v>36000</v>
      </c>
      <c r="R48" s="34">
        <f t="shared" si="4"/>
        <v>36000</v>
      </c>
      <c r="T48" s="5" t="str">
        <f>T144</f>
        <v>Facility (Hire Purchase / Leasing)</v>
      </c>
      <c r="U48" s="7" t="s">
        <v>440</v>
      </c>
      <c r="V48" s="79">
        <f>V160</f>
        <v>0</v>
      </c>
      <c r="W48" s="79">
        <f>W160</f>
        <v>0</v>
      </c>
      <c r="X48" s="79">
        <f>X160</f>
        <v>3000</v>
      </c>
      <c r="Y48" s="79">
        <f>AA160</f>
        <v>0</v>
      </c>
      <c r="Z48" s="79">
        <f t="shared" si="5"/>
        <v>36000</v>
      </c>
      <c r="AA48" s="34">
        <f t="shared" si="6"/>
        <v>36000</v>
      </c>
    </row>
    <row r="49" spans="2:30" ht="25.5" customHeight="1" x14ac:dyDescent="0.25">
      <c r="B49" s="5" t="str">
        <f>B162</f>
        <v>Facility (Credit Card)</v>
      </c>
      <c r="C49" s="7" t="s">
        <v>300</v>
      </c>
      <c r="D49" s="79">
        <f>D178</f>
        <v>0</v>
      </c>
      <c r="E49" s="79">
        <f>E178</f>
        <v>100000</v>
      </c>
      <c r="F49" s="79">
        <f>F178</f>
        <v>0</v>
      </c>
      <c r="G49" s="79">
        <f>I178</f>
        <v>5000</v>
      </c>
      <c r="H49" s="79">
        <f t="shared" si="1"/>
        <v>0</v>
      </c>
      <c r="I49" s="34">
        <f t="shared" si="2"/>
        <v>5000</v>
      </c>
      <c r="K49" s="5" t="str">
        <f>K162</f>
        <v>Facility (Credit Card)</v>
      </c>
      <c r="L49" s="7" t="s">
        <v>300</v>
      </c>
      <c r="M49" s="79">
        <f>M178</f>
        <v>0</v>
      </c>
      <c r="N49" s="79">
        <f>N178</f>
        <v>100000</v>
      </c>
      <c r="O49" s="79">
        <f>O178</f>
        <v>0</v>
      </c>
      <c r="P49" s="79">
        <f>R178</f>
        <v>5000</v>
      </c>
      <c r="Q49" s="79">
        <f t="shared" si="3"/>
        <v>0</v>
      </c>
      <c r="R49" s="34">
        <f t="shared" si="4"/>
        <v>5000</v>
      </c>
      <c r="T49" s="5" t="str">
        <f>T162</f>
        <v>Facility (Credit Card)</v>
      </c>
      <c r="U49" s="7" t="s">
        <v>300</v>
      </c>
      <c r="V49" s="79">
        <f>V178</f>
        <v>0</v>
      </c>
      <c r="W49" s="79">
        <f>W178</f>
        <v>100000</v>
      </c>
      <c r="X49" s="79">
        <f>X178</f>
        <v>0</v>
      </c>
      <c r="Y49" s="79">
        <f>AA178</f>
        <v>5000</v>
      </c>
      <c r="Z49" s="79">
        <f t="shared" si="5"/>
        <v>0</v>
      </c>
      <c r="AA49" s="34">
        <f t="shared" si="6"/>
        <v>5000</v>
      </c>
      <c r="AC49" s="4"/>
      <c r="AD49" s="19"/>
    </row>
    <row r="50" spans="2:30" ht="25.5" customHeight="1" x14ac:dyDescent="0.25">
      <c r="B50" s="5" t="str">
        <f>B180</f>
        <v>P2P - Facility (Term-loan)</v>
      </c>
      <c r="C50" s="7" t="s">
        <v>441</v>
      </c>
      <c r="D50" s="79">
        <f>D196</f>
        <v>0</v>
      </c>
      <c r="E50" s="79">
        <f t="shared" ref="E50:F50" si="7">E196</f>
        <v>0</v>
      </c>
      <c r="F50" s="79">
        <f t="shared" si="7"/>
        <v>1500</v>
      </c>
      <c r="G50" s="79">
        <f>I196</f>
        <v>0</v>
      </c>
      <c r="H50" s="79">
        <f t="shared" si="1"/>
        <v>18000</v>
      </c>
      <c r="I50" s="34">
        <f t="shared" si="2"/>
        <v>18000</v>
      </c>
      <c r="K50" s="5" t="str">
        <f>K180</f>
        <v>P2P - Facility (Term-loan)</v>
      </c>
      <c r="L50" s="7" t="s">
        <v>441</v>
      </c>
      <c r="M50" s="79">
        <f>M196</f>
        <v>0</v>
      </c>
      <c r="N50" s="79">
        <f t="shared" ref="N50:O50" si="8">N196</f>
        <v>0</v>
      </c>
      <c r="O50" s="79">
        <f t="shared" si="8"/>
        <v>1500</v>
      </c>
      <c r="P50" s="79">
        <f>R196</f>
        <v>0</v>
      </c>
      <c r="Q50" s="79">
        <f t="shared" si="3"/>
        <v>18000</v>
      </c>
      <c r="R50" s="34">
        <f t="shared" si="4"/>
        <v>18000</v>
      </c>
      <c r="T50" s="5" t="s">
        <v>442</v>
      </c>
      <c r="U50" s="7" t="s">
        <v>441</v>
      </c>
      <c r="V50" s="79">
        <f>V196</f>
        <v>0</v>
      </c>
      <c r="W50" s="79">
        <f t="shared" ref="W50:X50" si="9">W196</f>
        <v>0</v>
      </c>
      <c r="X50" s="79">
        <f t="shared" si="9"/>
        <v>1500</v>
      </c>
      <c r="Y50" s="79">
        <f>AA196</f>
        <v>0</v>
      </c>
      <c r="Z50" s="79">
        <f t="shared" si="5"/>
        <v>18000</v>
      </c>
      <c r="AA50" s="34">
        <f t="shared" si="6"/>
        <v>18000</v>
      </c>
      <c r="AC50" s="4"/>
      <c r="AD50" s="19"/>
    </row>
    <row r="51" spans="2:30" ht="25.5" customHeight="1" x14ac:dyDescent="0.25">
      <c r="B51" s="5" t="str">
        <f>B198</f>
        <v>P2P - Facility (Trade Receivable)</v>
      </c>
      <c r="C51" s="7" t="s">
        <v>296</v>
      </c>
      <c r="D51" s="79">
        <f>D214</f>
        <v>100000</v>
      </c>
      <c r="E51" s="79">
        <f t="shared" ref="E51:F51" si="10">E214</f>
        <v>0</v>
      </c>
      <c r="F51" s="79">
        <f t="shared" si="10"/>
        <v>0</v>
      </c>
      <c r="G51" s="79">
        <f>I214</f>
        <v>7380</v>
      </c>
      <c r="H51" s="79">
        <f t="shared" si="1"/>
        <v>0</v>
      </c>
      <c r="I51" s="34">
        <f t="shared" si="2"/>
        <v>7380</v>
      </c>
      <c r="K51" s="5" t="str">
        <f>K198</f>
        <v>P2P - Facility (Trade Receivable)</v>
      </c>
      <c r="L51" s="7" t="s">
        <v>296</v>
      </c>
      <c r="M51" s="79">
        <f>M214</f>
        <v>100000</v>
      </c>
      <c r="N51" s="79">
        <f t="shared" ref="N51:O51" si="11">N214</f>
        <v>0</v>
      </c>
      <c r="O51" s="79">
        <f t="shared" si="11"/>
        <v>0</v>
      </c>
      <c r="P51" s="79">
        <f>R214</f>
        <v>7380</v>
      </c>
      <c r="Q51" s="79">
        <f t="shared" si="3"/>
        <v>0</v>
      </c>
      <c r="R51" s="34">
        <f t="shared" si="4"/>
        <v>7380</v>
      </c>
      <c r="T51" s="5" t="s">
        <v>442</v>
      </c>
      <c r="U51" s="7" t="s">
        <v>296</v>
      </c>
      <c r="V51" s="79">
        <f>V214</f>
        <v>100000</v>
      </c>
      <c r="W51" s="79">
        <f t="shared" ref="W51:X51" si="12">W214</f>
        <v>50000</v>
      </c>
      <c r="X51" s="79">
        <f t="shared" si="12"/>
        <v>0</v>
      </c>
      <c r="Y51" s="79">
        <f>AA214</f>
        <v>6560</v>
      </c>
      <c r="Z51" s="79">
        <f t="shared" si="5"/>
        <v>0</v>
      </c>
      <c r="AA51" s="34">
        <f t="shared" si="6"/>
        <v>6560</v>
      </c>
      <c r="AC51" s="4"/>
      <c r="AD51" s="19"/>
    </row>
    <row r="52" spans="2:30" ht="25.5" customHeight="1" x14ac:dyDescent="0.25">
      <c r="B52" s="39" t="s">
        <v>443</v>
      </c>
      <c r="C52" s="33"/>
      <c r="D52" s="35">
        <f>SUM(D43:D51)</f>
        <v>1200000</v>
      </c>
      <c r="E52" s="35">
        <f t="shared" ref="E52:I52" si="13">SUM(E43:E51)</f>
        <v>100000</v>
      </c>
      <c r="F52" s="35">
        <f t="shared" si="13"/>
        <v>14500</v>
      </c>
      <c r="G52" s="35">
        <f t="shared" si="13"/>
        <v>88835</v>
      </c>
      <c r="H52" s="35">
        <f t="shared" si="13"/>
        <v>174000</v>
      </c>
      <c r="I52" s="35">
        <f t="shared" si="13"/>
        <v>262835</v>
      </c>
      <c r="K52" s="39" t="s">
        <v>443</v>
      </c>
      <c r="L52" s="33"/>
      <c r="M52" s="35">
        <f>SUM(M43:M51)</f>
        <v>1200000</v>
      </c>
      <c r="N52" s="35">
        <f t="shared" ref="N52:R52" si="14">SUM(N43:N51)</f>
        <v>100000</v>
      </c>
      <c r="O52" s="35">
        <f t="shared" si="14"/>
        <v>14500</v>
      </c>
      <c r="P52" s="35">
        <f t="shared" si="14"/>
        <v>88835</v>
      </c>
      <c r="Q52" s="35">
        <f t="shared" si="14"/>
        <v>174000</v>
      </c>
      <c r="R52" s="35">
        <f t="shared" si="14"/>
        <v>262835</v>
      </c>
      <c r="T52" s="39" t="s">
        <v>443</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8.25" x14ac:dyDescent="0.25">
      <c r="B54" s="27" t="s">
        <v>9</v>
      </c>
      <c r="C54" s="3" t="s">
        <v>86</v>
      </c>
      <c r="D54" s="3" t="s">
        <v>374</v>
      </c>
      <c r="E54" s="3" t="s">
        <v>375</v>
      </c>
      <c r="F54" s="3" t="s">
        <v>376</v>
      </c>
      <c r="G54" s="3" t="s">
        <v>377</v>
      </c>
      <c r="H54" s="3" t="s">
        <v>378</v>
      </c>
      <c r="I54" s="3" t="s">
        <v>379</v>
      </c>
      <c r="K54" s="27" t="s">
        <v>9</v>
      </c>
      <c r="L54" s="3" t="s">
        <v>86</v>
      </c>
      <c r="M54" s="3" t="s">
        <v>374</v>
      </c>
      <c r="N54" s="3" t="s">
        <v>375</v>
      </c>
      <c r="O54" s="3" t="s">
        <v>376</v>
      </c>
      <c r="P54" s="3" t="s">
        <v>377</v>
      </c>
      <c r="Q54" s="3" t="s">
        <v>378</v>
      </c>
      <c r="R54" s="3" t="s">
        <v>379</v>
      </c>
      <c r="T54" s="27" t="s">
        <v>9</v>
      </c>
      <c r="U54" s="3" t="s">
        <v>86</v>
      </c>
      <c r="V54" s="3" t="s">
        <v>374</v>
      </c>
      <c r="W54" s="3" t="s">
        <v>375</v>
      </c>
      <c r="X54" s="3" t="s">
        <v>376</v>
      </c>
      <c r="Y54" s="3" t="s">
        <v>377</v>
      </c>
      <c r="Z54" s="3" t="s">
        <v>378</v>
      </c>
      <c r="AA54" s="3" t="s">
        <v>379</v>
      </c>
    </row>
    <row r="55" spans="2:30" x14ac:dyDescent="0.25">
      <c r="B55" s="5" t="s">
        <v>319</v>
      </c>
      <c r="C55" s="5" t="s">
        <v>310</v>
      </c>
      <c r="D55" s="11">
        <v>750000</v>
      </c>
      <c r="E55" s="29"/>
      <c r="F55" s="29"/>
      <c r="G55" s="22">
        <v>0.09</v>
      </c>
      <c r="H55" s="23">
        <v>0.75</v>
      </c>
      <c r="I55" s="75">
        <f>D55*G55*H55</f>
        <v>50625</v>
      </c>
      <c r="K55" s="5" t="s">
        <v>319</v>
      </c>
      <c r="L55" s="5" t="s">
        <v>310</v>
      </c>
      <c r="M55" s="11">
        <v>750000</v>
      </c>
      <c r="N55" s="29"/>
      <c r="O55" s="29"/>
      <c r="P55" s="22">
        <v>0.09</v>
      </c>
      <c r="Q55" s="23">
        <v>0.75</v>
      </c>
      <c r="R55" s="75">
        <f>M55*P55*Q55</f>
        <v>50625</v>
      </c>
      <c r="T55" s="41" t="s">
        <v>444</v>
      </c>
      <c r="U55" s="41" t="s">
        <v>283</v>
      </c>
      <c r="V55" s="40"/>
      <c r="W55" s="40"/>
      <c r="X55" s="29"/>
      <c r="Y55" s="22">
        <v>0.09</v>
      </c>
      <c r="Z55" s="23">
        <v>0.75</v>
      </c>
      <c r="AA55" s="75">
        <f>V55*Y55*Z55</f>
        <v>0</v>
      </c>
      <c r="AC55" s="20"/>
    </row>
    <row r="56" spans="2:30" x14ac:dyDescent="0.25">
      <c r="B56" s="5" t="s">
        <v>312</v>
      </c>
      <c r="C56" s="5" t="s">
        <v>313</v>
      </c>
      <c r="D56" s="11"/>
      <c r="E56" s="29"/>
      <c r="F56" s="29"/>
      <c r="G56" s="22"/>
      <c r="H56" s="23">
        <v>0.75</v>
      </c>
      <c r="I56" s="75">
        <f t="shared" ref="I56:I69" si="16">D56*G56*H56</f>
        <v>0</v>
      </c>
      <c r="K56" s="5" t="s">
        <v>312</v>
      </c>
      <c r="L56" s="5" t="s">
        <v>313</v>
      </c>
      <c r="M56" s="11"/>
      <c r="N56" s="29"/>
      <c r="O56" s="29"/>
      <c r="P56" s="22"/>
      <c r="Q56" s="23">
        <v>0.75</v>
      </c>
      <c r="R56" s="75">
        <f t="shared" ref="R56:R69" si="17">M56*P56*Q56</f>
        <v>0</v>
      </c>
      <c r="T56" s="41" t="s">
        <v>444</v>
      </c>
      <c r="U56" s="41" t="s">
        <v>283</v>
      </c>
      <c r="V56" s="40"/>
      <c r="W56" s="40"/>
      <c r="X56" s="29"/>
      <c r="Y56" s="22"/>
      <c r="Z56" s="23">
        <v>0.75</v>
      </c>
      <c r="AA56" s="75">
        <f t="shared" ref="AA56:AA69" si="18">V56*Y56*Z56</f>
        <v>0</v>
      </c>
      <c r="AC56" s="20"/>
    </row>
    <row r="57" spans="2:30" x14ac:dyDescent="0.25">
      <c r="B57" s="5" t="s">
        <v>312</v>
      </c>
      <c r="C57" s="5" t="s">
        <v>313</v>
      </c>
      <c r="D57" s="11"/>
      <c r="E57" s="29"/>
      <c r="F57" s="29"/>
      <c r="G57" s="22"/>
      <c r="H57" s="23">
        <v>0.75</v>
      </c>
      <c r="I57" s="75">
        <f t="shared" si="16"/>
        <v>0</v>
      </c>
      <c r="K57" s="5" t="s">
        <v>312</v>
      </c>
      <c r="L57" s="5" t="s">
        <v>313</v>
      </c>
      <c r="M57" s="11"/>
      <c r="N57" s="29"/>
      <c r="O57" s="29"/>
      <c r="P57" s="22"/>
      <c r="Q57" s="23">
        <v>0.75</v>
      </c>
      <c r="R57" s="75">
        <f t="shared" si="17"/>
        <v>0</v>
      </c>
      <c r="T57" s="41" t="s">
        <v>444</v>
      </c>
      <c r="U57" s="41" t="s">
        <v>283</v>
      </c>
      <c r="V57" s="40"/>
      <c r="W57" s="40"/>
      <c r="X57" s="29"/>
      <c r="Y57" s="22"/>
      <c r="Z57" s="23">
        <v>0.75</v>
      </c>
      <c r="AA57" s="75">
        <f t="shared" si="18"/>
        <v>0</v>
      </c>
    </row>
    <row r="58" spans="2:30" x14ac:dyDescent="0.25">
      <c r="B58" s="5" t="s">
        <v>312</v>
      </c>
      <c r="C58" s="5" t="s">
        <v>313</v>
      </c>
      <c r="D58" s="11"/>
      <c r="E58" s="29"/>
      <c r="F58" s="29"/>
      <c r="G58" s="22"/>
      <c r="H58" s="23">
        <v>0.75</v>
      </c>
      <c r="I58" s="75">
        <f t="shared" si="16"/>
        <v>0</v>
      </c>
      <c r="K58" s="5" t="s">
        <v>312</v>
      </c>
      <c r="L58" s="5" t="s">
        <v>313</v>
      </c>
      <c r="M58" s="11"/>
      <c r="N58" s="29"/>
      <c r="O58" s="29"/>
      <c r="P58" s="22"/>
      <c r="Q58" s="23">
        <v>0.75</v>
      </c>
      <c r="R58" s="75">
        <f t="shared" si="17"/>
        <v>0</v>
      </c>
      <c r="T58" s="41" t="s">
        <v>444</v>
      </c>
      <c r="U58" s="41" t="s">
        <v>283</v>
      </c>
      <c r="V58" s="40"/>
      <c r="W58" s="40"/>
      <c r="X58" s="29"/>
      <c r="Y58" s="22"/>
      <c r="Z58" s="23">
        <v>0.75</v>
      </c>
      <c r="AA58" s="75">
        <f t="shared" si="18"/>
        <v>0</v>
      </c>
    </row>
    <row r="59" spans="2:30" x14ac:dyDescent="0.25">
      <c r="B59" s="5" t="s">
        <v>312</v>
      </c>
      <c r="C59" s="5" t="s">
        <v>313</v>
      </c>
      <c r="D59" s="11"/>
      <c r="E59" s="29"/>
      <c r="F59" s="29"/>
      <c r="G59" s="22"/>
      <c r="H59" s="23">
        <v>0.75</v>
      </c>
      <c r="I59" s="75">
        <f t="shared" si="16"/>
        <v>0</v>
      </c>
      <c r="K59" s="5" t="s">
        <v>312</v>
      </c>
      <c r="L59" s="5" t="s">
        <v>313</v>
      </c>
      <c r="M59" s="11"/>
      <c r="N59" s="29"/>
      <c r="O59" s="29"/>
      <c r="P59" s="22"/>
      <c r="Q59" s="23">
        <v>0.75</v>
      </c>
      <c r="R59" s="75">
        <f t="shared" si="17"/>
        <v>0</v>
      </c>
      <c r="T59" s="41" t="s">
        <v>444</v>
      </c>
      <c r="U59" s="41" t="s">
        <v>283</v>
      </c>
      <c r="V59" s="40"/>
      <c r="W59" s="40"/>
      <c r="X59" s="29"/>
      <c r="Y59" s="22"/>
      <c r="Z59" s="23">
        <v>0.75</v>
      </c>
      <c r="AA59" s="75">
        <f t="shared" si="18"/>
        <v>0</v>
      </c>
    </row>
    <row r="60" spans="2:30" x14ac:dyDescent="0.25">
      <c r="B60" s="5" t="s">
        <v>312</v>
      </c>
      <c r="C60" s="5" t="s">
        <v>313</v>
      </c>
      <c r="D60" s="11"/>
      <c r="E60" s="29"/>
      <c r="F60" s="29"/>
      <c r="G60" s="22"/>
      <c r="H60" s="23">
        <v>0.75</v>
      </c>
      <c r="I60" s="75">
        <f t="shared" si="16"/>
        <v>0</v>
      </c>
      <c r="K60" s="5" t="s">
        <v>312</v>
      </c>
      <c r="L60" s="5" t="s">
        <v>313</v>
      </c>
      <c r="M60" s="11"/>
      <c r="N60" s="29"/>
      <c r="O60" s="29"/>
      <c r="P60" s="22"/>
      <c r="Q60" s="23">
        <v>0.75</v>
      </c>
      <c r="R60" s="75">
        <f t="shared" si="17"/>
        <v>0</v>
      </c>
      <c r="T60" s="41" t="s">
        <v>444</v>
      </c>
      <c r="U60" s="41" t="s">
        <v>283</v>
      </c>
      <c r="V60" s="40"/>
      <c r="W60" s="40"/>
      <c r="X60" s="29"/>
      <c r="Y60" s="22"/>
      <c r="Z60" s="23">
        <v>0.75</v>
      </c>
      <c r="AA60" s="75">
        <f t="shared" si="18"/>
        <v>0</v>
      </c>
    </row>
    <row r="61" spans="2:30" x14ac:dyDescent="0.25">
      <c r="B61" s="5" t="s">
        <v>312</v>
      </c>
      <c r="C61" s="5" t="s">
        <v>313</v>
      </c>
      <c r="D61" s="11"/>
      <c r="E61" s="29"/>
      <c r="F61" s="29"/>
      <c r="G61" s="22"/>
      <c r="H61" s="23">
        <v>0.75</v>
      </c>
      <c r="I61" s="75">
        <f t="shared" si="16"/>
        <v>0</v>
      </c>
      <c r="K61" s="5" t="s">
        <v>312</v>
      </c>
      <c r="L61" s="5" t="s">
        <v>313</v>
      </c>
      <c r="M61" s="11"/>
      <c r="N61" s="29"/>
      <c r="O61" s="29"/>
      <c r="P61" s="22"/>
      <c r="Q61" s="23">
        <v>0.75</v>
      </c>
      <c r="R61" s="75">
        <f t="shared" si="17"/>
        <v>0</v>
      </c>
      <c r="T61" s="41" t="s">
        <v>444</v>
      </c>
      <c r="U61" s="41" t="s">
        <v>283</v>
      </c>
      <c r="V61" s="40"/>
      <c r="W61" s="40"/>
      <c r="X61" s="29"/>
      <c r="Y61" s="22"/>
      <c r="Z61" s="23">
        <v>0.75</v>
      </c>
      <c r="AA61" s="75">
        <f t="shared" si="18"/>
        <v>0</v>
      </c>
    </row>
    <row r="62" spans="2:30" x14ac:dyDescent="0.25">
      <c r="B62" s="5" t="s">
        <v>312</v>
      </c>
      <c r="C62" s="5" t="s">
        <v>313</v>
      </c>
      <c r="D62" s="11"/>
      <c r="E62" s="29"/>
      <c r="F62" s="29"/>
      <c r="G62" s="22"/>
      <c r="H62" s="23">
        <v>0.75</v>
      </c>
      <c r="I62" s="75">
        <f t="shared" si="16"/>
        <v>0</v>
      </c>
      <c r="K62" s="5" t="s">
        <v>312</v>
      </c>
      <c r="L62" s="5" t="s">
        <v>313</v>
      </c>
      <c r="M62" s="11"/>
      <c r="N62" s="29"/>
      <c r="O62" s="29"/>
      <c r="P62" s="22"/>
      <c r="Q62" s="23">
        <v>0.75</v>
      </c>
      <c r="R62" s="75">
        <f t="shared" si="17"/>
        <v>0</v>
      </c>
      <c r="T62" s="41" t="s">
        <v>444</v>
      </c>
      <c r="U62" s="41" t="s">
        <v>283</v>
      </c>
      <c r="V62" s="40"/>
      <c r="W62" s="40"/>
      <c r="X62" s="29"/>
      <c r="Y62" s="22"/>
      <c r="Z62" s="23">
        <v>0.75</v>
      </c>
      <c r="AA62" s="75">
        <f t="shared" si="18"/>
        <v>0</v>
      </c>
    </row>
    <row r="63" spans="2:30" x14ac:dyDescent="0.25">
      <c r="B63" s="5" t="s">
        <v>312</v>
      </c>
      <c r="C63" s="5" t="s">
        <v>313</v>
      </c>
      <c r="D63" s="11"/>
      <c r="E63" s="29"/>
      <c r="F63" s="29"/>
      <c r="G63" s="22"/>
      <c r="H63" s="23">
        <v>0.75</v>
      </c>
      <c r="I63" s="75">
        <f t="shared" si="16"/>
        <v>0</v>
      </c>
      <c r="K63" s="5" t="s">
        <v>312</v>
      </c>
      <c r="L63" s="5" t="s">
        <v>313</v>
      </c>
      <c r="M63" s="11"/>
      <c r="N63" s="29"/>
      <c r="O63" s="29"/>
      <c r="P63" s="22"/>
      <c r="Q63" s="23">
        <v>0.75</v>
      </c>
      <c r="R63" s="75">
        <f t="shared" si="17"/>
        <v>0</v>
      </c>
      <c r="T63" s="41" t="s">
        <v>444</v>
      </c>
      <c r="U63" s="41" t="s">
        <v>283</v>
      </c>
      <c r="V63" s="40"/>
      <c r="W63" s="40"/>
      <c r="X63" s="29"/>
      <c r="Y63" s="22"/>
      <c r="Z63" s="23">
        <v>0.75</v>
      </c>
      <c r="AA63" s="75">
        <f t="shared" si="18"/>
        <v>0</v>
      </c>
    </row>
    <row r="64" spans="2:30" x14ac:dyDescent="0.25">
      <c r="B64" s="5" t="s">
        <v>312</v>
      </c>
      <c r="C64" s="5" t="s">
        <v>313</v>
      </c>
      <c r="D64" s="11"/>
      <c r="E64" s="29"/>
      <c r="F64" s="29"/>
      <c r="G64" s="22"/>
      <c r="H64" s="23">
        <v>0.75</v>
      </c>
      <c r="I64" s="75">
        <f t="shared" si="16"/>
        <v>0</v>
      </c>
      <c r="K64" s="5" t="s">
        <v>312</v>
      </c>
      <c r="L64" s="5" t="s">
        <v>313</v>
      </c>
      <c r="M64" s="11"/>
      <c r="N64" s="29"/>
      <c r="O64" s="29"/>
      <c r="P64" s="22"/>
      <c r="Q64" s="23">
        <v>0.75</v>
      </c>
      <c r="R64" s="75">
        <f t="shared" si="17"/>
        <v>0</v>
      </c>
      <c r="T64" s="41" t="s">
        <v>444</v>
      </c>
      <c r="U64" s="41" t="s">
        <v>283</v>
      </c>
      <c r="V64" s="40"/>
      <c r="W64" s="40"/>
      <c r="X64" s="29"/>
      <c r="Y64" s="22"/>
      <c r="Z64" s="23">
        <v>0.75</v>
      </c>
      <c r="AA64" s="75">
        <f t="shared" si="18"/>
        <v>0</v>
      </c>
    </row>
    <row r="65" spans="2:27" x14ac:dyDescent="0.25">
      <c r="B65" s="5" t="s">
        <v>312</v>
      </c>
      <c r="C65" s="5" t="s">
        <v>313</v>
      </c>
      <c r="D65" s="11"/>
      <c r="E65" s="29"/>
      <c r="F65" s="29"/>
      <c r="G65" s="22"/>
      <c r="H65" s="23">
        <v>0.75</v>
      </c>
      <c r="I65" s="75">
        <f t="shared" si="16"/>
        <v>0</v>
      </c>
      <c r="K65" s="5" t="s">
        <v>312</v>
      </c>
      <c r="L65" s="5" t="s">
        <v>313</v>
      </c>
      <c r="M65" s="11"/>
      <c r="N65" s="29"/>
      <c r="O65" s="29"/>
      <c r="P65" s="22"/>
      <c r="Q65" s="23">
        <v>0.75</v>
      </c>
      <c r="R65" s="75">
        <f t="shared" si="17"/>
        <v>0</v>
      </c>
      <c r="T65" s="41" t="s">
        <v>444</v>
      </c>
      <c r="U65" s="41" t="s">
        <v>283</v>
      </c>
      <c r="V65" s="40"/>
      <c r="W65" s="40"/>
      <c r="X65" s="29"/>
      <c r="Y65" s="22"/>
      <c r="Z65" s="23">
        <v>0.75</v>
      </c>
      <c r="AA65" s="75">
        <f t="shared" si="18"/>
        <v>0</v>
      </c>
    </row>
    <row r="66" spans="2:27" x14ac:dyDescent="0.25">
      <c r="B66" s="5" t="s">
        <v>312</v>
      </c>
      <c r="C66" s="5" t="s">
        <v>313</v>
      </c>
      <c r="D66" s="11"/>
      <c r="E66" s="29"/>
      <c r="F66" s="29"/>
      <c r="G66" s="22"/>
      <c r="H66" s="23">
        <v>0.75</v>
      </c>
      <c r="I66" s="75">
        <f t="shared" si="16"/>
        <v>0</v>
      </c>
      <c r="K66" s="5" t="s">
        <v>312</v>
      </c>
      <c r="L66" s="5" t="s">
        <v>313</v>
      </c>
      <c r="M66" s="11"/>
      <c r="N66" s="29"/>
      <c r="O66" s="29"/>
      <c r="P66" s="22"/>
      <c r="Q66" s="23">
        <v>0.75</v>
      </c>
      <c r="R66" s="75">
        <f t="shared" si="17"/>
        <v>0</v>
      </c>
      <c r="T66" s="41" t="s">
        <v>444</v>
      </c>
      <c r="U66" s="41" t="s">
        <v>283</v>
      </c>
      <c r="V66" s="40"/>
      <c r="W66" s="40"/>
      <c r="X66" s="29"/>
      <c r="Y66" s="22"/>
      <c r="Z66" s="23">
        <v>0.75</v>
      </c>
      <c r="AA66" s="75">
        <f t="shared" si="18"/>
        <v>0</v>
      </c>
    </row>
    <row r="67" spans="2:27" x14ac:dyDescent="0.25">
      <c r="B67" s="5" t="s">
        <v>312</v>
      </c>
      <c r="C67" s="5" t="s">
        <v>313</v>
      </c>
      <c r="D67" s="11"/>
      <c r="E67" s="29"/>
      <c r="F67" s="29"/>
      <c r="G67" s="22"/>
      <c r="H67" s="23">
        <v>0.75</v>
      </c>
      <c r="I67" s="75">
        <f t="shared" si="16"/>
        <v>0</v>
      </c>
      <c r="K67" s="5" t="s">
        <v>312</v>
      </c>
      <c r="L67" s="5" t="s">
        <v>313</v>
      </c>
      <c r="M67" s="11"/>
      <c r="N67" s="29"/>
      <c r="O67" s="29"/>
      <c r="P67" s="22"/>
      <c r="Q67" s="23">
        <v>0.75</v>
      </c>
      <c r="R67" s="75">
        <f t="shared" si="17"/>
        <v>0</v>
      </c>
      <c r="T67" s="41" t="s">
        <v>444</v>
      </c>
      <c r="U67" s="41" t="s">
        <v>283</v>
      </c>
      <c r="V67" s="40"/>
      <c r="W67" s="40"/>
      <c r="X67" s="29"/>
      <c r="Y67" s="22"/>
      <c r="Z67" s="23">
        <v>0.75</v>
      </c>
      <c r="AA67" s="75">
        <f t="shared" si="18"/>
        <v>0</v>
      </c>
    </row>
    <row r="68" spans="2:27" x14ac:dyDescent="0.25">
      <c r="B68" s="5" t="s">
        <v>312</v>
      </c>
      <c r="C68" s="5" t="s">
        <v>313</v>
      </c>
      <c r="D68" s="11"/>
      <c r="E68" s="29"/>
      <c r="F68" s="29"/>
      <c r="G68" s="22"/>
      <c r="H68" s="23">
        <v>0.75</v>
      </c>
      <c r="I68" s="75">
        <f t="shared" si="16"/>
        <v>0</v>
      </c>
      <c r="K68" s="5" t="s">
        <v>312</v>
      </c>
      <c r="L68" s="5" t="s">
        <v>313</v>
      </c>
      <c r="M68" s="11"/>
      <c r="N68" s="29"/>
      <c r="O68" s="29"/>
      <c r="P68" s="22"/>
      <c r="Q68" s="23">
        <v>0.75</v>
      </c>
      <c r="R68" s="75">
        <f t="shared" si="17"/>
        <v>0</v>
      </c>
      <c r="T68" s="41" t="s">
        <v>444</v>
      </c>
      <c r="U68" s="41" t="s">
        <v>283</v>
      </c>
      <c r="V68" s="40"/>
      <c r="W68" s="40"/>
      <c r="X68" s="29"/>
      <c r="Y68" s="22"/>
      <c r="Z68" s="23">
        <v>0.75</v>
      </c>
      <c r="AA68" s="75">
        <f t="shared" si="18"/>
        <v>0</v>
      </c>
    </row>
    <row r="69" spans="2:27" x14ac:dyDescent="0.25">
      <c r="B69" s="5" t="s">
        <v>312</v>
      </c>
      <c r="C69" s="5" t="s">
        <v>313</v>
      </c>
      <c r="D69" s="11"/>
      <c r="E69" s="29"/>
      <c r="F69" s="29"/>
      <c r="G69" s="22"/>
      <c r="H69" s="23">
        <v>0.75</v>
      </c>
      <c r="I69" s="75">
        <f t="shared" si="16"/>
        <v>0</v>
      </c>
      <c r="K69" s="5" t="s">
        <v>312</v>
      </c>
      <c r="L69" s="5" t="s">
        <v>313</v>
      </c>
      <c r="M69" s="11"/>
      <c r="N69" s="29"/>
      <c r="O69" s="29"/>
      <c r="P69" s="22"/>
      <c r="Q69" s="23">
        <v>0.75</v>
      </c>
      <c r="R69" s="75">
        <f t="shared" si="17"/>
        <v>0</v>
      </c>
      <c r="T69" s="41" t="s">
        <v>444</v>
      </c>
      <c r="U69" s="41" t="s">
        <v>283</v>
      </c>
      <c r="V69" s="40"/>
      <c r="W69" s="40"/>
      <c r="X69" s="29"/>
      <c r="Y69" s="22"/>
      <c r="Z69" s="23">
        <v>0.75</v>
      </c>
      <c r="AA69" s="75">
        <f t="shared" si="18"/>
        <v>0</v>
      </c>
    </row>
    <row r="70" spans="2:27" s="24" customFormat="1" x14ac:dyDescent="0.25">
      <c r="B70" s="8" t="s">
        <v>315</v>
      </c>
      <c r="C70" s="25"/>
      <c r="D70" s="28">
        <f>SUM(D55:D69)</f>
        <v>750000</v>
      </c>
      <c r="E70" s="30"/>
      <c r="F70" s="30"/>
      <c r="G70" s="25"/>
      <c r="H70" s="26"/>
      <c r="I70" s="28">
        <f>SUM(I55:I69)</f>
        <v>50625</v>
      </c>
      <c r="K70" s="8" t="s">
        <v>315</v>
      </c>
      <c r="L70" s="25"/>
      <c r="M70" s="28">
        <f>SUM(M55:M69)</f>
        <v>750000</v>
      </c>
      <c r="N70" s="30"/>
      <c r="O70" s="30"/>
      <c r="P70" s="25"/>
      <c r="Q70" s="26"/>
      <c r="R70" s="28">
        <f>SUM(R55:R69)</f>
        <v>50625</v>
      </c>
      <c r="T70" s="8" t="s">
        <v>315</v>
      </c>
      <c r="U70" s="25"/>
      <c r="V70" s="28">
        <f>SUM(V55:V69)</f>
        <v>0</v>
      </c>
      <c r="W70" s="28">
        <f>SUM(W55:W69)</f>
        <v>0</v>
      </c>
      <c r="X70" s="30"/>
      <c r="Y70" s="25"/>
      <c r="Z70" s="26"/>
      <c r="AA70" s="28">
        <f>SUM(AA55:AA69)</f>
        <v>0</v>
      </c>
    </row>
    <row r="72" spans="2:27" s="20" customFormat="1" ht="38.25" x14ac:dyDescent="0.25">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x14ac:dyDescent="0.25">
      <c r="B73" s="5" t="s">
        <v>467</v>
      </c>
      <c r="C73" s="5" t="s">
        <v>310</v>
      </c>
      <c r="D73" s="29"/>
      <c r="E73" s="29"/>
      <c r="F73" s="11">
        <v>7500</v>
      </c>
      <c r="G73" s="31"/>
      <c r="H73" s="32"/>
      <c r="I73" s="29"/>
      <c r="K73" s="5" t="s">
        <v>467</v>
      </c>
      <c r="L73" s="5" t="s">
        <v>310</v>
      </c>
      <c r="M73" s="29"/>
      <c r="N73" s="29"/>
      <c r="O73" s="11">
        <v>7500</v>
      </c>
      <c r="P73" s="31"/>
      <c r="Q73" s="32"/>
      <c r="R73" s="29"/>
      <c r="T73" s="41" t="s">
        <v>444</v>
      </c>
      <c r="U73" s="41" t="s">
        <v>283</v>
      </c>
      <c r="V73" s="40"/>
      <c r="W73" s="40"/>
      <c r="X73" s="40"/>
      <c r="Y73" s="31"/>
      <c r="Z73" s="32"/>
      <c r="AA73" s="29"/>
    </row>
    <row r="74" spans="2:27" x14ac:dyDescent="0.25">
      <c r="B74" s="5" t="s">
        <v>312</v>
      </c>
      <c r="C74" s="5" t="s">
        <v>313</v>
      </c>
      <c r="D74" s="29"/>
      <c r="E74" s="29"/>
      <c r="F74" s="11"/>
      <c r="G74" s="31"/>
      <c r="H74" s="32"/>
      <c r="I74" s="29"/>
      <c r="K74" s="5" t="s">
        <v>312</v>
      </c>
      <c r="L74" s="5" t="s">
        <v>313</v>
      </c>
      <c r="M74" s="29"/>
      <c r="N74" s="29"/>
      <c r="O74" s="11"/>
      <c r="P74" s="31"/>
      <c r="Q74" s="32"/>
      <c r="R74" s="29"/>
      <c r="T74" s="41" t="s">
        <v>444</v>
      </c>
      <c r="U74" s="41" t="s">
        <v>283</v>
      </c>
      <c r="V74" s="40"/>
      <c r="W74" s="40"/>
      <c r="X74" s="40"/>
      <c r="Y74" s="31"/>
      <c r="Z74" s="32"/>
      <c r="AA74" s="29"/>
    </row>
    <row r="75" spans="2:27" x14ac:dyDescent="0.25">
      <c r="B75" s="5" t="s">
        <v>312</v>
      </c>
      <c r="C75" s="5" t="s">
        <v>313</v>
      </c>
      <c r="D75" s="29"/>
      <c r="E75" s="29"/>
      <c r="F75" s="11"/>
      <c r="G75" s="31"/>
      <c r="H75" s="32"/>
      <c r="I75" s="29"/>
      <c r="K75" s="5" t="s">
        <v>312</v>
      </c>
      <c r="L75" s="5" t="s">
        <v>313</v>
      </c>
      <c r="M75" s="29"/>
      <c r="N75" s="29"/>
      <c r="O75" s="11"/>
      <c r="P75" s="31"/>
      <c r="Q75" s="32"/>
      <c r="R75" s="29"/>
      <c r="T75" s="41" t="s">
        <v>444</v>
      </c>
      <c r="U75" s="41" t="s">
        <v>283</v>
      </c>
      <c r="V75" s="40"/>
      <c r="W75" s="40"/>
      <c r="X75" s="40"/>
      <c r="Y75" s="31"/>
      <c r="Z75" s="32"/>
      <c r="AA75" s="29"/>
    </row>
    <row r="76" spans="2:27" x14ac:dyDescent="0.25">
      <c r="B76" s="5" t="s">
        <v>312</v>
      </c>
      <c r="C76" s="5" t="s">
        <v>313</v>
      </c>
      <c r="D76" s="29"/>
      <c r="E76" s="29"/>
      <c r="F76" s="11"/>
      <c r="G76" s="31"/>
      <c r="H76" s="32"/>
      <c r="I76" s="29"/>
      <c r="K76" s="5" t="s">
        <v>312</v>
      </c>
      <c r="L76" s="5" t="s">
        <v>313</v>
      </c>
      <c r="M76" s="29"/>
      <c r="N76" s="29"/>
      <c r="O76" s="11"/>
      <c r="P76" s="31"/>
      <c r="Q76" s="32"/>
      <c r="R76" s="29"/>
      <c r="T76" s="41" t="s">
        <v>444</v>
      </c>
      <c r="U76" s="41" t="s">
        <v>283</v>
      </c>
      <c r="V76" s="40"/>
      <c r="W76" s="40"/>
      <c r="X76" s="40"/>
      <c r="Y76" s="31"/>
      <c r="Z76" s="32"/>
      <c r="AA76" s="29"/>
    </row>
    <row r="77" spans="2:27" x14ac:dyDescent="0.25">
      <c r="B77" s="5" t="s">
        <v>312</v>
      </c>
      <c r="C77" s="5" t="s">
        <v>313</v>
      </c>
      <c r="D77" s="29"/>
      <c r="E77" s="29"/>
      <c r="F77" s="11"/>
      <c r="G77" s="31"/>
      <c r="H77" s="32"/>
      <c r="I77" s="29"/>
      <c r="K77" s="5" t="s">
        <v>312</v>
      </c>
      <c r="L77" s="5" t="s">
        <v>313</v>
      </c>
      <c r="M77" s="29"/>
      <c r="N77" s="29"/>
      <c r="O77" s="11"/>
      <c r="P77" s="31"/>
      <c r="Q77" s="32"/>
      <c r="R77" s="29"/>
      <c r="T77" s="41" t="s">
        <v>444</v>
      </c>
      <c r="U77" s="41" t="s">
        <v>283</v>
      </c>
      <c r="V77" s="40"/>
      <c r="W77" s="40"/>
      <c r="X77" s="40"/>
      <c r="Y77" s="31"/>
      <c r="Z77" s="32"/>
      <c r="AA77" s="29"/>
    </row>
    <row r="78" spans="2:27" x14ac:dyDescent="0.25">
      <c r="B78" s="5" t="s">
        <v>312</v>
      </c>
      <c r="C78" s="5" t="s">
        <v>313</v>
      </c>
      <c r="D78" s="29"/>
      <c r="E78" s="29"/>
      <c r="F78" s="11"/>
      <c r="G78" s="31"/>
      <c r="H78" s="32"/>
      <c r="I78" s="29"/>
      <c r="K78" s="5" t="s">
        <v>312</v>
      </c>
      <c r="L78" s="5" t="s">
        <v>313</v>
      </c>
      <c r="M78" s="29"/>
      <c r="N78" s="29"/>
      <c r="O78" s="11"/>
      <c r="P78" s="31"/>
      <c r="Q78" s="32"/>
      <c r="R78" s="29"/>
      <c r="T78" s="41" t="s">
        <v>444</v>
      </c>
      <c r="U78" s="41" t="s">
        <v>283</v>
      </c>
      <c r="V78" s="40"/>
      <c r="W78" s="40"/>
      <c r="X78" s="40"/>
      <c r="Y78" s="31"/>
      <c r="Z78" s="32"/>
      <c r="AA78" s="29"/>
    </row>
    <row r="79" spans="2:27" x14ac:dyDescent="0.25">
      <c r="B79" s="5" t="s">
        <v>312</v>
      </c>
      <c r="C79" s="5" t="s">
        <v>313</v>
      </c>
      <c r="D79" s="29"/>
      <c r="E79" s="29"/>
      <c r="F79" s="11"/>
      <c r="G79" s="31"/>
      <c r="H79" s="32"/>
      <c r="I79" s="29"/>
      <c r="K79" s="5" t="s">
        <v>312</v>
      </c>
      <c r="L79" s="5" t="s">
        <v>313</v>
      </c>
      <c r="M79" s="29"/>
      <c r="N79" s="29"/>
      <c r="O79" s="11"/>
      <c r="P79" s="31"/>
      <c r="Q79" s="32"/>
      <c r="R79" s="29"/>
      <c r="T79" s="41" t="s">
        <v>444</v>
      </c>
      <c r="U79" s="41" t="s">
        <v>283</v>
      </c>
      <c r="V79" s="40"/>
      <c r="W79" s="40"/>
      <c r="X79" s="40"/>
      <c r="Y79" s="31"/>
      <c r="Z79" s="32"/>
      <c r="AA79" s="29"/>
    </row>
    <row r="80" spans="2:27" x14ac:dyDescent="0.25">
      <c r="B80" s="5" t="s">
        <v>312</v>
      </c>
      <c r="C80" s="5" t="s">
        <v>313</v>
      </c>
      <c r="D80" s="29"/>
      <c r="E80" s="29"/>
      <c r="F80" s="11"/>
      <c r="G80" s="31"/>
      <c r="H80" s="32"/>
      <c r="I80" s="29"/>
      <c r="K80" s="5" t="s">
        <v>312</v>
      </c>
      <c r="L80" s="5" t="s">
        <v>313</v>
      </c>
      <c r="M80" s="29"/>
      <c r="N80" s="29"/>
      <c r="O80" s="11"/>
      <c r="P80" s="31"/>
      <c r="Q80" s="32"/>
      <c r="R80" s="29"/>
      <c r="T80" s="41" t="s">
        <v>444</v>
      </c>
      <c r="U80" s="41" t="s">
        <v>283</v>
      </c>
      <c r="V80" s="40"/>
      <c r="W80" s="40"/>
      <c r="X80" s="40"/>
      <c r="Y80" s="31"/>
      <c r="Z80" s="32"/>
      <c r="AA80" s="29"/>
    </row>
    <row r="81" spans="2:27" x14ac:dyDescent="0.25">
      <c r="B81" s="5" t="s">
        <v>312</v>
      </c>
      <c r="C81" s="5" t="s">
        <v>313</v>
      </c>
      <c r="D81" s="29"/>
      <c r="E81" s="29"/>
      <c r="F81" s="11"/>
      <c r="G81" s="31"/>
      <c r="H81" s="32"/>
      <c r="I81" s="29"/>
      <c r="K81" s="5" t="s">
        <v>312</v>
      </c>
      <c r="L81" s="5" t="s">
        <v>313</v>
      </c>
      <c r="M81" s="29"/>
      <c r="N81" s="29"/>
      <c r="O81" s="11"/>
      <c r="P81" s="31"/>
      <c r="Q81" s="32"/>
      <c r="R81" s="29"/>
      <c r="T81" s="41" t="s">
        <v>444</v>
      </c>
      <c r="U81" s="41" t="s">
        <v>283</v>
      </c>
      <c r="V81" s="40"/>
      <c r="W81" s="40"/>
      <c r="X81" s="40"/>
      <c r="Y81" s="31"/>
      <c r="Z81" s="32"/>
      <c r="AA81" s="29"/>
    </row>
    <row r="82" spans="2:27" x14ac:dyDescent="0.25">
      <c r="B82" s="5" t="s">
        <v>312</v>
      </c>
      <c r="C82" s="5" t="s">
        <v>313</v>
      </c>
      <c r="D82" s="29"/>
      <c r="E82" s="29"/>
      <c r="F82" s="11"/>
      <c r="G82" s="31"/>
      <c r="H82" s="32"/>
      <c r="I82" s="29"/>
      <c r="K82" s="5" t="s">
        <v>312</v>
      </c>
      <c r="L82" s="5" t="s">
        <v>313</v>
      </c>
      <c r="M82" s="29"/>
      <c r="N82" s="29"/>
      <c r="O82" s="11"/>
      <c r="P82" s="31"/>
      <c r="Q82" s="32"/>
      <c r="R82" s="29"/>
      <c r="T82" s="41" t="s">
        <v>444</v>
      </c>
      <c r="U82" s="41" t="s">
        <v>283</v>
      </c>
      <c r="V82" s="40"/>
      <c r="W82" s="40"/>
      <c r="X82" s="40"/>
      <c r="Y82" s="31"/>
      <c r="Z82" s="32"/>
      <c r="AA82" s="29"/>
    </row>
    <row r="83" spans="2:27" x14ac:dyDescent="0.25">
      <c r="B83" s="5" t="s">
        <v>312</v>
      </c>
      <c r="C83" s="5" t="s">
        <v>313</v>
      </c>
      <c r="D83" s="29"/>
      <c r="E83" s="29"/>
      <c r="F83" s="11"/>
      <c r="G83" s="31"/>
      <c r="H83" s="32"/>
      <c r="I83" s="29"/>
      <c r="K83" s="5" t="s">
        <v>312</v>
      </c>
      <c r="L83" s="5" t="s">
        <v>313</v>
      </c>
      <c r="M83" s="29"/>
      <c r="N83" s="29"/>
      <c r="O83" s="11"/>
      <c r="P83" s="31"/>
      <c r="Q83" s="32"/>
      <c r="R83" s="29"/>
      <c r="T83" s="41" t="s">
        <v>444</v>
      </c>
      <c r="U83" s="41" t="s">
        <v>283</v>
      </c>
      <c r="V83" s="40"/>
      <c r="W83" s="40"/>
      <c r="X83" s="40"/>
      <c r="Y83" s="31"/>
      <c r="Z83" s="32"/>
      <c r="AA83" s="29"/>
    </row>
    <row r="84" spans="2:27" x14ac:dyDescent="0.25">
      <c r="B84" s="5" t="s">
        <v>312</v>
      </c>
      <c r="C84" s="5" t="s">
        <v>313</v>
      </c>
      <c r="D84" s="29"/>
      <c r="E84" s="29"/>
      <c r="F84" s="11"/>
      <c r="G84" s="31"/>
      <c r="H84" s="32"/>
      <c r="I84" s="29"/>
      <c r="K84" s="5" t="s">
        <v>312</v>
      </c>
      <c r="L84" s="5" t="s">
        <v>313</v>
      </c>
      <c r="M84" s="29"/>
      <c r="N84" s="29"/>
      <c r="O84" s="11"/>
      <c r="P84" s="31"/>
      <c r="Q84" s="32"/>
      <c r="R84" s="29"/>
      <c r="T84" s="41" t="s">
        <v>444</v>
      </c>
      <c r="U84" s="41" t="s">
        <v>283</v>
      </c>
      <c r="V84" s="40"/>
      <c r="W84" s="40"/>
      <c r="X84" s="40"/>
      <c r="Y84" s="31"/>
      <c r="Z84" s="32"/>
      <c r="AA84" s="29"/>
    </row>
    <row r="85" spans="2:27" x14ac:dyDescent="0.25">
      <c r="B85" s="5" t="s">
        <v>312</v>
      </c>
      <c r="C85" s="5" t="s">
        <v>313</v>
      </c>
      <c r="D85" s="29"/>
      <c r="E85" s="29"/>
      <c r="F85" s="11"/>
      <c r="G85" s="31"/>
      <c r="H85" s="32"/>
      <c r="I85" s="29"/>
      <c r="K85" s="5" t="s">
        <v>312</v>
      </c>
      <c r="L85" s="5" t="s">
        <v>313</v>
      </c>
      <c r="M85" s="29"/>
      <c r="N85" s="29"/>
      <c r="O85" s="11"/>
      <c r="P85" s="31"/>
      <c r="Q85" s="32"/>
      <c r="R85" s="29"/>
      <c r="T85" s="41" t="s">
        <v>444</v>
      </c>
      <c r="U85" s="41" t="s">
        <v>283</v>
      </c>
      <c r="V85" s="40"/>
      <c r="W85" s="40"/>
      <c r="X85" s="40"/>
      <c r="Y85" s="31"/>
      <c r="Z85" s="32"/>
      <c r="AA85" s="29"/>
    </row>
    <row r="86" spans="2:27" x14ac:dyDescent="0.25">
      <c r="B86" s="5" t="s">
        <v>312</v>
      </c>
      <c r="C86" s="5" t="s">
        <v>313</v>
      </c>
      <c r="D86" s="29"/>
      <c r="E86" s="29"/>
      <c r="F86" s="11"/>
      <c r="G86" s="31"/>
      <c r="H86" s="32"/>
      <c r="I86" s="29"/>
      <c r="K86" s="5" t="s">
        <v>312</v>
      </c>
      <c r="L86" s="5" t="s">
        <v>313</v>
      </c>
      <c r="M86" s="29"/>
      <c r="N86" s="29"/>
      <c r="O86" s="11"/>
      <c r="P86" s="31"/>
      <c r="Q86" s="32"/>
      <c r="R86" s="29"/>
      <c r="T86" s="41" t="s">
        <v>444</v>
      </c>
      <c r="U86" s="41" t="s">
        <v>283</v>
      </c>
      <c r="V86" s="40"/>
      <c r="W86" s="40"/>
      <c r="X86" s="40"/>
      <c r="Y86" s="31"/>
      <c r="Z86" s="32"/>
      <c r="AA86" s="29"/>
    </row>
    <row r="87" spans="2:27" x14ac:dyDescent="0.25">
      <c r="B87" s="5" t="s">
        <v>312</v>
      </c>
      <c r="C87" s="5" t="s">
        <v>313</v>
      </c>
      <c r="D87" s="29"/>
      <c r="E87" s="29"/>
      <c r="F87" s="11"/>
      <c r="G87" s="31"/>
      <c r="H87" s="32"/>
      <c r="I87" s="29"/>
      <c r="K87" s="5" t="s">
        <v>312</v>
      </c>
      <c r="L87" s="5" t="s">
        <v>313</v>
      </c>
      <c r="M87" s="29"/>
      <c r="N87" s="29"/>
      <c r="O87" s="11"/>
      <c r="P87" s="31"/>
      <c r="Q87" s="32"/>
      <c r="R87" s="29"/>
      <c r="T87" s="41" t="s">
        <v>444</v>
      </c>
      <c r="U87" s="41" t="s">
        <v>283</v>
      </c>
      <c r="V87" s="40"/>
      <c r="W87" s="40"/>
      <c r="X87" s="40"/>
      <c r="Y87" s="31"/>
      <c r="Z87" s="32"/>
      <c r="AA87" s="29"/>
    </row>
    <row r="88" spans="2:27" s="24" customFormat="1" x14ac:dyDescent="0.25">
      <c r="B88" s="8" t="s">
        <v>445</v>
      </c>
      <c r="C88" s="25"/>
      <c r="D88" s="30"/>
      <c r="E88" s="30"/>
      <c r="F88" s="28">
        <f t="shared" ref="F88" si="22">SUM(F73:F87)</f>
        <v>7500</v>
      </c>
      <c r="G88" s="25"/>
      <c r="H88" s="26"/>
      <c r="I88" s="30"/>
      <c r="K88" s="8" t="s">
        <v>445</v>
      </c>
      <c r="L88" s="25"/>
      <c r="M88" s="30"/>
      <c r="N88" s="30"/>
      <c r="O88" s="28">
        <f t="shared" ref="O88" si="23">SUM(O73:O87)</f>
        <v>7500</v>
      </c>
      <c r="P88" s="25"/>
      <c r="Q88" s="26"/>
      <c r="R88" s="30"/>
      <c r="T88" s="8" t="s">
        <v>445</v>
      </c>
      <c r="U88" s="25"/>
      <c r="V88" s="28">
        <f t="shared" ref="V88:X88" si="24">SUM(V73:V87)</f>
        <v>0</v>
      </c>
      <c r="W88" s="28">
        <f t="shared" si="24"/>
        <v>0</v>
      </c>
      <c r="X88" s="28">
        <f t="shared" si="24"/>
        <v>0</v>
      </c>
      <c r="Y88" s="25"/>
      <c r="Z88" s="26"/>
      <c r="AA88" s="30"/>
    </row>
    <row r="90" spans="2:27" s="20" customFormat="1" ht="38.25" x14ac:dyDescent="0.25">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x14ac:dyDescent="0.25">
      <c r="B91" s="5" t="s">
        <v>468</v>
      </c>
      <c r="C91" s="5" t="s">
        <v>310</v>
      </c>
      <c r="D91" s="11">
        <v>150000</v>
      </c>
      <c r="E91" s="11"/>
      <c r="F91" s="29"/>
      <c r="G91" s="22">
        <v>0.09</v>
      </c>
      <c r="H91" s="23">
        <v>0.82</v>
      </c>
      <c r="I91" s="75">
        <f>D91*G91*H91</f>
        <v>11070</v>
      </c>
      <c r="K91" s="5" t="s">
        <v>468</v>
      </c>
      <c r="L91" s="5" t="s">
        <v>310</v>
      </c>
      <c r="M91" s="11">
        <v>150000</v>
      </c>
      <c r="N91" s="11"/>
      <c r="O91" s="29"/>
      <c r="P91" s="22">
        <v>0.09</v>
      </c>
      <c r="Q91" s="23">
        <v>0.82</v>
      </c>
      <c r="R91" s="75">
        <f>M91*P91*Q91</f>
        <v>11070</v>
      </c>
      <c r="T91" s="41" t="s">
        <v>444</v>
      </c>
      <c r="U91" s="41" t="s">
        <v>283</v>
      </c>
      <c r="V91" s="40"/>
      <c r="W91" s="40"/>
      <c r="X91" s="29"/>
      <c r="Y91" s="22">
        <v>0.09</v>
      </c>
      <c r="Z91" s="23">
        <v>0.82</v>
      </c>
      <c r="AA91" s="75">
        <f>V91*Y91*Z91</f>
        <v>0</v>
      </c>
    </row>
    <row r="92" spans="2:27" x14ac:dyDescent="0.25">
      <c r="B92" s="5" t="s">
        <v>312</v>
      </c>
      <c r="C92" s="5" t="s">
        <v>313</v>
      </c>
      <c r="D92" s="11"/>
      <c r="E92" s="11"/>
      <c r="F92" s="29"/>
      <c r="G92" s="22"/>
      <c r="H92" s="23">
        <v>0.82</v>
      </c>
      <c r="I92" s="75">
        <f t="shared" ref="I92:I105" si="28">D92*G92*H92</f>
        <v>0</v>
      </c>
      <c r="K92" s="5" t="s">
        <v>312</v>
      </c>
      <c r="L92" s="5" t="s">
        <v>313</v>
      </c>
      <c r="M92" s="11"/>
      <c r="N92" s="11"/>
      <c r="O92" s="29"/>
      <c r="P92" s="22"/>
      <c r="Q92" s="23">
        <v>0.82</v>
      </c>
      <c r="R92" s="75">
        <f t="shared" ref="R92:R105" si="29">M92*P92*Q92</f>
        <v>0</v>
      </c>
      <c r="T92" s="41" t="s">
        <v>444</v>
      </c>
      <c r="U92" s="41" t="s">
        <v>283</v>
      </c>
      <c r="V92" s="40"/>
      <c r="W92" s="40"/>
      <c r="X92" s="29"/>
      <c r="Y92" s="22"/>
      <c r="Z92" s="23">
        <v>0.82</v>
      </c>
      <c r="AA92" s="75">
        <f t="shared" ref="AA92:AA105" si="30">V92*Y92*Z92</f>
        <v>0</v>
      </c>
    </row>
    <row r="93" spans="2:27" x14ac:dyDescent="0.25">
      <c r="B93" s="5" t="s">
        <v>312</v>
      </c>
      <c r="C93" s="5" t="s">
        <v>313</v>
      </c>
      <c r="D93" s="11"/>
      <c r="E93" s="11"/>
      <c r="F93" s="29"/>
      <c r="G93" s="22"/>
      <c r="H93" s="23">
        <v>0.82</v>
      </c>
      <c r="I93" s="75">
        <f t="shared" si="28"/>
        <v>0</v>
      </c>
      <c r="K93" s="5" t="s">
        <v>312</v>
      </c>
      <c r="L93" s="5" t="s">
        <v>313</v>
      </c>
      <c r="M93" s="11"/>
      <c r="N93" s="11"/>
      <c r="O93" s="29"/>
      <c r="P93" s="22"/>
      <c r="Q93" s="23">
        <v>0.82</v>
      </c>
      <c r="R93" s="75">
        <f t="shared" si="29"/>
        <v>0</v>
      </c>
      <c r="T93" s="41" t="s">
        <v>444</v>
      </c>
      <c r="U93" s="41" t="s">
        <v>283</v>
      </c>
      <c r="V93" s="40"/>
      <c r="W93" s="40"/>
      <c r="X93" s="29"/>
      <c r="Y93" s="22"/>
      <c r="Z93" s="23">
        <v>0.82</v>
      </c>
      <c r="AA93" s="75">
        <f t="shared" si="30"/>
        <v>0</v>
      </c>
    </row>
    <row r="94" spans="2:27" x14ac:dyDescent="0.25">
      <c r="B94" s="5" t="s">
        <v>312</v>
      </c>
      <c r="C94" s="5" t="s">
        <v>313</v>
      </c>
      <c r="D94" s="11"/>
      <c r="E94" s="11"/>
      <c r="F94" s="29"/>
      <c r="G94" s="22"/>
      <c r="H94" s="23">
        <v>0.82</v>
      </c>
      <c r="I94" s="75">
        <f t="shared" si="28"/>
        <v>0</v>
      </c>
      <c r="K94" s="5" t="s">
        <v>312</v>
      </c>
      <c r="L94" s="5" t="s">
        <v>313</v>
      </c>
      <c r="M94" s="11"/>
      <c r="N94" s="11"/>
      <c r="O94" s="29"/>
      <c r="P94" s="22"/>
      <c r="Q94" s="23">
        <v>0.82</v>
      </c>
      <c r="R94" s="75">
        <f t="shared" si="29"/>
        <v>0</v>
      </c>
      <c r="T94" s="41" t="s">
        <v>444</v>
      </c>
      <c r="U94" s="41" t="s">
        <v>283</v>
      </c>
      <c r="V94" s="40"/>
      <c r="W94" s="40"/>
      <c r="X94" s="29"/>
      <c r="Y94" s="22"/>
      <c r="Z94" s="23">
        <v>0.82</v>
      </c>
      <c r="AA94" s="75">
        <f t="shared" si="30"/>
        <v>0</v>
      </c>
    </row>
    <row r="95" spans="2:27" x14ac:dyDescent="0.25">
      <c r="B95" s="5" t="s">
        <v>312</v>
      </c>
      <c r="C95" s="5" t="s">
        <v>313</v>
      </c>
      <c r="D95" s="11"/>
      <c r="E95" s="11"/>
      <c r="F95" s="29"/>
      <c r="G95" s="22"/>
      <c r="H95" s="23">
        <v>0.82</v>
      </c>
      <c r="I95" s="75">
        <f t="shared" si="28"/>
        <v>0</v>
      </c>
      <c r="K95" s="5" t="s">
        <v>312</v>
      </c>
      <c r="L95" s="5" t="s">
        <v>313</v>
      </c>
      <c r="M95" s="11"/>
      <c r="N95" s="11"/>
      <c r="O95" s="29"/>
      <c r="P95" s="22"/>
      <c r="Q95" s="23">
        <v>0.82</v>
      </c>
      <c r="R95" s="75">
        <f t="shared" si="29"/>
        <v>0</v>
      </c>
      <c r="T95" s="41" t="s">
        <v>444</v>
      </c>
      <c r="U95" s="41" t="s">
        <v>283</v>
      </c>
      <c r="V95" s="40"/>
      <c r="W95" s="40"/>
      <c r="X95" s="29"/>
      <c r="Y95" s="22"/>
      <c r="Z95" s="23">
        <v>0.82</v>
      </c>
      <c r="AA95" s="75">
        <f t="shared" si="30"/>
        <v>0</v>
      </c>
    </row>
    <row r="96" spans="2:27" x14ac:dyDescent="0.25">
      <c r="B96" s="5" t="s">
        <v>312</v>
      </c>
      <c r="C96" s="5" t="s">
        <v>313</v>
      </c>
      <c r="D96" s="11"/>
      <c r="E96" s="11"/>
      <c r="F96" s="29"/>
      <c r="G96" s="22"/>
      <c r="H96" s="23">
        <v>0.82</v>
      </c>
      <c r="I96" s="75">
        <f t="shared" si="28"/>
        <v>0</v>
      </c>
      <c r="K96" s="5" t="s">
        <v>312</v>
      </c>
      <c r="L96" s="5" t="s">
        <v>313</v>
      </c>
      <c r="M96" s="11"/>
      <c r="N96" s="11"/>
      <c r="O96" s="29"/>
      <c r="P96" s="22"/>
      <c r="Q96" s="23">
        <v>0.82</v>
      </c>
      <c r="R96" s="75">
        <f t="shared" si="29"/>
        <v>0</v>
      </c>
      <c r="T96" s="41" t="s">
        <v>444</v>
      </c>
      <c r="U96" s="41" t="s">
        <v>283</v>
      </c>
      <c r="V96" s="40"/>
      <c r="W96" s="40"/>
      <c r="X96" s="29"/>
      <c r="Y96" s="22"/>
      <c r="Z96" s="23">
        <v>0.82</v>
      </c>
      <c r="AA96" s="75">
        <f t="shared" si="30"/>
        <v>0</v>
      </c>
    </row>
    <row r="97" spans="2:27" x14ac:dyDescent="0.25">
      <c r="B97" s="5" t="s">
        <v>312</v>
      </c>
      <c r="C97" s="5" t="s">
        <v>313</v>
      </c>
      <c r="D97" s="11"/>
      <c r="E97" s="11"/>
      <c r="F97" s="29"/>
      <c r="G97" s="22"/>
      <c r="H97" s="23">
        <v>0.82</v>
      </c>
      <c r="I97" s="75">
        <f t="shared" si="28"/>
        <v>0</v>
      </c>
      <c r="K97" s="5" t="s">
        <v>312</v>
      </c>
      <c r="L97" s="5" t="s">
        <v>313</v>
      </c>
      <c r="M97" s="11"/>
      <c r="N97" s="11"/>
      <c r="O97" s="29"/>
      <c r="P97" s="22"/>
      <c r="Q97" s="23">
        <v>0.82</v>
      </c>
      <c r="R97" s="75">
        <f t="shared" si="29"/>
        <v>0</v>
      </c>
      <c r="T97" s="41" t="s">
        <v>444</v>
      </c>
      <c r="U97" s="41" t="s">
        <v>283</v>
      </c>
      <c r="V97" s="40"/>
      <c r="W97" s="40"/>
      <c r="X97" s="29"/>
      <c r="Y97" s="22"/>
      <c r="Z97" s="23">
        <v>0.82</v>
      </c>
      <c r="AA97" s="75">
        <f t="shared" si="30"/>
        <v>0</v>
      </c>
    </row>
    <row r="98" spans="2:27" x14ac:dyDescent="0.25">
      <c r="B98" s="5" t="s">
        <v>312</v>
      </c>
      <c r="C98" s="5" t="s">
        <v>313</v>
      </c>
      <c r="D98" s="11"/>
      <c r="E98" s="11"/>
      <c r="F98" s="29"/>
      <c r="G98" s="22"/>
      <c r="H98" s="23">
        <v>0.82</v>
      </c>
      <c r="I98" s="75">
        <f t="shared" si="28"/>
        <v>0</v>
      </c>
      <c r="K98" s="5" t="s">
        <v>312</v>
      </c>
      <c r="L98" s="5" t="s">
        <v>313</v>
      </c>
      <c r="M98" s="11"/>
      <c r="N98" s="11"/>
      <c r="O98" s="29"/>
      <c r="P98" s="22"/>
      <c r="Q98" s="23">
        <v>0.82</v>
      </c>
      <c r="R98" s="75">
        <f t="shared" si="29"/>
        <v>0</v>
      </c>
      <c r="T98" s="41" t="s">
        <v>444</v>
      </c>
      <c r="U98" s="41" t="s">
        <v>283</v>
      </c>
      <c r="V98" s="40"/>
      <c r="W98" s="40"/>
      <c r="X98" s="29"/>
      <c r="Y98" s="22"/>
      <c r="Z98" s="23">
        <v>0.82</v>
      </c>
      <c r="AA98" s="75">
        <f t="shared" si="30"/>
        <v>0</v>
      </c>
    </row>
    <row r="99" spans="2:27" x14ac:dyDescent="0.25">
      <c r="B99" s="5" t="s">
        <v>312</v>
      </c>
      <c r="C99" s="5" t="s">
        <v>313</v>
      </c>
      <c r="D99" s="11"/>
      <c r="E99" s="11"/>
      <c r="F99" s="29"/>
      <c r="G99" s="22"/>
      <c r="H99" s="23">
        <v>0.82</v>
      </c>
      <c r="I99" s="75">
        <f t="shared" si="28"/>
        <v>0</v>
      </c>
      <c r="K99" s="5" t="s">
        <v>312</v>
      </c>
      <c r="L99" s="5" t="s">
        <v>313</v>
      </c>
      <c r="M99" s="11"/>
      <c r="N99" s="11"/>
      <c r="O99" s="29"/>
      <c r="P99" s="22"/>
      <c r="Q99" s="23">
        <v>0.82</v>
      </c>
      <c r="R99" s="75">
        <f t="shared" si="29"/>
        <v>0</v>
      </c>
      <c r="T99" s="41" t="s">
        <v>444</v>
      </c>
      <c r="U99" s="41" t="s">
        <v>283</v>
      </c>
      <c r="V99" s="40"/>
      <c r="W99" s="40"/>
      <c r="X99" s="29"/>
      <c r="Y99" s="22"/>
      <c r="Z99" s="23">
        <v>0.82</v>
      </c>
      <c r="AA99" s="75">
        <f t="shared" si="30"/>
        <v>0</v>
      </c>
    </row>
    <row r="100" spans="2:27" x14ac:dyDescent="0.25">
      <c r="B100" s="5" t="s">
        <v>312</v>
      </c>
      <c r="C100" s="5" t="s">
        <v>313</v>
      </c>
      <c r="D100" s="11"/>
      <c r="E100" s="11"/>
      <c r="F100" s="29"/>
      <c r="G100" s="22"/>
      <c r="H100" s="23">
        <v>0.82</v>
      </c>
      <c r="I100" s="75">
        <f t="shared" si="28"/>
        <v>0</v>
      </c>
      <c r="K100" s="5" t="s">
        <v>312</v>
      </c>
      <c r="L100" s="5" t="s">
        <v>313</v>
      </c>
      <c r="M100" s="11"/>
      <c r="N100" s="11"/>
      <c r="O100" s="29"/>
      <c r="P100" s="22"/>
      <c r="Q100" s="23">
        <v>0.82</v>
      </c>
      <c r="R100" s="75">
        <f t="shared" si="29"/>
        <v>0</v>
      </c>
      <c r="T100" s="41" t="s">
        <v>444</v>
      </c>
      <c r="U100" s="41" t="s">
        <v>283</v>
      </c>
      <c r="V100" s="40"/>
      <c r="W100" s="40"/>
      <c r="X100" s="29"/>
      <c r="Y100" s="22"/>
      <c r="Z100" s="23">
        <v>0.82</v>
      </c>
      <c r="AA100" s="75">
        <f t="shared" si="30"/>
        <v>0</v>
      </c>
    </row>
    <row r="101" spans="2:27" x14ac:dyDescent="0.25">
      <c r="B101" s="5" t="s">
        <v>312</v>
      </c>
      <c r="C101" s="5" t="s">
        <v>313</v>
      </c>
      <c r="D101" s="11"/>
      <c r="E101" s="11"/>
      <c r="F101" s="29"/>
      <c r="G101" s="22"/>
      <c r="H101" s="23">
        <v>0.82</v>
      </c>
      <c r="I101" s="75">
        <f t="shared" si="28"/>
        <v>0</v>
      </c>
      <c r="K101" s="5" t="s">
        <v>312</v>
      </c>
      <c r="L101" s="5" t="s">
        <v>313</v>
      </c>
      <c r="M101" s="11"/>
      <c r="N101" s="11"/>
      <c r="O101" s="29"/>
      <c r="P101" s="22"/>
      <c r="Q101" s="23">
        <v>0.82</v>
      </c>
      <c r="R101" s="75">
        <f t="shared" si="29"/>
        <v>0</v>
      </c>
      <c r="T101" s="41" t="s">
        <v>444</v>
      </c>
      <c r="U101" s="41" t="s">
        <v>283</v>
      </c>
      <c r="V101" s="40"/>
      <c r="W101" s="40"/>
      <c r="X101" s="29"/>
      <c r="Y101" s="22"/>
      <c r="Z101" s="23">
        <v>0.82</v>
      </c>
      <c r="AA101" s="75">
        <f t="shared" si="30"/>
        <v>0</v>
      </c>
    </row>
    <row r="102" spans="2:27" x14ac:dyDescent="0.25">
      <c r="B102" s="5" t="s">
        <v>312</v>
      </c>
      <c r="C102" s="5" t="s">
        <v>313</v>
      </c>
      <c r="D102" s="11"/>
      <c r="E102" s="11"/>
      <c r="F102" s="29"/>
      <c r="G102" s="22"/>
      <c r="H102" s="23">
        <v>0.82</v>
      </c>
      <c r="I102" s="75">
        <f t="shared" si="28"/>
        <v>0</v>
      </c>
      <c r="K102" s="5" t="s">
        <v>312</v>
      </c>
      <c r="L102" s="5" t="s">
        <v>313</v>
      </c>
      <c r="M102" s="11"/>
      <c r="N102" s="11"/>
      <c r="O102" s="29"/>
      <c r="P102" s="22"/>
      <c r="Q102" s="23">
        <v>0.82</v>
      </c>
      <c r="R102" s="75">
        <f t="shared" si="29"/>
        <v>0</v>
      </c>
      <c r="T102" s="41" t="s">
        <v>444</v>
      </c>
      <c r="U102" s="41" t="s">
        <v>283</v>
      </c>
      <c r="V102" s="40"/>
      <c r="W102" s="40"/>
      <c r="X102" s="29"/>
      <c r="Y102" s="22"/>
      <c r="Z102" s="23">
        <v>0.82</v>
      </c>
      <c r="AA102" s="75">
        <f t="shared" si="30"/>
        <v>0</v>
      </c>
    </row>
    <row r="103" spans="2:27" x14ac:dyDescent="0.25">
      <c r="B103" s="5" t="s">
        <v>312</v>
      </c>
      <c r="C103" s="5" t="s">
        <v>313</v>
      </c>
      <c r="D103" s="11"/>
      <c r="E103" s="11"/>
      <c r="F103" s="29"/>
      <c r="G103" s="22"/>
      <c r="H103" s="23">
        <v>0.82</v>
      </c>
      <c r="I103" s="75">
        <f t="shared" si="28"/>
        <v>0</v>
      </c>
      <c r="K103" s="5" t="s">
        <v>312</v>
      </c>
      <c r="L103" s="5" t="s">
        <v>313</v>
      </c>
      <c r="M103" s="11"/>
      <c r="N103" s="11"/>
      <c r="O103" s="29"/>
      <c r="P103" s="22"/>
      <c r="Q103" s="23">
        <v>0.82</v>
      </c>
      <c r="R103" s="75">
        <f t="shared" si="29"/>
        <v>0</v>
      </c>
      <c r="T103" s="41" t="s">
        <v>444</v>
      </c>
      <c r="U103" s="41" t="s">
        <v>283</v>
      </c>
      <c r="V103" s="40"/>
      <c r="W103" s="40"/>
      <c r="X103" s="29"/>
      <c r="Y103" s="22"/>
      <c r="Z103" s="23">
        <v>0.82</v>
      </c>
      <c r="AA103" s="75">
        <f t="shared" si="30"/>
        <v>0</v>
      </c>
    </row>
    <row r="104" spans="2:27" x14ac:dyDescent="0.25">
      <c r="B104" s="5" t="s">
        <v>312</v>
      </c>
      <c r="C104" s="5" t="s">
        <v>313</v>
      </c>
      <c r="D104" s="11"/>
      <c r="E104" s="11"/>
      <c r="F104" s="29"/>
      <c r="G104" s="22"/>
      <c r="H104" s="23">
        <v>0.82</v>
      </c>
      <c r="I104" s="75">
        <f t="shared" si="28"/>
        <v>0</v>
      </c>
      <c r="K104" s="5" t="s">
        <v>312</v>
      </c>
      <c r="L104" s="5" t="s">
        <v>313</v>
      </c>
      <c r="M104" s="11"/>
      <c r="N104" s="11"/>
      <c r="O104" s="29"/>
      <c r="P104" s="22"/>
      <c r="Q104" s="23">
        <v>0.82</v>
      </c>
      <c r="R104" s="75">
        <f t="shared" si="29"/>
        <v>0</v>
      </c>
      <c r="T104" s="41" t="s">
        <v>444</v>
      </c>
      <c r="U104" s="41" t="s">
        <v>283</v>
      </c>
      <c r="V104" s="40"/>
      <c r="W104" s="40"/>
      <c r="X104" s="29"/>
      <c r="Y104" s="22"/>
      <c r="Z104" s="23">
        <v>0.82</v>
      </c>
      <c r="AA104" s="75">
        <f t="shared" si="30"/>
        <v>0</v>
      </c>
    </row>
    <row r="105" spans="2:27" x14ac:dyDescent="0.25">
      <c r="B105" s="5" t="s">
        <v>312</v>
      </c>
      <c r="C105" s="5" t="s">
        <v>313</v>
      </c>
      <c r="D105" s="11"/>
      <c r="E105" s="11"/>
      <c r="F105" s="29"/>
      <c r="G105" s="22"/>
      <c r="H105" s="23">
        <v>0.82</v>
      </c>
      <c r="I105" s="75">
        <f t="shared" si="28"/>
        <v>0</v>
      </c>
      <c r="K105" s="5" t="s">
        <v>312</v>
      </c>
      <c r="L105" s="5" t="s">
        <v>313</v>
      </c>
      <c r="M105" s="11"/>
      <c r="N105" s="11"/>
      <c r="O105" s="29"/>
      <c r="P105" s="22"/>
      <c r="Q105" s="23">
        <v>0.82</v>
      </c>
      <c r="R105" s="75">
        <f t="shared" si="29"/>
        <v>0</v>
      </c>
      <c r="T105" s="41" t="s">
        <v>444</v>
      </c>
      <c r="U105" s="41" t="s">
        <v>283</v>
      </c>
      <c r="V105" s="40"/>
      <c r="W105" s="40"/>
      <c r="X105" s="29"/>
      <c r="Y105" s="22"/>
      <c r="Z105" s="23">
        <v>0.82</v>
      </c>
      <c r="AA105" s="75">
        <f t="shared" si="30"/>
        <v>0</v>
      </c>
    </row>
    <row r="106" spans="2:27" s="24" customFormat="1" x14ac:dyDescent="0.25">
      <c r="B106" s="8" t="s">
        <v>446</v>
      </c>
      <c r="C106" s="25"/>
      <c r="D106" s="28">
        <f>SUM(D91:D105)</f>
        <v>150000</v>
      </c>
      <c r="E106" s="28"/>
      <c r="F106" s="30"/>
      <c r="G106" s="25"/>
      <c r="H106" s="26"/>
      <c r="I106" s="28">
        <f>SUM(I91:I105)</f>
        <v>11070</v>
      </c>
      <c r="K106" s="8" t="s">
        <v>446</v>
      </c>
      <c r="L106" s="25"/>
      <c r="M106" s="28">
        <f>SUM(M91:M105)</f>
        <v>150000</v>
      </c>
      <c r="N106" s="28"/>
      <c r="O106" s="30"/>
      <c r="P106" s="25"/>
      <c r="Q106" s="26"/>
      <c r="R106" s="28">
        <f>SUM(R91:R105)</f>
        <v>11070</v>
      </c>
      <c r="T106" s="8" t="s">
        <v>446</v>
      </c>
      <c r="U106" s="25"/>
      <c r="V106" s="28">
        <f>SUM(V91:V105)</f>
        <v>0</v>
      </c>
      <c r="W106" s="28">
        <f>SUM(W91:W105)</f>
        <v>0</v>
      </c>
      <c r="X106" s="30"/>
      <c r="Y106" s="25"/>
      <c r="Z106" s="26"/>
      <c r="AA106" s="28">
        <f>SUM(AA91:AA105)</f>
        <v>0</v>
      </c>
    </row>
    <row r="108" spans="2:27" s="20" customFormat="1" ht="38.25" x14ac:dyDescent="0.25">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x14ac:dyDescent="0.25">
      <c r="B109" s="5" t="s">
        <v>469</v>
      </c>
      <c r="C109" s="5" t="s">
        <v>310</v>
      </c>
      <c r="D109" s="11">
        <v>200000</v>
      </c>
      <c r="E109" s="11"/>
      <c r="F109" s="29"/>
      <c r="G109" s="22">
        <v>0.09</v>
      </c>
      <c r="H109" s="23">
        <v>0.82</v>
      </c>
      <c r="I109" s="75">
        <f>D109*G109*H109</f>
        <v>14760</v>
      </c>
      <c r="K109" s="5" t="s">
        <v>469</v>
      </c>
      <c r="L109" s="5" t="s">
        <v>310</v>
      </c>
      <c r="M109" s="11">
        <v>200000</v>
      </c>
      <c r="N109" s="11"/>
      <c r="O109" s="29"/>
      <c r="P109" s="22">
        <v>0.09</v>
      </c>
      <c r="Q109" s="23">
        <v>0.82</v>
      </c>
      <c r="R109" s="75">
        <f>M109*P109*Q109</f>
        <v>14760</v>
      </c>
      <c r="T109" s="41" t="s">
        <v>444</v>
      </c>
      <c r="U109" s="41" t="s">
        <v>283</v>
      </c>
      <c r="V109" s="40">
        <v>200000</v>
      </c>
      <c r="W109" s="40">
        <v>100000</v>
      </c>
      <c r="X109" s="29"/>
      <c r="Y109" s="22">
        <v>0.08</v>
      </c>
      <c r="Z109" s="23">
        <v>0.82</v>
      </c>
      <c r="AA109" s="75">
        <f>V109*Y109*Z109</f>
        <v>13120</v>
      </c>
    </row>
    <row r="110" spans="2:27" x14ac:dyDescent="0.25">
      <c r="B110" s="5" t="s">
        <v>312</v>
      </c>
      <c r="C110" s="5" t="s">
        <v>313</v>
      </c>
      <c r="D110" s="11"/>
      <c r="E110" s="11"/>
      <c r="F110" s="29"/>
      <c r="G110" s="22"/>
      <c r="H110" s="23">
        <v>0.82</v>
      </c>
      <c r="I110" s="75">
        <f t="shared" ref="I110:I123" si="34">D110*G110*H110</f>
        <v>0</v>
      </c>
      <c r="K110" s="5" t="s">
        <v>312</v>
      </c>
      <c r="L110" s="5" t="s">
        <v>313</v>
      </c>
      <c r="M110" s="11"/>
      <c r="N110" s="11"/>
      <c r="O110" s="29"/>
      <c r="P110" s="22"/>
      <c r="Q110" s="23">
        <v>0.82</v>
      </c>
      <c r="R110" s="75">
        <f t="shared" ref="R110:R123" si="35">M110*P110*Q110</f>
        <v>0</v>
      </c>
      <c r="T110" s="41" t="s">
        <v>444</v>
      </c>
      <c r="U110" s="41" t="s">
        <v>283</v>
      </c>
      <c r="V110" s="40"/>
      <c r="W110" s="40"/>
      <c r="X110" s="29"/>
      <c r="Y110" s="22"/>
      <c r="Z110" s="23">
        <v>0.82</v>
      </c>
      <c r="AA110" s="75">
        <f t="shared" ref="AA110:AA123" si="36">V110*Y110*Z110</f>
        <v>0</v>
      </c>
    </row>
    <row r="111" spans="2:27" x14ac:dyDescent="0.25">
      <c r="B111" s="5" t="s">
        <v>312</v>
      </c>
      <c r="C111" s="5" t="s">
        <v>313</v>
      </c>
      <c r="D111" s="11"/>
      <c r="E111" s="11"/>
      <c r="F111" s="29"/>
      <c r="G111" s="22"/>
      <c r="H111" s="23">
        <v>0.82</v>
      </c>
      <c r="I111" s="75">
        <f t="shared" si="34"/>
        <v>0</v>
      </c>
      <c r="K111" s="5" t="s">
        <v>312</v>
      </c>
      <c r="L111" s="5" t="s">
        <v>313</v>
      </c>
      <c r="M111" s="11"/>
      <c r="N111" s="11"/>
      <c r="O111" s="29"/>
      <c r="P111" s="22"/>
      <c r="Q111" s="23">
        <v>0.82</v>
      </c>
      <c r="R111" s="75">
        <f t="shared" si="35"/>
        <v>0</v>
      </c>
      <c r="T111" s="41" t="s">
        <v>444</v>
      </c>
      <c r="U111" s="41" t="s">
        <v>283</v>
      </c>
      <c r="V111" s="40"/>
      <c r="W111" s="40"/>
      <c r="X111" s="29"/>
      <c r="Y111" s="22"/>
      <c r="Z111" s="23">
        <v>0.82</v>
      </c>
      <c r="AA111" s="75">
        <f t="shared" si="36"/>
        <v>0</v>
      </c>
    </row>
    <row r="112" spans="2:27" x14ac:dyDescent="0.25">
      <c r="B112" s="5" t="s">
        <v>312</v>
      </c>
      <c r="C112" s="5" t="s">
        <v>313</v>
      </c>
      <c r="D112" s="11"/>
      <c r="E112" s="11"/>
      <c r="F112" s="29"/>
      <c r="G112" s="22"/>
      <c r="H112" s="23">
        <v>0.82</v>
      </c>
      <c r="I112" s="75">
        <f t="shared" si="34"/>
        <v>0</v>
      </c>
      <c r="K112" s="5" t="s">
        <v>312</v>
      </c>
      <c r="L112" s="5" t="s">
        <v>313</v>
      </c>
      <c r="M112" s="11"/>
      <c r="N112" s="11"/>
      <c r="O112" s="29"/>
      <c r="P112" s="22"/>
      <c r="Q112" s="23">
        <v>0.82</v>
      </c>
      <c r="R112" s="75">
        <f t="shared" si="35"/>
        <v>0</v>
      </c>
      <c r="T112" s="41" t="s">
        <v>444</v>
      </c>
      <c r="U112" s="41" t="s">
        <v>283</v>
      </c>
      <c r="V112" s="40"/>
      <c r="W112" s="40"/>
      <c r="X112" s="29"/>
      <c r="Y112" s="22"/>
      <c r="Z112" s="23">
        <v>0.82</v>
      </c>
      <c r="AA112" s="75">
        <f t="shared" si="36"/>
        <v>0</v>
      </c>
    </row>
    <row r="113" spans="2:27" x14ac:dyDescent="0.25">
      <c r="B113" s="5" t="s">
        <v>312</v>
      </c>
      <c r="C113" s="5" t="s">
        <v>313</v>
      </c>
      <c r="D113" s="11"/>
      <c r="E113" s="11"/>
      <c r="F113" s="29"/>
      <c r="G113" s="22"/>
      <c r="H113" s="23">
        <v>0.82</v>
      </c>
      <c r="I113" s="75">
        <f t="shared" si="34"/>
        <v>0</v>
      </c>
      <c r="K113" s="5" t="s">
        <v>312</v>
      </c>
      <c r="L113" s="5" t="s">
        <v>313</v>
      </c>
      <c r="M113" s="11"/>
      <c r="N113" s="11"/>
      <c r="O113" s="29"/>
      <c r="P113" s="22"/>
      <c r="Q113" s="23">
        <v>0.82</v>
      </c>
      <c r="R113" s="75">
        <f t="shared" si="35"/>
        <v>0</v>
      </c>
      <c r="T113" s="41" t="s">
        <v>444</v>
      </c>
      <c r="U113" s="41" t="s">
        <v>283</v>
      </c>
      <c r="V113" s="40"/>
      <c r="W113" s="40"/>
      <c r="X113" s="29"/>
      <c r="Y113" s="22"/>
      <c r="Z113" s="23">
        <v>0.82</v>
      </c>
      <c r="AA113" s="75">
        <f t="shared" si="36"/>
        <v>0</v>
      </c>
    </row>
    <row r="114" spans="2:27" x14ac:dyDescent="0.25">
      <c r="B114" s="5" t="s">
        <v>312</v>
      </c>
      <c r="C114" s="5" t="s">
        <v>313</v>
      </c>
      <c r="D114" s="11"/>
      <c r="E114" s="11"/>
      <c r="F114" s="29"/>
      <c r="G114" s="22"/>
      <c r="H114" s="23">
        <v>0.82</v>
      </c>
      <c r="I114" s="75">
        <f t="shared" si="34"/>
        <v>0</v>
      </c>
      <c r="K114" s="5" t="s">
        <v>312</v>
      </c>
      <c r="L114" s="5" t="s">
        <v>313</v>
      </c>
      <c r="M114" s="11"/>
      <c r="N114" s="11"/>
      <c r="O114" s="29"/>
      <c r="P114" s="22"/>
      <c r="Q114" s="23">
        <v>0.82</v>
      </c>
      <c r="R114" s="75">
        <f t="shared" si="35"/>
        <v>0</v>
      </c>
      <c r="T114" s="41" t="s">
        <v>444</v>
      </c>
      <c r="U114" s="41" t="s">
        <v>283</v>
      </c>
      <c r="V114" s="40"/>
      <c r="W114" s="40"/>
      <c r="X114" s="29"/>
      <c r="Y114" s="22"/>
      <c r="Z114" s="23">
        <v>0.82</v>
      </c>
      <c r="AA114" s="75">
        <f t="shared" si="36"/>
        <v>0</v>
      </c>
    </row>
    <row r="115" spans="2:27" x14ac:dyDescent="0.25">
      <c r="B115" s="5" t="s">
        <v>312</v>
      </c>
      <c r="C115" s="5" t="s">
        <v>313</v>
      </c>
      <c r="D115" s="11"/>
      <c r="E115" s="11"/>
      <c r="F115" s="29"/>
      <c r="G115" s="22"/>
      <c r="H115" s="23">
        <v>0.82</v>
      </c>
      <c r="I115" s="75">
        <f t="shared" si="34"/>
        <v>0</v>
      </c>
      <c r="K115" s="5" t="s">
        <v>312</v>
      </c>
      <c r="L115" s="5" t="s">
        <v>313</v>
      </c>
      <c r="M115" s="11"/>
      <c r="N115" s="11"/>
      <c r="O115" s="29"/>
      <c r="P115" s="22"/>
      <c r="Q115" s="23">
        <v>0.82</v>
      </c>
      <c r="R115" s="75">
        <f t="shared" si="35"/>
        <v>0</v>
      </c>
      <c r="T115" s="41" t="s">
        <v>444</v>
      </c>
      <c r="U115" s="41" t="s">
        <v>283</v>
      </c>
      <c r="V115" s="40"/>
      <c r="W115" s="40"/>
      <c r="X115" s="29"/>
      <c r="Y115" s="22"/>
      <c r="Z115" s="23">
        <v>0.82</v>
      </c>
      <c r="AA115" s="75">
        <f t="shared" si="36"/>
        <v>0</v>
      </c>
    </row>
    <row r="116" spans="2:27" x14ac:dyDescent="0.25">
      <c r="B116" s="5" t="s">
        <v>312</v>
      </c>
      <c r="C116" s="5" t="s">
        <v>313</v>
      </c>
      <c r="D116" s="11"/>
      <c r="E116" s="11"/>
      <c r="F116" s="29"/>
      <c r="G116" s="22"/>
      <c r="H116" s="23">
        <v>0.82</v>
      </c>
      <c r="I116" s="75">
        <f t="shared" si="34"/>
        <v>0</v>
      </c>
      <c r="K116" s="5" t="s">
        <v>312</v>
      </c>
      <c r="L116" s="5" t="s">
        <v>313</v>
      </c>
      <c r="M116" s="11"/>
      <c r="N116" s="11"/>
      <c r="O116" s="29"/>
      <c r="P116" s="22"/>
      <c r="Q116" s="23">
        <v>0.82</v>
      </c>
      <c r="R116" s="75">
        <f t="shared" si="35"/>
        <v>0</v>
      </c>
      <c r="T116" s="41" t="s">
        <v>444</v>
      </c>
      <c r="U116" s="41" t="s">
        <v>283</v>
      </c>
      <c r="V116" s="40"/>
      <c r="W116" s="40"/>
      <c r="X116" s="29"/>
      <c r="Y116" s="22"/>
      <c r="Z116" s="23">
        <v>0.82</v>
      </c>
      <c r="AA116" s="75">
        <f t="shared" si="36"/>
        <v>0</v>
      </c>
    </row>
    <row r="117" spans="2:27" x14ac:dyDescent="0.25">
      <c r="B117" s="5" t="s">
        <v>312</v>
      </c>
      <c r="C117" s="5" t="s">
        <v>313</v>
      </c>
      <c r="D117" s="11"/>
      <c r="E117" s="11"/>
      <c r="F117" s="29"/>
      <c r="G117" s="22"/>
      <c r="H117" s="23">
        <v>0.82</v>
      </c>
      <c r="I117" s="75">
        <f t="shared" si="34"/>
        <v>0</v>
      </c>
      <c r="K117" s="5" t="s">
        <v>312</v>
      </c>
      <c r="L117" s="5" t="s">
        <v>313</v>
      </c>
      <c r="M117" s="11"/>
      <c r="N117" s="11"/>
      <c r="O117" s="29"/>
      <c r="P117" s="22"/>
      <c r="Q117" s="23">
        <v>0.82</v>
      </c>
      <c r="R117" s="75">
        <f t="shared" si="35"/>
        <v>0</v>
      </c>
      <c r="T117" s="41" t="s">
        <v>444</v>
      </c>
      <c r="U117" s="41" t="s">
        <v>283</v>
      </c>
      <c r="V117" s="40"/>
      <c r="W117" s="40"/>
      <c r="X117" s="29"/>
      <c r="Y117" s="22"/>
      <c r="Z117" s="23">
        <v>0.82</v>
      </c>
      <c r="AA117" s="75">
        <f t="shared" si="36"/>
        <v>0</v>
      </c>
    </row>
    <row r="118" spans="2:27" x14ac:dyDescent="0.25">
      <c r="B118" s="5" t="s">
        <v>312</v>
      </c>
      <c r="C118" s="5" t="s">
        <v>313</v>
      </c>
      <c r="D118" s="11"/>
      <c r="E118" s="11"/>
      <c r="F118" s="29"/>
      <c r="G118" s="22"/>
      <c r="H118" s="23">
        <v>0.82</v>
      </c>
      <c r="I118" s="75">
        <f t="shared" si="34"/>
        <v>0</v>
      </c>
      <c r="K118" s="5" t="s">
        <v>312</v>
      </c>
      <c r="L118" s="5" t="s">
        <v>313</v>
      </c>
      <c r="M118" s="11"/>
      <c r="N118" s="11"/>
      <c r="O118" s="29"/>
      <c r="P118" s="22"/>
      <c r="Q118" s="23">
        <v>0.82</v>
      </c>
      <c r="R118" s="75">
        <f t="shared" si="35"/>
        <v>0</v>
      </c>
      <c r="T118" s="41" t="s">
        <v>444</v>
      </c>
      <c r="U118" s="41" t="s">
        <v>283</v>
      </c>
      <c r="V118" s="40"/>
      <c r="W118" s="40"/>
      <c r="X118" s="29"/>
      <c r="Y118" s="22"/>
      <c r="Z118" s="23">
        <v>0.82</v>
      </c>
      <c r="AA118" s="75">
        <f t="shared" si="36"/>
        <v>0</v>
      </c>
    </row>
    <row r="119" spans="2:27" x14ac:dyDescent="0.25">
      <c r="B119" s="5" t="s">
        <v>312</v>
      </c>
      <c r="C119" s="5" t="s">
        <v>313</v>
      </c>
      <c r="D119" s="11"/>
      <c r="E119" s="11"/>
      <c r="F119" s="29"/>
      <c r="G119" s="22"/>
      <c r="H119" s="23">
        <v>0.82</v>
      </c>
      <c r="I119" s="75">
        <f t="shared" si="34"/>
        <v>0</v>
      </c>
      <c r="K119" s="5" t="s">
        <v>312</v>
      </c>
      <c r="L119" s="5" t="s">
        <v>313</v>
      </c>
      <c r="M119" s="11"/>
      <c r="N119" s="11"/>
      <c r="O119" s="29"/>
      <c r="P119" s="22"/>
      <c r="Q119" s="23">
        <v>0.82</v>
      </c>
      <c r="R119" s="75">
        <f t="shared" si="35"/>
        <v>0</v>
      </c>
      <c r="T119" s="41" t="s">
        <v>444</v>
      </c>
      <c r="U119" s="41" t="s">
        <v>283</v>
      </c>
      <c r="V119" s="40"/>
      <c r="W119" s="40"/>
      <c r="X119" s="29"/>
      <c r="Y119" s="22"/>
      <c r="Z119" s="23">
        <v>0.82</v>
      </c>
      <c r="AA119" s="75">
        <f t="shared" si="36"/>
        <v>0</v>
      </c>
    </row>
    <row r="120" spans="2:27" x14ac:dyDescent="0.25">
      <c r="B120" s="5" t="s">
        <v>312</v>
      </c>
      <c r="C120" s="5" t="s">
        <v>313</v>
      </c>
      <c r="D120" s="11"/>
      <c r="E120" s="11"/>
      <c r="F120" s="29"/>
      <c r="G120" s="22"/>
      <c r="H120" s="23">
        <v>0.82</v>
      </c>
      <c r="I120" s="75">
        <f t="shared" si="34"/>
        <v>0</v>
      </c>
      <c r="K120" s="5" t="s">
        <v>312</v>
      </c>
      <c r="L120" s="5" t="s">
        <v>313</v>
      </c>
      <c r="M120" s="11"/>
      <c r="N120" s="11"/>
      <c r="O120" s="29"/>
      <c r="P120" s="22"/>
      <c r="Q120" s="23">
        <v>0.82</v>
      </c>
      <c r="R120" s="75">
        <f t="shared" si="35"/>
        <v>0</v>
      </c>
      <c r="T120" s="41" t="s">
        <v>444</v>
      </c>
      <c r="U120" s="41" t="s">
        <v>283</v>
      </c>
      <c r="V120" s="40"/>
      <c r="W120" s="40"/>
      <c r="X120" s="29"/>
      <c r="Y120" s="22"/>
      <c r="Z120" s="23">
        <v>0.82</v>
      </c>
      <c r="AA120" s="75">
        <f t="shared" si="36"/>
        <v>0</v>
      </c>
    </row>
    <row r="121" spans="2:27" x14ac:dyDescent="0.25">
      <c r="B121" s="5" t="s">
        <v>312</v>
      </c>
      <c r="C121" s="5" t="s">
        <v>313</v>
      </c>
      <c r="D121" s="11"/>
      <c r="E121" s="11"/>
      <c r="F121" s="29"/>
      <c r="G121" s="22"/>
      <c r="H121" s="23">
        <v>0.82</v>
      </c>
      <c r="I121" s="75">
        <f t="shared" si="34"/>
        <v>0</v>
      </c>
      <c r="K121" s="5" t="s">
        <v>312</v>
      </c>
      <c r="L121" s="5" t="s">
        <v>313</v>
      </c>
      <c r="M121" s="11"/>
      <c r="N121" s="11"/>
      <c r="O121" s="29"/>
      <c r="P121" s="22"/>
      <c r="Q121" s="23">
        <v>0.82</v>
      </c>
      <c r="R121" s="75">
        <f t="shared" si="35"/>
        <v>0</v>
      </c>
      <c r="T121" s="41" t="s">
        <v>444</v>
      </c>
      <c r="U121" s="41" t="s">
        <v>283</v>
      </c>
      <c r="V121" s="40"/>
      <c r="W121" s="40"/>
      <c r="X121" s="29"/>
      <c r="Y121" s="22"/>
      <c r="Z121" s="23">
        <v>0.82</v>
      </c>
      <c r="AA121" s="75">
        <f t="shared" si="36"/>
        <v>0</v>
      </c>
    </row>
    <row r="122" spans="2:27" x14ac:dyDescent="0.25">
      <c r="B122" s="5" t="s">
        <v>312</v>
      </c>
      <c r="C122" s="5" t="s">
        <v>313</v>
      </c>
      <c r="D122" s="11"/>
      <c r="E122" s="11"/>
      <c r="F122" s="29"/>
      <c r="G122" s="22"/>
      <c r="H122" s="23">
        <v>0.82</v>
      </c>
      <c r="I122" s="75">
        <f t="shared" si="34"/>
        <v>0</v>
      </c>
      <c r="K122" s="5" t="s">
        <v>312</v>
      </c>
      <c r="L122" s="5" t="s">
        <v>313</v>
      </c>
      <c r="M122" s="11"/>
      <c r="N122" s="11"/>
      <c r="O122" s="29"/>
      <c r="P122" s="22"/>
      <c r="Q122" s="23">
        <v>0.82</v>
      </c>
      <c r="R122" s="75">
        <f t="shared" si="35"/>
        <v>0</v>
      </c>
      <c r="T122" s="41" t="s">
        <v>444</v>
      </c>
      <c r="U122" s="41" t="s">
        <v>283</v>
      </c>
      <c r="V122" s="40"/>
      <c r="W122" s="40"/>
      <c r="X122" s="29"/>
      <c r="Y122" s="22"/>
      <c r="Z122" s="23">
        <v>0.82</v>
      </c>
      <c r="AA122" s="75">
        <f t="shared" si="36"/>
        <v>0</v>
      </c>
    </row>
    <row r="123" spans="2:27" x14ac:dyDescent="0.25">
      <c r="B123" s="5" t="s">
        <v>312</v>
      </c>
      <c r="C123" s="5" t="s">
        <v>313</v>
      </c>
      <c r="D123" s="11"/>
      <c r="E123" s="11"/>
      <c r="F123" s="29"/>
      <c r="G123" s="22"/>
      <c r="H123" s="23">
        <v>0.82</v>
      </c>
      <c r="I123" s="75">
        <f t="shared" si="34"/>
        <v>0</v>
      </c>
      <c r="K123" s="5" t="s">
        <v>312</v>
      </c>
      <c r="L123" s="5" t="s">
        <v>313</v>
      </c>
      <c r="M123" s="11"/>
      <c r="N123" s="11"/>
      <c r="O123" s="29"/>
      <c r="P123" s="22"/>
      <c r="Q123" s="23">
        <v>0.82</v>
      </c>
      <c r="R123" s="75">
        <f t="shared" si="35"/>
        <v>0</v>
      </c>
      <c r="T123" s="41" t="s">
        <v>444</v>
      </c>
      <c r="U123" s="41" t="s">
        <v>283</v>
      </c>
      <c r="V123" s="40"/>
      <c r="W123" s="40"/>
      <c r="X123" s="29"/>
      <c r="Y123" s="22"/>
      <c r="Z123" s="23">
        <v>0.82</v>
      </c>
      <c r="AA123" s="75">
        <f t="shared" si="36"/>
        <v>0</v>
      </c>
    </row>
    <row r="124" spans="2:27" s="24" customFormat="1" x14ac:dyDescent="0.25">
      <c r="B124" s="8" t="s">
        <v>447</v>
      </c>
      <c r="C124" s="25"/>
      <c r="D124" s="28">
        <f>SUM(D109:D123)</f>
        <v>200000</v>
      </c>
      <c r="E124" s="28">
        <f>SUM(E109:E123)</f>
        <v>0</v>
      </c>
      <c r="F124" s="30"/>
      <c r="G124" s="25"/>
      <c r="H124" s="26"/>
      <c r="I124" s="28">
        <f>SUM(I109:I123)</f>
        <v>14760</v>
      </c>
      <c r="K124" s="8" t="s">
        <v>447</v>
      </c>
      <c r="L124" s="25"/>
      <c r="M124" s="28">
        <f>SUM(M109:M123)</f>
        <v>200000</v>
      </c>
      <c r="N124" s="28">
        <f>SUM(N109:N123)</f>
        <v>0</v>
      </c>
      <c r="O124" s="30"/>
      <c r="P124" s="25"/>
      <c r="Q124" s="26"/>
      <c r="R124" s="28">
        <f>SUM(R109:R123)</f>
        <v>14760</v>
      </c>
      <c r="T124" s="8" t="s">
        <v>447</v>
      </c>
      <c r="U124" s="25"/>
      <c r="V124" s="28">
        <f>SUM(V109:V123)</f>
        <v>200000</v>
      </c>
      <c r="W124" s="28">
        <f>SUM(W109:W123)</f>
        <v>100000</v>
      </c>
      <c r="X124" s="30"/>
      <c r="Y124" s="25"/>
      <c r="Z124" s="26"/>
      <c r="AA124" s="28">
        <f>SUM(AA109:AA123)</f>
        <v>13120</v>
      </c>
    </row>
    <row r="126" spans="2:27" s="20" customFormat="1" ht="38.25" x14ac:dyDescent="0.25">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x14ac:dyDescent="0.25">
      <c r="B127" s="5" t="s">
        <v>324</v>
      </c>
      <c r="C127" s="5" t="s">
        <v>310</v>
      </c>
      <c r="D127" s="29"/>
      <c r="E127" s="29"/>
      <c r="F127" s="11">
        <v>2500</v>
      </c>
      <c r="G127" s="31"/>
      <c r="H127" s="32"/>
      <c r="I127" s="29"/>
      <c r="K127" s="5" t="s">
        <v>324</v>
      </c>
      <c r="L127" s="5" t="s">
        <v>310</v>
      </c>
      <c r="M127" s="29"/>
      <c r="N127" s="29"/>
      <c r="O127" s="11">
        <v>2500</v>
      </c>
      <c r="P127" s="31"/>
      <c r="Q127" s="32"/>
      <c r="R127" s="29"/>
      <c r="T127" s="41" t="s">
        <v>444</v>
      </c>
      <c r="U127" s="41" t="s">
        <v>283</v>
      </c>
      <c r="V127" s="40">
        <v>80000</v>
      </c>
      <c r="W127" s="40">
        <v>60000</v>
      </c>
      <c r="X127" s="40">
        <v>2500</v>
      </c>
      <c r="Y127" s="31"/>
      <c r="Z127" s="32"/>
      <c r="AA127" s="29"/>
    </row>
    <row r="128" spans="2:27" x14ac:dyDescent="0.25">
      <c r="B128" s="5" t="s">
        <v>312</v>
      </c>
      <c r="C128" s="5" t="s">
        <v>313</v>
      </c>
      <c r="D128" s="29"/>
      <c r="E128" s="29"/>
      <c r="F128" s="11"/>
      <c r="G128" s="31"/>
      <c r="H128" s="32"/>
      <c r="I128" s="29"/>
      <c r="K128" s="5" t="s">
        <v>312</v>
      </c>
      <c r="L128" s="5" t="s">
        <v>313</v>
      </c>
      <c r="M128" s="29"/>
      <c r="N128" s="29"/>
      <c r="O128" s="11"/>
      <c r="P128" s="31"/>
      <c r="Q128" s="32"/>
      <c r="R128" s="29"/>
      <c r="T128" s="41" t="s">
        <v>444</v>
      </c>
      <c r="U128" s="41" t="s">
        <v>283</v>
      </c>
      <c r="V128" s="40"/>
      <c r="W128" s="40"/>
      <c r="X128" s="40"/>
      <c r="Y128" s="31"/>
      <c r="Z128" s="32"/>
      <c r="AA128" s="29"/>
    </row>
    <row r="129" spans="2:27" x14ac:dyDescent="0.25">
      <c r="B129" s="5" t="s">
        <v>312</v>
      </c>
      <c r="C129" s="5" t="s">
        <v>313</v>
      </c>
      <c r="D129" s="29"/>
      <c r="E129" s="29"/>
      <c r="F129" s="11"/>
      <c r="G129" s="31"/>
      <c r="H129" s="32"/>
      <c r="I129" s="29"/>
      <c r="K129" s="5" t="s">
        <v>312</v>
      </c>
      <c r="L129" s="5" t="s">
        <v>313</v>
      </c>
      <c r="M129" s="29"/>
      <c r="N129" s="29"/>
      <c r="O129" s="11"/>
      <c r="P129" s="31"/>
      <c r="Q129" s="32"/>
      <c r="R129" s="29"/>
      <c r="T129" s="41" t="s">
        <v>444</v>
      </c>
      <c r="U129" s="41" t="s">
        <v>283</v>
      </c>
      <c r="V129" s="40"/>
      <c r="W129" s="40"/>
      <c r="X129" s="40"/>
      <c r="Y129" s="31"/>
      <c r="Z129" s="32"/>
      <c r="AA129" s="29"/>
    </row>
    <row r="130" spans="2:27" x14ac:dyDescent="0.25">
      <c r="B130" s="5" t="s">
        <v>312</v>
      </c>
      <c r="C130" s="5" t="s">
        <v>313</v>
      </c>
      <c r="D130" s="29"/>
      <c r="E130" s="29"/>
      <c r="F130" s="11"/>
      <c r="G130" s="31"/>
      <c r="H130" s="32"/>
      <c r="I130" s="29"/>
      <c r="K130" s="5" t="s">
        <v>312</v>
      </c>
      <c r="L130" s="5" t="s">
        <v>313</v>
      </c>
      <c r="M130" s="29"/>
      <c r="N130" s="29"/>
      <c r="O130" s="11"/>
      <c r="P130" s="31"/>
      <c r="Q130" s="32"/>
      <c r="R130" s="29"/>
      <c r="T130" s="41" t="s">
        <v>444</v>
      </c>
      <c r="U130" s="41" t="s">
        <v>283</v>
      </c>
      <c r="V130" s="40"/>
      <c r="W130" s="40"/>
      <c r="X130" s="40"/>
      <c r="Y130" s="31"/>
      <c r="Z130" s="32"/>
      <c r="AA130" s="29"/>
    </row>
    <row r="131" spans="2:27" x14ac:dyDescent="0.25">
      <c r="B131" s="5" t="s">
        <v>312</v>
      </c>
      <c r="C131" s="5" t="s">
        <v>313</v>
      </c>
      <c r="D131" s="29"/>
      <c r="E131" s="29"/>
      <c r="F131" s="11"/>
      <c r="G131" s="31"/>
      <c r="H131" s="32"/>
      <c r="I131" s="29"/>
      <c r="K131" s="5" t="s">
        <v>312</v>
      </c>
      <c r="L131" s="5" t="s">
        <v>313</v>
      </c>
      <c r="M131" s="29"/>
      <c r="N131" s="29"/>
      <c r="O131" s="11"/>
      <c r="P131" s="31"/>
      <c r="Q131" s="32"/>
      <c r="R131" s="29"/>
      <c r="T131" s="41" t="s">
        <v>444</v>
      </c>
      <c r="U131" s="41" t="s">
        <v>283</v>
      </c>
      <c r="V131" s="40"/>
      <c r="W131" s="40"/>
      <c r="X131" s="40"/>
      <c r="Y131" s="31"/>
      <c r="Z131" s="32"/>
      <c r="AA131" s="29"/>
    </row>
    <row r="132" spans="2:27" x14ac:dyDescent="0.25">
      <c r="B132" s="5" t="s">
        <v>312</v>
      </c>
      <c r="C132" s="5" t="s">
        <v>313</v>
      </c>
      <c r="D132" s="29"/>
      <c r="E132" s="29"/>
      <c r="F132" s="11"/>
      <c r="G132" s="31"/>
      <c r="H132" s="32"/>
      <c r="I132" s="29"/>
      <c r="K132" s="5" t="s">
        <v>312</v>
      </c>
      <c r="L132" s="5" t="s">
        <v>313</v>
      </c>
      <c r="M132" s="29"/>
      <c r="N132" s="29"/>
      <c r="O132" s="11"/>
      <c r="P132" s="31"/>
      <c r="Q132" s="32"/>
      <c r="R132" s="29"/>
      <c r="T132" s="41" t="s">
        <v>444</v>
      </c>
      <c r="U132" s="41" t="s">
        <v>283</v>
      </c>
      <c r="V132" s="40"/>
      <c r="W132" s="40"/>
      <c r="X132" s="40"/>
      <c r="Y132" s="31"/>
      <c r="Z132" s="32"/>
      <c r="AA132" s="29"/>
    </row>
    <row r="133" spans="2:27" x14ac:dyDescent="0.25">
      <c r="B133" s="5" t="s">
        <v>312</v>
      </c>
      <c r="C133" s="5" t="s">
        <v>313</v>
      </c>
      <c r="D133" s="29"/>
      <c r="E133" s="29"/>
      <c r="F133" s="11"/>
      <c r="G133" s="31"/>
      <c r="H133" s="32"/>
      <c r="I133" s="29"/>
      <c r="K133" s="5" t="s">
        <v>312</v>
      </c>
      <c r="L133" s="5" t="s">
        <v>313</v>
      </c>
      <c r="M133" s="29"/>
      <c r="N133" s="29"/>
      <c r="O133" s="11"/>
      <c r="P133" s="31"/>
      <c r="Q133" s="32"/>
      <c r="R133" s="29"/>
      <c r="T133" s="41" t="s">
        <v>444</v>
      </c>
      <c r="U133" s="41" t="s">
        <v>283</v>
      </c>
      <c r="V133" s="40"/>
      <c r="W133" s="40"/>
      <c r="X133" s="40"/>
      <c r="Y133" s="31"/>
      <c r="Z133" s="32"/>
      <c r="AA133" s="29"/>
    </row>
    <row r="134" spans="2:27" x14ac:dyDescent="0.25">
      <c r="B134" s="5" t="s">
        <v>312</v>
      </c>
      <c r="C134" s="5" t="s">
        <v>313</v>
      </c>
      <c r="D134" s="29"/>
      <c r="E134" s="29"/>
      <c r="F134" s="11"/>
      <c r="G134" s="31"/>
      <c r="H134" s="32"/>
      <c r="I134" s="29"/>
      <c r="K134" s="5" t="s">
        <v>312</v>
      </c>
      <c r="L134" s="5" t="s">
        <v>313</v>
      </c>
      <c r="M134" s="29"/>
      <c r="N134" s="29"/>
      <c r="O134" s="11"/>
      <c r="P134" s="31"/>
      <c r="Q134" s="32"/>
      <c r="R134" s="29"/>
      <c r="T134" s="41" t="s">
        <v>444</v>
      </c>
      <c r="U134" s="41" t="s">
        <v>283</v>
      </c>
      <c r="V134" s="40"/>
      <c r="W134" s="40"/>
      <c r="X134" s="40"/>
      <c r="Y134" s="31"/>
      <c r="Z134" s="32"/>
      <c r="AA134" s="29"/>
    </row>
    <row r="135" spans="2:27" x14ac:dyDescent="0.25">
      <c r="B135" s="5" t="s">
        <v>312</v>
      </c>
      <c r="C135" s="5" t="s">
        <v>313</v>
      </c>
      <c r="D135" s="29"/>
      <c r="E135" s="29"/>
      <c r="F135" s="11"/>
      <c r="G135" s="31"/>
      <c r="H135" s="32"/>
      <c r="I135" s="29"/>
      <c r="K135" s="5" t="s">
        <v>312</v>
      </c>
      <c r="L135" s="5" t="s">
        <v>313</v>
      </c>
      <c r="M135" s="29"/>
      <c r="N135" s="29"/>
      <c r="O135" s="11"/>
      <c r="P135" s="31"/>
      <c r="Q135" s="32"/>
      <c r="R135" s="29"/>
      <c r="T135" s="41" t="s">
        <v>444</v>
      </c>
      <c r="U135" s="41" t="s">
        <v>283</v>
      </c>
      <c r="V135" s="40"/>
      <c r="W135" s="40"/>
      <c r="X135" s="40"/>
      <c r="Y135" s="31"/>
      <c r="Z135" s="32"/>
      <c r="AA135" s="29"/>
    </row>
    <row r="136" spans="2:27" x14ac:dyDescent="0.25">
      <c r="B136" s="5" t="s">
        <v>312</v>
      </c>
      <c r="C136" s="5" t="s">
        <v>313</v>
      </c>
      <c r="D136" s="29"/>
      <c r="E136" s="29"/>
      <c r="F136" s="11"/>
      <c r="G136" s="31"/>
      <c r="H136" s="32"/>
      <c r="I136" s="29"/>
      <c r="K136" s="5" t="s">
        <v>312</v>
      </c>
      <c r="L136" s="5" t="s">
        <v>313</v>
      </c>
      <c r="M136" s="29"/>
      <c r="N136" s="29"/>
      <c r="O136" s="11"/>
      <c r="P136" s="31"/>
      <c r="Q136" s="32"/>
      <c r="R136" s="29"/>
      <c r="T136" s="41" t="s">
        <v>444</v>
      </c>
      <c r="U136" s="41" t="s">
        <v>283</v>
      </c>
      <c r="V136" s="40"/>
      <c r="W136" s="40"/>
      <c r="X136" s="40"/>
      <c r="Y136" s="31"/>
      <c r="Z136" s="32"/>
      <c r="AA136" s="29"/>
    </row>
    <row r="137" spans="2:27" x14ac:dyDescent="0.25">
      <c r="B137" s="5" t="s">
        <v>312</v>
      </c>
      <c r="C137" s="5" t="s">
        <v>313</v>
      </c>
      <c r="D137" s="29"/>
      <c r="E137" s="29"/>
      <c r="F137" s="11"/>
      <c r="G137" s="31"/>
      <c r="H137" s="32"/>
      <c r="I137" s="29"/>
      <c r="K137" s="5" t="s">
        <v>312</v>
      </c>
      <c r="L137" s="5" t="s">
        <v>313</v>
      </c>
      <c r="M137" s="29"/>
      <c r="N137" s="29"/>
      <c r="O137" s="11"/>
      <c r="P137" s="31"/>
      <c r="Q137" s="32"/>
      <c r="R137" s="29"/>
      <c r="T137" s="41" t="s">
        <v>444</v>
      </c>
      <c r="U137" s="41" t="s">
        <v>283</v>
      </c>
      <c r="V137" s="40"/>
      <c r="W137" s="40"/>
      <c r="X137" s="40"/>
      <c r="Y137" s="31"/>
      <c r="Z137" s="32"/>
      <c r="AA137" s="29"/>
    </row>
    <row r="138" spans="2:27" x14ac:dyDescent="0.25">
      <c r="B138" s="5" t="s">
        <v>312</v>
      </c>
      <c r="C138" s="5" t="s">
        <v>313</v>
      </c>
      <c r="D138" s="29"/>
      <c r="E138" s="29"/>
      <c r="F138" s="11"/>
      <c r="G138" s="31"/>
      <c r="H138" s="32"/>
      <c r="I138" s="29"/>
      <c r="K138" s="5" t="s">
        <v>312</v>
      </c>
      <c r="L138" s="5" t="s">
        <v>313</v>
      </c>
      <c r="M138" s="29"/>
      <c r="N138" s="29"/>
      <c r="O138" s="11"/>
      <c r="P138" s="31"/>
      <c r="Q138" s="32"/>
      <c r="R138" s="29"/>
      <c r="T138" s="41" t="s">
        <v>444</v>
      </c>
      <c r="U138" s="41" t="s">
        <v>283</v>
      </c>
      <c r="V138" s="40"/>
      <c r="W138" s="40"/>
      <c r="X138" s="40"/>
      <c r="Y138" s="31"/>
      <c r="Z138" s="32"/>
      <c r="AA138" s="29"/>
    </row>
    <row r="139" spans="2:27" x14ac:dyDescent="0.25">
      <c r="B139" s="5" t="s">
        <v>312</v>
      </c>
      <c r="C139" s="5" t="s">
        <v>313</v>
      </c>
      <c r="D139" s="29"/>
      <c r="E139" s="29"/>
      <c r="F139" s="11"/>
      <c r="G139" s="31"/>
      <c r="H139" s="32"/>
      <c r="I139" s="29"/>
      <c r="K139" s="5" t="s">
        <v>312</v>
      </c>
      <c r="L139" s="5" t="s">
        <v>313</v>
      </c>
      <c r="M139" s="29"/>
      <c r="N139" s="29"/>
      <c r="O139" s="11"/>
      <c r="P139" s="31"/>
      <c r="Q139" s="32"/>
      <c r="R139" s="29"/>
      <c r="T139" s="41" t="s">
        <v>444</v>
      </c>
      <c r="U139" s="41" t="s">
        <v>283</v>
      </c>
      <c r="V139" s="40"/>
      <c r="W139" s="40"/>
      <c r="X139" s="40"/>
      <c r="Y139" s="31"/>
      <c r="Z139" s="32"/>
      <c r="AA139" s="29"/>
    </row>
    <row r="140" spans="2:27" x14ac:dyDescent="0.25">
      <c r="B140" s="5" t="s">
        <v>312</v>
      </c>
      <c r="C140" s="5" t="s">
        <v>313</v>
      </c>
      <c r="D140" s="29"/>
      <c r="E140" s="29"/>
      <c r="F140" s="11"/>
      <c r="G140" s="31"/>
      <c r="H140" s="32"/>
      <c r="I140" s="29"/>
      <c r="K140" s="5" t="s">
        <v>312</v>
      </c>
      <c r="L140" s="5" t="s">
        <v>313</v>
      </c>
      <c r="M140" s="29"/>
      <c r="N140" s="29"/>
      <c r="O140" s="11"/>
      <c r="P140" s="31"/>
      <c r="Q140" s="32"/>
      <c r="R140" s="29"/>
      <c r="T140" s="41" t="s">
        <v>444</v>
      </c>
      <c r="U140" s="41" t="s">
        <v>283</v>
      </c>
      <c r="V140" s="40"/>
      <c r="W140" s="40"/>
      <c r="X140" s="40"/>
      <c r="Y140" s="31"/>
      <c r="Z140" s="32"/>
      <c r="AA140" s="29"/>
    </row>
    <row r="141" spans="2:27" x14ac:dyDescent="0.25">
      <c r="B141" s="5" t="s">
        <v>312</v>
      </c>
      <c r="C141" s="5" t="s">
        <v>313</v>
      </c>
      <c r="D141" s="29"/>
      <c r="E141" s="29"/>
      <c r="F141" s="11"/>
      <c r="G141" s="31"/>
      <c r="H141" s="32"/>
      <c r="I141" s="29"/>
      <c r="K141" s="5" t="s">
        <v>312</v>
      </c>
      <c r="L141" s="5" t="s">
        <v>313</v>
      </c>
      <c r="M141" s="29"/>
      <c r="N141" s="29"/>
      <c r="O141" s="11"/>
      <c r="P141" s="31"/>
      <c r="Q141" s="32"/>
      <c r="R141" s="29"/>
      <c r="T141" s="41" t="s">
        <v>444</v>
      </c>
      <c r="U141" s="41" t="s">
        <v>283</v>
      </c>
      <c r="V141" s="40"/>
      <c r="W141" s="40"/>
      <c r="X141" s="40"/>
      <c r="Y141" s="31"/>
      <c r="Z141" s="32"/>
      <c r="AA141" s="29"/>
    </row>
    <row r="142" spans="2:27" s="24" customFormat="1" x14ac:dyDescent="0.25">
      <c r="B142" s="8" t="s">
        <v>448</v>
      </c>
      <c r="C142" s="25"/>
      <c r="D142" s="30"/>
      <c r="E142" s="30"/>
      <c r="F142" s="28">
        <f t="shared" ref="F142" si="40">SUM(F127:F141)</f>
        <v>2500</v>
      </c>
      <c r="G142" s="25"/>
      <c r="H142" s="26"/>
      <c r="I142" s="30"/>
      <c r="K142" s="8" t="s">
        <v>448</v>
      </c>
      <c r="L142" s="25"/>
      <c r="M142" s="30"/>
      <c r="N142" s="30"/>
      <c r="O142" s="28">
        <f t="shared" ref="O142" si="41">SUM(O127:O141)</f>
        <v>2500</v>
      </c>
      <c r="P142" s="25"/>
      <c r="Q142" s="26"/>
      <c r="R142" s="30"/>
      <c r="T142" s="8" t="s">
        <v>448</v>
      </c>
      <c r="U142" s="25"/>
      <c r="V142" s="30"/>
      <c r="W142" s="30"/>
      <c r="X142" s="28">
        <f t="shared" ref="X142" si="42">SUM(X127:X141)</f>
        <v>2500</v>
      </c>
      <c r="Y142" s="25"/>
      <c r="Z142" s="26"/>
      <c r="AA142" s="30"/>
    </row>
    <row r="144" spans="2:27" ht="38.25" x14ac:dyDescent="0.25">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x14ac:dyDescent="0.25">
      <c r="B145" s="5" t="s">
        <v>470</v>
      </c>
      <c r="C145" s="5" t="s">
        <v>310</v>
      </c>
      <c r="D145" s="29"/>
      <c r="E145" s="29"/>
      <c r="F145" s="11">
        <v>3000</v>
      </c>
      <c r="G145" s="31"/>
      <c r="H145" s="32"/>
      <c r="I145" s="29"/>
      <c r="K145" s="5" t="s">
        <v>470</v>
      </c>
      <c r="L145" s="5" t="s">
        <v>310</v>
      </c>
      <c r="M145" s="29"/>
      <c r="N145" s="29"/>
      <c r="O145" s="11">
        <v>3000</v>
      </c>
      <c r="P145" s="31"/>
      <c r="Q145" s="32"/>
      <c r="R145" s="29"/>
      <c r="T145" s="41" t="s">
        <v>444</v>
      </c>
      <c r="U145" s="41" t="s">
        <v>283</v>
      </c>
      <c r="V145" s="40">
        <v>100000</v>
      </c>
      <c r="W145" s="40">
        <v>72000</v>
      </c>
      <c r="X145" s="40">
        <v>3000</v>
      </c>
      <c r="Y145" s="31"/>
      <c r="Z145" s="32"/>
      <c r="AA145" s="29"/>
    </row>
    <row r="146" spans="2:27" x14ac:dyDescent="0.25">
      <c r="B146" s="5" t="s">
        <v>312</v>
      </c>
      <c r="C146" s="5" t="s">
        <v>313</v>
      </c>
      <c r="D146" s="29"/>
      <c r="E146" s="29"/>
      <c r="F146" s="11"/>
      <c r="G146" s="31"/>
      <c r="H146" s="32"/>
      <c r="I146" s="29"/>
      <c r="K146" s="5" t="s">
        <v>312</v>
      </c>
      <c r="L146" s="5" t="s">
        <v>313</v>
      </c>
      <c r="M146" s="29"/>
      <c r="N146" s="29"/>
      <c r="O146" s="11"/>
      <c r="P146" s="31"/>
      <c r="Q146" s="32"/>
      <c r="R146" s="29"/>
      <c r="T146" s="41" t="s">
        <v>444</v>
      </c>
      <c r="U146" s="41" t="s">
        <v>283</v>
      </c>
      <c r="V146" s="40"/>
      <c r="W146" s="40"/>
      <c r="X146" s="40"/>
      <c r="Y146" s="31"/>
      <c r="Z146" s="32"/>
      <c r="AA146" s="29"/>
    </row>
    <row r="147" spans="2:27" x14ac:dyDescent="0.25">
      <c r="B147" s="5" t="s">
        <v>312</v>
      </c>
      <c r="C147" s="5" t="s">
        <v>313</v>
      </c>
      <c r="D147" s="29"/>
      <c r="E147" s="29"/>
      <c r="F147" s="11"/>
      <c r="G147" s="31"/>
      <c r="H147" s="32"/>
      <c r="I147" s="29"/>
      <c r="K147" s="5" t="s">
        <v>312</v>
      </c>
      <c r="L147" s="5" t="s">
        <v>313</v>
      </c>
      <c r="M147" s="29"/>
      <c r="N147" s="29"/>
      <c r="O147" s="11"/>
      <c r="P147" s="31"/>
      <c r="Q147" s="32"/>
      <c r="R147" s="29"/>
      <c r="T147" s="41" t="s">
        <v>444</v>
      </c>
      <c r="U147" s="41" t="s">
        <v>283</v>
      </c>
      <c r="V147" s="40"/>
      <c r="W147" s="40"/>
      <c r="X147" s="40"/>
      <c r="Y147" s="31"/>
      <c r="Z147" s="32"/>
      <c r="AA147" s="29"/>
    </row>
    <row r="148" spans="2:27" x14ac:dyDescent="0.25">
      <c r="B148" s="5" t="s">
        <v>312</v>
      </c>
      <c r="C148" s="5" t="s">
        <v>313</v>
      </c>
      <c r="D148" s="29"/>
      <c r="E148" s="29"/>
      <c r="F148" s="11"/>
      <c r="G148" s="31"/>
      <c r="H148" s="32"/>
      <c r="I148" s="29"/>
      <c r="K148" s="5" t="s">
        <v>312</v>
      </c>
      <c r="L148" s="5" t="s">
        <v>313</v>
      </c>
      <c r="M148" s="29"/>
      <c r="N148" s="29"/>
      <c r="O148" s="11"/>
      <c r="P148" s="31"/>
      <c r="Q148" s="32"/>
      <c r="R148" s="29"/>
      <c r="T148" s="41" t="s">
        <v>444</v>
      </c>
      <c r="U148" s="41" t="s">
        <v>283</v>
      </c>
      <c r="V148" s="40"/>
      <c r="W148" s="40"/>
      <c r="X148" s="40"/>
      <c r="Y148" s="31"/>
      <c r="Z148" s="32"/>
      <c r="AA148" s="29"/>
    </row>
    <row r="149" spans="2:27" x14ac:dyDescent="0.25">
      <c r="B149" s="5" t="s">
        <v>312</v>
      </c>
      <c r="C149" s="5" t="s">
        <v>313</v>
      </c>
      <c r="D149" s="29"/>
      <c r="E149" s="29"/>
      <c r="F149" s="11"/>
      <c r="G149" s="31"/>
      <c r="H149" s="32"/>
      <c r="I149" s="29"/>
      <c r="K149" s="5" t="s">
        <v>312</v>
      </c>
      <c r="L149" s="5" t="s">
        <v>313</v>
      </c>
      <c r="M149" s="29"/>
      <c r="N149" s="29"/>
      <c r="O149" s="11"/>
      <c r="P149" s="31"/>
      <c r="Q149" s="32"/>
      <c r="R149" s="29"/>
      <c r="T149" s="41" t="s">
        <v>444</v>
      </c>
      <c r="U149" s="41" t="s">
        <v>283</v>
      </c>
      <c r="V149" s="40"/>
      <c r="W149" s="40"/>
      <c r="X149" s="40"/>
      <c r="Y149" s="31"/>
      <c r="Z149" s="32"/>
      <c r="AA149" s="29"/>
    </row>
    <row r="150" spans="2:27" x14ac:dyDescent="0.25">
      <c r="B150" s="5" t="s">
        <v>312</v>
      </c>
      <c r="C150" s="5" t="s">
        <v>313</v>
      </c>
      <c r="D150" s="29"/>
      <c r="E150" s="29"/>
      <c r="F150" s="11"/>
      <c r="G150" s="31"/>
      <c r="H150" s="32"/>
      <c r="I150" s="29"/>
      <c r="K150" s="5" t="s">
        <v>312</v>
      </c>
      <c r="L150" s="5" t="s">
        <v>313</v>
      </c>
      <c r="M150" s="29"/>
      <c r="N150" s="29"/>
      <c r="O150" s="11"/>
      <c r="P150" s="31"/>
      <c r="Q150" s="32"/>
      <c r="R150" s="29"/>
      <c r="T150" s="41" t="s">
        <v>444</v>
      </c>
      <c r="U150" s="41" t="s">
        <v>283</v>
      </c>
      <c r="V150" s="40"/>
      <c r="W150" s="40"/>
      <c r="X150" s="40"/>
      <c r="Y150" s="31"/>
      <c r="Z150" s="32"/>
      <c r="AA150" s="29"/>
    </row>
    <row r="151" spans="2:27" x14ac:dyDescent="0.25">
      <c r="B151" s="5" t="s">
        <v>312</v>
      </c>
      <c r="C151" s="5" t="s">
        <v>313</v>
      </c>
      <c r="D151" s="29"/>
      <c r="E151" s="29"/>
      <c r="F151" s="11"/>
      <c r="G151" s="31"/>
      <c r="H151" s="32"/>
      <c r="I151" s="29"/>
      <c r="K151" s="5" t="s">
        <v>312</v>
      </c>
      <c r="L151" s="5" t="s">
        <v>313</v>
      </c>
      <c r="M151" s="29"/>
      <c r="N151" s="29"/>
      <c r="O151" s="11"/>
      <c r="P151" s="31"/>
      <c r="Q151" s="32"/>
      <c r="R151" s="29"/>
      <c r="T151" s="41" t="s">
        <v>444</v>
      </c>
      <c r="U151" s="41" t="s">
        <v>283</v>
      </c>
      <c r="V151" s="40"/>
      <c r="W151" s="40"/>
      <c r="X151" s="40"/>
      <c r="Y151" s="31"/>
      <c r="Z151" s="32"/>
      <c r="AA151" s="29"/>
    </row>
    <row r="152" spans="2:27" x14ac:dyDescent="0.25">
      <c r="B152" s="5" t="s">
        <v>312</v>
      </c>
      <c r="C152" s="5" t="s">
        <v>313</v>
      </c>
      <c r="D152" s="29"/>
      <c r="E152" s="29"/>
      <c r="F152" s="11"/>
      <c r="G152" s="31"/>
      <c r="H152" s="32"/>
      <c r="I152" s="29"/>
      <c r="K152" s="5" t="s">
        <v>312</v>
      </c>
      <c r="L152" s="5" t="s">
        <v>313</v>
      </c>
      <c r="M152" s="29"/>
      <c r="N152" s="29"/>
      <c r="O152" s="11"/>
      <c r="P152" s="31"/>
      <c r="Q152" s="32"/>
      <c r="R152" s="29"/>
      <c r="T152" s="41" t="s">
        <v>444</v>
      </c>
      <c r="U152" s="41" t="s">
        <v>283</v>
      </c>
      <c r="V152" s="40"/>
      <c r="W152" s="40"/>
      <c r="X152" s="40"/>
      <c r="Y152" s="31"/>
      <c r="Z152" s="32"/>
      <c r="AA152" s="29"/>
    </row>
    <row r="153" spans="2:27" x14ac:dyDescent="0.25">
      <c r="B153" s="5" t="s">
        <v>312</v>
      </c>
      <c r="C153" s="5" t="s">
        <v>313</v>
      </c>
      <c r="D153" s="29"/>
      <c r="E153" s="29"/>
      <c r="F153" s="11"/>
      <c r="G153" s="31"/>
      <c r="H153" s="32"/>
      <c r="I153" s="29"/>
      <c r="K153" s="5" t="s">
        <v>312</v>
      </c>
      <c r="L153" s="5" t="s">
        <v>313</v>
      </c>
      <c r="M153" s="29"/>
      <c r="N153" s="29"/>
      <c r="O153" s="11"/>
      <c r="P153" s="31"/>
      <c r="Q153" s="32"/>
      <c r="R153" s="29"/>
      <c r="T153" s="41" t="s">
        <v>444</v>
      </c>
      <c r="U153" s="41" t="s">
        <v>283</v>
      </c>
      <c r="V153" s="40"/>
      <c r="W153" s="40"/>
      <c r="X153" s="40"/>
      <c r="Y153" s="31"/>
      <c r="Z153" s="32"/>
      <c r="AA153" s="29"/>
    </row>
    <row r="154" spans="2:27" x14ac:dyDescent="0.25">
      <c r="B154" s="5" t="s">
        <v>312</v>
      </c>
      <c r="C154" s="5" t="s">
        <v>313</v>
      </c>
      <c r="D154" s="29"/>
      <c r="E154" s="29"/>
      <c r="F154" s="11"/>
      <c r="G154" s="31"/>
      <c r="H154" s="32"/>
      <c r="I154" s="29"/>
      <c r="K154" s="5" t="s">
        <v>312</v>
      </c>
      <c r="L154" s="5" t="s">
        <v>313</v>
      </c>
      <c r="M154" s="29"/>
      <c r="N154" s="29"/>
      <c r="O154" s="11"/>
      <c r="P154" s="31"/>
      <c r="Q154" s="32"/>
      <c r="R154" s="29"/>
      <c r="T154" s="41" t="s">
        <v>444</v>
      </c>
      <c r="U154" s="41" t="s">
        <v>283</v>
      </c>
      <c r="V154" s="40"/>
      <c r="W154" s="40"/>
      <c r="X154" s="40"/>
      <c r="Y154" s="31"/>
      <c r="Z154" s="32"/>
      <c r="AA154" s="29"/>
    </row>
    <row r="155" spans="2:27" x14ac:dyDescent="0.25">
      <c r="B155" s="5" t="s">
        <v>312</v>
      </c>
      <c r="C155" s="5" t="s">
        <v>313</v>
      </c>
      <c r="D155" s="29"/>
      <c r="E155" s="29"/>
      <c r="F155" s="11"/>
      <c r="G155" s="31"/>
      <c r="H155" s="32"/>
      <c r="I155" s="29"/>
      <c r="K155" s="5" t="s">
        <v>312</v>
      </c>
      <c r="L155" s="5" t="s">
        <v>313</v>
      </c>
      <c r="M155" s="29"/>
      <c r="N155" s="29"/>
      <c r="O155" s="11"/>
      <c r="P155" s="31"/>
      <c r="Q155" s="32"/>
      <c r="R155" s="29"/>
      <c r="T155" s="41" t="s">
        <v>444</v>
      </c>
      <c r="U155" s="41" t="s">
        <v>283</v>
      </c>
      <c r="V155" s="40"/>
      <c r="W155" s="40"/>
      <c r="X155" s="40"/>
      <c r="Y155" s="31"/>
      <c r="Z155" s="32"/>
      <c r="AA155" s="29"/>
    </row>
    <row r="156" spans="2:27" x14ac:dyDescent="0.25">
      <c r="B156" s="5" t="s">
        <v>312</v>
      </c>
      <c r="C156" s="5" t="s">
        <v>313</v>
      </c>
      <c r="D156" s="29"/>
      <c r="E156" s="29"/>
      <c r="F156" s="11"/>
      <c r="G156" s="31"/>
      <c r="H156" s="32"/>
      <c r="I156" s="29"/>
      <c r="K156" s="5" t="s">
        <v>312</v>
      </c>
      <c r="L156" s="5" t="s">
        <v>313</v>
      </c>
      <c r="M156" s="29"/>
      <c r="N156" s="29"/>
      <c r="O156" s="11"/>
      <c r="P156" s="31"/>
      <c r="Q156" s="32"/>
      <c r="R156" s="29"/>
      <c r="T156" s="41" t="s">
        <v>444</v>
      </c>
      <c r="U156" s="41" t="s">
        <v>283</v>
      </c>
      <c r="V156" s="40"/>
      <c r="W156" s="40"/>
      <c r="X156" s="40"/>
      <c r="Y156" s="31"/>
      <c r="Z156" s="32"/>
      <c r="AA156" s="29"/>
    </row>
    <row r="157" spans="2:27" x14ac:dyDescent="0.25">
      <c r="B157" s="5" t="s">
        <v>312</v>
      </c>
      <c r="C157" s="5" t="s">
        <v>313</v>
      </c>
      <c r="D157" s="29"/>
      <c r="E157" s="29"/>
      <c r="F157" s="11"/>
      <c r="G157" s="31"/>
      <c r="H157" s="32"/>
      <c r="I157" s="29"/>
      <c r="K157" s="5" t="s">
        <v>312</v>
      </c>
      <c r="L157" s="5" t="s">
        <v>313</v>
      </c>
      <c r="M157" s="29"/>
      <c r="N157" s="29"/>
      <c r="O157" s="11"/>
      <c r="P157" s="31"/>
      <c r="Q157" s="32"/>
      <c r="R157" s="29"/>
      <c r="T157" s="41" t="s">
        <v>444</v>
      </c>
      <c r="U157" s="41" t="s">
        <v>283</v>
      </c>
      <c r="V157" s="40"/>
      <c r="W157" s="40"/>
      <c r="X157" s="40"/>
      <c r="Y157" s="31"/>
      <c r="Z157" s="32"/>
      <c r="AA157" s="29"/>
    </row>
    <row r="158" spans="2:27" x14ac:dyDescent="0.25">
      <c r="B158" s="5" t="s">
        <v>312</v>
      </c>
      <c r="C158" s="5" t="s">
        <v>313</v>
      </c>
      <c r="D158" s="29"/>
      <c r="E158" s="29"/>
      <c r="F158" s="11"/>
      <c r="G158" s="31"/>
      <c r="H158" s="32"/>
      <c r="I158" s="29"/>
      <c r="K158" s="5" t="s">
        <v>312</v>
      </c>
      <c r="L158" s="5" t="s">
        <v>313</v>
      </c>
      <c r="M158" s="29"/>
      <c r="N158" s="29"/>
      <c r="O158" s="11"/>
      <c r="P158" s="31"/>
      <c r="Q158" s="32"/>
      <c r="R158" s="29"/>
      <c r="T158" s="41" t="s">
        <v>444</v>
      </c>
      <c r="U158" s="41" t="s">
        <v>283</v>
      </c>
      <c r="V158" s="40"/>
      <c r="W158" s="40"/>
      <c r="X158" s="40"/>
      <c r="Y158" s="31"/>
      <c r="Z158" s="32"/>
      <c r="AA158" s="29"/>
    </row>
    <row r="159" spans="2:27" x14ac:dyDescent="0.25">
      <c r="B159" s="5" t="s">
        <v>312</v>
      </c>
      <c r="C159" s="5" t="s">
        <v>313</v>
      </c>
      <c r="D159" s="29"/>
      <c r="E159" s="29"/>
      <c r="F159" s="11"/>
      <c r="G159" s="31"/>
      <c r="H159" s="32"/>
      <c r="I159" s="29"/>
      <c r="K159" s="5" t="s">
        <v>312</v>
      </c>
      <c r="L159" s="5" t="s">
        <v>313</v>
      </c>
      <c r="M159" s="29"/>
      <c r="N159" s="29"/>
      <c r="O159" s="11"/>
      <c r="P159" s="31"/>
      <c r="Q159" s="32"/>
      <c r="R159" s="29"/>
      <c r="T159" s="41" t="s">
        <v>444</v>
      </c>
      <c r="U159" s="41" t="s">
        <v>283</v>
      </c>
      <c r="V159" s="40"/>
      <c r="W159" s="40"/>
      <c r="X159" s="40"/>
      <c r="Y159" s="31"/>
      <c r="Z159" s="32"/>
      <c r="AA159" s="29"/>
    </row>
    <row r="160" spans="2:27" x14ac:dyDescent="0.25">
      <c r="B160" s="8" t="s">
        <v>449</v>
      </c>
      <c r="C160" s="25"/>
      <c r="D160" s="30"/>
      <c r="E160" s="30"/>
      <c r="F160" s="28">
        <f t="shared" ref="F160" si="46">SUM(F145:F159)</f>
        <v>3000</v>
      </c>
      <c r="G160" s="25"/>
      <c r="H160" s="26"/>
      <c r="I160" s="30"/>
      <c r="K160" s="8" t="s">
        <v>449</v>
      </c>
      <c r="L160" s="25"/>
      <c r="M160" s="30"/>
      <c r="N160" s="30"/>
      <c r="O160" s="28">
        <f t="shared" ref="O160" si="47">SUM(O145:O159)</f>
        <v>3000</v>
      </c>
      <c r="P160" s="25"/>
      <c r="Q160" s="26"/>
      <c r="R160" s="30"/>
      <c r="T160" s="8" t="s">
        <v>449</v>
      </c>
      <c r="U160" s="25"/>
      <c r="V160" s="30"/>
      <c r="W160" s="30"/>
      <c r="X160" s="28">
        <f t="shared" ref="X160" si="48">SUM(X145:X159)</f>
        <v>3000</v>
      </c>
      <c r="Y160" s="25"/>
      <c r="Z160" s="26"/>
      <c r="AA160" s="30"/>
    </row>
    <row r="162" spans="2:27" s="20" customFormat="1" ht="38.25" x14ac:dyDescent="0.25">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x14ac:dyDescent="0.25">
      <c r="B163" s="5" t="s">
        <v>471</v>
      </c>
      <c r="C163" s="5" t="s">
        <v>310</v>
      </c>
      <c r="D163" s="29"/>
      <c r="E163" s="11">
        <v>100000</v>
      </c>
      <c r="F163" s="29"/>
      <c r="G163" s="31"/>
      <c r="H163" s="23">
        <v>0.05</v>
      </c>
      <c r="I163" s="75">
        <f>E163*H163</f>
        <v>5000</v>
      </c>
      <c r="K163" s="5" t="s">
        <v>471</v>
      </c>
      <c r="L163" s="5" t="s">
        <v>310</v>
      </c>
      <c r="M163" s="29"/>
      <c r="N163" s="11">
        <v>100000</v>
      </c>
      <c r="O163" s="29"/>
      <c r="P163" s="31"/>
      <c r="Q163" s="23">
        <v>0.05</v>
      </c>
      <c r="R163" s="75">
        <f>N163*Q163</f>
        <v>5000</v>
      </c>
      <c r="T163" s="41" t="s">
        <v>444</v>
      </c>
      <c r="U163" s="41" t="s">
        <v>283</v>
      </c>
      <c r="V163" s="40">
        <v>180000</v>
      </c>
      <c r="W163" s="40">
        <v>100000</v>
      </c>
      <c r="X163" s="29"/>
      <c r="Y163" s="31"/>
      <c r="Z163" s="23">
        <v>0.05</v>
      </c>
      <c r="AA163" s="75">
        <f>W163*Z163</f>
        <v>5000</v>
      </c>
    </row>
    <row r="164" spans="2:27" x14ac:dyDescent="0.25">
      <c r="B164" s="5" t="s">
        <v>312</v>
      </c>
      <c r="C164" s="5" t="s">
        <v>313</v>
      </c>
      <c r="D164" s="29"/>
      <c r="E164" s="11"/>
      <c r="F164" s="29"/>
      <c r="G164" s="31"/>
      <c r="H164" s="23">
        <v>0.05</v>
      </c>
      <c r="I164" s="75">
        <f t="shared" ref="I164:I177" si="52">E164*H164</f>
        <v>0</v>
      </c>
      <c r="K164" s="5" t="s">
        <v>312</v>
      </c>
      <c r="L164" s="5" t="s">
        <v>313</v>
      </c>
      <c r="M164" s="29"/>
      <c r="N164" s="11"/>
      <c r="O164" s="29"/>
      <c r="P164" s="31"/>
      <c r="Q164" s="23">
        <v>0.05</v>
      </c>
      <c r="R164" s="75">
        <f t="shared" ref="R164:R177" si="53">N164*Q164</f>
        <v>0</v>
      </c>
      <c r="T164" s="41" t="s">
        <v>444</v>
      </c>
      <c r="U164" s="41" t="s">
        <v>283</v>
      </c>
      <c r="V164" s="40"/>
      <c r="W164" s="40"/>
      <c r="X164" s="29"/>
      <c r="Y164" s="31"/>
      <c r="Z164" s="23">
        <v>0.05</v>
      </c>
      <c r="AA164" s="75">
        <f t="shared" ref="AA164:AA177" si="54">W164*Z164</f>
        <v>0</v>
      </c>
    </row>
    <row r="165" spans="2:27" x14ac:dyDescent="0.25">
      <c r="B165" s="5" t="s">
        <v>312</v>
      </c>
      <c r="C165" s="5" t="s">
        <v>313</v>
      </c>
      <c r="D165" s="29"/>
      <c r="E165" s="11"/>
      <c r="F165" s="29"/>
      <c r="G165" s="31"/>
      <c r="H165" s="23">
        <v>0.05</v>
      </c>
      <c r="I165" s="75">
        <f t="shared" si="52"/>
        <v>0</v>
      </c>
      <c r="K165" s="5" t="s">
        <v>312</v>
      </c>
      <c r="L165" s="5" t="s">
        <v>313</v>
      </c>
      <c r="M165" s="29"/>
      <c r="N165" s="11"/>
      <c r="O165" s="29"/>
      <c r="P165" s="31"/>
      <c r="Q165" s="23">
        <v>0.05</v>
      </c>
      <c r="R165" s="75">
        <f t="shared" si="53"/>
        <v>0</v>
      </c>
      <c r="T165" s="41" t="s">
        <v>444</v>
      </c>
      <c r="U165" s="41" t="s">
        <v>283</v>
      </c>
      <c r="V165" s="40"/>
      <c r="W165" s="40"/>
      <c r="X165" s="29"/>
      <c r="Y165" s="31"/>
      <c r="Z165" s="23">
        <v>0.05</v>
      </c>
      <c r="AA165" s="75">
        <f t="shared" si="54"/>
        <v>0</v>
      </c>
    </row>
    <row r="166" spans="2:27" x14ac:dyDescent="0.25">
      <c r="B166" s="5" t="s">
        <v>312</v>
      </c>
      <c r="C166" s="5" t="s">
        <v>313</v>
      </c>
      <c r="D166" s="29"/>
      <c r="E166" s="11"/>
      <c r="F166" s="29"/>
      <c r="G166" s="31"/>
      <c r="H166" s="23">
        <v>0.05</v>
      </c>
      <c r="I166" s="75">
        <f t="shared" si="52"/>
        <v>0</v>
      </c>
      <c r="K166" s="5" t="s">
        <v>312</v>
      </c>
      <c r="L166" s="5" t="s">
        <v>313</v>
      </c>
      <c r="M166" s="29"/>
      <c r="N166" s="11"/>
      <c r="O166" s="29"/>
      <c r="P166" s="31"/>
      <c r="Q166" s="23">
        <v>0.05</v>
      </c>
      <c r="R166" s="75">
        <f t="shared" si="53"/>
        <v>0</v>
      </c>
      <c r="T166" s="41" t="s">
        <v>444</v>
      </c>
      <c r="U166" s="41" t="s">
        <v>283</v>
      </c>
      <c r="V166" s="40"/>
      <c r="W166" s="40"/>
      <c r="X166" s="29"/>
      <c r="Y166" s="31"/>
      <c r="Z166" s="23">
        <v>0.05</v>
      </c>
      <c r="AA166" s="75">
        <f t="shared" si="54"/>
        <v>0</v>
      </c>
    </row>
    <row r="167" spans="2:27" x14ac:dyDescent="0.25">
      <c r="B167" s="5" t="s">
        <v>312</v>
      </c>
      <c r="C167" s="5" t="s">
        <v>313</v>
      </c>
      <c r="D167" s="29"/>
      <c r="E167" s="11"/>
      <c r="F167" s="29"/>
      <c r="G167" s="31"/>
      <c r="H167" s="23">
        <v>0.05</v>
      </c>
      <c r="I167" s="75">
        <f t="shared" si="52"/>
        <v>0</v>
      </c>
      <c r="K167" s="5" t="s">
        <v>312</v>
      </c>
      <c r="L167" s="5" t="s">
        <v>313</v>
      </c>
      <c r="M167" s="29"/>
      <c r="N167" s="11"/>
      <c r="O167" s="29"/>
      <c r="P167" s="31"/>
      <c r="Q167" s="23">
        <v>0.05</v>
      </c>
      <c r="R167" s="75">
        <f t="shared" si="53"/>
        <v>0</v>
      </c>
      <c r="T167" s="41" t="s">
        <v>444</v>
      </c>
      <c r="U167" s="41" t="s">
        <v>283</v>
      </c>
      <c r="V167" s="40"/>
      <c r="W167" s="40"/>
      <c r="X167" s="29"/>
      <c r="Y167" s="31"/>
      <c r="Z167" s="23">
        <v>0.05</v>
      </c>
      <c r="AA167" s="75">
        <f t="shared" si="54"/>
        <v>0</v>
      </c>
    </row>
    <row r="168" spans="2:27" x14ac:dyDescent="0.25">
      <c r="B168" s="5" t="s">
        <v>312</v>
      </c>
      <c r="C168" s="5" t="s">
        <v>313</v>
      </c>
      <c r="D168" s="29"/>
      <c r="E168" s="11"/>
      <c r="F168" s="29"/>
      <c r="G168" s="31"/>
      <c r="H168" s="23">
        <v>0.05</v>
      </c>
      <c r="I168" s="75">
        <f t="shared" si="52"/>
        <v>0</v>
      </c>
      <c r="K168" s="5" t="s">
        <v>312</v>
      </c>
      <c r="L168" s="5" t="s">
        <v>313</v>
      </c>
      <c r="M168" s="29"/>
      <c r="N168" s="11"/>
      <c r="O168" s="29"/>
      <c r="P168" s="31"/>
      <c r="Q168" s="23">
        <v>0.05</v>
      </c>
      <c r="R168" s="75">
        <f t="shared" si="53"/>
        <v>0</v>
      </c>
      <c r="T168" s="41" t="s">
        <v>444</v>
      </c>
      <c r="U168" s="41" t="s">
        <v>283</v>
      </c>
      <c r="V168" s="40"/>
      <c r="W168" s="40"/>
      <c r="X168" s="29"/>
      <c r="Y168" s="31"/>
      <c r="Z168" s="23">
        <v>0.05</v>
      </c>
      <c r="AA168" s="75">
        <f t="shared" si="54"/>
        <v>0</v>
      </c>
    </row>
    <row r="169" spans="2:27" x14ac:dyDescent="0.25">
      <c r="B169" s="5" t="s">
        <v>312</v>
      </c>
      <c r="C169" s="5" t="s">
        <v>313</v>
      </c>
      <c r="D169" s="29"/>
      <c r="E169" s="11"/>
      <c r="F169" s="29"/>
      <c r="G169" s="31"/>
      <c r="H169" s="23">
        <v>0.05</v>
      </c>
      <c r="I169" s="75">
        <f t="shared" si="52"/>
        <v>0</v>
      </c>
      <c r="K169" s="5" t="s">
        <v>312</v>
      </c>
      <c r="L169" s="5" t="s">
        <v>313</v>
      </c>
      <c r="M169" s="29"/>
      <c r="N169" s="11"/>
      <c r="O169" s="29"/>
      <c r="P169" s="31"/>
      <c r="Q169" s="23">
        <v>0.05</v>
      </c>
      <c r="R169" s="75">
        <f t="shared" si="53"/>
        <v>0</v>
      </c>
      <c r="T169" s="41" t="s">
        <v>444</v>
      </c>
      <c r="U169" s="41" t="s">
        <v>283</v>
      </c>
      <c r="V169" s="40"/>
      <c r="W169" s="40"/>
      <c r="X169" s="29"/>
      <c r="Y169" s="31"/>
      <c r="Z169" s="23">
        <v>0.05</v>
      </c>
      <c r="AA169" s="75">
        <f t="shared" si="54"/>
        <v>0</v>
      </c>
    </row>
    <row r="170" spans="2:27" x14ac:dyDescent="0.25">
      <c r="B170" s="5" t="s">
        <v>312</v>
      </c>
      <c r="C170" s="5" t="s">
        <v>313</v>
      </c>
      <c r="D170" s="29"/>
      <c r="E170" s="11"/>
      <c r="F170" s="29"/>
      <c r="G170" s="31"/>
      <c r="H170" s="23">
        <v>0.05</v>
      </c>
      <c r="I170" s="75">
        <f t="shared" si="52"/>
        <v>0</v>
      </c>
      <c r="K170" s="5" t="s">
        <v>312</v>
      </c>
      <c r="L170" s="5" t="s">
        <v>313</v>
      </c>
      <c r="M170" s="29"/>
      <c r="N170" s="11"/>
      <c r="O170" s="29"/>
      <c r="P170" s="31"/>
      <c r="Q170" s="23">
        <v>0.05</v>
      </c>
      <c r="R170" s="75">
        <f t="shared" si="53"/>
        <v>0</v>
      </c>
      <c r="T170" s="41" t="s">
        <v>444</v>
      </c>
      <c r="U170" s="41" t="s">
        <v>283</v>
      </c>
      <c r="V170" s="40"/>
      <c r="W170" s="40"/>
      <c r="X170" s="29"/>
      <c r="Y170" s="31"/>
      <c r="Z170" s="23">
        <v>0.05</v>
      </c>
      <c r="AA170" s="75">
        <f t="shared" si="54"/>
        <v>0</v>
      </c>
    </row>
    <row r="171" spans="2:27" x14ac:dyDescent="0.25">
      <c r="B171" s="5" t="s">
        <v>312</v>
      </c>
      <c r="C171" s="5" t="s">
        <v>313</v>
      </c>
      <c r="D171" s="29"/>
      <c r="E171" s="11"/>
      <c r="F171" s="29"/>
      <c r="G171" s="31"/>
      <c r="H171" s="23">
        <v>0.05</v>
      </c>
      <c r="I171" s="75">
        <f t="shared" si="52"/>
        <v>0</v>
      </c>
      <c r="K171" s="5" t="s">
        <v>312</v>
      </c>
      <c r="L171" s="5" t="s">
        <v>313</v>
      </c>
      <c r="M171" s="29"/>
      <c r="N171" s="11"/>
      <c r="O171" s="29"/>
      <c r="P171" s="31"/>
      <c r="Q171" s="23">
        <v>0.05</v>
      </c>
      <c r="R171" s="75">
        <f t="shared" si="53"/>
        <v>0</v>
      </c>
      <c r="T171" s="41" t="s">
        <v>444</v>
      </c>
      <c r="U171" s="41" t="s">
        <v>283</v>
      </c>
      <c r="V171" s="40"/>
      <c r="W171" s="40"/>
      <c r="X171" s="29"/>
      <c r="Y171" s="31"/>
      <c r="Z171" s="23">
        <v>0.05</v>
      </c>
      <c r="AA171" s="75">
        <f t="shared" si="54"/>
        <v>0</v>
      </c>
    </row>
    <row r="172" spans="2:27" x14ac:dyDescent="0.25">
      <c r="B172" s="5" t="s">
        <v>312</v>
      </c>
      <c r="C172" s="5" t="s">
        <v>313</v>
      </c>
      <c r="D172" s="29"/>
      <c r="E172" s="11"/>
      <c r="F172" s="29"/>
      <c r="G172" s="31"/>
      <c r="H172" s="23">
        <v>0.05</v>
      </c>
      <c r="I172" s="75">
        <f t="shared" si="52"/>
        <v>0</v>
      </c>
      <c r="K172" s="5" t="s">
        <v>312</v>
      </c>
      <c r="L172" s="5" t="s">
        <v>313</v>
      </c>
      <c r="M172" s="29"/>
      <c r="N172" s="11"/>
      <c r="O172" s="29"/>
      <c r="P172" s="31"/>
      <c r="Q172" s="23">
        <v>0.05</v>
      </c>
      <c r="R172" s="75">
        <f t="shared" si="53"/>
        <v>0</v>
      </c>
      <c r="T172" s="41" t="s">
        <v>444</v>
      </c>
      <c r="U172" s="41" t="s">
        <v>283</v>
      </c>
      <c r="V172" s="40"/>
      <c r="W172" s="40"/>
      <c r="X172" s="29"/>
      <c r="Y172" s="31"/>
      <c r="Z172" s="23">
        <v>0.05</v>
      </c>
      <c r="AA172" s="75">
        <f t="shared" si="54"/>
        <v>0</v>
      </c>
    </row>
    <row r="173" spans="2:27" x14ac:dyDescent="0.25">
      <c r="B173" s="5" t="s">
        <v>312</v>
      </c>
      <c r="C173" s="5" t="s">
        <v>313</v>
      </c>
      <c r="D173" s="29"/>
      <c r="E173" s="11"/>
      <c r="F173" s="29"/>
      <c r="G173" s="31"/>
      <c r="H173" s="23">
        <v>0.05</v>
      </c>
      <c r="I173" s="75">
        <f t="shared" si="52"/>
        <v>0</v>
      </c>
      <c r="K173" s="5" t="s">
        <v>312</v>
      </c>
      <c r="L173" s="5" t="s">
        <v>313</v>
      </c>
      <c r="M173" s="29"/>
      <c r="N173" s="11"/>
      <c r="O173" s="29"/>
      <c r="P173" s="31"/>
      <c r="Q173" s="23">
        <v>0.05</v>
      </c>
      <c r="R173" s="75">
        <f t="shared" si="53"/>
        <v>0</v>
      </c>
      <c r="T173" s="41" t="s">
        <v>444</v>
      </c>
      <c r="U173" s="41" t="s">
        <v>283</v>
      </c>
      <c r="V173" s="40"/>
      <c r="W173" s="40"/>
      <c r="X173" s="29"/>
      <c r="Y173" s="31"/>
      <c r="Z173" s="23">
        <v>0.05</v>
      </c>
      <c r="AA173" s="75">
        <f t="shared" si="54"/>
        <v>0</v>
      </c>
    </row>
    <row r="174" spans="2:27" x14ac:dyDescent="0.25">
      <c r="B174" s="5" t="s">
        <v>312</v>
      </c>
      <c r="C174" s="5" t="s">
        <v>313</v>
      </c>
      <c r="D174" s="29"/>
      <c r="E174" s="11"/>
      <c r="F174" s="29"/>
      <c r="G174" s="31"/>
      <c r="H174" s="23">
        <v>0.05</v>
      </c>
      <c r="I174" s="75">
        <f t="shared" si="52"/>
        <v>0</v>
      </c>
      <c r="K174" s="5" t="s">
        <v>312</v>
      </c>
      <c r="L174" s="5" t="s">
        <v>313</v>
      </c>
      <c r="M174" s="29"/>
      <c r="N174" s="11"/>
      <c r="O174" s="29"/>
      <c r="P174" s="31"/>
      <c r="Q174" s="23">
        <v>0.05</v>
      </c>
      <c r="R174" s="75">
        <f t="shared" si="53"/>
        <v>0</v>
      </c>
      <c r="T174" s="41" t="s">
        <v>444</v>
      </c>
      <c r="U174" s="41" t="s">
        <v>283</v>
      </c>
      <c r="V174" s="40"/>
      <c r="W174" s="40"/>
      <c r="X174" s="29"/>
      <c r="Y174" s="31"/>
      <c r="Z174" s="23">
        <v>0.05</v>
      </c>
      <c r="AA174" s="75">
        <f t="shared" si="54"/>
        <v>0</v>
      </c>
    </row>
    <row r="175" spans="2:27" x14ac:dyDescent="0.25">
      <c r="B175" s="5" t="s">
        <v>312</v>
      </c>
      <c r="C175" s="5" t="s">
        <v>313</v>
      </c>
      <c r="D175" s="29"/>
      <c r="E175" s="11"/>
      <c r="F175" s="29"/>
      <c r="G175" s="31"/>
      <c r="H175" s="23">
        <v>0.05</v>
      </c>
      <c r="I175" s="75">
        <f t="shared" si="52"/>
        <v>0</v>
      </c>
      <c r="K175" s="5" t="s">
        <v>312</v>
      </c>
      <c r="L175" s="5" t="s">
        <v>313</v>
      </c>
      <c r="M175" s="29"/>
      <c r="N175" s="11"/>
      <c r="O175" s="29"/>
      <c r="P175" s="31"/>
      <c r="Q175" s="23">
        <v>0.05</v>
      </c>
      <c r="R175" s="75">
        <f t="shared" si="53"/>
        <v>0</v>
      </c>
      <c r="T175" s="41" t="s">
        <v>444</v>
      </c>
      <c r="U175" s="41" t="s">
        <v>283</v>
      </c>
      <c r="V175" s="40"/>
      <c r="W175" s="40"/>
      <c r="X175" s="29"/>
      <c r="Y175" s="31"/>
      <c r="Z175" s="23">
        <v>0.05</v>
      </c>
      <c r="AA175" s="75">
        <f t="shared" si="54"/>
        <v>0</v>
      </c>
    </row>
    <row r="176" spans="2:27" x14ac:dyDescent="0.25">
      <c r="B176" s="5" t="s">
        <v>312</v>
      </c>
      <c r="C176" s="5" t="s">
        <v>313</v>
      </c>
      <c r="D176" s="29"/>
      <c r="E176" s="11"/>
      <c r="F176" s="29"/>
      <c r="G176" s="31"/>
      <c r="H176" s="23">
        <v>0.05</v>
      </c>
      <c r="I176" s="75">
        <f t="shared" si="52"/>
        <v>0</v>
      </c>
      <c r="K176" s="5" t="s">
        <v>312</v>
      </c>
      <c r="L176" s="5" t="s">
        <v>313</v>
      </c>
      <c r="M176" s="29"/>
      <c r="N176" s="11"/>
      <c r="O176" s="29"/>
      <c r="P176" s="31"/>
      <c r="Q176" s="23">
        <v>0.05</v>
      </c>
      <c r="R176" s="75">
        <f t="shared" si="53"/>
        <v>0</v>
      </c>
      <c r="T176" s="41" t="s">
        <v>444</v>
      </c>
      <c r="U176" s="41" t="s">
        <v>283</v>
      </c>
      <c r="V176" s="40"/>
      <c r="W176" s="40"/>
      <c r="X176" s="29"/>
      <c r="Y176" s="31"/>
      <c r="Z176" s="23">
        <v>0.05</v>
      </c>
      <c r="AA176" s="75">
        <f t="shared" si="54"/>
        <v>0</v>
      </c>
    </row>
    <row r="177" spans="2:27" x14ac:dyDescent="0.25">
      <c r="B177" s="5" t="s">
        <v>312</v>
      </c>
      <c r="C177" s="5" t="s">
        <v>313</v>
      </c>
      <c r="D177" s="29"/>
      <c r="E177" s="11"/>
      <c r="F177" s="29"/>
      <c r="G177" s="31"/>
      <c r="H177" s="23">
        <v>0.05</v>
      </c>
      <c r="I177" s="75">
        <f t="shared" si="52"/>
        <v>0</v>
      </c>
      <c r="K177" s="5" t="s">
        <v>312</v>
      </c>
      <c r="L177" s="5" t="s">
        <v>313</v>
      </c>
      <c r="M177" s="29"/>
      <c r="N177" s="11"/>
      <c r="O177" s="29"/>
      <c r="P177" s="31"/>
      <c r="Q177" s="23">
        <v>0.05</v>
      </c>
      <c r="R177" s="75">
        <f t="shared" si="53"/>
        <v>0</v>
      </c>
      <c r="T177" s="41" t="s">
        <v>444</v>
      </c>
      <c r="U177" s="41" t="s">
        <v>283</v>
      </c>
      <c r="V177" s="40"/>
      <c r="W177" s="40"/>
      <c r="X177" s="29"/>
      <c r="Y177" s="31"/>
      <c r="Z177" s="23">
        <v>0.05</v>
      </c>
      <c r="AA177" s="75">
        <f t="shared" si="54"/>
        <v>0</v>
      </c>
    </row>
    <row r="178" spans="2:27" s="24" customFormat="1" x14ac:dyDescent="0.25">
      <c r="B178" s="8" t="s">
        <v>450</v>
      </c>
      <c r="C178" s="25"/>
      <c r="D178" s="30"/>
      <c r="E178" s="28">
        <f>SUM(E163:E177)</f>
        <v>100000</v>
      </c>
      <c r="F178" s="30"/>
      <c r="G178" s="25"/>
      <c r="H178" s="26"/>
      <c r="I178" s="28">
        <f>SUM(I163:I177)</f>
        <v>5000</v>
      </c>
      <c r="K178" s="8" t="s">
        <v>450</v>
      </c>
      <c r="L178" s="25"/>
      <c r="M178" s="30"/>
      <c r="N178" s="28">
        <f>SUM(N163:N177)</f>
        <v>100000</v>
      </c>
      <c r="O178" s="30"/>
      <c r="P178" s="25"/>
      <c r="Q178" s="26"/>
      <c r="R178" s="28">
        <f>SUM(R163:R177)</f>
        <v>5000</v>
      </c>
      <c r="T178" s="8" t="s">
        <v>450</v>
      </c>
      <c r="U178" s="25"/>
      <c r="V178" s="30"/>
      <c r="W178" s="30">
        <f>SUM(W163:W177)</f>
        <v>100000</v>
      </c>
      <c r="X178" s="30"/>
      <c r="Y178" s="25"/>
      <c r="Z178" s="26"/>
      <c r="AA178" s="28">
        <f>SUM(AA163:AA177)</f>
        <v>5000</v>
      </c>
    </row>
    <row r="180" spans="2:27" s="20" customFormat="1" ht="38.25" x14ac:dyDescent="0.25">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x14ac:dyDescent="0.25">
      <c r="B181" s="5" t="s">
        <v>324</v>
      </c>
      <c r="C181" s="5" t="s">
        <v>310</v>
      </c>
      <c r="D181" s="29"/>
      <c r="E181" s="29"/>
      <c r="F181" s="11">
        <v>1500</v>
      </c>
      <c r="G181" s="31"/>
      <c r="H181" s="32"/>
      <c r="I181" s="29"/>
      <c r="K181" s="5" t="s">
        <v>324</v>
      </c>
      <c r="L181" s="5" t="s">
        <v>310</v>
      </c>
      <c r="M181" s="29"/>
      <c r="N181" s="29"/>
      <c r="O181" s="11">
        <v>1500</v>
      </c>
      <c r="P181" s="31"/>
      <c r="Q181" s="32"/>
      <c r="R181" s="29"/>
      <c r="T181" s="41" t="s">
        <v>444</v>
      </c>
      <c r="U181" s="41" t="s">
        <v>283</v>
      </c>
      <c r="V181" s="40">
        <v>60000</v>
      </c>
      <c r="W181" s="40">
        <v>30000</v>
      </c>
      <c r="X181" s="40">
        <v>1500</v>
      </c>
      <c r="Y181" s="31"/>
      <c r="Z181" s="32"/>
      <c r="AA181" s="29"/>
    </row>
    <row r="182" spans="2:27" x14ac:dyDescent="0.25">
      <c r="B182" s="5" t="s">
        <v>312</v>
      </c>
      <c r="C182" s="5" t="s">
        <v>313</v>
      </c>
      <c r="D182" s="29"/>
      <c r="E182" s="29"/>
      <c r="F182" s="11"/>
      <c r="G182" s="31"/>
      <c r="H182" s="32"/>
      <c r="I182" s="29"/>
      <c r="K182" s="5" t="s">
        <v>312</v>
      </c>
      <c r="L182" s="5" t="s">
        <v>313</v>
      </c>
      <c r="M182" s="29"/>
      <c r="N182" s="29"/>
      <c r="O182" s="11"/>
      <c r="P182" s="31"/>
      <c r="Q182" s="32"/>
      <c r="R182" s="29"/>
      <c r="T182" s="41" t="s">
        <v>444</v>
      </c>
      <c r="U182" s="41" t="s">
        <v>283</v>
      </c>
      <c r="V182" s="40"/>
      <c r="W182" s="40"/>
      <c r="X182" s="40"/>
      <c r="Y182" s="31"/>
      <c r="Z182" s="32"/>
      <c r="AA182" s="29"/>
    </row>
    <row r="183" spans="2:27" x14ac:dyDescent="0.25">
      <c r="B183" s="5" t="s">
        <v>312</v>
      </c>
      <c r="C183" s="5" t="s">
        <v>313</v>
      </c>
      <c r="D183" s="29"/>
      <c r="E183" s="29"/>
      <c r="F183" s="11"/>
      <c r="G183" s="31"/>
      <c r="H183" s="32"/>
      <c r="I183" s="29"/>
      <c r="K183" s="5" t="s">
        <v>312</v>
      </c>
      <c r="L183" s="5" t="s">
        <v>313</v>
      </c>
      <c r="M183" s="29"/>
      <c r="N183" s="29"/>
      <c r="O183" s="11"/>
      <c r="P183" s="31"/>
      <c r="Q183" s="32"/>
      <c r="R183" s="29"/>
      <c r="T183" s="41" t="s">
        <v>444</v>
      </c>
      <c r="U183" s="41" t="s">
        <v>283</v>
      </c>
      <c r="V183" s="40"/>
      <c r="W183" s="40"/>
      <c r="X183" s="40"/>
      <c r="Y183" s="31"/>
      <c r="Z183" s="32"/>
      <c r="AA183" s="29"/>
    </row>
    <row r="184" spans="2:27" x14ac:dyDescent="0.25">
      <c r="B184" s="5" t="s">
        <v>312</v>
      </c>
      <c r="C184" s="5" t="s">
        <v>313</v>
      </c>
      <c r="D184" s="29"/>
      <c r="E184" s="29"/>
      <c r="F184" s="11"/>
      <c r="G184" s="31"/>
      <c r="H184" s="32"/>
      <c r="I184" s="29"/>
      <c r="K184" s="5" t="s">
        <v>312</v>
      </c>
      <c r="L184" s="5" t="s">
        <v>313</v>
      </c>
      <c r="M184" s="29"/>
      <c r="N184" s="29"/>
      <c r="O184" s="11"/>
      <c r="P184" s="31"/>
      <c r="Q184" s="32"/>
      <c r="R184" s="29"/>
      <c r="T184" s="41" t="s">
        <v>444</v>
      </c>
      <c r="U184" s="41" t="s">
        <v>283</v>
      </c>
      <c r="V184" s="40"/>
      <c r="W184" s="40"/>
      <c r="X184" s="40"/>
      <c r="Y184" s="31"/>
      <c r="Z184" s="32"/>
      <c r="AA184" s="29"/>
    </row>
    <row r="185" spans="2:27" x14ac:dyDescent="0.25">
      <c r="B185" s="5" t="s">
        <v>312</v>
      </c>
      <c r="C185" s="5" t="s">
        <v>313</v>
      </c>
      <c r="D185" s="29"/>
      <c r="E185" s="29"/>
      <c r="F185" s="11"/>
      <c r="G185" s="31"/>
      <c r="H185" s="32"/>
      <c r="I185" s="29"/>
      <c r="K185" s="5" t="s">
        <v>312</v>
      </c>
      <c r="L185" s="5" t="s">
        <v>313</v>
      </c>
      <c r="M185" s="29"/>
      <c r="N185" s="29"/>
      <c r="O185" s="11"/>
      <c r="P185" s="31"/>
      <c r="Q185" s="32"/>
      <c r="R185" s="29"/>
      <c r="T185" s="41" t="s">
        <v>444</v>
      </c>
      <c r="U185" s="41" t="s">
        <v>283</v>
      </c>
      <c r="V185" s="40"/>
      <c r="W185" s="40"/>
      <c r="X185" s="40"/>
      <c r="Y185" s="31"/>
      <c r="Z185" s="32"/>
      <c r="AA185" s="29"/>
    </row>
    <row r="186" spans="2:27" x14ac:dyDescent="0.25">
      <c r="B186" s="5" t="s">
        <v>312</v>
      </c>
      <c r="C186" s="5" t="s">
        <v>313</v>
      </c>
      <c r="D186" s="29"/>
      <c r="E186" s="29"/>
      <c r="F186" s="11"/>
      <c r="G186" s="31"/>
      <c r="H186" s="32"/>
      <c r="I186" s="29"/>
      <c r="K186" s="5" t="s">
        <v>312</v>
      </c>
      <c r="L186" s="5" t="s">
        <v>313</v>
      </c>
      <c r="M186" s="29"/>
      <c r="N186" s="29"/>
      <c r="O186" s="11"/>
      <c r="P186" s="31"/>
      <c r="Q186" s="32"/>
      <c r="R186" s="29"/>
      <c r="T186" s="41" t="s">
        <v>444</v>
      </c>
      <c r="U186" s="41" t="s">
        <v>283</v>
      </c>
      <c r="V186" s="40"/>
      <c r="W186" s="40"/>
      <c r="X186" s="40"/>
      <c r="Y186" s="31"/>
      <c r="Z186" s="32"/>
      <c r="AA186" s="29"/>
    </row>
    <row r="187" spans="2:27" x14ac:dyDescent="0.25">
      <c r="B187" s="5" t="s">
        <v>312</v>
      </c>
      <c r="C187" s="5" t="s">
        <v>313</v>
      </c>
      <c r="D187" s="29"/>
      <c r="E187" s="29"/>
      <c r="F187" s="11"/>
      <c r="G187" s="31"/>
      <c r="H187" s="32"/>
      <c r="I187" s="29"/>
      <c r="K187" s="5" t="s">
        <v>312</v>
      </c>
      <c r="L187" s="5" t="s">
        <v>313</v>
      </c>
      <c r="M187" s="29"/>
      <c r="N187" s="29"/>
      <c r="O187" s="11"/>
      <c r="P187" s="31"/>
      <c r="Q187" s="32"/>
      <c r="R187" s="29"/>
      <c r="T187" s="41" t="s">
        <v>444</v>
      </c>
      <c r="U187" s="41" t="s">
        <v>283</v>
      </c>
      <c r="V187" s="40"/>
      <c r="W187" s="40"/>
      <c r="X187" s="40"/>
      <c r="Y187" s="31"/>
      <c r="Z187" s="32"/>
      <c r="AA187" s="29"/>
    </row>
    <row r="188" spans="2:27" x14ac:dyDescent="0.25">
      <c r="B188" s="5" t="s">
        <v>312</v>
      </c>
      <c r="C188" s="5" t="s">
        <v>313</v>
      </c>
      <c r="D188" s="29"/>
      <c r="E188" s="29"/>
      <c r="F188" s="11"/>
      <c r="G188" s="31"/>
      <c r="H188" s="32"/>
      <c r="I188" s="29"/>
      <c r="K188" s="5" t="s">
        <v>312</v>
      </c>
      <c r="L188" s="5" t="s">
        <v>313</v>
      </c>
      <c r="M188" s="29"/>
      <c r="N188" s="29"/>
      <c r="O188" s="11"/>
      <c r="P188" s="31"/>
      <c r="Q188" s="32"/>
      <c r="R188" s="29"/>
      <c r="T188" s="41" t="s">
        <v>444</v>
      </c>
      <c r="U188" s="41" t="s">
        <v>283</v>
      </c>
      <c r="V188" s="40"/>
      <c r="W188" s="40"/>
      <c r="X188" s="40"/>
      <c r="Y188" s="31"/>
      <c r="Z188" s="32"/>
      <c r="AA188" s="29"/>
    </row>
    <row r="189" spans="2:27" x14ac:dyDescent="0.25">
      <c r="B189" s="5" t="s">
        <v>312</v>
      </c>
      <c r="C189" s="5" t="s">
        <v>313</v>
      </c>
      <c r="D189" s="29"/>
      <c r="E189" s="29"/>
      <c r="F189" s="11"/>
      <c r="G189" s="31"/>
      <c r="H189" s="32"/>
      <c r="I189" s="29"/>
      <c r="K189" s="5" t="s">
        <v>312</v>
      </c>
      <c r="L189" s="5" t="s">
        <v>313</v>
      </c>
      <c r="M189" s="29"/>
      <c r="N189" s="29"/>
      <c r="O189" s="11"/>
      <c r="P189" s="31"/>
      <c r="Q189" s="32"/>
      <c r="R189" s="29"/>
      <c r="T189" s="41" t="s">
        <v>444</v>
      </c>
      <c r="U189" s="41" t="s">
        <v>283</v>
      </c>
      <c r="V189" s="40"/>
      <c r="W189" s="40"/>
      <c r="X189" s="40"/>
      <c r="Y189" s="31"/>
      <c r="Z189" s="32"/>
      <c r="AA189" s="29"/>
    </row>
    <row r="190" spans="2:27" x14ac:dyDescent="0.25">
      <c r="B190" s="5" t="s">
        <v>312</v>
      </c>
      <c r="C190" s="5" t="s">
        <v>313</v>
      </c>
      <c r="D190" s="29"/>
      <c r="E190" s="29"/>
      <c r="F190" s="11"/>
      <c r="G190" s="31"/>
      <c r="H190" s="32"/>
      <c r="I190" s="29"/>
      <c r="K190" s="5" t="s">
        <v>312</v>
      </c>
      <c r="L190" s="5" t="s">
        <v>313</v>
      </c>
      <c r="M190" s="29"/>
      <c r="N190" s="29"/>
      <c r="O190" s="11"/>
      <c r="P190" s="31"/>
      <c r="Q190" s="32"/>
      <c r="R190" s="29"/>
      <c r="T190" s="41" t="s">
        <v>444</v>
      </c>
      <c r="U190" s="41" t="s">
        <v>283</v>
      </c>
      <c r="V190" s="40"/>
      <c r="W190" s="40"/>
      <c r="X190" s="40"/>
      <c r="Y190" s="31"/>
      <c r="Z190" s="32"/>
      <c r="AA190" s="29"/>
    </row>
    <row r="191" spans="2:27" x14ac:dyDescent="0.25">
      <c r="B191" s="5" t="s">
        <v>312</v>
      </c>
      <c r="C191" s="5" t="s">
        <v>313</v>
      </c>
      <c r="D191" s="29"/>
      <c r="E191" s="29"/>
      <c r="F191" s="11"/>
      <c r="G191" s="31"/>
      <c r="H191" s="32"/>
      <c r="I191" s="29"/>
      <c r="K191" s="5" t="s">
        <v>312</v>
      </c>
      <c r="L191" s="5" t="s">
        <v>313</v>
      </c>
      <c r="M191" s="29"/>
      <c r="N191" s="29"/>
      <c r="O191" s="11"/>
      <c r="P191" s="31"/>
      <c r="Q191" s="32"/>
      <c r="R191" s="29"/>
      <c r="T191" s="41" t="s">
        <v>444</v>
      </c>
      <c r="U191" s="41" t="s">
        <v>283</v>
      </c>
      <c r="V191" s="40"/>
      <c r="W191" s="40"/>
      <c r="X191" s="40"/>
      <c r="Y191" s="31"/>
      <c r="Z191" s="32"/>
      <c r="AA191" s="29"/>
    </row>
    <row r="192" spans="2:27" x14ac:dyDescent="0.25">
      <c r="B192" s="5" t="s">
        <v>312</v>
      </c>
      <c r="C192" s="5" t="s">
        <v>313</v>
      </c>
      <c r="D192" s="29"/>
      <c r="E192" s="29"/>
      <c r="F192" s="11"/>
      <c r="G192" s="31"/>
      <c r="H192" s="32"/>
      <c r="I192" s="29"/>
      <c r="K192" s="5" t="s">
        <v>312</v>
      </c>
      <c r="L192" s="5" t="s">
        <v>313</v>
      </c>
      <c r="M192" s="29"/>
      <c r="N192" s="29"/>
      <c r="O192" s="11"/>
      <c r="P192" s="31"/>
      <c r="Q192" s="32"/>
      <c r="R192" s="29"/>
      <c r="T192" s="41" t="s">
        <v>444</v>
      </c>
      <c r="U192" s="41" t="s">
        <v>283</v>
      </c>
      <c r="V192" s="40"/>
      <c r="W192" s="40"/>
      <c r="X192" s="40"/>
      <c r="Y192" s="31"/>
      <c r="Z192" s="32"/>
      <c r="AA192" s="29"/>
    </row>
    <row r="193" spans="2:27" x14ac:dyDescent="0.25">
      <c r="B193" s="5" t="s">
        <v>312</v>
      </c>
      <c r="C193" s="5" t="s">
        <v>313</v>
      </c>
      <c r="D193" s="29"/>
      <c r="E193" s="29"/>
      <c r="F193" s="11"/>
      <c r="G193" s="31"/>
      <c r="H193" s="32"/>
      <c r="I193" s="29"/>
      <c r="K193" s="5" t="s">
        <v>312</v>
      </c>
      <c r="L193" s="5" t="s">
        <v>313</v>
      </c>
      <c r="M193" s="29"/>
      <c r="N193" s="29"/>
      <c r="O193" s="11"/>
      <c r="P193" s="31"/>
      <c r="Q193" s="32"/>
      <c r="R193" s="29"/>
      <c r="T193" s="41" t="s">
        <v>444</v>
      </c>
      <c r="U193" s="41" t="s">
        <v>283</v>
      </c>
      <c r="V193" s="40"/>
      <c r="W193" s="40"/>
      <c r="X193" s="40"/>
      <c r="Y193" s="31"/>
      <c r="Z193" s="32"/>
      <c r="AA193" s="29"/>
    </row>
    <row r="194" spans="2:27" x14ac:dyDescent="0.25">
      <c r="B194" s="5" t="s">
        <v>312</v>
      </c>
      <c r="C194" s="5" t="s">
        <v>313</v>
      </c>
      <c r="D194" s="29"/>
      <c r="E194" s="29"/>
      <c r="F194" s="11"/>
      <c r="G194" s="31"/>
      <c r="H194" s="32"/>
      <c r="I194" s="29"/>
      <c r="K194" s="5" t="s">
        <v>312</v>
      </c>
      <c r="L194" s="5" t="s">
        <v>313</v>
      </c>
      <c r="M194" s="29"/>
      <c r="N194" s="29"/>
      <c r="O194" s="11"/>
      <c r="P194" s="31"/>
      <c r="Q194" s="32"/>
      <c r="R194" s="29"/>
      <c r="T194" s="41" t="s">
        <v>444</v>
      </c>
      <c r="U194" s="41" t="s">
        <v>283</v>
      </c>
      <c r="V194" s="40"/>
      <c r="W194" s="40"/>
      <c r="X194" s="40"/>
      <c r="Y194" s="31"/>
      <c r="Z194" s="32"/>
      <c r="AA194" s="29"/>
    </row>
    <row r="195" spans="2:27" x14ac:dyDescent="0.25">
      <c r="B195" s="5" t="s">
        <v>312</v>
      </c>
      <c r="C195" s="5" t="s">
        <v>313</v>
      </c>
      <c r="D195" s="29"/>
      <c r="E195" s="29"/>
      <c r="F195" s="11"/>
      <c r="G195" s="31"/>
      <c r="H195" s="32"/>
      <c r="I195" s="29"/>
      <c r="K195" s="5" t="s">
        <v>312</v>
      </c>
      <c r="L195" s="5" t="s">
        <v>313</v>
      </c>
      <c r="M195" s="29"/>
      <c r="N195" s="29"/>
      <c r="O195" s="11"/>
      <c r="P195" s="31"/>
      <c r="Q195" s="32"/>
      <c r="R195" s="29"/>
      <c r="T195" s="41" t="s">
        <v>444</v>
      </c>
      <c r="U195" s="41" t="s">
        <v>283</v>
      </c>
      <c r="V195" s="40"/>
      <c r="W195" s="40"/>
      <c r="X195" s="40"/>
      <c r="Y195" s="31"/>
      <c r="Z195" s="32"/>
      <c r="AA195" s="29"/>
    </row>
    <row r="196" spans="2:27" s="24" customFormat="1" x14ac:dyDescent="0.25">
      <c r="B196" s="8" t="s">
        <v>448</v>
      </c>
      <c r="C196" s="25"/>
      <c r="D196" s="30"/>
      <c r="E196" s="30"/>
      <c r="F196" s="28">
        <f t="shared" ref="F196" si="58">SUM(F181:F195)</f>
        <v>1500</v>
      </c>
      <c r="G196" s="25"/>
      <c r="H196" s="26"/>
      <c r="I196" s="30"/>
      <c r="K196" s="8" t="s">
        <v>448</v>
      </c>
      <c r="L196" s="25"/>
      <c r="M196" s="30"/>
      <c r="N196" s="30"/>
      <c r="O196" s="28">
        <f t="shared" ref="O196" si="59">SUM(O181:O195)</f>
        <v>1500</v>
      </c>
      <c r="P196" s="25"/>
      <c r="Q196" s="26"/>
      <c r="R196" s="30"/>
      <c r="T196" s="8" t="s">
        <v>448</v>
      </c>
      <c r="U196" s="25"/>
      <c r="V196" s="30"/>
      <c r="W196" s="30"/>
      <c r="X196" s="28">
        <f t="shared" ref="X196" si="60">SUM(X181:X195)</f>
        <v>1500</v>
      </c>
      <c r="Y196" s="25"/>
      <c r="Z196" s="26"/>
      <c r="AA196" s="30"/>
    </row>
    <row r="198" spans="2:27" s="20" customFormat="1" ht="38.25" x14ac:dyDescent="0.25">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x14ac:dyDescent="0.25">
      <c r="B199" s="5" t="s">
        <v>468</v>
      </c>
      <c r="C199" s="5" t="s">
        <v>310</v>
      </c>
      <c r="D199" s="11">
        <v>100000</v>
      </c>
      <c r="E199" s="11"/>
      <c r="F199" s="29"/>
      <c r="G199" s="22">
        <v>0.09</v>
      </c>
      <c r="H199" s="23">
        <v>0.82</v>
      </c>
      <c r="I199" s="75">
        <f>D199*G199*H199</f>
        <v>7380</v>
      </c>
      <c r="K199" s="5" t="s">
        <v>468</v>
      </c>
      <c r="L199" s="5" t="s">
        <v>310</v>
      </c>
      <c r="M199" s="11">
        <v>100000</v>
      </c>
      <c r="N199" s="11"/>
      <c r="O199" s="29"/>
      <c r="P199" s="22">
        <v>0.09</v>
      </c>
      <c r="Q199" s="23">
        <v>0.82</v>
      </c>
      <c r="R199" s="75">
        <f>M199*P199*Q199</f>
        <v>7380</v>
      </c>
      <c r="T199" s="41" t="s">
        <v>444</v>
      </c>
      <c r="U199" s="41" t="s">
        <v>283</v>
      </c>
      <c r="V199" s="40">
        <v>100000</v>
      </c>
      <c r="W199" s="40">
        <v>50000</v>
      </c>
      <c r="X199" s="29"/>
      <c r="Y199" s="22">
        <v>0.08</v>
      </c>
      <c r="Z199" s="23">
        <v>0.82</v>
      </c>
      <c r="AA199" s="78">
        <f>V199*Y199*Z199</f>
        <v>6560</v>
      </c>
    </row>
    <row r="200" spans="2:27" x14ac:dyDescent="0.25">
      <c r="B200" s="5" t="s">
        <v>312</v>
      </c>
      <c r="C200" s="5" t="s">
        <v>313</v>
      </c>
      <c r="D200" s="11"/>
      <c r="E200" s="11"/>
      <c r="F200" s="29"/>
      <c r="G200" s="22"/>
      <c r="H200" s="23">
        <v>0.82</v>
      </c>
      <c r="I200" s="75">
        <f t="shared" ref="I200:I213" si="64">D200*G200*H200</f>
        <v>0</v>
      </c>
      <c r="K200" s="5" t="s">
        <v>312</v>
      </c>
      <c r="L200" s="5" t="s">
        <v>313</v>
      </c>
      <c r="M200" s="11"/>
      <c r="N200" s="11"/>
      <c r="O200" s="29"/>
      <c r="P200" s="22"/>
      <c r="Q200" s="23">
        <v>0.82</v>
      </c>
      <c r="R200" s="75">
        <f t="shared" ref="R200:R213" si="65">M200*P200*Q200</f>
        <v>0</v>
      </c>
      <c r="T200" s="41" t="s">
        <v>444</v>
      </c>
      <c r="U200" s="41" t="s">
        <v>283</v>
      </c>
      <c r="V200" s="40"/>
      <c r="W200" s="40"/>
      <c r="X200" s="29"/>
      <c r="Y200" s="22"/>
      <c r="Z200" s="23">
        <v>0.82</v>
      </c>
      <c r="AA200" s="78">
        <f t="shared" ref="AA200:AA213" si="66">V200*Y200*Z200</f>
        <v>0</v>
      </c>
    </row>
    <row r="201" spans="2:27" x14ac:dyDescent="0.25">
      <c r="B201" s="5" t="s">
        <v>312</v>
      </c>
      <c r="C201" s="5" t="s">
        <v>313</v>
      </c>
      <c r="D201" s="11"/>
      <c r="E201" s="11"/>
      <c r="F201" s="29"/>
      <c r="G201" s="22"/>
      <c r="H201" s="23">
        <v>0.82</v>
      </c>
      <c r="I201" s="75">
        <f t="shared" si="64"/>
        <v>0</v>
      </c>
      <c r="K201" s="5" t="s">
        <v>312</v>
      </c>
      <c r="L201" s="5" t="s">
        <v>313</v>
      </c>
      <c r="M201" s="11"/>
      <c r="N201" s="11"/>
      <c r="O201" s="29"/>
      <c r="P201" s="22"/>
      <c r="Q201" s="23">
        <v>0.82</v>
      </c>
      <c r="R201" s="75">
        <f t="shared" si="65"/>
        <v>0</v>
      </c>
      <c r="T201" s="41" t="s">
        <v>444</v>
      </c>
      <c r="U201" s="41" t="s">
        <v>283</v>
      </c>
      <c r="V201" s="40"/>
      <c r="W201" s="40"/>
      <c r="X201" s="29"/>
      <c r="Y201" s="22"/>
      <c r="Z201" s="23">
        <v>0.82</v>
      </c>
      <c r="AA201" s="78">
        <f t="shared" si="66"/>
        <v>0</v>
      </c>
    </row>
    <row r="202" spans="2:27" x14ac:dyDescent="0.25">
      <c r="B202" s="5" t="s">
        <v>312</v>
      </c>
      <c r="C202" s="5" t="s">
        <v>313</v>
      </c>
      <c r="D202" s="11"/>
      <c r="E202" s="11"/>
      <c r="F202" s="29"/>
      <c r="G202" s="22"/>
      <c r="H202" s="23">
        <v>0.82</v>
      </c>
      <c r="I202" s="75">
        <f t="shared" si="64"/>
        <v>0</v>
      </c>
      <c r="K202" s="5" t="s">
        <v>312</v>
      </c>
      <c r="L202" s="5" t="s">
        <v>313</v>
      </c>
      <c r="M202" s="11"/>
      <c r="N202" s="11"/>
      <c r="O202" s="29"/>
      <c r="P202" s="22"/>
      <c r="Q202" s="23">
        <v>0.82</v>
      </c>
      <c r="R202" s="75">
        <f t="shared" si="65"/>
        <v>0</v>
      </c>
      <c r="T202" s="41" t="s">
        <v>444</v>
      </c>
      <c r="U202" s="41" t="s">
        <v>283</v>
      </c>
      <c r="V202" s="40"/>
      <c r="W202" s="40"/>
      <c r="X202" s="29"/>
      <c r="Y202" s="22"/>
      <c r="Z202" s="23">
        <v>0.82</v>
      </c>
      <c r="AA202" s="78">
        <f t="shared" si="66"/>
        <v>0</v>
      </c>
    </row>
    <row r="203" spans="2:27" x14ac:dyDescent="0.25">
      <c r="B203" s="5" t="s">
        <v>312</v>
      </c>
      <c r="C203" s="5" t="s">
        <v>313</v>
      </c>
      <c r="D203" s="11"/>
      <c r="E203" s="11"/>
      <c r="F203" s="29"/>
      <c r="G203" s="22"/>
      <c r="H203" s="23">
        <v>0.82</v>
      </c>
      <c r="I203" s="75">
        <f t="shared" si="64"/>
        <v>0</v>
      </c>
      <c r="K203" s="5" t="s">
        <v>312</v>
      </c>
      <c r="L203" s="5" t="s">
        <v>313</v>
      </c>
      <c r="M203" s="11"/>
      <c r="N203" s="11"/>
      <c r="O203" s="29"/>
      <c r="P203" s="22"/>
      <c r="Q203" s="23">
        <v>0.82</v>
      </c>
      <c r="R203" s="75">
        <f t="shared" si="65"/>
        <v>0</v>
      </c>
      <c r="T203" s="41" t="s">
        <v>444</v>
      </c>
      <c r="U203" s="41" t="s">
        <v>283</v>
      </c>
      <c r="V203" s="40"/>
      <c r="W203" s="40"/>
      <c r="X203" s="29"/>
      <c r="Y203" s="22"/>
      <c r="Z203" s="23">
        <v>0.82</v>
      </c>
      <c r="AA203" s="78">
        <f t="shared" si="66"/>
        <v>0</v>
      </c>
    </row>
    <row r="204" spans="2:27" x14ac:dyDescent="0.25">
      <c r="B204" s="5" t="s">
        <v>312</v>
      </c>
      <c r="C204" s="5" t="s">
        <v>313</v>
      </c>
      <c r="D204" s="11"/>
      <c r="E204" s="11"/>
      <c r="F204" s="29"/>
      <c r="G204" s="22"/>
      <c r="H204" s="23">
        <v>0.82</v>
      </c>
      <c r="I204" s="75">
        <f t="shared" si="64"/>
        <v>0</v>
      </c>
      <c r="K204" s="5" t="s">
        <v>312</v>
      </c>
      <c r="L204" s="5" t="s">
        <v>313</v>
      </c>
      <c r="M204" s="11"/>
      <c r="N204" s="11"/>
      <c r="O204" s="29"/>
      <c r="P204" s="22"/>
      <c r="Q204" s="23">
        <v>0.82</v>
      </c>
      <c r="R204" s="75">
        <f t="shared" si="65"/>
        <v>0</v>
      </c>
      <c r="T204" s="41" t="s">
        <v>444</v>
      </c>
      <c r="U204" s="41" t="s">
        <v>283</v>
      </c>
      <c r="V204" s="40"/>
      <c r="W204" s="40"/>
      <c r="X204" s="29"/>
      <c r="Y204" s="22"/>
      <c r="Z204" s="23">
        <v>0.82</v>
      </c>
      <c r="AA204" s="78">
        <f t="shared" si="66"/>
        <v>0</v>
      </c>
    </row>
    <row r="205" spans="2:27" x14ac:dyDescent="0.25">
      <c r="B205" s="5" t="s">
        <v>312</v>
      </c>
      <c r="C205" s="5" t="s">
        <v>313</v>
      </c>
      <c r="D205" s="11"/>
      <c r="E205" s="11"/>
      <c r="F205" s="29"/>
      <c r="G205" s="22"/>
      <c r="H205" s="23">
        <v>0.82</v>
      </c>
      <c r="I205" s="75">
        <f t="shared" si="64"/>
        <v>0</v>
      </c>
      <c r="K205" s="5" t="s">
        <v>312</v>
      </c>
      <c r="L205" s="5" t="s">
        <v>313</v>
      </c>
      <c r="M205" s="11"/>
      <c r="N205" s="11"/>
      <c r="O205" s="29"/>
      <c r="P205" s="22"/>
      <c r="Q205" s="23">
        <v>0.82</v>
      </c>
      <c r="R205" s="75">
        <f t="shared" si="65"/>
        <v>0</v>
      </c>
      <c r="T205" s="41" t="s">
        <v>444</v>
      </c>
      <c r="U205" s="41" t="s">
        <v>283</v>
      </c>
      <c r="V205" s="40"/>
      <c r="W205" s="40"/>
      <c r="X205" s="29"/>
      <c r="Y205" s="22"/>
      <c r="Z205" s="23">
        <v>0.82</v>
      </c>
      <c r="AA205" s="78">
        <f t="shared" si="66"/>
        <v>0</v>
      </c>
    </row>
    <row r="206" spans="2:27" x14ac:dyDescent="0.25">
      <c r="B206" s="5" t="s">
        <v>312</v>
      </c>
      <c r="C206" s="5" t="s">
        <v>313</v>
      </c>
      <c r="D206" s="11"/>
      <c r="E206" s="11"/>
      <c r="F206" s="29"/>
      <c r="G206" s="22"/>
      <c r="H206" s="23">
        <v>0.82</v>
      </c>
      <c r="I206" s="75">
        <f t="shared" si="64"/>
        <v>0</v>
      </c>
      <c r="K206" s="5" t="s">
        <v>312</v>
      </c>
      <c r="L206" s="5" t="s">
        <v>313</v>
      </c>
      <c r="M206" s="11"/>
      <c r="N206" s="11"/>
      <c r="O206" s="29"/>
      <c r="P206" s="22"/>
      <c r="Q206" s="23">
        <v>0.82</v>
      </c>
      <c r="R206" s="75">
        <f t="shared" si="65"/>
        <v>0</v>
      </c>
      <c r="T206" s="41" t="s">
        <v>444</v>
      </c>
      <c r="U206" s="41" t="s">
        <v>283</v>
      </c>
      <c r="V206" s="40"/>
      <c r="W206" s="40"/>
      <c r="X206" s="29"/>
      <c r="Y206" s="22"/>
      <c r="Z206" s="23">
        <v>0.82</v>
      </c>
      <c r="AA206" s="78">
        <f t="shared" si="66"/>
        <v>0</v>
      </c>
    </row>
    <row r="207" spans="2:27" x14ac:dyDescent="0.25">
      <c r="B207" s="5" t="s">
        <v>312</v>
      </c>
      <c r="C207" s="5" t="s">
        <v>313</v>
      </c>
      <c r="D207" s="11"/>
      <c r="E207" s="11"/>
      <c r="F207" s="29"/>
      <c r="G207" s="22"/>
      <c r="H207" s="23">
        <v>0.82</v>
      </c>
      <c r="I207" s="75">
        <f t="shared" si="64"/>
        <v>0</v>
      </c>
      <c r="K207" s="5" t="s">
        <v>312</v>
      </c>
      <c r="L207" s="5" t="s">
        <v>313</v>
      </c>
      <c r="M207" s="11"/>
      <c r="N207" s="11"/>
      <c r="O207" s="29"/>
      <c r="P207" s="22"/>
      <c r="Q207" s="23">
        <v>0.82</v>
      </c>
      <c r="R207" s="75">
        <f t="shared" si="65"/>
        <v>0</v>
      </c>
      <c r="T207" s="41" t="s">
        <v>444</v>
      </c>
      <c r="U207" s="41" t="s">
        <v>283</v>
      </c>
      <c r="V207" s="40"/>
      <c r="W207" s="40"/>
      <c r="X207" s="29"/>
      <c r="Y207" s="22"/>
      <c r="Z207" s="23">
        <v>0.82</v>
      </c>
      <c r="AA207" s="78">
        <f t="shared" si="66"/>
        <v>0</v>
      </c>
    </row>
    <row r="208" spans="2:27" x14ac:dyDescent="0.25">
      <c r="B208" s="5" t="s">
        <v>312</v>
      </c>
      <c r="C208" s="5" t="s">
        <v>313</v>
      </c>
      <c r="D208" s="11"/>
      <c r="E208" s="11"/>
      <c r="F208" s="29"/>
      <c r="G208" s="22"/>
      <c r="H208" s="23">
        <v>0.82</v>
      </c>
      <c r="I208" s="75">
        <f t="shared" si="64"/>
        <v>0</v>
      </c>
      <c r="K208" s="5" t="s">
        <v>312</v>
      </c>
      <c r="L208" s="5" t="s">
        <v>313</v>
      </c>
      <c r="M208" s="11"/>
      <c r="N208" s="11"/>
      <c r="O208" s="29"/>
      <c r="P208" s="22"/>
      <c r="Q208" s="23">
        <v>0.82</v>
      </c>
      <c r="R208" s="75">
        <f t="shared" si="65"/>
        <v>0</v>
      </c>
      <c r="T208" s="41" t="s">
        <v>444</v>
      </c>
      <c r="U208" s="41" t="s">
        <v>283</v>
      </c>
      <c r="V208" s="40"/>
      <c r="W208" s="40"/>
      <c r="X208" s="29"/>
      <c r="Y208" s="22"/>
      <c r="Z208" s="23">
        <v>0.82</v>
      </c>
      <c r="AA208" s="78">
        <f t="shared" si="66"/>
        <v>0</v>
      </c>
    </row>
    <row r="209" spans="2:27" x14ac:dyDescent="0.25">
      <c r="B209" s="5" t="s">
        <v>312</v>
      </c>
      <c r="C209" s="5" t="s">
        <v>313</v>
      </c>
      <c r="D209" s="11"/>
      <c r="E209" s="11"/>
      <c r="F209" s="29"/>
      <c r="G209" s="22"/>
      <c r="H209" s="23">
        <v>0.82</v>
      </c>
      <c r="I209" s="75">
        <f t="shared" si="64"/>
        <v>0</v>
      </c>
      <c r="K209" s="5" t="s">
        <v>312</v>
      </c>
      <c r="L209" s="5" t="s">
        <v>313</v>
      </c>
      <c r="M209" s="11"/>
      <c r="N209" s="11"/>
      <c r="O209" s="29"/>
      <c r="P209" s="22"/>
      <c r="Q209" s="23">
        <v>0.82</v>
      </c>
      <c r="R209" s="75">
        <f t="shared" si="65"/>
        <v>0</v>
      </c>
      <c r="T209" s="41" t="s">
        <v>444</v>
      </c>
      <c r="U209" s="41" t="s">
        <v>283</v>
      </c>
      <c r="V209" s="40"/>
      <c r="W209" s="40"/>
      <c r="X209" s="29"/>
      <c r="Y209" s="22"/>
      <c r="Z209" s="23">
        <v>0.82</v>
      </c>
      <c r="AA209" s="78">
        <f t="shared" si="66"/>
        <v>0</v>
      </c>
    </row>
    <row r="210" spans="2:27" x14ac:dyDescent="0.25">
      <c r="B210" s="5" t="s">
        <v>312</v>
      </c>
      <c r="C210" s="5" t="s">
        <v>313</v>
      </c>
      <c r="D210" s="11"/>
      <c r="E210" s="11"/>
      <c r="F210" s="29"/>
      <c r="G210" s="22"/>
      <c r="H210" s="23">
        <v>0.82</v>
      </c>
      <c r="I210" s="75">
        <f t="shared" si="64"/>
        <v>0</v>
      </c>
      <c r="K210" s="5" t="s">
        <v>312</v>
      </c>
      <c r="L210" s="5" t="s">
        <v>313</v>
      </c>
      <c r="M210" s="11"/>
      <c r="N210" s="11"/>
      <c r="O210" s="29"/>
      <c r="P210" s="22"/>
      <c r="Q210" s="23">
        <v>0.82</v>
      </c>
      <c r="R210" s="75">
        <f t="shared" si="65"/>
        <v>0</v>
      </c>
      <c r="T210" s="41" t="s">
        <v>444</v>
      </c>
      <c r="U210" s="41" t="s">
        <v>283</v>
      </c>
      <c r="V210" s="40"/>
      <c r="W210" s="40"/>
      <c r="X210" s="29"/>
      <c r="Y210" s="22"/>
      <c r="Z210" s="23">
        <v>0.82</v>
      </c>
      <c r="AA210" s="78">
        <f t="shared" si="66"/>
        <v>0</v>
      </c>
    </row>
    <row r="211" spans="2:27" x14ac:dyDescent="0.25">
      <c r="B211" s="5" t="s">
        <v>312</v>
      </c>
      <c r="C211" s="5" t="s">
        <v>313</v>
      </c>
      <c r="D211" s="11"/>
      <c r="E211" s="11"/>
      <c r="F211" s="29"/>
      <c r="G211" s="22"/>
      <c r="H211" s="23">
        <v>0.82</v>
      </c>
      <c r="I211" s="75">
        <f t="shared" si="64"/>
        <v>0</v>
      </c>
      <c r="K211" s="5" t="s">
        <v>312</v>
      </c>
      <c r="L211" s="5" t="s">
        <v>313</v>
      </c>
      <c r="M211" s="11"/>
      <c r="N211" s="11"/>
      <c r="O211" s="29"/>
      <c r="P211" s="22"/>
      <c r="Q211" s="23">
        <v>0.82</v>
      </c>
      <c r="R211" s="75">
        <f t="shared" si="65"/>
        <v>0</v>
      </c>
      <c r="T211" s="41" t="s">
        <v>444</v>
      </c>
      <c r="U211" s="41" t="s">
        <v>283</v>
      </c>
      <c r="V211" s="40"/>
      <c r="W211" s="40"/>
      <c r="X211" s="29"/>
      <c r="Y211" s="22"/>
      <c r="Z211" s="23">
        <v>0.82</v>
      </c>
      <c r="AA211" s="78">
        <f t="shared" si="66"/>
        <v>0</v>
      </c>
    </row>
    <row r="212" spans="2:27" x14ac:dyDescent="0.25">
      <c r="B212" s="5" t="s">
        <v>312</v>
      </c>
      <c r="C212" s="5" t="s">
        <v>313</v>
      </c>
      <c r="D212" s="11"/>
      <c r="E212" s="11"/>
      <c r="F212" s="29"/>
      <c r="G212" s="22"/>
      <c r="H212" s="23">
        <v>0.82</v>
      </c>
      <c r="I212" s="75">
        <f t="shared" si="64"/>
        <v>0</v>
      </c>
      <c r="K212" s="5" t="s">
        <v>312</v>
      </c>
      <c r="L212" s="5" t="s">
        <v>313</v>
      </c>
      <c r="M212" s="11"/>
      <c r="N212" s="11"/>
      <c r="O212" s="29"/>
      <c r="P212" s="22"/>
      <c r="Q212" s="23">
        <v>0.82</v>
      </c>
      <c r="R212" s="75">
        <f t="shared" si="65"/>
        <v>0</v>
      </c>
      <c r="T212" s="41" t="s">
        <v>444</v>
      </c>
      <c r="U212" s="41" t="s">
        <v>283</v>
      </c>
      <c r="V212" s="40"/>
      <c r="W212" s="40"/>
      <c r="X212" s="29"/>
      <c r="Y212" s="22"/>
      <c r="Z212" s="23">
        <v>0.82</v>
      </c>
      <c r="AA212" s="78">
        <f t="shared" si="66"/>
        <v>0</v>
      </c>
    </row>
    <row r="213" spans="2:27" x14ac:dyDescent="0.25">
      <c r="B213" s="5" t="s">
        <v>312</v>
      </c>
      <c r="C213" s="5" t="s">
        <v>313</v>
      </c>
      <c r="D213" s="11"/>
      <c r="E213" s="11"/>
      <c r="F213" s="29"/>
      <c r="G213" s="22"/>
      <c r="H213" s="23">
        <v>0.82</v>
      </c>
      <c r="I213" s="75">
        <f t="shared" si="64"/>
        <v>0</v>
      </c>
      <c r="K213" s="5" t="s">
        <v>312</v>
      </c>
      <c r="L213" s="5" t="s">
        <v>313</v>
      </c>
      <c r="M213" s="11"/>
      <c r="N213" s="11"/>
      <c r="O213" s="29"/>
      <c r="P213" s="22"/>
      <c r="Q213" s="23">
        <v>0.82</v>
      </c>
      <c r="R213" s="75">
        <f t="shared" si="65"/>
        <v>0</v>
      </c>
      <c r="T213" s="41" t="s">
        <v>444</v>
      </c>
      <c r="U213" s="41" t="s">
        <v>283</v>
      </c>
      <c r="V213" s="40"/>
      <c r="W213" s="40"/>
      <c r="X213" s="29"/>
      <c r="Y213" s="22"/>
      <c r="Z213" s="23">
        <v>0.82</v>
      </c>
      <c r="AA213" s="78">
        <f t="shared" si="66"/>
        <v>0</v>
      </c>
    </row>
    <row r="214" spans="2:27" s="24" customFormat="1" x14ac:dyDescent="0.25">
      <c r="B214" s="8" t="s">
        <v>446</v>
      </c>
      <c r="C214" s="25"/>
      <c r="D214" s="28">
        <f>SUM(D199:D213)</f>
        <v>100000</v>
      </c>
      <c r="E214" s="28">
        <f>SUM(E199:E213)</f>
        <v>0</v>
      </c>
      <c r="F214" s="30"/>
      <c r="G214" s="25"/>
      <c r="H214" s="26"/>
      <c r="I214" s="28">
        <f>SUM(I199:I213)</f>
        <v>7380</v>
      </c>
      <c r="K214" s="8" t="s">
        <v>446</v>
      </c>
      <c r="L214" s="25"/>
      <c r="M214" s="28">
        <f>SUM(M199:M213)</f>
        <v>100000</v>
      </c>
      <c r="N214" s="28">
        <f>SUM(N199:N213)</f>
        <v>0</v>
      </c>
      <c r="O214" s="30"/>
      <c r="P214" s="25"/>
      <c r="Q214" s="26"/>
      <c r="R214" s="28">
        <f>SUM(R199:R213)</f>
        <v>7380</v>
      </c>
      <c r="T214" s="8" t="s">
        <v>446</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Selection'!G8:G21</xm:f>
          </x14:formula1>
          <xm:sqref>B60:B69 K60:K69</xm:sqref>
        </x14:dataValidation>
        <x14:dataValidation type="list" allowBlank="1" showInputMessage="1" showErrorMessage="1" xr:uid="{0B7B2A43-D2CD-4481-A76B-E70A4AC4B395}">
          <x14:formula1>
            <xm:f>'Mapping &amp; Selection'!G6:G20</xm:f>
          </x14:formula1>
          <xm:sqref>B58:B59 K58:K59</xm:sqref>
        </x14:dataValidation>
        <x14:dataValidation type="list" allowBlank="1" showInputMessage="1" showErrorMessage="1" xr:uid="{4E16387D-7624-41A7-9367-39B45EE4D707}">
          <x14:formula1>
            <xm:f>'Mapping &amp; Selection'!G3:G18</xm:f>
          </x14:formula1>
          <xm:sqref>B55:B57 K55:K57</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40625" defaultRowHeight="12.75" x14ac:dyDescent="0.25"/>
  <cols>
    <col min="1" max="1" width="9.140625" style="2"/>
    <col min="2" max="2" width="40.28515625" style="2" bestFit="1" customWidth="1"/>
    <col min="3" max="3" width="11.7109375" style="2" bestFit="1" customWidth="1"/>
    <col min="4" max="9" width="10.28515625" style="2" customWidth="1"/>
    <col min="10" max="10" width="10.28515625" style="2" bestFit="1" customWidth="1"/>
    <col min="11" max="11" width="40.28515625" style="2" bestFit="1" customWidth="1"/>
    <col min="12" max="12" width="11.7109375" style="2" bestFit="1" customWidth="1"/>
    <col min="13" max="18" width="10.28515625" style="2" customWidth="1"/>
    <col min="19" max="19" width="9.7109375" style="2" customWidth="1"/>
    <col min="20" max="20" width="40.28515625" style="2" bestFit="1" customWidth="1"/>
    <col min="21" max="21" width="11.7109375" style="2" bestFit="1" customWidth="1"/>
    <col min="22" max="27" width="10.28515625" style="2" customWidth="1"/>
    <col min="28" max="28" width="9.140625" style="2"/>
    <col min="29" max="29" width="40.28515625" style="2" bestFit="1" customWidth="1"/>
    <col min="30" max="30" width="11.7109375" style="2" bestFit="1" customWidth="1"/>
    <col min="31" max="36" width="10.28515625" style="2" customWidth="1"/>
    <col min="37" max="37" width="9.140625" style="2"/>
    <col min="38" max="38" width="40.28515625" style="2" bestFit="1" customWidth="1"/>
    <col min="39" max="39" width="11.7109375" style="2" bestFit="1" customWidth="1"/>
    <col min="40" max="45" width="10.28515625" style="2" customWidth="1"/>
    <col min="46" max="46" width="9.140625" style="2"/>
    <col min="47" max="47" width="40.28515625" style="2" bestFit="1" customWidth="1"/>
    <col min="48" max="48" width="11.7109375" style="2" bestFit="1" customWidth="1"/>
    <col min="49" max="54" width="10.28515625" style="2" customWidth="1"/>
    <col min="55" max="55" width="9.140625" style="2"/>
    <col min="56" max="56" width="40.28515625" style="2" bestFit="1" customWidth="1"/>
    <col min="57" max="57" width="11.7109375" style="2" bestFit="1" customWidth="1"/>
    <col min="58" max="63" width="10.28515625" style="2" customWidth="1"/>
    <col min="64" max="16384" width="9.140625" style="2"/>
  </cols>
  <sheetData>
    <row r="2" spans="2:10" x14ac:dyDescent="0.2">
      <c r="B2" s="55" t="s">
        <v>399</v>
      </c>
      <c r="C2" s="1"/>
      <c r="D2" s="1"/>
      <c r="E2" s="1"/>
      <c r="F2" s="1"/>
      <c r="G2" s="1"/>
      <c r="H2" s="1"/>
      <c r="I2" s="1"/>
      <c r="J2" s="1"/>
    </row>
    <row r="3" spans="2:10" x14ac:dyDescent="0.2">
      <c r="B3" s="1"/>
      <c r="C3" s="1"/>
      <c r="D3" s="1"/>
      <c r="E3" s="1"/>
      <c r="F3" s="1"/>
      <c r="G3" s="1"/>
      <c r="H3" s="1"/>
      <c r="I3" s="1"/>
      <c r="J3" s="1"/>
    </row>
    <row r="4" spans="2:10" x14ac:dyDescent="0.2">
      <c r="B4" s="17" t="s">
        <v>401</v>
      </c>
      <c r="C4" s="17" t="s">
        <v>402</v>
      </c>
      <c r="D4" s="17" t="s">
        <v>403</v>
      </c>
      <c r="E4" s="17" t="s">
        <v>404</v>
      </c>
      <c r="F4" s="17" t="s">
        <v>405</v>
      </c>
      <c r="G4" s="17" t="s">
        <v>406</v>
      </c>
      <c r="H4" s="17" t="s">
        <v>407</v>
      </c>
      <c r="I4" s="17" t="s">
        <v>408</v>
      </c>
      <c r="J4" s="58" t="s">
        <v>107</v>
      </c>
    </row>
    <row r="5" spans="2:10" x14ac:dyDescent="0.2">
      <c r="B5" s="18" t="s">
        <v>409</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x14ac:dyDescent="0.2">
      <c r="B6" s="18" t="s">
        <v>410</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x14ac:dyDescent="0.2">
      <c r="B7" s="59" t="s">
        <v>349</v>
      </c>
      <c r="C7" s="62">
        <f>H41</f>
        <v>174000</v>
      </c>
      <c r="D7" s="62">
        <f>Q41</f>
        <v>174000</v>
      </c>
      <c r="E7" s="62">
        <f>Z41</f>
        <v>174000</v>
      </c>
      <c r="F7" s="62">
        <f>AI41</f>
        <v>174000</v>
      </c>
      <c r="G7" s="62">
        <f>AR41</f>
        <v>174000</v>
      </c>
      <c r="H7" s="62">
        <f>BA41</f>
        <v>174000</v>
      </c>
      <c r="I7" s="62">
        <f>BJ41</f>
        <v>174000</v>
      </c>
      <c r="J7" s="57">
        <f t="shared" si="1"/>
        <v>1218000</v>
      </c>
    </row>
    <row r="8" spans="2:10" x14ac:dyDescent="0.2">
      <c r="B8" s="59" t="s">
        <v>351</v>
      </c>
      <c r="C8" s="62">
        <f>G41</f>
        <v>79520</v>
      </c>
      <c r="D8" s="62">
        <f>P41</f>
        <v>79520</v>
      </c>
      <c r="E8" s="62">
        <f>Y41</f>
        <v>79520</v>
      </c>
      <c r="F8" s="62">
        <f>AH41</f>
        <v>79520</v>
      </c>
      <c r="G8" s="62">
        <f>AQ41</f>
        <v>79520</v>
      </c>
      <c r="H8" s="62">
        <f>AZ41</f>
        <v>79520</v>
      </c>
      <c r="I8" s="62">
        <f>BI41</f>
        <v>79520</v>
      </c>
      <c r="J8" s="57">
        <f t="shared" si="1"/>
        <v>556640</v>
      </c>
    </row>
    <row r="9" spans="2:10" x14ac:dyDescent="0.2">
      <c r="B9" s="18" t="s">
        <v>411</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x14ac:dyDescent="0.2">
      <c r="B10" s="1"/>
      <c r="C10" s="1"/>
      <c r="D10" s="1"/>
      <c r="E10" s="1"/>
      <c r="F10" s="1"/>
      <c r="G10" s="1"/>
      <c r="H10" s="1"/>
      <c r="I10" s="1"/>
      <c r="J10" s="1"/>
    </row>
    <row r="11" spans="2:10" x14ac:dyDescent="0.2">
      <c r="B11" s="17" t="s">
        <v>401</v>
      </c>
      <c r="C11" s="17" t="s">
        <v>402</v>
      </c>
      <c r="D11" s="17" t="s">
        <v>403</v>
      </c>
      <c r="E11" s="17" t="s">
        <v>404</v>
      </c>
      <c r="F11" s="17" t="s">
        <v>405</v>
      </c>
      <c r="G11" s="17" t="s">
        <v>406</v>
      </c>
      <c r="H11" s="17" t="s">
        <v>407</v>
      </c>
      <c r="I11" s="17" t="s">
        <v>408</v>
      </c>
      <c r="J11" s="58" t="s">
        <v>107</v>
      </c>
    </row>
    <row r="12" spans="2:10" x14ac:dyDescent="0.2">
      <c r="B12" s="18" t="s">
        <v>412</v>
      </c>
      <c r="C12" s="60">
        <v>250000</v>
      </c>
      <c r="D12" s="60">
        <v>160000</v>
      </c>
      <c r="E12" s="60">
        <v>370000</v>
      </c>
      <c r="F12" s="60">
        <v>180000</v>
      </c>
      <c r="G12" s="60">
        <v>290000</v>
      </c>
      <c r="H12" s="60">
        <v>200000</v>
      </c>
      <c r="I12" s="60">
        <v>410000</v>
      </c>
      <c r="J12" s="57">
        <f>SUM(C12:I12)</f>
        <v>1860000</v>
      </c>
    </row>
    <row r="13" spans="2:10" x14ac:dyDescent="0.2">
      <c r="B13" s="18" t="s">
        <v>414</v>
      </c>
      <c r="C13" s="60"/>
      <c r="D13" s="60"/>
      <c r="E13" s="60"/>
      <c r="F13" s="60"/>
      <c r="G13" s="60"/>
      <c r="H13" s="60"/>
      <c r="I13" s="60"/>
      <c r="J13" s="57">
        <f t="shared" ref="J13:J26" si="4">SUM(C13:I13)</f>
        <v>0</v>
      </c>
    </row>
    <row r="14" spans="2:10" x14ac:dyDescent="0.2">
      <c r="B14" s="18" t="s">
        <v>415</v>
      </c>
      <c r="C14" s="60"/>
      <c r="D14" s="60"/>
      <c r="E14" s="60"/>
      <c r="F14" s="60"/>
      <c r="G14" s="60"/>
      <c r="H14" s="60"/>
      <c r="I14" s="60"/>
      <c r="J14" s="57">
        <f t="shared" si="4"/>
        <v>0</v>
      </c>
    </row>
    <row r="15" spans="2:10" x14ac:dyDescent="0.2">
      <c r="B15" s="18" t="s">
        <v>416</v>
      </c>
      <c r="C15" s="60"/>
      <c r="D15" s="60"/>
      <c r="E15" s="60"/>
      <c r="F15" s="60"/>
      <c r="G15" s="60"/>
      <c r="H15" s="60"/>
      <c r="I15" s="60"/>
      <c r="J15" s="57">
        <f t="shared" si="4"/>
        <v>0</v>
      </c>
    </row>
    <row r="16" spans="2:10" x14ac:dyDescent="0.2">
      <c r="B16" s="18" t="s">
        <v>417</v>
      </c>
      <c r="C16" s="60"/>
      <c r="D16" s="60"/>
      <c r="E16" s="60"/>
      <c r="F16" s="60"/>
      <c r="G16" s="60"/>
      <c r="H16" s="60"/>
      <c r="I16" s="60"/>
      <c r="J16" s="57">
        <f t="shared" si="4"/>
        <v>0</v>
      </c>
    </row>
    <row r="17" spans="2:63" x14ac:dyDescent="0.2">
      <c r="B17" s="18" t="s">
        <v>418</v>
      </c>
      <c r="C17" s="60"/>
      <c r="D17" s="60"/>
      <c r="E17" s="60"/>
      <c r="F17" s="60"/>
      <c r="G17" s="60"/>
      <c r="H17" s="60"/>
      <c r="I17" s="60"/>
      <c r="J17" s="57">
        <f t="shared" si="4"/>
        <v>0</v>
      </c>
    </row>
    <row r="18" spans="2:63" x14ac:dyDescent="0.2">
      <c r="B18" s="18" t="s">
        <v>421</v>
      </c>
      <c r="C18" s="60"/>
      <c r="D18" s="60"/>
      <c r="E18" s="60"/>
      <c r="F18" s="60"/>
      <c r="G18" s="60"/>
      <c r="H18" s="60"/>
      <c r="I18" s="60"/>
      <c r="J18" s="57">
        <f t="shared" si="4"/>
        <v>0</v>
      </c>
    </row>
    <row r="19" spans="2:63" x14ac:dyDescent="0.2">
      <c r="B19" s="18" t="s">
        <v>424</v>
      </c>
      <c r="C19" s="60"/>
      <c r="D19" s="60"/>
      <c r="E19" s="60"/>
      <c r="F19" s="60"/>
      <c r="G19" s="60"/>
      <c r="H19" s="60"/>
      <c r="I19" s="60"/>
      <c r="J19" s="57">
        <f t="shared" si="4"/>
        <v>0</v>
      </c>
    </row>
    <row r="20" spans="2:63" x14ac:dyDescent="0.2">
      <c r="B20" s="18" t="s">
        <v>426</v>
      </c>
      <c r="C20" s="60"/>
      <c r="D20" s="60"/>
      <c r="E20" s="60"/>
      <c r="F20" s="60"/>
      <c r="G20" s="60"/>
      <c r="H20" s="60"/>
      <c r="I20" s="60"/>
      <c r="J20" s="57">
        <f t="shared" si="4"/>
        <v>0</v>
      </c>
    </row>
    <row r="21" spans="2:63" x14ac:dyDescent="0.2">
      <c r="B21" s="18" t="s">
        <v>427</v>
      </c>
      <c r="C21" s="60"/>
      <c r="D21" s="60"/>
      <c r="E21" s="60"/>
      <c r="F21" s="60"/>
      <c r="G21" s="60"/>
      <c r="H21" s="60"/>
      <c r="I21" s="60"/>
      <c r="J21" s="57">
        <f t="shared" si="4"/>
        <v>0</v>
      </c>
    </row>
    <row r="22" spans="2:63" x14ac:dyDescent="0.2">
      <c r="B22" s="18" t="s">
        <v>428</v>
      </c>
      <c r="C22" s="60"/>
      <c r="D22" s="60"/>
      <c r="E22" s="60"/>
      <c r="F22" s="60"/>
      <c r="G22" s="60"/>
      <c r="H22" s="60"/>
      <c r="I22" s="60"/>
      <c r="J22" s="57">
        <f t="shared" si="4"/>
        <v>0</v>
      </c>
    </row>
    <row r="23" spans="2:63" x14ac:dyDescent="0.2">
      <c r="B23" s="18" t="s">
        <v>429</v>
      </c>
      <c r="C23" s="60"/>
      <c r="D23" s="60"/>
      <c r="E23" s="60"/>
      <c r="F23" s="60"/>
      <c r="G23" s="60"/>
      <c r="H23" s="60"/>
      <c r="I23" s="60"/>
      <c r="J23" s="57">
        <f t="shared" si="4"/>
        <v>0</v>
      </c>
    </row>
    <row r="24" spans="2:63" x14ac:dyDescent="0.2">
      <c r="B24" s="18" t="s">
        <v>430</v>
      </c>
      <c r="C24" s="60"/>
      <c r="D24" s="60"/>
      <c r="E24" s="60"/>
      <c r="F24" s="60"/>
      <c r="G24" s="60"/>
      <c r="H24" s="60"/>
      <c r="I24" s="60"/>
      <c r="J24" s="57">
        <f t="shared" si="4"/>
        <v>0</v>
      </c>
    </row>
    <row r="25" spans="2:63" x14ac:dyDescent="0.2">
      <c r="B25" s="18" t="s">
        <v>431</v>
      </c>
      <c r="C25" s="60"/>
      <c r="D25" s="60"/>
      <c r="E25" s="60"/>
      <c r="F25" s="60"/>
      <c r="G25" s="60"/>
      <c r="H25" s="60"/>
      <c r="I25" s="60"/>
      <c r="J25" s="57">
        <f t="shared" si="4"/>
        <v>0</v>
      </c>
    </row>
    <row r="26" spans="2:63" x14ac:dyDescent="0.2">
      <c r="B26" s="18" t="s">
        <v>432</v>
      </c>
      <c r="C26" s="60"/>
      <c r="D26" s="60"/>
      <c r="E26" s="60"/>
      <c r="F26" s="60"/>
      <c r="G26" s="60"/>
      <c r="H26" s="60"/>
      <c r="I26" s="60"/>
      <c r="J26" s="57">
        <f t="shared" si="4"/>
        <v>0</v>
      </c>
    </row>
    <row r="27" spans="2:63" x14ac:dyDescent="0.2">
      <c r="B27" s="54" t="s">
        <v>107</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x14ac:dyDescent="0.25">
      <c r="B29" s="875" t="s">
        <v>433</v>
      </c>
      <c r="C29" s="875"/>
      <c r="D29" s="875"/>
      <c r="E29" s="875"/>
      <c r="F29" s="875"/>
      <c r="G29" s="875"/>
      <c r="H29" s="875"/>
      <c r="I29" s="875"/>
      <c r="K29" s="875" t="s">
        <v>434</v>
      </c>
      <c r="L29" s="875"/>
      <c r="M29" s="875"/>
      <c r="N29" s="875"/>
      <c r="O29" s="875"/>
      <c r="P29" s="875"/>
      <c r="Q29" s="875"/>
      <c r="R29" s="875"/>
      <c r="T29" s="875" t="s">
        <v>435</v>
      </c>
      <c r="U29" s="875"/>
      <c r="V29" s="875"/>
      <c r="W29" s="875"/>
      <c r="X29" s="875"/>
      <c r="Y29" s="875"/>
      <c r="Z29" s="875"/>
      <c r="AA29" s="875"/>
      <c r="AC29" s="875" t="s">
        <v>436</v>
      </c>
      <c r="AD29" s="875"/>
      <c r="AE29" s="875"/>
      <c r="AF29" s="875"/>
      <c r="AG29" s="875"/>
      <c r="AH29" s="875"/>
      <c r="AI29" s="875"/>
      <c r="AJ29" s="875"/>
      <c r="AL29" s="875" t="s">
        <v>437</v>
      </c>
      <c r="AM29" s="875"/>
      <c r="AN29" s="875"/>
      <c r="AO29" s="875"/>
      <c r="AP29" s="875"/>
      <c r="AQ29" s="875"/>
      <c r="AR29" s="875"/>
      <c r="AS29" s="875"/>
      <c r="AU29" s="875" t="s">
        <v>438</v>
      </c>
      <c r="AV29" s="875"/>
      <c r="AW29" s="875"/>
      <c r="AX29" s="875"/>
      <c r="AY29" s="875"/>
      <c r="AZ29" s="875"/>
      <c r="BA29" s="875"/>
      <c r="BB29" s="875"/>
      <c r="BD29" s="875" t="s">
        <v>439</v>
      </c>
      <c r="BE29" s="875"/>
      <c r="BF29" s="875"/>
      <c r="BG29" s="875"/>
      <c r="BH29" s="875"/>
      <c r="BI29" s="875"/>
      <c r="BJ29" s="875"/>
      <c r="BK29" s="875"/>
    </row>
    <row r="31" spans="2:63" s="20" customFormat="1" ht="54" customHeight="1" x14ac:dyDescent="0.25">
      <c r="B31" s="3" t="s">
        <v>6</v>
      </c>
      <c r="C31" s="3" t="s">
        <v>293</v>
      </c>
      <c r="D31" s="36" t="s">
        <v>296</v>
      </c>
      <c r="E31" s="36" t="s">
        <v>300</v>
      </c>
      <c r="F31" s="37" t="s">
        <v>367</v>
      </c>
      <c r="G31" s="3" t="s">
        <v>368</v>
      </c>
      <c r="H31" s="3" t="s">
        <v>369</v>
      </c>
      <c r="I31" s="38" t="s">
        <v>370</v>
      </c>
      <c r="K31" s="3" t="s">
        <v>6</v>
      </c>
      <c r="L31" s="3" t="s">
        <v>293</v>
      </c>
      <c r="M31" s="36" t="s">
        <v>296</v>
      </c>
      <c r="N31" s="36" t="s">
        <v>300</v>
      </c>
      <c r="O31" s="37" t="s">
        <v>367</v>
      </c>
      <c r="P31" s="3" t="s">
        <v>368</v>
      </c>
      <c r="Q31" s="3" t="s">
        <v>369</v>
      </c>
      <c r="R31" s="38" t="s">
        <v>370</v>
      </c>
      <c r="T31" s="3" t="s">
        <v>6</v>
      </c>
      <c r="U31" s="3" t="s">
        <v>293</v>
      </c>
      <c r="V31" s="36" t="s">
        <v>296</v>
      </c>
      <c r="W31" s="36" t="s">
        <v>300</v>
      </c>
      <c r="X31" s="37" t="s">
        <v>367</v>
      </c>
      <c r="Y31" s="3" t="s">
        <v>368</v>
      </c>
      <c r="Z31" s="3" t="s">
        <v>369</v>
      </c>
      <c r="AA31" s="38" t="s">
        <v>370</v>
      </c>
      <c r="AC31" s="3" t="s">
        <v>6</v>
      </c>
      <c r="AD31" s="3" t="s">
        <v>293</v>
      </c>
      <c r="AE31" s="36" t="s">
        <v>296</v>
      </c>
      <c r="AF31" s="36" t="s">
        <v>300</v>
      </c>
      <c r="AG31" s="37" t="s">
        <v>367</v>
      </c>
      <c r="AH31" s="3" t="s">
        <v>368</v>
      </c>
      <c r="AI31" s="3" t="s">
        <v>369</v>
      </c>
      <c r="AJ31" s="38" t="s">
        <v>370</v>
      </c>
      <c r="AL31" s="3" t="s">
        <v>6</v>
      </c>
      <c r="AM31" s="3" t="s">
        <v>293</v>
      </c>
      <c r="AN31" s="36" t="s">
        <v>296</v>
      </c>
      <c r="AO31" s="36" t="s">
        <v>300</v>
      </c>
      <c r="AP31" s="37" t="s">
        <v>367</v>
      </c>
      <c r="AQ31" s="3" t="s">
        <v>368</v>
      </c>
      <c r="AR31" s="3" t="s">
        <v>369</v>
      </c>
      <c r="AS31" s="38" t="s">
        <v>370</v>
      </c>
      <c r="AU31" s="3" t="s">
        <v>6</v>
      </c>
      <c r="AV31" s="3" t="s">
        <v>293</v>
      </c>
      <c r="AW31" s="36" t="s">
        <v>296</v>
      </c>
      <c r="AX31" s="36" t="s">
        <v>300</v>
      </c>
      <c r="AY31" s="37" t="s">
        <v>367</v>
      </c>
      <c r="AZ31" s="3" t="s">
        <v>368</v>
      </c>
      <c r="BA31" s="3" t="s">
        <v>369</v>
      </c>
      <c r="BB31" s="38" t="s">
        <v>370</v>
      </c>
      <c r="BD31" s="3" t="s">
        <v>6</v>
      </c>
      <c r="BE31" s="3" t="s">
        <v>293</v>
      </c>
      <c r="BF31" s="36" t="s">
        <v>296</v>
      </c>
      <c r="BG31" s="36" t="s">
        <v>300</v>
      </c>
      <c r="BH31" s="37" t="s">
        <v>367</v>
      </c>
      <c r="BI31" s="3" t="s">
        <v>368</v>
      </c>
      <c r="BJ31" s="3" t="s">
        <v>369</v>
      </c>
      <c r="BK31" s="38" t="s">
        <v>370</v>
      </c>
    </row>
    <row r="32" spans="2:63" ht="25.5" customHeight="1" x14ac:dyDescent="0.25">
      <c r="B32" s="5" t="str">
        <f>B43</f>
        <v>Facility (Overdraft)</v>
      </c>
      <c r="C32" s="7" t="s">
        <v>296</v>
      </c>
      <c r="D32" s="79">
        <f>D59</f>
        <v>750000</v>
      </c>
      <c r="E32" s="79">
        <f>E59</f>
        <v>500000</v>
      </c>
      <c r="F32" s="79">
        <f>F59</f>
        <v>0</v>
      </c>
      <c r="G32" s="79">
        <f>I59</f>
        <v>45000</v>
      </c>
      <c r="H32" s="79">
        <f>F32*12</f>
        <v>0</v>
      </c>
      <c r="I32" s="34">
        <f>SUM(G32:H32)</f>
        <v>45000</v>
      </c>
      <c r="K32" s="5" t="str">
        <f>K43</f>
        <v>Facility (Overdraft)</v>
      </c>
      <c r="L32" s="7" t="s">
        <v>296</v>
      </c>
      <c r="M32" s="79">
        <f>M59</f>
        <v>750000</v>
      </c>
      <c r="N32" s="79">
        <f>N59</f>
        <v>500000</v>
      </c>
      <c r="O32" s="79">
        <f>O59</f>
        <v>0</v>
      </c>
      <c r="P32" s="79">
        <f>R59</f>
        <v>45000</v>
      </c>
      <c r="Q32" s="79">
        <f>O32*12</f>
        <v>0</v>
      </c>
      <c r="R32" s="34">
        <f>SUM(P32:Q32)</f>
        <v>45000</v>
      </c>
      <c r="T32" s="5" t="str">
        <f>T43</f>
        <v>Facility (Overdraft)</v>
      </c>
      <c r="U32" s="7" t="s">
        <v>296</v>
      </c>
      <c r="V32" s="79">
        <f>V59</f>
        <v>750000</v>
      </c>
      <c r="W32" s="79">
        <f>W59</f>
        <v>500000</v>
      </c>
      <c r="X32" s="79">
        <f>X59</f>
        <v>0</v>
      </c>
      <c r="Y32" s="79">
        <f>AA59</f>
        <v>45000</v>
      </c>
      <c r="Z32" s="79">
        <f>X32*12</f>
        <v>0</v>
      </c>
      <c r="AA32" s="34">
        <f>SUM(Y32:Z32)</f>
        <v>45000</v>
      </c>
      <c r="AC32" s="5" t="str">
        <f>AC43</f>
        <v>Facility (Overdraft)</v>
      </c>
      <c r="AD32" s="7" t="s">
        <v>296</v>
      </c>
      <c r="AE32" s="79">
        <f>AE59</f>
        <v>750000</v>
      </c>
      <c r="AF32" s="79">
        <f>AF59</f>
        <v>500000</v>
      </c>
      <c r="AG32" s="79">
        <f>AG59</f>
        <v>0</v>
      </c>
      <c r="AH32" s="79">
        <f>AJ59</f>
        <v>45000</v>
      </c>
      <c r="AI32" s="79">
        <f>AG32*12</f>
        <v>0</v>
      </c>
      <c r="AJ32" s="34">
        <f>SUM(AH32:AI32)</f>
        <v>45000</v>
      </c>
      <c r="AL32" s="5" t="str">
        <f>AL43</f>
        <v>Facility (Overdraft)</v>
      </c>
      <c r="AM32" s="7" t="s">
        <v>296</v>
      </c>
      <c r="AN32" s="79">
        <f>AN59</f>
        <v>750000</v>
      </c>
      <c r="AO32" s="79">
        <f>AO59</f>
        <v>500000</v>
      </c>
      <c r="AP32" s="79">
        <f>AP59</f>
        <v>0</v>
      </c>
      <c r="AQ32" s="79">
        <f>AS59</f>
        <v>45000</v>
      </c>
      <c r="AR32" s="79">
        <f>AP32*12</f>
        <v>0</v>
      </c>
      <c r="AS32" s="34">
        <f>SUM(AQ32:AR32)</f>
        <v>45000</v>
      </c>
      <c r="AU32" s="5" t="str">
        <f>AU43</f>
        <v>Facility (Overdraft)</v>
      </c>
      <c r="AV32" s="7" t="s">
        <v>296</v>
      </c>
      <c r="AW32" s="79">
        <f>AW59</f>
        <v>750000</v>
      </c>
      <c r="AX32" s="79">
        <f>AX59</f>
        <v>500000</v>
      </c>
      <c r="AY32" s="79">
        <f>AY59</f>
        <v>0</v>
      </c>
      <c r="AZ32" s="79">
        <f>BB59</f>
        <v>45000</v>
      </c>
      <c r="BA32" s="79">
        <f>AY32*12</f>
        <v>0</v>
      </c>
      <c r="BB32" s="34">
        <f>SUM(AZ32:BA32)</f>
        <v>45000</v>
      </c>
      <c r="BD32" s="5" t="str">
        <f>BD43</f>
        <v>Facility (Overdraft)</v>
      </c>
      <c r="BE32" s="7" t="s">
        <v>296</v>
      </c>
      <c r="BF32" s="79">
        <f>BF59</f>
        <v>750000</v>
      </c>
      <c r="BG32" s="79">
        <f>BG59</f>
        <v>500000</v>
      </c>
      <c r="BH32" s="79">
        <f>BH59</f>
        <v>0</v>
      </c>
      <c r="BI32" s="79">
        <f>BK59</f>
        <v>45000</v>
      </c>
      <c r="BJ32" s="79">
        <f>BH32*12</f>
        <v>0</v>
      </c>
      <c r="BK32" s="34">
        <f>SUM(BI32:BJ32)</f>
        <v>45000</v>
      </c>
    </row>
    <row r="33" spans="2:63" ht="25.5" customHeight="1" x14ac:dyDescent="0.25">
      <c r="B33" s="5" t="str">
        <f>B61</f>
        <v>Facility (Overdraft with Reduction/ Sinking Fund)</v>
      </c>
      <c r="C33" s="7" t="s">
        <v>440</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440</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440</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440</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440</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440</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440</v>
      </c>
      <c r="BF33" s="79">
        <f>BF77</f>
        <v>750000</v>
      </c>
      <c r="BG33" s="79">
        <f>BG77</f>
        <v>300000</v>
      </c>
      <c r="BH33" s="79">
        <f>BH77</f>
        <v>7500</v>
      </c>
      <c r="BI33" s="79">
        <f>BK77</f>
        <v>0</v>
      </c>
      <c r="BJ33" s="79">
        <f t="shared" ref="BJ33:BJ40" si="18">BH33*12</f>
        <v>90000</v>
      </c>
      <c r="BK33" s="34">
        <f t="shared" ref="BK33:BK40" si="19">SUM(BI33:BJ33)</f>
        <v>90000</v>
      </c>
    </row>
    <row r="34" spans="2:63" ht="25.5" customHeight="1" x14ac:dyDescent="0.25">
      <c r="B34" s="5" t="str">
        <f>B79</f>
        <v>Facility (Trade Receivable)</v>
      </c>
      <c r="C34" s="7" t="s">
        <v>296</v>
      </c>
      <c r="D34" s="79">
        <f>D95</f>
        <v>150000</v>
      </c>
      <c r="E34" s="79">
        <f>E95</f>
        <v>50000</v>
      </c>
      <c r="F34" s="79">
        <f>F95</f>
        <v>0</v>
      </c>
      <c r="G34" s="79">
        <f>I95</f>
        <v>9840</v>
      </c>
      <c r="H34" s="79">
        <f t="shared" si="6"/>
        <v>0</v>
      </c>
      <c r="I34" s="34">
        <f t="shared" si="7"/>
        <v>9840</v>
      </c>
      <c r="K34" s="5" t="str">
        <f>K79</f>
        <v>Facility (Trade Receivable)</v>
      </c>
      <c r="L34" s="7" t="s">
        <v>296</v>
      </c>
      <c r="M34" s="79">
        <f>M95</f>
        <v>150000</v>
      </c>
      <c r="N34" s="79">
        <f>N95</f>
        <v>50000</v>
      </c>
      <c r="O34" s="79">
        <f>O95</f>
        <v>0</v>
      </c>
      <c r="P34" s="79">
        <f>R95</f>
        <v>9840</v>
      </c>
      <c r="Q34" s="79">
        <f t="shared" si="8"/>
        <v>0</v>
      </c>
      <c r="R34" s="34">
        <f t="shared" si="9"/>
        <v>9840</v>
      </c>
      <c r="T34" s="5" t="str">
        <f>T79</f>
        <v>Facility (Trade Receivable)</v>
      </c>
      <c r="U34" s="7" t="s">
        <v>296</v>
      </c>
      <c r="V34" s="79">
        <f>V95</f>
        <v>150000</v>
      </c>
      <c r="W34" s="79">
        <f>W95</f>
        <v>50000</v>
      </c>
      <c r="X34" s="79">
        <f>X95</f>
        <v>0</v>
      </c>
      <c r="Y34" s="79">
        <f>AA95</f>
        <v>9840</v>
      </c>
      <c r="Z34" s="79">
        <f t="shared" si="10"/>
        <v>0</v>
      </c>
      <c r="AA34" s="34">
        <f t="shared" si="11"/>
        <v>9840</v>
      </c>
      <c r="AC34" s="5" t="str">
        <f>AC79</f>
        <v>Facility (Trade Receivable)</v>
      </c>
      <c r="AD34" s="7" t="s">
        <v>296</v>
      </c>
      <c r="AE34" s="79">
        <f>AE95</f>
        <v>150000</v>
      </c>
      <c r="AF34" s="79">
        <f>AF95</f>
        <v>50000</v>
      </c>
      <c r="AG34" s="79">
        <f>AG95</f>
        <v>0</v>
      </c>
      <c r="AH34" s="79">
        <f>AJ95</f>
        <v>9840</v>
      </c>
      <c r="AI34" s="79">
        <f t="shared" si="12"/>
        <v>0</v>
      </c>
      <c r="AJ34" s="34">
        <f t="shared" si="13"/>
        <v>9840</v>
      </c>
      <c r="AL34" s="5" t="str">
        <f>AL79</f>
        <v>Facility (Trade Receivable)</v>
      </c>
      <c r="AM34" s="7" t="s">
        <v>296</v>
      </c>
      <c r="AN34" s="79">
        <f>AN95</f>
        <v>150000</v>
      </c>
      <c r="AO34" s="79">
        <f>AO95</f>
        <v>50000</v>
      </c>
      <c r="AP34" s="79">
        <f>AP95</f>
        <v>0</v>
      </c>
      <c r="AQ34" s="79">
        <f>AS95</f>
        <v>9840</v>
      </c>
      <c r="AR34" s="79">
        <f t="shared" si="14"/>
        <v>0</v>
      </c>
      <c r="AS34" s="34">
        <f t="shared" si="15"/>
        <v>9840</v>
      </c>
      <c r="AU34" s="5" t="str">
        <f>AU79</f>
        <v>Facility (Trade Receivable)</v>
      </c>
      <c r="AV34" s="7" t="s">
        <v>296</v>
      </c>
      <c r="AW34" s="79">
        <f>AW95</f>
        <v>150000</v>
      </c>
      <c r="AX34" s="79">
        <f>AX95</f>
        <v>50000</v>
      </c>
      <c r="AY34" s="79">
        <f>AY95</f>
        <v>0</v>
      </c>
      <c r="AZ34" s="79">
        <f>BB95</f>
        <v>9840</v>
      </c>
      <c r="BA34" s="79">
        <f t="shared" si="16"/>
        <v>0</v>
      </c>
      <c r="BB34" s="34">
        <f t="shared" si="17"/>
        <v>9840</v>
      </c>
      <c r="BD34" s="5" t="str">
        <f>BD79</f>
        <v>Facility (Trade Receivable)</v>
      </c>
      <c r="BE34" s="7" t="s">
        <v>296</v>
      </c>
      <c r="BF34" s="79">
        <f>BF95</f>
        <v>150000</v>
      </c>
      <c r="BG34" s="79">
        <f>BG95</f>
        <v>50000</v>
      </c>
      <c r="BH34" s="79">
        <f>BH95</f>
        <v>0</v>
      </c>
      <c r="BI34" s="79">
        <f>BK95</f>
        <v>9840</v>
      </c>
      <c r="BJ34" s="79">
        <f t="shared" si="18"/>
        <v>0</v>
      </c>
      <c r="BK34" s="34">
        <f t="shared" si="19"/>
        <v>9840</v>
      </c>
    </row>
    <row r="35" spans="2:63" ht="25.5" customHeight="1" x14ac:dyDescent="0.25">
      <c r="B35" s="5" t="str">
        <f>B97</f>
        <v>Facility (BA)</v>
      </c>
      <c r="C35" s="7" t="s">
        <v>296</v>
      </c>
      <c r="D35" s="79">
        <f>D113</f>
        <v>200000</v>
      </c>
      <c r="E35" s="79">
        <f>E113</f>
        <v>100000</v>
      </c>
      <c r="F35" s="79">
        <f>F113</f>
        <v>0</v>
      </c>
      <c r="G35" s="79">
        <f>I113</f>
        <v>13120</v>
      </c>
      <c r="H35" s="79">
        <f t="shared" si="6"/>
        <v>0</v>
      </c>
      <c r="I35" s="34">
        <f t="shared" si="7"/>
        <v>13120</v>
      </c>
      <c r="K35" s="5" t="str">
        <f>K97</f>
        <v>Facility (BA)</v>
      </c>
      <c r="L35" s="7" t="s">
        <v>296</v>
      </c>
      <c r="M35" s="79">
        <f>M113</f>
        <v>200000</v>
      </c>
      <c r="N35" s="79">
        <f>N113</f>
        <v>100000</v>
      </c>
      <c r="O35" s="79">
        <f>O113</f>
        <v>0</v>
      </c>
      <c r="P35" s="79">
        <f>R113</f>
        <v>13120</v>
      </c>
      <c r="Q35" s="79">
        <f t="shared" si="8"/>
        <v>0</v>
      </c>
      <c r="R35" s="34">
        <f t="shared" si="9"/>
        <v>13120</v>
      </c>
      <c r="T35" s="5" t="str">
        <f>T97</f>
        <v>Facility (BA)</v>
      </c>
      <c r="U35" s="7" t="s">
        <v>296</v>
      </c>
      <c r="V35" s="79">
        <f>V113</f>
        <v>200000</v>
      </c>
      <c r="W35" s="79">
        <f>W113</f>
        <v>100000</v>
      </c>
      <c r="X35" s="79">
        <f>X113</f>
        <v>0</v>
      </c>
      <c r="Y35" s="79">
        <f>AA113</f>
        <v>13120</v>
      </c>
      <c r="Z35" s="79">
        <f t="shared" si="10"/>
        <v>0</v>
      </c>
      <c r="AA35" s="34">
        <f t="shared" si="11"/>
        <v>13120</v>
      </c>
      <c r="AC35" s="5" t="str">
        <f>AC97</f>
        <v>Facility (BA)</v>
      </c>
      <c r="AD35" s="7" t="s">
        <v>296</v>
      </c>
      <c r="AE35" s="79">
        <f>AE113</f>
        <v>200000</v>
      </c>
      <c r="AF35" s="79">
        <f>AF113</f>
        <v>100000</v>
      </c>
      <c r="AG35" s="79">
        <f>AG113</f>
        <v>0</v>
      </c>
      <c r="AH35" s="79">
        <f>AJ113</f>
        <v>13120</v>
      </c>
      <c r="AI35" s="79">
        <f t="shared" si="12"/>
        <v>0</v>
      </c>
      <c r="AJ35" s="34">
        <f t="shared" si="13"/>
        <v>13120</v>
      </c>
      <c r="AL35" s="5" t="str">
        <f>AL97</f>
        <v>Facility (BA)</v>
      </c>
      <c r="AM35" s="7" t="s">
        <v>296</v>
      </c>
      <c r="AN35" s="79">
        <f>AN113</f>
        <v>200000</v>
      </c>
      <c r="AO35" s="79">
        <f>AO113</f>
        <v>100000</v>
      </c>
      <c r="AP35" s="79">
        <f>AP113</f>
        <v>0</v>
      </c>
      <c r="AQ35" s="79">
        <f>AS113</f>
        <v>13120</v>
      </c>
      <c r="AR35" s="79">
        <f t="shared" si="14"/>
        <v>0</v>
      </c>
      <c r="AS35" s="34">
        <f t="shared" si="15"/>
        <v>13120</v>
      </c>
      <c r="AU35" s="5" t="str">
        <f>AU97</f>
        <v>Facility (BA)</v>
      </c>
      <c r="AV35" s="7" t="s">
        <v>296</v>
      </c>
      <c r="AW35" s="79">
        <f>AW113</f>
        <v>200000</v>
      </c>
      <c r="AX35" s="79">
        <f>AX113</f>
        <v>100000</v>
      </c>
      <c r="AY35" s="79">
        <f>AY113</f>
        <v>0</v>
      </c>
      <c r="AZ35" s="79">
        <f>BB113</f>
        <v>13120</v>
      </c>
      <c r="BA35" s="79">
        <f t="shared" si="16"/>
        <v>0</v>
      </c>
      <c r="BB35" s="34">
        <f t="shared" si="17"/>
        <v>13120</v>
      </c>
      <c r="BD35" s="5" t="str">
        <f>BD97</f>
        <v>Facility (BA)</v>
      </c>
      <c r="BE35" s="7" t="s">
        <v>296</v>
      </c>
      <c r="BF35" s="79">
        <f>BF113</f>
        <v>200000</v>
      </c>
      <c r="BG35" s="79">
        <f>BG113</f>
        <v>100000</v>
      </c>
      <c r="BH35" s="79">
        <f>BH113</f>
        <v>0</v>
      </c>
      <c r="BI35" s="79">
        <f>BK113</f>
        <v>13120</v>
      </c>
      <c r="BJ35" s="79">
        <f t="shared" si="18"/>
        <v>0</v>
      </c>
      <c r="BK35" s="34">
        <f t="shared" si="19"/>
        <v>13120</v>
      </c>
    </row>
    <row r="36" spans="2:63" ht="25.5" customHeight="1" x14ac:dyDescent="0.25">
      <c r="B36" s="5" t="str">
        <f>B115</f>
        <v>Facility (Term-loan)</v>
      </c>
      <c r="C36" s="7" t="s">
        <v>440</v>
      </c>
      <c r="D36" s="79">
        <f>D131</f>
        <v>0</v>
      </c>
      <c r="E36" s="79">
        <f>E131</f>
        <v>0</v>
      </c>
      <c r="F36" s="79">
        <f>F131</f>
        <v>2500</v>
      </c>
      <c r="G36" s="79">
        <f>I131</f>
        <v>0</v>
      </c>
      <c r="H36" s="79">
        <f t="shared" si="6"/>
        <v>30000</v>
      </c>
      <c r="I36" s="34">
        <f t="shared" si="7"/>
        <v>30000</v>
      </c>
      <c r="K36" s="5" t="str">
        <f>K115</f>
        <v>Facility (Term-loan)</v>
      </c>
      <c r="L36" s="7" t="s">
        <v>440</v>
      </c>
      <c r="M36" s="79">
        <f>M131</f>
        <v>0</v>
      </c>
      <c r="N36" s="79">
        <f>N131</f>
        <v>0</v>
      </c>
      <c r="O36" s="79">
        <f>O131</f>
        <v>2500</v>
      </c>
      <c r="P36" s="79">
        <f>R131</f>
        <v>0</v>
      </c>
      <c r="Q36" s="79">
        <f t="shared" si="8"/>
        <v>30000</v>
      </c>
      <c r="R36" s="34">
        <f t="shared" si="9"/>
        <v>30000</v>
      </c>
      <c r="T36" s="5" t="str">
        <f>T115</f>
        <v>Facility (Term-loan)</v>
      </c>
      <c r="U36" s="7" t="s">
        <v>440</v>
      </c>
      <c r="V36" s="79">
        <f>V131</f>
        <v>0</v>
      </c>
      <c r="W36" s="79">
        <f>W131</f>
        <v>0</v>
      </c>
      <c r="X36" s="79">
        <f>X131</f>
        <v>2500</v>
      </c>
      <c r="Y36" s="79">
        <f>AA131</f>
        <v>0</v>
      </c>
      <c r="Z36" s="79">
        <f t="shared" si="10"/>
        <v>30000</v>
      </c>
      <c r="AA36" s="34">
        <f t="shared" si="11"/>
        <v>30000</v>
      </c>
      <c r="AC36" s="5" t="str">
        <f>AC115</f>
        <v>Facility (Term-loan)</v>
      </c>
      <c r="AD36" s="7" t="s">
        <v>440</v>
      </c>
      <c r="AE36" s="79">
        <f>AE131</f>
        <v>0</v>
      </c>
      <c r="AF36" s="79">
        <f>AF131</f>
        <v>0</v>
      </c>
      <c r="AG36" s="79">
        <f>AG131</f>
        <v>2500</v>
      </c>
      <c r="AH36" s="79">
        <f>AJ131</f>
        <v>0</v>
      </c>
      <c r="AI36" s="79">
        <f t="shared" si="12"/>
        <v>30000</v>
      </c>
      <c r="AJ36" s="34">
        <f t="shared" si="13"/>
        <v>30000</v>
      </c>
      <c r="AL36" s="5" t="str">
        <f>AL115</f>
        <v>Facility (Term-loan)</v>
      </c>
      <c r="AM36" s="7" t="s">
        <v>440</v>
      </c>
      <c r="AN36" s="79">
        <f>AN131</f>
        <v>0</v>
      </c>
      <c r="AO36" s="79">
        <f>AO131</f>
        <v>0</v>
      </c>
      <c r="AP36" s="79">
        <f>AP131</f>
        <v>2500</v>
      </c>
      <c r="AQ36" s="79">
        <f>AS131</f>
        <v>0</v>
      </c>
      <c r="AR36" s="79">
        <f t="shared" si="14"/>
        <v>30000</v>
      </c>
      <c r="AS36" s="34">
        <f t="shared" si="15"/>
        <v>30000</v>
      </c>
      <c r="AU36" s="5" t="str">
        <f>AU115</f>
        <v>Facility (Term-loan)</v>
      </c>
      <c r="AV36" s="7" t="s">
        <v>440</v>
      </c>
      <c r="AW36" s="79">
        <f>AW131</f>
        <v>0</v>
      </c>
      <c r="AX36" s="79">
        <f>AX131</f>
        <v>0</v>
      </c>
      <c r="AY36" s="79">
        <f>AY131</f>
        <v>2500</v>
      </c>
      <c r="AZ36" s="79">
        <f>BB131</f>
        <v>0</v>
      </c>
      <c r="BA36" s="79">
        <f t="shared" si="16"/>
        <v>30000</v>
      </c>
      <c r="BB36" s="34">
        <f t="shared" si="17"/>
        <v>30000</v>
      </c>
      <c r="BD36" s="5" t="str">
        <f>BD115</f>
        <v>Facility (Term-loan)</v>
      </c>
      <c r="BE36" s="7" t="s">
        <v>440</v>
      </c>
      <c r="BF36" s="79">
        <f>BF131</f>
        <v>0</v>
      </c>
      <c r="BG36" s="79">
        <f>BG131</f>
        <v>0</v>
      </c>
      <c r="BH36" s="79">
        <f>BH131</f>
        <v>2500</v>
      </c>
      <c r="BI36" s="79">
        <f>BK131</f>
        <v>0</v>
      </c>
      <c r="BJ36" s="79">
        <f t="shared" si="18"/>
        <v>30000</v>
      </c>
      <c r="BK36" s="34">
        <f t="shared" si="19"/>
        <v>30000</v>
      </c>
    </row>
    <row r="37" spans="2:63" ht="25.5" customHeight="1" x14ac:dyDescent="0.25">
      <c r="B37" s="5" t="str">
        <f>B133</f>
        <v>Facility (Hire Purchase / Leasing)</v>
      </c>
      <c r="C37" s="7" t="s">
        <v>440</v>
      </c>
      <c r="D37" s="79">
        <f>D149</f>
        <v>0</v>
      </c>
      <c r="E37" s="79">
        <f>E149</f>
        <v>0</v>
      </c>
      <c r="F37" s="79">
        <f>F149</f>
        <v>3000</v>
      </c>
      <c r="G37" s="79">
        <f>I149</f>
        <v>0</v>
      </c>
      <c r="H37" s="79">
        <f t="shared" si="6"/>
        <v>36000</v>
      </c>
      <c r="I37" s="34">
        <f t="shared" si="7"/>
        <v>36000</v>
      </c>
      <c r="K37" s="5" t="str">
        <f>K133</f>
        <v>Facility (Hire Purchase / Leasing)</v>
      </c>
      <c r="L37" s="7" t="s">
        <v>440</v>
      </c>
      <c r="M37" s="79">
        <f>M149</f>
        <v>0</v>
      </c>
      <c r="N37" s="79">
        <f>N149</f>
        <v>0</v>
      </c>
      <c r="O37" s="79">
        <f>O149</f>
        <v>3000</v>
      </c>
      <c r="P37" s="79">
        <f>R149</f>
        <v>0</v>
      </c>
      <c r="Q37" s="79">
        <f t="shared" si="8"/>
        <v>36000</v>
      </c>
      <c r="R37" s="34">
        <f t="shared" si="9"/>
        <v>36000</v>
      </c>
      <c r="T37" s="5" t="str">
        <f>T133</f>
        <v>Facility (Hire Purchase / Leasing)</v>
      </c>
      <c r="U37" s="7" t="s">
        <v>440</v>
      </c>
      <c r="V37" s="79">
        <f>V149</f>
        <v>0</v>
      </c>
      <c r="W37" s="79">
        <f>W149</f>
        <v>0</v>
      </c>
      <c r="X37" s="79">
        <f>X149</f>
        <v>3000</v>
      </c>
      <c r="Y37" s="79">
        <f>AA149</f>
        <v>0</v>
      </c>
      <c r="Z37" s="79">
        <f t="shared" si="10"/>
        <v>36000</v>
      </c>
      <c r="AA37" s="34">
        <f t="shared" si="11"/>
        <v>36000</v>
      </c>
      <c r="AC37" s="5" t="str">
        <f>AC133</f>
        <v>Facility (Hire Purchase / Leasing)</v>
      </c>
      <c r="AD37" s="7" t="s">
        <v>440</v>
      </c>
      <c r="AE37" s="79">
        <f>AE149</f>
        <v>0</v>
      </c>
      <c r="AF37" s="79">
        <f>AF149</f>
        <v>0</v>
      </c>
      <c r="AG37" s="79">
        <f>AG149</f>
        <v>3000</v>
      </c>
      <c r="AH37" s="79">
        <f>AJ149</f>
        <v>0</v>
      </c>
      <c r="AI37" s="79">
        <f t="shared" si="12"/>
        <v>36000</v>
      </c>
      <c r="AJ37" s="34">
        <f t="shared" si="13"/>
        <v>36000</v>
      </c>
      <c r="AL37" s="5" t="str">
        <f>AL133</f>
        <v>Facility (Hire Purchase / Leasing)</v>
      </c>
      <c r="AM37" s="7" t="s">
        <v>440</v>
      </c>
      <c r="AN37" s="79">
        <f>AN149</f>
        <v>0</v>
      </c>
      <c r="AO37" s="79">
        <f>AO149</f>
        <v>0</v>
      </c>
      <c r="AP37" s="79">
        <f>AP149</f>
        <v>3000</v>
      </c>
      <c r="AQ37" s="79">
        <f>AS149</f>
        <v>0</v>
      </c>
      <c r="AR37" s="79">
        <f t="shared" si="14"/>
        <v>36000</v>
      </c>
      <c r="AS37" s="34">
        <f t="shared" si="15"/>
        <v>36000</v>
      </c>
      <c r="AU37" s="5" t="str">
        <f>AU133</f>
        <v>Facility (Hire Purchase / Leasing)</v>
      </c>
      <c r="AV37" s="7" t="s">
        <v>440</v>
      </c>
      <c r="AW37" s="79">
        <f>AW149</f>
        <v>0</v>
      </c>
      <c r="AX37" s="79">
        <f>AX149</f>
        <v>0</v>
      </c>
      <c r="AY37" s="79">
        <f>AY149</f>
        <v>3000</v>
      </c>
      <c r="AZ37" s="79">
        <f>BB149</f>
        <v>0</v>
      </c>
      <c r="BA37" s="79">
        <f t="shared" si="16"/>
        <v>36000</v>
      </c>
      <c r="BB37" s="34">
        <f t="shared" si="17"/>
        <v>36000</v>
      </c>
      <c r="BD37" s="5" t="str">
        <f>BD133</f>
        <v>Facility (Hire Purchase / Leasing)</v>
      </c>
      <c r="BE37" s="7" t="s">
        <v>440</v>
      </c>
      <c r="BF37" s="79">
        <f>BF149</f>
        <v>0</v>
      </c>
      <c r="BG37" s="79">
        <f>BG149</f>
        <v>0</v>
      </c>
      <c r="BH37" s="79">
        <f>BH149</f>
        <v>3000</v>
      </c>
      <c r="BI37" s="79">
        <f>BK149</f>
        <v>0</v>
      </c>
      <c r="BJ37" s="79">
        <f t="shared" si="18"/>
        <v>36000</v>
      </c>
      <c r="BK37" s="34">
        <f t="shared" si="19"/>
        <v>36000</v>
      </c>
    </row>
    <row r="38" spans="2:63" ht="25.5" customHeight="1" x14ac:dyDescent="0.25">
      <c r="B38" s="5" t="str">
        <f>B151</f>
        <v>Facility (Credit Card)</v>
      </c>
      <c r="C38" s="7" t="s">
        <v>300</v>
      </c>
      <c r="D38" s="79">
        <f>D167</f>
        <v>0</v>
      </c>
      <c r="E38" s="79">
        <f>E167</f>
        <v>100000</v>
      </c>
      <c r="F38" s="79">
        <f>F167</f>
        <v>0</v>
      </c>
      <c r="G38" s="79">
        <f>I167</f>
        <v>5000</v>
      </c>
      <c r="H38" s="79">
        <f t="shared" si="6"/>
        <v>0</v>
      </c>
      <c r="I38" s="34">
        <f t="shared" si="7"/>
        <v>5000</v>
      </c>
      <c r="K38" s="5" t="str">
        <f>K151</f>
        <v>Facility (Credit Card)</v>
      </c>
      <c r="L38" s="7" t="s">
        <v>300</v>
      </c>
      <c r="M38" s="79">
        <f>M167</f>
        <v>0</v>
      </c>
      <c r="N38" s="79">
        <f>N167</f>
        <v>100000</v>
      </c>
      <c r="O38" s="79">
        <f>O167</f>
        <v>0</v>
      </c>
      <c r="P38" s="79">
        <f>R167</f>
        <v>5000</v>
      </c>
      <c r="Q38" s="79">
        <f t="shared" si="8"/>
        <v>0</v>
      </c>
      <c r="R38" s="34">
        <f t="shared" si="9"/>
        <v>5000</v>
      </c>
      <c r="T38" s="5" t="str">
        <f>T151</f>
        <v>Facility (Credit Card)</v>
      </c>
      <c r="U38" s="7" t="s">
        <v>300</v>
      </c>
      <c r="V38" s="79">
        <f>V167</f>
        <v>0</v>
      </c>
      <c r="W38" s="79">
        <f>W167</f>
        <v>100000</v>
      </c>
      <c r="X38" s="79">
        <f>X167</f>
        <v>0</v>
      </c>
      <c r="Y38" s="79">
        <f>AA167</f>
        <v>5000</v>
      </c>
      <c r="Z38" s="79">
        <f t="shared" si="10"/>
        <v>0</v>
      </c>
      <c r="AA38" s="34">
        <f t="shared" si="11"/>
        <v>5000</v>
      </c>
      <c r="AC38" s="5" t="str">
        <f>AC151</f>
        <v>Facility (Credit Card)</v>
      </c>
      <c r="AD38" s="7" t="s">
        <v>300</v>
      </c>
      <c r="AE38" s="79">
        <f>AE167</f>
        <v>0</v>
      </c>
      <c r="AF38" s="79">
        <f>AF167</f>
        <v>100000</v>
      </c>
      <c r="AG38" s="79">
        <f>AG167</f>
        <v>0</v>
      </c>
      <c r="AH38" s="79">
        <f>AJ167</f>
        <v>5000</v>
      </c>
      <c r="AI38" s="79">
        <f t="shared" si="12"/>
        <v>0</v>
      </c>
      <c r="AJ38" s="34">
        <f t="shared" si="13"/>
        <v>5000</v>
      </c>
      <c r="AL38" s="5" t="str">
        <f>AL151</f>
        <v>Facility (Credit Card)</v>
      </c>
      <c r="AM38" s="7" t="s">
        <v>300</v>
      </c>
      <c r="AN38" s="79">
        <f>AN167</f>
        <v>0</v>
      </c>
      <c r="AO38" s="79">
        <f>AO167</f>
        <v>100000</v>
      </c>
      <c r="AP38" s="79">
        <f>AP167</f>
        <v>0</v>
      </c>
      <c r="AQ38" s="79">
        <f>AS167</f>
        <v>5000</v>
      </c>
      <c r="AR38" s="79">
        <f t="shared" si="14"/>
        <v>0</v>
      </c>
      <c r="AS38" s="34">
        <f t="shared" si="15"/>
        <v>5000</v>
      </c>
      <c r="AU38" s="5" t="str">
        <f>AU151</f>
        <v>Facility (Credit Card)</v>
      </c>
      <c r="AV38" s="7" t="s">
        <v>300</v>
      </c>
      <c r="AW38" s="79">
        <f>AW167</f>
        <v>0</v>
      </c>
      <c r="AX38" s="79">
        <f>AX167</f>
        <v>100000</v>
      </c>
      <c r="AY38" s="79">
        <f>AY167</f>
        <v>0</v>
      </c>
      <c r="AZ38" s="79">
        <f>BB167</f>
        <v>5000</v>
      </c>
      <c r="BA38" s="79">
        <f t="shared" si="16"/>
        <v>0</v>
      </c>
      <c r="BB38" s="34">
        <f t="shared" si="17"/>
        <v>5000</v>
      </c>
      <c r="BD38" s="5" t="str">
        <f>BD151</f>
        <v>Facility (Credit Card)</v>
      </c>
      <c r="BE38" s="7" t="s">
        <v>300</v>
      </c>
      <c r="BF38" s="79">
        <f>BF167</f>
        <v>0</v>
      </c>
      <c r="BG38" s="79">
        <f>BG167</f>
        <v>100000</v>
      </c>
      <c r="BH38" s="79">
        <f>BH167</f>
        <v>0</v>
      </c>
      <c r="BI38" s="79">
        <f>BK167</f>
        <v>5000</v>
      </c>
      <c r="BJ38" s="79">
        <f t="shared" si="18"/>
        <v>0</v>
      </c>
      <c r="BK38" s="34">
        <f t="shared" si="19"/>
        <v>5000</v>
      </c>
    </row>
    <row r="39" spans="2:63" ht="25.5" customHeight="1" x14ac:dyDescent="0.25">
      <c r="B39" s="5" t="s">
        <v>442</v>
      </c>
      <c r="C39" s="7" t="s">
        <v>441</v>
      </c>
      <c r="D39" s="79">
        <f>D185</f>
        <v>0</v>
      </c>
      <c r="E39" s="79">
        <f t="shared" ref="E39:F39" si="20">E185</f>
        <v>0</v>
      </c>
      <c r="F39" s="79">
        <f t="shared" si="20"/>
        <v>1500</v>
      </c>
      <c r="G39" s="79">
        <f>I185</f>
        <v>0</v>
      </c>
      <c r="H39" s="79">
        <f t="shared" si="6"/>
        <v>18000</v>
      </c>
      <c r="I39" s="34">
        <f t="shared" si="7"/>
        <v>18000</v>
      </c>
      <c r="K39" s="5" t="s">
        <v>442</v>
      </c>
      <c r="L39" s="7" t="s">
        <v>441</v>
      </c>
      <c r="M39" s="79">
        <f>M185</f>
        <v>0</v>
      </c>
      <c r="N39" s="79">
        <f t="shared" ref="N39:O39" si="21">N185</f>
        <v>0</v>
      </c>
      <c r="O39" s="79">
        <f t="shared" si="21"/>
        <v>1500</v>
      </c>
      <c r="P39" s="79">
        <f>R185</f>
        <v>0</v>
      </c>
      <c r="Q39" s="79">
        <f t="shared" si="8"/>
        <v>18000</v>
      </c>
      <c r="R39" s="34">
        <f t="shared" si="9"/>
        <v>18000</v>
      </c>
      <c r="T39" s="5" t="s">
        <v>442</v>
      </c>
      <c r="U39" s="7" t="s">
        <v>441</v>
      </c>
      <c r="V39" s="79">
        <f>V185</f>
        <v>0</v>
      </c>
      <c r="W39" s="79">
        <f t="shared" ref="W39:X39" si="22">W185</f>
        <v>0</v>
      </c>
      <c r="X39" s="79">
        <f t="shared" si="22"/>
        <v>1500</v>
      </c>
      <c r="Y39" s="79">
        <f>AA185</f>
        <v>0</v>
      </c>
      <c r="Z39" s="79">
        <f t="shared" si="10"/>
        <v>18000</v>
      </c>
      <c r="AA39" s="34">
        <f t="shared" si="11"/>
        <v>18000</v>
      </c>
      <c r="AC39" s="5" t="s">
        <v>442</v>
      </c>
      <c r="AD39" s="7" t="s">
        <v>441</v>
      </c>
      <c r="AE39" s="79">
        <f>AE185</f>
        <v>0</v>
      </c>
      <c r="AF39" s="79">
        <f t="shared" ref="AF39:AG39" si="23">AF185</f>
        <v>0</v>
      </c>
      <c r="AG39" s="79">
        <f t="shared" si="23"/>
        <v>1500</v>
      </c>
      <c r="AH39" s="79">
        <f>AJ185</f>
        <v>0</v>
      </c>
      <c r="AI39" s="79">
        <f t="shared" si="12"/>
        <v>18000</v>
      </c>
      <c r="AJ39" s="34">
        <f t="shared" si="13"/>
        <v>18000</v>
      </c>
      <c r="AL39" s="5" t="s">
        <v>442</v>
      </c>
      <c r="AM39" s="7" t="s">
        <v>441</v>
      </c>
      <c r="AN39" s="79">
        <f>AN185</f>
        <v>0</v>
      </c>
      <c r="AO39" s="79">
        <f t="shared" ref="AO39:AP39" si="24">AO185</f>
        <v>0</v>
      </c>
      <c r="AP39" s="79">
        <f t="shared" si="24"/>
        <v>1500</v>
      </c>
      <c r="AQ39" s="79">
        <f>AS185</f>
        <v>0</v>
      </c>
      <c r="AR39" s="79">
        <f t="shared" si="14"/>
        <v>18000</v>
      </c>
      <c r="AS39" s="34">
        <f t="shared" si="15"/>
        <v>18000</v>
      </c>
      <c r="AU39" s="5" t="s">
        <v>442</v>
      </c>
      <c r="AV39" s="7" t="s">
        <v>441</v>
      </c>
      <c r="AW39" s="79">
        <f>AW185</f>
        <v>0</v>
      </c>
      <c r="AX39" s="79">
        <f t="shared" ref="AX39:AY39" si="25">AX185</f>
        <v>0</v>
      </c>
      <c r="AY39" s="79">
        <f t="shared" si="25"/>
        <v>1500</v>
      </c>
      <c r="AZ39" s="79">
        <f>BB185</f>
        <v>0</v>
      </c>
      <c r="BA39" s="79">
        <f t="shared" si="16"/>
        <v>18000</v>
      </c>
      <c r="BB39" s="34">
        <f t="shared" si="17"/>
        <v>18000</v>
      </c>
      <c r="BD39" s="5" t="s">
        <v>442</v>
      </c>
      <c r="BE39" s="7" t="s">
        <v>441</v>
      </c>
      <c r="BF39" s="79">
        <f>BF185</f>
        <v>0</v>
      </c>
      <c r="BG39" s="79">
        <f t="shared" ref="BG39:BH39" si="26">BG185</f>
        <v>0</v>
      </c>
      <c r="BH39" s="79">
        <f t="shared" si="26"/>
        <v>1500</v>
      </c>
      <c r="BI39" s="79">
        <f>BK185</f>
        <v>0</v>
      </c>
      <c r="BJ39" s="79">
        <f t="shared" si="18"/>
        <v>18000</v>
      </c>
      <c r="BK39" s="34">
        <f t="shared" si="19"/>
        <v>18000</v>
      </c>
    </row>
    <row r="40" spans="2:63" ht="25.5" customHeight="1" x14ac:dyDescent="0.25">
      <c r="B40" s="5" t="s">
        <v>442</v>
      </c>
      <c r="C40" s="7" t="s">
        <v>296</v>
      </c>
      <c r="D40" s="79">
        <f>D203</f>
        <v>100000</v>
      </c>
      <c r="E40" s="79">
        <f t="shared" ref="E40:F40" si="27">E203</f>
        <v>50000</v>
      </c>
      <c r="F40" s="79">
        <f t="shared" si="27"/>
        <v>0</v>
      </c>
      <c r="G40" s="79">
        <f>I203</f>
        <v>6560</v>
      </c>
      <c r="H40" s="79">
        <f t="shared" si="6"/>
        <v>0</v>
      </c>
      <c r="I40" s="34">
        <f t="shared" si="7"/>
        <v>6560</v>
      </c>
      <c r="K40" s="5" t="s">
        <v>442</v>
      </c>
      <c r="L40" s="7" t="s">
        <v>296</v>
      </c>
      <c r="M40" s="79">
        <f>M203</f>
        <v>100000</v>
      </c>
      <c r="N40" s="79">
        <f t="shared" ref="N40:O40" si="28">N203</f>
        <v>50000</v>
      </c>
      <c r="O40" s="79">
        <f t="shared" si="28"/>
        <v>0</v>
      </c>
      <c r="P40" s="79">
        <f>R203</f>
        <v>6560</v>
      </c>
      <c r="Q40" s="79">
        <f t="shared" si="8"/>
        <v>0</v>
      </c>
      <c r="R40" s="34">
        <f t="shared" si="9"/>
        <v>6560</v>
      </c>
      <c r="T40" s="5" t="s">
        <v>442</v>
      </c>
      <c r="U40" s="7" t="s">
        <v>296</v>
      </c>
      <c r="V40" s="79">
        <f>V203</f>
        <v>100000</v>
      </c>
      <c r="W40" s="79">
        <f t="shared" ref="W40:X40" si="29">W203</f>
        <v>50000</v>
      </c>
      <c r="X40" s="79">
        <f t="shared" si="29"/>
        <v>0</v>
      </c>
      <c r="Y40" s="79">
        <f>AA203</f>
        <v>6560</v>
      </c>
      <c r="Z40" s="79">
        <f t="shared" si="10"/>
        <v>0</v>
      </c>
      <c r="AA40" s="34">
        <f t="shared" si="11"/>
        <v>6560</v>
      </c>
      <c r="AC40" s="5" t="s">
        <v>442</v>
      </c>
      <c r="AD40" s="7" t="s">
        <v>296</v>
      </c>
      <c r="AE40" s="79">
        <f>AE203</f>
        <v>100000</v>
      </c>
      <c r="AF40" s="79">
        <f t="shared" ref="AF40:AG40" si="30">AF203</f>
        <v>50000</v>
      </c>
      <c r="AG40" s="79">
        <f t="shared" si="30"/>
        <v>0</v>
      </c>
      <c r="AH40" s="79">
        <f>AJ203</f>
        <v>6560</v>
      </c>
      <c r="AI40" s="79">
        <f t="shared" si="12"/>
        <v>0</v>
      </c>
      <c r="AJ40" s="34">
        <f t="shared" si="13"/>
        <v>6560</v>
      </c>
      <c r="AL40" s="5" t="s">
        <v>442</v>
      </c>
      <c r="AM40" s="7" t="s">
        <v>296</v>
      </c>
      <c r="AN40" s="79">
        <f>AN203</f>
        <v>100000</v>
      </c>
      <c r="AO40" s="79">
        <f t="shared" ref="AO40:AP40" si="31">AO203</f>
        <v>50000</v>
      </c>
      <c r="AP40" s="79">
        <f t="shared" si="31"/>
        <v>0</v>
      </c>
      <c r="AQ40" s="79">
        <f>AS203</f>
        <v>6560</v>
      </c>
      <c r="AR40" s="79">
        <f t="shared" si="14"/>
        <v>0</v>
      </c>
      <c r="AS40" s="34">
        <f t="shared" si="15"/>
        <v>6560</v>
      </c>
      <c r="AU40" s="5" t="s">
        <v>442</v>
      </c>
      <c r="AV40" s="7" t="s">
        <v>296</v>
      </c>
      <c r="AW40" s="79">
        <f>AW203</f>
        <v>100000</v>
      </c>
      <c r="AX40" s="79">
        <f t="shared" ref="AX40:AY40" si="32">AX203</f>
        <v>50000</v>
      </c>
      <c r="AY40" s="79">
        <f t="shared" si="32"/>
        <v>0</v>
      </c>
      <c r="AZ40" s="79">
        <f>BB203</f>
        <v>6560</v>
      </c>
      <c r="BA40" s="79">
        <f t="shared" si="16"/>
        <v>0</v>
      </c>
      <c r="BB40" s="34">
        <f t="shared" si="17"/>
        <v>6560</v>
      </c>
      <c r="BD40" s="5" t="s">
        <v>442</v>
      </c>
      <c r="BE40" s="7" t="s">
        <v>296</v>
      </c>
      <c r="BF40" s="79">
        <f>BF203</f>
        <v>100000</v>
      </c>
      <c r="BG40" s="79">
        <f t="shared" ref="BG40:BH40" si="33">BG203</f>
        <v>50000</v>
      </c>
      <c r="BH40" s="79">
        <f t="shared" si="33"/>
        <v>0</v>
      </c>
      <c r="BI40" s="79">
        <f>BK203</f>
        <v>6560</v>
      </c>
      <c r="BJ40" s="79">
        <f t="shared" si="18"/>
        <v>0</v>
      </c>
      <c r="BK40" s="34">
        <f t="shared" si="19"/>
        <v>6560</v>
      </c>
    </row>
    <row r="41" spans="2:63" ht="25.5" customHeight="1" x14ac:dyDescent="0.25">
      <c r="B41" s="39" t="s">
        <v>443</v>
      </c>
      <c r="C41" s="33"/>
      <c r="D41" s="35">
        <f>SUM(D32:D40)</f>
        <v>1950000</v>
      </c>
      <c r="E41" s="35">
        <f t="shared" ref="E41:I41" si="34">SUM(E32:E40)</f>
        <v>1100000</v>
      </c>
      <c r="F41" s="35">
        <f t="shared" si="34"/>
        <v>14500</v>
      </c>
      <c r="G41" s="35">
        <f t="shared" si="34"/>
        <v>79520</v>
      </c>
      <c r="H41" s="35">
        <f t="shared" si="34"/>
        <v>174000</v>
      </c>
      <c r="I41" s="35">
        <f t="shared" si="34"/>
        <v>253520</v>
      </c>
      <c r="K41" s="39" t="s">
        <v>443</v>
      </c>
      <c r="L41" s="33"/>
      <c r="M41" s="35">
        <f>SUM(M32:M40)</f>
        <v>1950000</v>
      </c>
      <c r="N41" s="35">
        <f t="shared" ref="N41:R41" si="35">SUM(N32:N40)</f>
        <v>1100000</v>
      </c>
      <c r="O41" s="35">
        <f t="shared" si="35"/>
        <v>14500</v>
      </c>
      <c r="P41" s="35">
        <f t="shared" si="35"/>
        <v>79520</v>
      </c>
      <c r="Q41" s="35">
        <f t="shared" si="35"/>
        <v>174000</v>
      </c>
      <c r="R41" s="35">
        <f t="shared" si="35"/>
        <v>253520</v>
      </c>
      <c r="T41" s="39" t="s">
        <v>443</v>
      </c>
      <c r="U41" s="33"/>
      <c r="V41" s="35">
        <f>SUM(V32:V40)</f>
        <v>1950000</v>
      </c>
      <c r="W41" s="35">
        <f t="shared" ref="W41:AA41" si="36">SUM(W32:W40)</f>
        <v>1100000</v>
      </c>
      <c r="X41" s="35">
        <f t="shared" si="36"/>
        <v>14500</v>
      </c>
      <c r="Y41" s="35">
        <f t="shared" si="36"/>
        <v>79520</v>
      </c>
      <c r="Z41" s="35">
        <f t="shared" si="36"/>
        <v>174000</v>
      </c>
      <c r="AA41" s="35">
        <f t="shared" si="36"/>
        <v>253520</v>
      </c>
      <c r="AC41" s="39" t="s">
        <v>443</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443</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443</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443</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8.25" x14ac:dyDescent="0.25">
      <c r="B43" s="27" t="s">
        <v>9</v>
      </c>
      <c r="C43" s="3" t="s">
        <v>86</v>
      </c>
      <c r="D43" s="3" t="s">
        <v>374</v>
      </c>
      <c r="E43" s="3" t="s">
        <v>375</v>
      </c>
      <c r="F43" s="3" t="s">
        <v>376</v>
      </c>
      <c r="G43" s="3" t="s">
        <v>377</v>
      </c>
      <c r="H43" s="3" t="s">
        <v>378</v>
      </c>
      <c r="I43" s="3" t="s">
        <v>379</v>
      </c>
      <c r="K43" s="27" t="s">
        <v>9</v>
      </c>
      <c r="L43" s="3" t="s">
        <v>86</v>
      </c>
      <c r="M43" s="3" t="s">
        <v>374</v>
      </c>
      <c r="N43" s="3" t="s">
        <v>375</v>
      </c>
      <c r="O43" s="3" t="s">
        <v>376</v>
      </c>
      <c r="P43" s="3" t="s">
        <v>377</v>
      </c>
      <c r="Q43" s="3" t="s">
        <v>378</v>
      </c>
      <c r="R43" s="3" t="s">
        <v>379</v>
      </c>
      <c r="T43" s="27" t="s">
        <v>9</v>
      </c>
      <c r="U43" s="3" t="s">
        <v>86</v>
      </c>
      <c r="V43" s="3" t="s">
        <v>374</v>
      </c>
      <c r="W43" s="3" t="s">
        <v>375</v>
      </c>
      <c r="X43" s="3" t="s">
        <v>376</v>
      </c>
      <c r="Y43" s="3" t="s">
        <v>377</v>
      </c>
      <c r="Z43" s="3" t="s">
        <v>378</v>
      </c>
      <c r="AA43" s="3" t="s">
        <v>379</v>
      </c>
      <c r="AC43" s="27" t="s">
        <v>9</v>
      </c>
      <c r="AD43" s="3" t="s">
        <v>86</v>
      </c>
      <c r="AE43" s="3" t="s">
        <v>374</v>
      </c>
      <c r="AF43" s="3" t="s">
        <v>375</v>
      </c>
      <c r="AG43" s="3" t="s">
        <v>376</v>
      </c>
      <c r="AH43" s="3" t="s">
        <v>377</v>
      </c>
      <c r="AI43" s="3" t="s">
        <v>378</v>
      </c>
      <c r="AJ43" s="3" t="s">
        <v>379</v>
      </c>
      <c r="AL43" s="27" t="s">
        <v>9</v>
      </c>
      <c r="AM43" s="3" t="s">
        <v>86</v>
      </c>
      <c r="AN43" s="3" t="s">
        <v>374</v>
      </c>
      <c r="AO43" s="3" t="s">
        <v>375</v>
      </c>
      <c r="AP43" s="3" t="s">
        <v>376</v>
      </c>
      <c r="AQ43" s="3" t="s">
        <v>377</v>
      </c>
      <c r="AR43" s="3" t="s">
        <v>378</v>
      </c>
      <c r="AS43" s="3" t="s">
        <v>379</v>
      </c>
      <c r="AU43" s="27" t="s">
        <v>9</v>
      </c>
      <c r="AV43" s="3" t="s">
        <v>86</v>
      </c>
      <c r="AW43" s="3" t="s">
        <v>374</v>
      </c>
      <c r="AX43" s="3" t="s">
        <v>375</v>
      </c>
      <c r="AY43" s="3" t="s">
        <v>376</v>
      </c>
      <c r="AZ43" s="3" t="s">
        <v>377</v>
      </c>
      <c r="BA43" s="3" t="s">
        <v>378</v>
      </c>
      <c r="BB43" s="3" t="s">
        <v>379</v>
      </c>
      <c r="BD43" s="27" t="s">
        <v>9</v>
      </c>
      <c r="BE43" s="3" t="s">
        <v>86</v>
      </c>
      <c r="BF43" s="3" t="s">
        <v>374</v>
      </c>
      <c r="BG43" s="3" t="s">
        <v>375</v>
      </c>
      <c r="BH43" s="3" t="s">
        <v>376</v>
      </c>
      <c r="BI43" s="3" t="s">
        <v>377</v>
      </c>
      <c r="BJ43" s="3" t="s">
        <v>378</v>
      </c>
      <c r="BK43" s="3" t="s">
        <v>379</v>
      </c>
    </row>
    <row r="44" spans="2:63" x14ac:dyDescent="0.25">
      <c r="B44" s="41" t="s">
        <v>444</v>
      </c>
      <c r="C44" s="41" t="s">
        <v>283</v>
      </c>
      <c r="D44" s="40">
        <v>750000</v>
      </c>
      <c r="E44" s="40">
        <v>500000</v>
      </c>
      <c r="F44" s="29"/>
      <c r="G44" s="22">
        <v>0.08</v>
      </c>
      <c r="H44" s="23">
        <v>0.75</v>
      </c>
      <c r="I44" s="75">
        <f>D44*G44*H44</f>
        <v>45000</v>
      </c>
      <c r="K44" s="41" t="s">
        <v>444</v>
      </c>
      <c r="L44" s="41" t="s">
        <v>283</v>
      </c>
      <c r="M44" s="40">
        <v>750000</v>
      </c>
      <c r="N44" s="40">
        <v>500000</v>
      </c>
      <c r="O44" s="29"/>
      <c r="P44" s="22">
        <v>0.08</v>
      </c>
      <c r="Q44" s="23">
        <v>0.75</v>
      </c>
      <c r="R44" s="6">
        <f>M44*P44*Q44</f>
        <v>45000</v>
      </c>
      <c r="T44" s="41" t="s">
        <v>444</v>
      </c>
      <c r="U44" s="41" t="s">
        <v>283</v>
      </c>
      <c r="V44" s="40">
        <v>750000</v>
      </c>
      <c r="W44" s="40">
        <v>500000</v>
      </c>
      <c r="X44" s="29"/>
      <c r="Y44" s="22">
        <v>0.08</v>
      </c>
      <c r="Z44" s="23">
        <v>0.75</v>
      </c>
      <c r="AA44" s="6">
        <f>V44*Y44*Z44</f>
        <v>45000</v>
      </c>
      <c r="AC44" s="41" t="s">
        <v>444</v>
      </c>
      <c r="AD44" s="41" t="s">
        <v>283</v>
      </c>
      <c r="AE44" s="40">
        <v>750000</v>
      </c>
      <c r="AF44" s="40">
        <v>500000</v>
      </c>
      <c r="AG44" s="29"/>
      <c r="AH44" s="22">
        <v>0.08</v>
      </c>
      <c r="AI44" s="23">
        <v>0.75</v>
      </c>
      <c r="AJ44" s="6">
        <f>AE44*AH44*AI44</f>
        <v>45000</v>
      </c>
      <c r="AL44" s="41" t="s">
        <v>444</v>
      </c>
      <c r="AM44" s="41" t="s">
        <v>283</v>
      </c>
      <c r="AN44" s="40">
        <v>750000</v>
      </c>
      <c r="AO44" s="40">
        <v>500000</v>
      </c>
      <c r="AP44" s="29"/>
      <c r="AQ44" s="22">
        <v>0.08</v>
      </c>
      <c r="AR44" s="23">
        <v>0.75</v>
      </c>
      <c r="AS44" s="6">
        <f>AN44*AQ44*AR44</f>
        <v>45000</v>
      </c>
      <c r="AU44" s="41" t="s">
        <v>444</v>
      </c>
      <c r="AV44" s="41" t="s">
        <v>283</v>
      </c>
      <c r="AW44" s="40">
        <v>750000</v>
      </c>
      <c r="AX44" s="40">
        <v>500000</v>
      </c>
      <c r="AY44" s="29"/>
      <c r="AZ44" s="22">
        <v>0.08</v>
      </c>
      <c r="BA44" s="23">
        <v>0.75</v>
      </c>
      <c r="BB44" s="6">
        <f>AW44*AZ44*BA44</f>
        <v>45000</v>
      </c>
      <c r="BD44" s="41" t="s">
        <v>444</v>
      </c>
      <c r="BE44" s="41" t="s">
        <v>283</v>
      </c>
      <c r="BF44" s="40">
        <v>750000</v>
      </c>
      <c r="BG44" s="40">
        <v>500000</v>
      </c>
      <c r="BH44" s="29"/>
      <c r="BI44" s="22">
        <v>0.08</v>
      </c>
      <c r="BJ44" s="23">
        <v>0.75</v>
      </c>
      <c r="BK44" s="6">
        <f>BF44*BI44*BJ44</f>
        <v>45000</v>
      </c>
    </row>
    <row r="45" spans="2:63" x14ac:dyDescent="0.25">
      <c r="B45" s="41" t="s">
        <v>444</v>
      </c>
      <c r="C45" s="41" t="s">
        <v>283</v>
      </c>
      <c r="D45" s="40"/>
      <c r="E45" s="40"/>
      <c r="F45" s="29"/>
      <c r="G45" s="22"/>
      <c r="H45" s="23">
        <v>0.75</v>
      </c>
      <c r="I45" s="75">
        <f t="shared" ref="I45:I58" si="41">D45*G45*H45</f>
        <v>0</v>
      </c>
      <c r="K45" s="41" t="s">
        <v>444</v>
      </c>
      <c r="L45" s="41" t="s">
        <v>283</v>
      </c>
      <c r="M45" s="40"/>
      <c r="N45" s="40"/>
      <c r="O45" s="29"/>
      <c r="P45" s="22"/>
      <c r="Q45" s="23">
        <v>0.75</v>
      </c>
      <c r="R45" s="6">
        <f t="shared" ref="R45:R58" si="42">M45*P45*Q45</f>
        <v>0</v>
      </c>
      <c r="T45" s="41" t="s">
        <v>444</v>
      </c>
      <c r="U45" s="41" t="s">
        <v>283</v>
      </c>
      <c r="V45" s="40"/>
      <c r="W45" s="40"/>
      <c r="X45" s="29"/>
      <c r="Y45" s="22"/>
      <c r="Z45" s="23">
        <v>0.75</v>
      </c>
      <c r="AA45" s="6">
        <f t="shared" ref="AA45:AA58" si="43">V45*Y45*Z45</f>
        <v>0</v>
      </c>
      <c r="AC45" s="41" t="s">
        <v>444</v>
      </c>
      <c r="AD45" s="41" t="s">
        <v>283</v>
      </c>
      <c r="AE45" s="40"/>
      <c r="AF45" s="40"/>
      <c r="AG45" s="29"/>
      <c r="AH45" s="22"/>
      <c r="AI45" s="23">
        <v>0.75</v>
      </c>
      <c r="AJ45" s="6">
        <f t="shared" ref="AJ45:AJ58" si="44">AE45*AH45*AI45</f>
        <v>0</v>
      </c>
      <c r="AL45" s="41" t="s">
        <v>444</v>
      </c>
      <c r="AM45" s="41" t="s">
        <v>283</v>
      </c>
      <c r="AN45" s="40"/>
      <c r="AO45" s="40"/>
      <c r="AP45" s="29"/>
      <c r="AQ45" s="22"/>
      <c r="AR45" s="23">
        <v>0.75</v>
      </c>
      <c r="AS45" s="6">
        <f t="shared" ref="AS45:AS58" si="45">AN45*AQ45*AR45</f>
        <v>0</v>
      </c>
      <c r="AU45" s="41" t="s">
        <v>444</v>
      </c>
      <c r="AV45" s="41" t="s">
        <v>283</v>
      </c>
      <c r="AW45" s="40"/>
      <c r="AX45" s="40"/>
      <c r="AY45" s="29"/>
      <c r="AZ45" s="22"/>
      <c r="BA45" s="23">
        <v>0.75</v>
      </c>
      <c r="BB45" s="6">
        <f t="shared" ref="BB45:BB58" si="46">AW45*AZ45*BA45</f>
        <v>0</v>
      </c>
      <c r="BD45" s="41" t="s">
        <v>444</v>
      </c>
      <c r="BE45" s="41" t="s">
        <v>283</v>
      </c>
      <c r="BF45" s="40"/>
      <c r="BG45" s="40"/>
      <c r="BH45" s="29"/>
      <c r="BI45" s="22"/>
      <c r="BJ45" s="23">
        <v>0.75</v>
      </c>
      <c r="BK45" s="6">
        <f t="shared" ref="BK45:BK58" si="47">BF45*BI45*BJ45</f>
        <v>0</v>
      </c>
    </row>
    <row r="46" spans="2:63" x14ac:dyDescent="0.25">
      <c r="B46" s="41" t="s">
        <v>444</v>
      </c>
      <c r="C46" s="41" t="s">
        <v>283</v>
      </c>
      <c r="D46" s="40"/>
      <c r="E46" s="40"/>
      <c r="F46" s="29"/>
      <c r="G46" s="22"/>
      <c r="H46" s="23">
        <v>0.75</v>
      </c>
      <c r="I46" s="75">
        <f t="shared" si="41"/>
        <v>0</v>
      </c>
      <c r="K46" s="41" t="s">
        <v>444</v>
      </c>
      <c r="L46" s="41" t="s">
        <v>283</v>
      </c>
      <c r="M46" s="40"/>
      <c r="N46" s="40"/>
      <c r="O46" s="29"/>
      <c r="P46" s="22"/>
      <c r="Q46" s="23">
        <v>0.75</v>
      </c>
      <c r="R46" s="6">
        <f t="shared" si="42"/>
        <v>0</v>
      </c>
      <c r="T46" s="41" t="s">
        <v>444</v>
      </c>
      <c r="U46" s="41" t="s">
        <v>283</v>
      </c>
      <c r="V46" s="40"/>
      <c r="W46" s="40"/>
      <c r="X46" s="29"/>
      <c r="Y46" s="22"/>
      <c r="Z46" s="23">
        <v>0.75</v>
      </c>
      <c r="AA46" s="6">
        <f t="shared" si="43"/>
        <v>0</v>
      </c>
      <c r="AC46" s="41" t="s">
        <v>444</v>
      </c>
      <c r="AD46" s="41" t="s">
        <v>283</v>
      </c>
      <c r="AE46" s="40"/>
      <c r="AF46" s="40"/>
      <c r="AG46" s="29"/>
      <c r="AH46" s="22"/>
      <c r="AI46" s="23">
        <v>0.75</v>
      </c>
      <c r="AJ46" s="6">
        <f t="shared" si="44"/>
        <v>0</v>
      </c>
      <c r="AL46" s="41" t="s">
        <v>444</v>
      </c>
      <c r="AM46" s="41" t="s">
        <v>283</v>
      </c>
      <c r="AN46" s="40"/>
      <c r="AO46" s="40"/>
      <c r="AP46" s="29"/>
      <c r="AQ46" s="22"/>
      <c r="AR46" s="23">
        <v>0.75</v>
      </c>
      <c r="AS46" s="6">
        <f t="shared" si="45"/>
        <v>0</v>
      </c>
      <c r="AU46" s="41" t="s">
        <v>444</v>
      </c>
      <c r="AV46" s="41" t="s">
        <v>283</v>
      </c>
      <c r="AW46" s="40"/>
      <c r="AX46" s="40"/>
      <c r="AY46" s="29"/>
      <c r="AZ46" s="22"/>
      <c r="BA46" s="23">
        <v>0.75</v>
      </c>
      <c r="BB46" s="6">
        <f t="shared" si="46"/>
        <v>0</v>
      </c>
      <c r="BD46" s="41" t="s">
        <v>444</v>
      </c>
      <c r="BE46" s="41" t="s">
        <v>283</v>
      </c>
      <c r="BF46" s="40"/>
      <c r="BG46" s="40"/>
      <c r="BH46" s="29"/>
      <c r="BI46" s="22"/>
      <c r="BJ46" s="23">
        <v>0.75</v>
      </c>
      <c r="BK46" s="6">
        <f t="shared" si="47"/>
        <v>0</v>
      </c>
    </row>
    <row r="47" spans="2:63" x14ac:dyDescent="0.25">
      <c r="B47" s="41" t="s">
        <v>444</v>
      </c>
      <c r="C47" s="41" t="s">
        <v>283</v>
      </c>
      <c r="D47" s="40"/>
      <c r="E47" s="40"/>
      <c r="F47" s="29"/>
      <c r="G47" s="22"/>
      <c r="H47" s="23">
        <v>0.75</v>
      </c>
      <c r="I47" s="75">
        <f t="shared" si="41"/>
        <v>0</v>
      </c>
      <c r="K47" s="41" t="s">
        <v>444</v>
      </c>
      <c r="L47" s="41" t="s">
        <v>283</v>
      </c>
      <c r="M47" s="40"/>
      <c r="N47" s="40"/>
      <c r="O47" s="29"/>
      <c r="P47" s="22"/>
      <c r="Q47" s="23">
        <v>0.75</v>
      </c>
      <c r="R47" s="6">
        <f t="shared" si="42"/>
        <v>0</v>
      </c>
      <c r="T47" s="41" t="s">
        <v>444</v>
      </c>
      <c r="U47" s="41" t="s">
        <v>283</v>
      </c>
      <c r="V47" s="40"/>
      <c r="W47" s="40"/>
      <c r="X47" s="29"/>
      <c r="Y47" s="22"/>
      <c r="Z47" s="23">
        <v>0.75</v>
      </c>
      <c r="AA47" s="6">
        <f t="shared" si="43"/>
        <v>0</v>
      </c>
      <c r="AC47" s="41" t="s">
        <v>444</v>
      </c>
      <c r="AD47" s="41" t="s">
        <v>283</v>
      </c>
      <c r="AE47" s="40"/>
      <c r="AF47" s="40"/>
      <c r="AG47" s="29"/>
      <c r="AH47" s="22"/>
      <c r="AI47" s="23">
        <v>0.75</v>
      </c>
      <c r="AJ47" s="6">
        <f t="shared" si="44"/>
        <v>0</v>
      </c>
      <c r="AL47" s="41" t="s">
        <v>444</v>
      </c>
      <c r="AM47" s="41" t="s">
        <v>283</v>
      </c>
      <c r="AN47" s="40"/>
      <c r="AO47" s="40"/>
      <c r="AP47" s="29"/>
      <c r="AQ47" s="22"/>
      <c r="AR47" s="23">
        <v>0.75</v>
      </c>
      <c r="AS47" s="6">
        <f t="shared" si="45"/>
        <v>0</v>
      </c>
      <c r="AU47" s="41" t="s">
        <v>444</v>
      </c>
      <c r="AV47" s="41" t="s">
        <v>283</v>
      </c>
      <c r="AW47" s="40"/>
      <c r="AX47" s="40"/>
      <c r="AY47" s="29"/>
      <c r="AZ47" s="22"/>
      <c r="BA47" s="23">
        <v>0.75</v>
      </c>
      <c r="BB47" s="6">
        <f t="shared" si="46"/>
        <v>0</v>
      </c>
      <c r="BD47" s="41" t="s">
        <v>444</v>
      </c>
      <c r="BE47" s="41" t="s">
        <v>283</v>
      </c>
      <c r="BF47" s="40"/>
      <c r="BG47" s="40"/>
      <c r="BH47" s="29"/>
      <c r="BI47" s="22"/>
      <c r="BJ47" s="23">
        <v>0.75</v>
      </c>
      <c r="BK47" s="6">
        <f t="shared" si="47"/>
        <v>0</v>
      </c>
    </row>
    <row r="48" spans="2:63" x14ac:dyDescent="0.25">
      <c r="B48" s="41" t="s">
        <v>444</v>
      </c>
      <c r="C48" s="41" t="s">
        <v>283</v>
      </c>
      <c r="D48" s="40"/>
      <c r="E48" s="40"/>
      <c r="F48" s="29"/>
      <c r="G48" s="22"/>
      <c r="H48" s="23">
        <v>0.75</v>
      </c>
      <c r="I48" s="75">
        <f t="shared" si="41"/>
        <v>0</v>
      </c>
      <c r="K48" s="41" t="s">
        <v>444</v>
      </c>
      <c r="L48" s="41" t="s">
        <v>283</v>
      </c>
      <c r="M48" s="40"/>
      <c r="N48" s="40"/>
      <c r="O48" s="29"/>
      <c r="P48" s="22"/>
      <c r="Q48" s="23">
        <v>0.75</v>
      </c>
      <c r="R48" s="6">
        <f t="shared" si="42"/>
        <v>0</v>
      </c>
      <c r="T48" s="41" t="s">
        <v>444</v>
      </c>
      <c r="U48" s="41" t="s">
        <v>283</v>
      </c>
      <c r="V48" s="40"/>
      <c r="W48" s="40"/>
      <c r="X48" s="29"/>
      <c r="Y48" s="22"/>
      <c r="Z48" s="23">
        <v>0.75</v>
      </c>
      <c r="AA48" s="6">
        <f t="shared" si="43"/>
        <v>0</v>
      </c>
      <c r="AC48" s="41" t="s">
        <v>444</v>
      </c>
      <c r="AD48" s="41" t="s">
        <v>283</v>
      </c>
      <c r="AE48" s="40"/>
      <c r="AF48" s="40"/>
      <c r="AG48" s="29"/>
      <c r="AH48" s="22"/>
      <c r="AI48" s="23">
        <v>0.75</v>
      </c>
      <c r="AJ48" s="6">
        <f t="shared" si="44"/>
        <v>0</v>
      </c>
      <c r="AL48" s="41" t="s">
        <v>444</v>
      </c>
      <c r="AM48" s="41" t="s">
        <v>283</v>
      </c>
      <c r="AN48" s="40"/>
      <c r="AO48" s="40"/>
      <c r="AP48" s="29"/>
      <c r="AQ48" s="22"/>
      <c r="AR48" s="23">
        <v>0.75</v>
      </c>
      <c r="AS48" s="6">
        <f t="shared" si="45"/>
        <v>0</v>
      </c>
      <c r="AU48" s="41" t="s">
        <v>444</v>
      </c>
      <c r="AV48" s="41" t="s">
        <v>283</v>
      </c>
      <c r="AW48" s="40"/>
      <c r="AX48" s="40"/>
      <c r="AY48" s="29"/>
      <c r="AZ48" s="22"/>
      <c r="BA48" s="23">
        <v>0.75</v>
      </c>
      <c r="BB48" s="6">
        <f t="shared" si="46"/>
        <v>0</v>
      </c>
      <c r="BD48" s="41" t="s">
        <v>444</v>
      </c>
      <c r="BE48" s="41" t="s">
        <v>283</v>
      </c>
      <c r="BF48" s="40"/>
      <c r="BG48" s="40"/>
      <c r="BH48" s="29"/>
      <c r="BI48" s="22"/>
      <c r="BJ48" s="23">
        <v>0.75</v>
      </c>
      <c r="BK48" s="6">
        <f t="shared" si="47"/>
        <v>0</v>
      </c>
    </row>
    <row r="49" spans="2:63" x14ac:dyDescent="0.25">
      <c r="B49" s="41" t="s">
        <v>444</v>
      </c>
      <c r="C49" s="41" t="s">
        <v>283</v>
      </c>
      <c r="D49" s="40"/>
      <c r="E49" s="40"/>
      <c r="F49" s="29"/>
      <c r="G49" s="22"/>
      <c r="H49" s="23">
        <v>0.75</v>
      </c>
      <c r="I49" s="75">
        <f t="shared" si="41"/>
        <v>0</v>
      </c>
      <c r="K49" s="41" t="s">
        <v>444</v>
      </c>
      <c r="L49" s="41" t="s">
        <v>283</v>
      </c>
      <c r="M49" s="40"/>
      <c r="N49" s="40"/>
      <c r="O49" s="29"/>
      <c r="P49" s="22"/>
      <c r="Q49" s="23">
        <v>0.75</v>
      </c>
      <c r="R49" s="6">
        <f t="shared" si="42"/>
        <v>0</v>
      </c>
      <c r="T49" s="41" t="s">
        <v>444</v>
      </c>
      <c r="U49" s="41" t="s">
        <v>283</v>
      </c>
      <c r="V49" s="40"/>
      <c r="W49" s="40"/>
      <c r="X49" s="29"/>
      <c r="Y49" s="22"/>
      <c r="Z49" s="23">
        <v>0.75</v>
      </c>
      <c r="AA49" s="6">
        <f t="shared" si="43"/>
        <v>0</v>
      </c>
      <c r="AC49" s="41" t="s">
        <v>444</v>
      </c>
      <c r="AD49" s="41" t="s">
        <v>283</v>
      </c>
      <c r="AE49" s="40"/>
      <c r="AF49" s="40"/>
      <c r="AG49" s="29"/>
      <c r="AH49" s="22"/>
      <c r="AI49" s="23">
        <v>0.75</v>
      </c>
      <c r="AJ49" s="6">
        <f t="shared" si="44"/>
        <v>0</v>
      </c>
      <c r="AL49" s="41" t="s">
        <v>444</v>
      </c>
      <c r="AM49" s="41" t="s">
        <v>283</v>
      </c>
      <c r="AN49" s="40"/>
      <c r="AO49" s="40"/>
      <c r="AP49" s="29"/>
      <c r="AQ49" s="22"/>
      <c r="AR49" s="23">
        <v>0.75</v>
      </c>
      <c r="AS49" s="6">
        <f t="shared" si="45"/>
        <v>0</v>
      </c>
      <c r="AU49" s="41" t="s">
        <v>444</v>
      </c>
      <c r="AV49" s="41" t="s">
        <v>283</v>
      </c>
      <c r="AW49" s="40"/>
      <c r="AX49" s="40"/>
      <c r="AY49" s="29"/>
      <c r="AZ49" s="22"/>
      <c r="BA49" s="23">
        <v>0.75</v>
      </c>
      <c r="BB49" s="6">
        <f t="shared" si="46"/>
        <v>0</v>
      </c>
      <c r="BD49" s="41" t="s">
        <v>444</v>
      </c>
      <c r="BE49" s="41" t="s">
        <v>283</v>
      </c>
      <c r="BF49" s="40"/>
      <c r="BG49" s="40"/>
      <c r="BH49" s="29"/>
      <c r="BI49" s="22"/>
      <c r="BJ49" s="23">
        <v>0.75</v>
      </c>
      <c r="BK49" s="6">
        <f t="shared" si="47"/>
        <v>0</v>
      </c>
    </row>
    <row r="50" spans="2:63" x14ac:dyDescent="0.25">
      <c r="B50" s="41" t="s">
        <v>444</v>
      </c>
      <c r="C50" s="41" t="s">
        <v>283</v>
      </c>
      <c r="D50" s="40"/>
      <c r="E50" s="40"/>
      <c r="F50" s="29"/>
      <c r="G50" s="22"/>
      <c r="H50" s="23">
        <v>0.75</v>
      </c>
      <c r="I50" s="75">
        <f t="shared" si="41"/>
        <v>0</v>
      </c>
      <c r="K50" s="41" t="s">
        <v>444</v>
      </c>
      <c r="L50" s="41" t="s">
        <v>283</v>
      </c>
      <c r="M50" s="40"/>
      <c r="N50" s="40"/>
      <c r="O50" s="29"/>
      <c r="P50" s="22"/>
      <c r="Q50" s="23">
        <v>0.75</v>
      </c>
      <c r="R50" s="6">
        <f t="shared" si="42"/>
        <v>0</v>
      </c>
      <c r="T50" s="41" t="s">
        <v>444</v>
      </c>
      <c r="U50" s="41" t="s">
        <v>283</v>
      </c>
      <c r="V50" s="40"/>
      <c r="W50" s="40"/>
      <c r="X50" s="29"/>
      <c r="Y50" s="22"/>
      <c r="Z50" s="23">
        <v>0.75</v>
      </c>
      <c r="AA50" s="6">
        <f t="shared" si="43"/>
        <v>0</v>
      </c>
      <c r="AC50" s="41" t="s">
        <v>444</v>
      </c>
      <c r="AD50" s="41" t="s">
        <v>283</v>
      </c>
      <c r="AE50" s="40"/>
      <c r="AF50" s="40"/>
      <c r="AG50" s="29"/>
      <c r="AH50" s="22"/>
      <c r="AI50" s="23">
        <v>0.75</v>
      </c>
      <c r="AJ50" s="6">
        <f t="shared" si="44"/>
        <v>0</v>
      </c>
      <c r="AL50" s="41" t="s">
        <v>444</v>
      </c>
      <c r="AM50" s="41" t="s">
        <v>283</v>
      </c>
      <c r="AN50" s="40"/>
      <c r="AO50" s="40"/>
      <c r="AP50" s="29"/>
      <c r="AQ50" s="22"/>
      <c r="AR50" s="23">
        <v>0.75</v>
      </c>
      <c r="AS50" s="6">
        <f t="shared" si="45"/>
        <v>0</v>
      </c>
      <c r="AU50" s="41" t="s">
        <v>444</v>
      </c>
      <c r="AV50" s="41" t="s">
        <v>283</v>
      </c>
      <c r="AW50" s="40"/>
      <c r="AX50" s="40"/>
      <c r="AY50" s="29"/>
      <c r="AZ50" s="22"/>
      <c r="BA50" s="23">
        <v>0.75</v>
      </c>
      <c r="BB50" s="6">
        <f t="shared" si="46"/>
        <v>0</v>
      </c>
      <c r="BD50" s="41" t="s">
        <v>444</v>
      </c>
      <c r="BE50" s="41" t="s">
        <v>283</v>
      </c>
      <c r="BF50" s="40"/>
      <c r="BG50" s="40"/>
      <c r="BH50" s="29"/>
      <c r="BI50" s="22"/>
      <c r="BJ50" s="23">
        <v>0.75</v>
      </c>
      <c r="BK50" s="6">
        <f t="shared" si="47"/>
        <v>0</v>
      </c>
    </row>
    <row r="51" spans="2:63" x14ac:dyDescent="0.25">
      <c r="B51" s="41" t="s">
        <v>444</v>
      </c>
      <c r="C51" s="41" t="s">
        <v>283</v>
      </c>
      <c r="D51" s="40"/>
      <c r="E51" s="40"/>
      <c r="F51" s="29"/>
      <c r="G51" s="22"/>
      <c r="H51" s="23">
        <v>0.75</v>
      </c>
      <c r="I51" s="75">
        <f t="shared" si="41"/>
        <v>0</v>
      </c>
      <c r="K51" s="41" t="s">
        <v>444</v>
      </c>
      <c r="L51" s="41" t="s">
        <v>283</v>
      </c>
      <c r="M51" s="40"/>
      <c r="N51" s="40"/>
      <c r="O51" s="29"/>
      <c r="P51" s="22"/>
      <c r="Q51" s="23">
        <v>0.75</v>
      </c>
      <c r="R51" s="6">
        <f t="shared" si="42"/>
        <v>0</v>
      </c>
      <c r="T51" s="41" t="s">
        <v>444</v>
      </c>
      <c r="U51" s="41" t="s">
        <v>283</v>
      </c>
      <c r="V51" s="40"/>
      <c r="W51" s="40"/>
      <c r="X51" s="29"/>
      <c r="Y51" s="22"/>
      <c r="Z51" s="23">
        <v>0.75</v>
      </c>
      <c r="AA51" s="6">
        <f t="shared" si="43"/>
        <v>0</v>
      </c>
      <c r="AC51" s="41" t="s">
        <v>444</v>
      </c>
      <c r="AD51" s="41" t="s">
        <v>283</v>
      </c>
      <c r="AE51" s="40"/>
      <c r="AF51" s="40"/>
      <c r="AG51" s="29"/>
      <c r="AH51" s="22"/>
      <c r="AI51" s="23">
        <v>0.75</v>
      </c>
      <c r="AJ51" s="6">
        <f t="shared" si="44"/>
        <v>0</v>
      </c>
      <c r="AL51" s="41" t="s">
        <v>444</v>
      </c>
      <c r="AM51" s="41" t="s">
        <v>283</v>
      </c>
      <c r="AN51" s="40"/>
      <c r="AO51" s="40"/>
      <c r="AP51" s="29"/>
      <c r="AQ51" s="22"/>
      <c r="AR51" s="23">
        <v>0.75</v>
      </c>
      <c r="AS51" s="6">
        <f t="shared" si="45"/>
        <v>0</v>
      </c>
      <c r="AU51" s="41" t="s">
        <v>444</v>
      </c>
      <c r="AV51" s="41" t="s">
        <v>283</v>
      </c>
      <c r="AW51" s="40"/>
      <c r="AX51" s="40"/>
      <c r="AY51" s="29"/>
      <c r="AZ51" s="22"/>
      <c r="BA51" s="23">
        <v>0.75</v>
      </c>
      <c r="BB51" s="6">
        <f t="shared" si="46"/>
        <v>0</v>
      </c>
      <c r="BD51" s="41" t="s">
        <v>444</v>
      </c>
      <c r="BE51" s="41" t="s">
        <v>283</v>
      </c>
      <c r="BF51" s="40"/>
      <c r="BG51" s="40"/>
      <c r="BH51" s="29"/>
      <c r="BI51" s="22"/>
      <c r="BJ51" s="23">
        <v>0.75</v>
      </c>
      <c r="BK51" s="6">
        <f t="shared" si="47"/>
        <v>0</v>
      </c>
    </row>
    <row r="52" spans="2:63" x14ac:dyDescent="0.25">
      <c r="B52" s="41" t="s">
        <v>444</v>
      </c>
      <c r="C52" s="41" t="s">
        <v>283</v>
      </c>
      <c r="D52" s="40"/>
      <c r="E52" s="40"/>
      <c r="F52" s="29"/>
      <c r="G52" s="22"/>
      <c r="H52" s="23">
        <v>0.75</v>
      </c>
      <c r="I52" s="75">
        <f t="shared" si="41"/>
        <v>0</v>
      </c>
      <c r="K52" s="41" t="s">
        <v>444</v>
      </c>
      <c r="L52" s="41" t="s">
        <v>283</v>
      </c>
      <c r="M52" s="40"/>
      <c r="N52" s="40"/>
      <c r="O52" s="29"/>
      <c r="P52" s="22"/>
      <c r="Q52" s="23">
        <v>0.75</v>
      </c>
      <c r="R52" s="6">
        <f t="shared" si="42"/>
        <v>0</v>
      </c>
      <c r="T52" s="41" t="s">
        <v>444</v>
      </c>
      <c r="U52" s="41" t="s">
        <v>283</v>
      </c>
      <c r="V52" s="40"/>
      <c r="W52" s="40"/>
      <c r="X52" s="29"/>
      <c r="Y52" s="22"/>
      <c r="Z52" s="23">
        <v>0.75</v>
      </c>
      <c r="AA52" s="6">
        <f t="shared" si="43"/>
        <v>0</v>
      </c>
      <c r="AC52" s="41" t="s">
        <v>444</v>
      </c>
      <c r="AD52" s="41" t="s">
        <v>283</v>
      </c>
      <c r="AE52" s="40"/>
      <c r="AF52" s="40"/>
      <c r="AG52" s="29"/>
      <c r="AH52" s="22"/>
      <c r="AI52" s="23">
        <v>0.75</v>
      </c>
      <c r="AJ52" s="6">
        <f t="shared" si="44"/>
        <v>0</v>
      </c>
      <c r="AL52" s="41" t="s">
        <v>444</v>
      </c>
      <c r="AM52" s="41" t="s">
        <v>283</v>
      </c>
      <c r="AN52" s="40"/>
      <c r="AO52" s="40"/>
      <c r="AP52" s="29"/>
      <c r="AQ52" s="22"/>
      <c r="AR52" s="23">
        <v>0.75</v>
      </c>
      <c r="AS52" s="6">
        <f t="shared" si="45"/>
        <v>0</v>
      </c>
      <c r="AU52" s="41" t="s">
        <v>444</v>
      </c>
      <c r="AV52" s="41" t="s">
        <v>283</v>
      </c>
      <c r="AW52" s="40"/>
      <c r="AX52" s="40"/>
      <c r="AY52" s="29"/>
      <c r="AZ52" s="22"/>
      <c r="BA52" s="23">
        <v>0.75</v>
      </c>
      <c r="BB52" s="6">
        <f t="shared" si="46"/>
        <v>0</v>
      </c>
      <c r="BD52" s="41" t="s">
        <v>444</v>
      </c>
      <c r="BE52" s="41" t="s">
        <v>283</v>
      </c>
      <c r="BF52" s="40"/>
      <c r="BG52" s="40"/>
      <c r="BH52" s="29"/>
      <c r="BI52" s="22"/>
      <c r="BJ52" s="23">
        <v>0.75</v>
      </c>
      <c r="BK52" s="6">
        <f t="shared" si="47"/>
        <v>0</v>
      </c>
    </row>
    <row r="53" spans="2:63" x14ac:dyDescent="0.25">
      <c r="B53" s="41" t="s">
        <v>444</v>
      </c>
      <c r="C53" s="41" t="s">
        <v>283</v>
      </c>
      <c r="D53" s="40"/>
      <c r="E53" s="40"/>
      <c r="F53" s="29"/>
      <c r="G53" s="22"/>
      <c r="H53" s="23">
        <v>0.75</v>
      </c>
      <c r="I53" s="75">
        <f t="shared" si="41"/>
        <v>0</v>
      </c>
      <c r="K53" s="41" t="s">
        <v>444</v>
      </c>
      <c r="L53" s="41" t="s">
        <v>283</v>
      </c>
      <c r="M53" s="40"/>
      <c r="N53" s="40"/>
      <c r="O53" s="29"/>
      <c r="P53" s="22"/>
      <c r="Q53" s="23">
        <v>0.75</v>
      </c>
      <c r="R53" s="6">
        <f t="shared" si="42"/>
        <v>0</v>
      </c>
      <c r="T53" s="41" t="s">
        <v>444</v>
      </c>
      <c r="U53" s="41" t="s">
        <v>283</v>
      </c>
      <c r="V53" s="40"/>
      <c r="W53" s="40"/>
      <c r="X53" s="29"/>
      <c r="Y53" s="22"/>
      <c r="Z53" s="23">
        <v>0.75</v>
      </c>
      <c r="AA53" s="6">
        <f t="shared" si="43"/>
        <v>0</v>
      </c>
      <c r="AC53" s="41" t="s">
        <v>444</v>
      </c>
      <c r="AD53" s="41" t="s">
        <v>283</v>
      </c>
      <c r="AE53" s="40"/>
      <c r="AF53" s="40"/>
      <c r="AG53" s="29"/>
      <c r="AH53" s="22"/>
      <c r="AI53" s="23">
        <v>0.75</v>
      </c>
      <c r="AJ53" s="6">
        <f t="shared" si="44"/>
        <v>0</v>
      </c>
      <c r="AL53" s="41" t="s">
        <v>444</v>
      </c>
      <c r="AM53" s="41" t="s">
        <v>283</v>
      </c>
      <c r="AN53" s="40"/>
      <c r="AO53" s="40"/>
      <c r="AP53" s="29"/>
      <c r="AQ53" s="22"/>
      <c r="AR53" s="23">
        <v>0.75</v>
      </c>
      <c r="AS53" s="6">
        <f t="shared" si="45"/>
        <v>0</v>
      </c>
      <c r="AU53" s="41" t="s">
        <v>444</v>
      </c>
      <c r="AV53" s="41" t="s">
        <v>283</v>
      </c>
      <c r="AW53" s="40"/>
      <c r="AX53" s="40"/>
      <c r="AY53" s="29"/>
      <c r="AZ53" s="22"/>
      <c r="BA53" s="23">
        <v>0.75</v>
      </c>
      <c r="BB53" s="6">
        <f t="shared" si="46"/>
        <v>0</v>
      </c>
      <c r="BD53" s="41" t="s">
        <v>444</v>
      </c>
      <c r="BE53" s="41" t="s">
        <v>283</v>
      </c>
      <c r="BF53" s="40"/>
      <c r="BG53" s="40"/>
      <c r="BH53" s="29"/>
      <c r="BI53" s="22"/>
      <c r="BJ53" s="23">
        <v>0.75</v>
      </c>
      <c r="BK53" s="6">
        <f t="shared" si="47"/>
        <v>0</v>
      </c>
    </row>
    <row r="54" spans="2:63" x14ac:dyDescent="0.25">
      <c r="B54" s="41" t="s">
        <v>444</v>
      </c>
      <c r="C54" s="41" t="s">
        <v>283</v>
      </c>
      <c r="D54" s="40"/>
      <c r="E54" s="40"/>
      <c r="F54" s="29"/>
      <c r="G54" s="22"/>
      <c r="H54" s="23">
        <v>0.75</v>
      </c>
      <c r="I54" s="75">
        <f t="shared" si="41"/>
        <v>0</v>
      </c>
      <c r="K54" s="41" t="s">
        <v>444</v>
      </c>
      <c r="L54" s="41" t="s">
        <v>283</v>
      </c>
      <c r="M54" s="40"/>
      <c r="N54" s="40"/>
      <c r="O54" s="29"/>
      <c r="P54" s="22"/>
      <c r="Q54" s="23">
        <v>0.75</v>
      </c>
      <c r="R54" s="6">
        <f t="shared" si="42"/>
        <v>0</v>
      </c>
      <c r="T54" s="41" t="s">
        <v>444</v>
      </c>
      <c r="U54" s="41" t="s">
        <v>283</v>
      </c>
      <c r="V54" s="40"/>
      <c r="W54" s="40"/>
      <c r="X54" s="29"/>
      <c r="Y54" s="22"/>
      <c r="Z54" s="23">
        <v>0.75</v>
      </c>
      <c r="AA54" s="6">
        <f t="shared" si="43"/>
        <v>0</v>
      </c>
      <c r="AC54" s="41" t="s">
        <v>444</v>
      </c>
      <c r="AD54" s="41" t="s">
        <v>283</v>
      </c>
      <c r="AE54" s="40"/>
      <c r="AF54" s="40"/>
      <c r="AG54" s="29"/>
      <c r="AH54" s="22"/>
      <c r="AI54" s="23">
        <v>0.75</v>
      </c>
      <c r="AJ54" s="6">
        <f t="shared" si="44"/>
        <v>0</v>
      </c>
      <c r="AL54" s="41" t="s">
        <v>444</v>
      </c>
      <c r="AM54" s="41" t="s">
        <v>283</v>
      </c>
      <c r="AN54" s="40"/>
      <c r="AO54" s="40"/>
      <c r="AP54" s="29"/>
      <c r="AQ54" s="22"/>
      <c r="AR54" s="23">
        <v>0.75</v>
      </c>
      <c r="AS54" s="6">
        <f t="shared" si="45"/>
        <v>0</v>
      </c>
      <c r="AU54" s="41" t="s">
        <v>444</v>
      </c>
      <c r="AV54" s="41" t="s">
        <v>283</v>
      </c>
      <c r="AW54" s="40"/>
      <c r="AX54" s="40"/>
      <c r="AY54" s="29"/>
      <c r="AZ54" s="22"/>
      <c r="BA54" s="23">
        <v>0.75</v>
      </c>
      <c r="BB54" s="6">
        <f t="shared" si="46"/>
        <v>0</v>
      </c>
      <c r="BD54" s="41" t="s">
        <v>444</v>
      </c>
      <c r="BE54" s="41" t="s">
        <v>283</v>
      </c>
      <c r="BF54" s="40"/>
      <c r="BG54" s="40"/>
      <c r="BH54" s="29"/>
      <c r="BI54" s="22"/>
      <c r="BJ54" s="23">
        <v>0.75</v>
      </c>
      <c r="BK54" s="6">
        <f t="shared" si="47"/>
        <v>0</v>
      </c>
    </row>
    <row r="55" spans="2:63" x14ac:dyDescent="0.25">
      <c r="B55" s="41" t="s">
        <v>444</v>
      </c>
      <c r="C55" s="41" t="s">
        <v>283</v>
      </c>
      <c r="D55" s="40"/>
      <c r="E55" s="40"/>
      <c r="F55" s="29"/>
      <c r="G55" s="22"/>
      <c r="H55" s="23">
        <v>0.75</v>
      </c>
      <c r="I55" s="75">
        <f t="shared" si="41"/>
        <v>0</v>
      </c>
      <c r="K55" s="41" t="s">
        <v>444</v>
      </c>
      <c r="L55" s="41" t="s">
        <v>283</v>
      </c>
      <c r="M55" s="40"/>
      <c r="N55" s="40"/>
      <c r="O55" s="29"/>
      <c r="P55" s="22"/>
      <c r="Q55" s="23">
        <v>0.75</v>
      </c>
      <c r="R55" s="6">
        <f t="shared" si="42"/>
        <v>0</v>
      </c>
      <c r="T55" s="41" t="s">
        <v>444</v>
      </c>
      <c r="U55" s="41" t="s">
        <v>283</v>
      </c>
      <c r="V55" s="40"/>
      <c r="W55" s="40"/>
      <c r="X55" s="29"/>
      <c r="Y55" s="22"/>
      <c r="Z55" s="23">
        <v>0.75</v>
      </c>
      <c r="AA55" s="6">
        <f t="shared" si="43"/>
        <v>0</v>
      </c>
      <c r="AC55" s="41" t="s">
        <v>444</v>
      </c>
      <c r="AD55" s="41" t="s">
        <v>283</v>
      </c>
      <c r="AE55" s="40"/>
      <c r="AF55" s="40"/>
      <c r="AG55" s="29"/>
      <c r="AH55" s="22"/>
      <c r="AI55" s="23">
        <v>0.75</v>
      </c>
      <c r="AJ55" s="6">
        <f t="shared" si="44"/>
        <v>0</v>
      </c>
      <c r="AL55" s="41" t="s">
        <v>444</v>
      </c>
      <c r="AM55" s="41" t="s">
        <v>283</v>
      </c>
      <c r="AN55" s="40"/>
      <c r="AO55" s="40"/>
      <c r="AP55" s="29"/>
      <c r="AQ55" s="22"/>
      <c r="AR55" s="23">
        <v>0.75</v>
      </c>
      <c r="AS55" s="6">
        <f t="shared" si="45"/>
        <v>0</v>
      </c>
      <c r="AU55" s="41" t="s">
        <v>444</v>
      </c>
      <c r="AV55" s="41" t="s">
        <v>283</v>
      </c>
      <c r="AW55" s="40"/>
      <c r="AX55" s="40"/>
      <c r="AY55" s="29"/>
      <c r="AZ55" s="22"/>
      <c r="BA55" s="23">
        <v>0.75</v>
      </c>
      <c r="BB55" s="6">
        <f t="shared" si="46"/>
        <v>0</v>
      </c>
      <c r="BD55" s="41" t="s">
        <v>444</v>
      </c>
      <c r="BE55" s="41" t="s">
        <v>283</v>
      </c>
      <c r="BF55" s="40"/>
      <c r="BG55" s="40"/>
      <c r="BH55" s="29"/>
      <c r="BI55" s="22"/>
      <c r="BJ55" s="23">
        <v>0.75</v>
      </c>
      <c r="BK55" s="6">
        <f t="shared" si="47"/>
        <v>0</v>
      </c>
    </row>
    <row r="56" spans="2:63" x14ac:dyDescent="0.25">
      <c r="B56" s="41" t="s">
        <v>444</v>
      </c>
      <c r="C56" s="41" t="s">
        <v>283</v>
      </c>
      <c r="D56" s="40"/>
      <c r="E56" s="40"/>
      <c r="F56" s="29"/>
      <c r="G56" s="22"/>
      <c r="H56" s="23">
        <v>0.75</v>
      </c>
      <c r="I56" s="75">
        <f t="shared" si="41"/>
        <v>0</v>
      </c>
      <c r="K56" s="41" t="s">
        <v>444</v>
      </c>
      <c r="L56" s="41" t="s">
        <v>283</v>
      </c>
      <c r="M56" s="40"/>
      <c r="N56" s="40"/>
      <c r="O56" s="29"/>
      <c r="P56" s="22"/>
      <c r="Q56" s="23">
        <v>0.75</v>
      </c>
      <c r="R56" s="6">
        <f t="shared" si="42"/>
        <v>0</v>
      </c>
      <c r="T56" s="41" t="s">
        <v>444</v>
      </c>
      <c r="U56" s="41" t="s">
        <v>283</v>
      </c>
      <c r="V56" s="40"/>
      <c r="W56" s="40"/>
      <c r="X56" s="29"/>
      <c r="Y56" s="22"/>
      <c r="Z56" s="23">
        <v>0.75</v>
      </c>
      <c r="AA56" s="6">
        <f t="shared" si="43"/>
        <v>0</v>
      </c>
      <c r="AC56" s="41" t="s">
        <v>444</v>
      </c>
      <c r="AD56" s="41" t="s">
        <v>283</v>
      </c>
      <c r="AE56" s="40"/>
      <c r="AF56" s="40"/>
      <c r="AG56" s="29"/>
      <c r="AH56" s="22"/>
      <c r="AI56" s="23">
        <v>0.75</v>
      </c>
      <c r="AJ56" s="6">
        <f t="shared" si="44"/>
        <v>0</v>
      </c>
      <c r="AL56" s="41" t="s">
        <v>444</v>
      </c>
      <c r="AM56" s="41" t="s">
        <v>283</v>
      </c>
      <c r="AN56" s="40"/>
      <c r="AO56" s="40"/>
      <c r="AP56" s="29"/>
      <c r="AQ56" s="22"/>
      <c r="AR56" s="23">
        <v>0.75</v>
      </c>
      <c r="AS56" s="6">
        <f t="shared" si="45"/>
        <v>0</v>
      </c>
      <c r="AU56" s="41" t="s">
        <v>444</v>
      </c>
      <c r="AV56" s="41" t="s">
        <v>283</v>
      </c>
      <c r="AW56" s="40"/>
      <c r="AX56" s="40"/>
      <c r="AY56" s="29"/>
      <c r="AZ56" s="22"/>
      <c r="BA56" s="23">
        <v>0.75</v>
      </c>
      <c r="BB56" s="6">
        <f t="shared" si="46"/>
        <v>0</v>
      </c>
      <c r="BD56" s="41" t="s">
        <v>444</v>
      </c>
      <c r="BE56" s="41" t="s">
        <v>283</v>
      </c>
      <c r="BF56" s="40"/>
      <c r="BG56" s="40"/>
      <c r="BH56" s="29"/>
      <c r="BI56" s="22"/>
      <c r="BJ56" s="23">
        <v>0.75</v>
      </c>
      <c r="BK56" s="6">
        <f t="shared" si="47"/>
        <v>0</v>
      </c>
    </row>
    <row r="57" spans="2:63" x14ac:dyDescent="0.25">
      <c r="B57" s="41" t="s">
        <v>444</v>
      </c>
      <c r="C57" s="41" t="s">
        <v>283</v>
      </c>
      <c r="D57" s="40"/>
      <c r="E57" s="40"/>
      <c r="F57" s="29"/>
      <c r="G57" s="22"/>
      <c r="H57" s="23">
        <v>0.75</v>
      </c>
      <c r="I57" s="75">
        <f t="shared" si="41"/>
        <v>0</v>
      </c>
      <c r="K57" s="41" t="s">
        <v>444</v>
      </c>
      <c r="L57" s="41" t="s">
        <v>283</v>
      </c>
      <c r="M57" s="40"/>
      <c r="N57" s="40"/>
      <c r="O57" s="29"/>
      <c r="P57" s="22"/>
      <c r="Q57" s="23">
        <v>0.75</v>
      </c>
      <c r="R57" s="6">
        <f t="shared" si="42"/>
        <v>0</v>
      </c>
      <c r="T57" s="41" t="s">
        <v>444</v>
      </c>
      <c r="U57" s="41" t="s">
        <v>283</v>
      </c>
      <c r="V57" s="40"/>
      <c r="W57" s="40"/>
      <c r="X57" s="29"/>
      <c r="Y57" s="22"/>
      <c r="Z57" s="23">
        <v>0.75</v>
      </c>
      <c r="AA57" s="6">
        <f t="shared" si="43"/>
        <v>0</v>
      </c>
      <c r="AC57" s="41" t="s">
        <v>444</v>
      </c>
      <c r="AD57" s="41" t="s">
        <v>283</v>
      </c>
      <c r="AE57" s="40"/>
      <c r="AF57" s="40"/>
      <c r="AG57" s="29"/>
      <c r="AH57" s="22"/>
      <c r="AI57" s="23">
        <v>0.75</v>
      </c>
      <c r="AJ57" s="6">
        <f t="shared" si="44"/>
        <v>0</v>
      </c>
      <c r="AL57" s="41" t="s">
        <v>444</v>
      </c>
      <c r="AM57" s="41" t="s">
        <v>283</v>
      </c>
      <c r="AN57" s="40"/>
      <c r="AO57" s="40"/>
      <c r="AP57" s="29"/>
      <c r="AQ57" s="22"/>
      <c r="AR57" s="23">
        <v>0.75</v>
      </c>
      <c r="AS57" s="6">
        <f t="shared" si="45"/>
        <v>0</v>
      </c>
      <c r="AU57" s="41" t="s">
        <v>444</v>
      </c>
      <c r="AV57" s="41" t="s">
        <v>283</v>
      </c>
      <c r="AW57" s="40"/>
      <c r="AX57" s="40"/>
      <c r="AY57" s="29"/>
      <c r="AZ57" s="22"/>
      <c r="BA57" s="23">
        <v>0.75</v>
      </c>
      <c r="BB57" s="6">
        <f t="shared" si="46"/>
        <v>0</v>
      </c>
      <c r="BD57" s="41" t="s">
        <v>444</v>
      </c>
      <c r="BE57" s="41" t="s">
        <v>283</v>
      </c>
      <c r="BF57" s="40"/>
      <c r="BG57" s="40"/>
      <c r="BH57" s="29"/>
      <c r="BI57" s="22"/>
      <c r="BJ57" s="23">
        <v>0.75</v>
      </c>
      <c r="BK57" s="6">
        <f t="shared" si="47"/>
        <v>0</v>
      </c>
    </row>
    <row r="58" spans="2:63" x14ac:dyDescent="0.25">
      <c r="B58" s="41" t="s">
        <v>444</v>
      </c>
      <c r="C58" s="41" t="s">
        <v>283</v>
      </c>
      <c r="D58" s="40"/>
      <c r="E58" s="40"/>
      <c r="F58" s="29"/>
      <c r="G58" s="22"/>
      <c r="H58" s="23">
        <v>0.75</v>
      </c>
      <c r="I58" s="75">
        <f t="shared" si="41"/>
        <v>0</v>
      </c>
      <c r="K58" s="41" t="s">
        <v>444</v>
      </c>
      <c r="L58" s="41" t="s">
        <v>283</v>
      </c>
      <c r="M58" s="40"/>
      <c r="N58" s="40"/>
      <c r="O58" s="29"/>
      <c r="P58" s="22"/>
      <c r="Q58" s="23">
        <v>0.75</v>
      </c>
      <c r="R58" s="6">
        <f t="shared" si="42"/>
        <v>0</v>
      </c>
      <c r="T58" s="41" t="s">
        <v>444</v>
      </c>
      <c r="U58" s="41" t="s">
        <v>283</v>
      </c>
      <c r="V58" s="40"/>
      <c r="W58" s="40"/>
      <c r="X58" s="29"/>
      <c r="Y58" s="22"/>
      <c r="Z58" s="23">
        <v>0.75</v>
      </c>
      <c r="AA58" s="6">
        <f t="shared" si="43"/>
        <v>0</v>
      </c>
      <c r="AC58" s="41" t="s">
        <v>444</v>
      </c>
      <c r="AD58" s="41" t="s">
        <v>283</v>
      </c>
      <c r="AE58" s="40"/>
      <c r="AF58" s="40"/>
      <c r="AG58" s="29"/>
      <c r="AH58" s="22"/>
      <c r="AI58" s="23">
        <v>0.75</v>
      </c>
      <c r="AJ58" s="6">
        <f t="shared" si="44"/>
        <v>0</v>
      </c>
      <c r="AL58" s="41" t="s">
        <v>444</v>
      </c>
      <c r="AM58" s="41" t="s">
        <v>283</v>
      </c>
      <c r="AN58" s="40"/>
      <c r="AO58" s="40"/>
      <c r="AP58" s="29"/>
      <c r="AQ58" s="22"/>
      <c r="AR58" s="23">
        <v>0.75</v>
      </c>
      <c r="AS58" s="6">
        <f t="shared" si="45"/>
        <v>0</v>
      </c>
      <c r="AU58" s="41" t="s">
        <v>444</v>
      </c>
      <c r="AV58" s="41" t="s">
        <v>283</v>
      </c>
      <c r="AW58" s="40"/>
      <c r="AX58" s="40"/>
      <c r="AY58" s="29"/>
      <c r="AZ58" s="22"/>
      <c r="BA58" s="23">
        <v>0.75</v>
      </c>
      <c r="BB58" s="6">
        <f t="shared" si="46"/>
        <v>0</v>
      </c>
      <c r="BD58" s="41" t="s">
        <v>444</v>
      </c>
      <c r="BE58" s="41" t="s">
        <v>283</v>
      </c>
      <c r="BF58" s="40"/>
      <c r="BG58" s="40"/>
      <c r="BH58" s="29"/>
      <c r="BI58" s="22"/>
      <c r="BJ58" s="23">
        <v>0.75</v>
      </c>
      <c r="BK58" s="6">
        <f t="shared" si="47"/>
        <v>0</v>
      </c>
    </row>
    <row r="59" spans="2:63" s="24" customFormat="1" x14ac:dyDescent="0.25">
      <c r="B59" s="8" t="s">
        <v>315</v>
      </c>
      <c r="C59" s="25"/>
      <c r="D59" s="28">
        <f>SUM(D44:D58)</f>
        <v>750000</v>
      </c>
      <c r="E59" s="28">
        <f>SUM(E44:E58)</f>
        <v>500000</v>
      </c>
      <c r="F59" s="30"/>
      <c r="G59" s="25"/>
      <c r="H59" s="26"/>
      <c r="I59" s="28">
        <f>SUM(I44:I58)</f>
        <v>45000</v>
      </c>
      <c r="K59" s="8" t="s">
        <v>315</v>
      </c>
      <c r="L59" s="25"/>
      <c r="M59" s="28">
        <f>SUM(M44:M58)</f>
        <v>750000</v>
      </c>
      <c r="N59" s="28">
        <f>SUM(N44:N58)</f>
        <v>500000</v>
      </c>
      <c r="O59" s="30"/>
      <c r="P59" s="25"/>
      <c r="Q59" s="26"/>
      <c r="R59" s="28">
        <f>SUM(R44:R58)</f>
        <v>45000</v>
      </c>
      <c r="T59" s="8" t="s">
        <v>315</v>
      </c>
      <c r="U59" s="25"/>
      <c r="V59" s="28">
        <f>SUM(V44:V58)</f>
        <v>750000</v>
      </c>
      <c r="W59" s="28">
        <f>SUM(W44:W58)</f>
        <v>500000</v>
      </c>
      <c r="X59" s="30"/>
      <c r="Y59" s="25"/>
      <c r="Z59" s="26"/>
      <c r="AA59" s="28">
        <f>SUM(AA44:AA58)</f>
        <v>45000</v>
      </c>
      <c r="AC59" s="8" t="s">
        <v>315</v>
      </c>
      <c r="AD59" s="25"/>
      <c r="AE59" s="28">
        <f>SUM(AE44:AE58)</f>
        <v>750000</v>
      </c>
      <c r="AF59" s="28">
        <f>SUM(AF44:AF58)</f>
        <v>500000</v>
      </c>
      <c r="AG59" s="30"/>
      <c r="AH59" s="25"/>
      <c r="AI59" s="26"/>
      <c r="AJ59" s="28">
        <f>SUM(AJ44:AJ58)</f>
        <v>45000</v>
      </c>
      <c r="AL59" s="8" t="s">
        <v>315</v>
      </c>
      <c r="AM59" s="25"/>
      <c r="AN59" s="28">
        <f>SUM(AN44:AN58)</f>
        <v>750000</v>
      </c>
      <c r="AO59" s="28">
        <f>SUM(AO44:AO58)</f>
        <v>500000</v>
      </c>
      <c r="AP59" s="30"/>
      <c r="AQ59" s="25"/>
      <c r="AR59" s="26"/>
      <c r="AS59" s="28">
        <f>SUM(AS44:AS58)</f>
        <v>45000</v>
      </c>
      <c r="AU59" s="8" t="s">
        <v>315</v>
      </c>
      <c r="AV59" s="25"/>
      <c r="AW59" s="28">
        <f>SUM(AW44:AW58)</f>
        <v>750000</v>
      </c>
      <c r="AX59" s="28">
        <f>SUM(AX44:AX58)</f>
        <v>500000</v>
      </c>
      <c r="AY59" s="30"/>
      <c r="AZ59" s="25"/>
      <c r="BA59" s="26"/>
      <c r="BB59" s="28">
        <f>SUM(BB44:BB58)</f>
        <v>45000</v>
      </c>
      <c r="BD59" s="8" t="s">
        <v>315</v>
      </c>
      <c r="BE59" s="25"/>
      <c r="BF59" s="28">
        <f>SUM(BF44:BF58)</f>
        <v>750000</v>
      </c>
      <c r="BG59" s="28">
        <f>SUM(BG44:BG58)</f>
        <v>500000</v>
      </c>
      <c r="BH59" s="30"/>
      <c r="BI59" s="25"/>
      <c r="BJ59" s="26"/>
      <c r="BK59" s="28">
        <f>SUM(BK44:BK58)</f>
        <v>45000</v>
      </c>
    </row>
    <row r="61" spans="2:63" s="20" customFormat="1" ht="38.25" x14ac:dyDescent="0.25">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x14ac:dyDescent="0.25">
      <c r="B62" s="41" t="s">
        <v>444</v>
      </c>
      <c r="C62" s="41" t="s">
        <v>283</v>
      </c>
      <c r="D62" s="40">
        <v>750000</v>
      </c>
      <c r="E62" s="40">
        <v>300000</v>
      </c>
      <c r="F62" s="40">
        <v>7500</v>
      </c>
      <c r="G62" s="31"/>
      <c r="H62" s="32"/>
      <c r="I62" s="29"/>
      <c r="K62" s="41" t="s">
        <v>444</v>
      </c>
      <c r="L62" s="41" t="s">
        <v>283</v>
      </c>
      <c r="M62" s="40">
        <v>750000</v>
      </c>
      <c r="N62" s="40">
        <v>300000</v>
      </c>
      <c r="O62" s="40">
        <v>7500</v>
      </c>
      <c r="P62" s="31"/>
      <c r="Q62" s="32"/>
      <c r="R62" s="29"/>
      <c r="T62" s="41" t="s">
        <v>444</v>
      </c>
      <c r="U62" s="41" t="s">
        <v>283</v>
      </c>
      <c r="V62" s="40">
        <v>750000</v>
      </c>
      <c r="W62" s="40">
        <v>300000</v>
      </c>
      <c r="X62" s="40">
        <v>7500</v>
      </c>
      <c r="Y62" s="31"/>
      <c r="Z62" s="32"/>
      <c r="AA62" s="29"/>
      <c r="AC62" s="41" t="s">
        <v>444</v>
      </c>
      <c r="AD62" s="41" t="s">
        <v>283</v>
      </c>
      <c r="AE62" s="40">
        <v>750000</v>
      </c>
      <c r="AF62" s="40">
        <v>300000</v>
      </c>
      <c r="AG62" s="40">
        <v>7500</v>
      </c>
      <c r="AH62" s="31"/>
      <c r="AI62" s="32"/>
      <c r="AJ62" s="29"/>
      <c r="AL62" s="41" t="s">
        <v>444</v>
      </c>
      <c r="AM62" s="41" t="s">
        <v>283</v>
      </c>
      <c r="AN62" s="40">
        <v>750000</v>
      </c>
      <c r="AO62" s="40">
        <v>300000</v>
      </c>
      <c r="AP62" s="40">
        <v>7500</v>
      </c>
      <c r="AQ62" s="31"/>
      <c r="AR62" s="32"/>
      <c r="AS62" s="29"/>
      <c r="AU62" s="41" t="s">
        <v>444</v>
      </c>
      <c r="AV62" s="41" t="s">
        <v>283</v>
      </c>
      <c r="AW62" s="40">
        <v>750000</v>
      </c>
      <c r="AX62" s="40">
        <v>300000</v>
      </c>
      <c r="AY62" s="40">
        <v>7500</v>
      </c>
      <c r="AZ62" s="31"/>
      <c r="BA62" s="32"/>
      <c r="BB62" s="29"/>
      <c r="BD62" s="41" t="s">
        <v>444</v>
      </c>
      <c r="BE62" s="41" t="s">
        <v>283</v>
      </c>
      <c r="BF62" s="40">
        <v>750000</v>
      </c>
      <c r="BG62" s="40">
        <v>300000</v>
      </c>
      <c r="BH62" s="40">
        <v>7500</v>
      </c>
      <c r="BI62" s="31"/>
      <c r="BJ62" s="32"/>
      <c r="BK62" s="29"/>
    </row>
    <row r="63" spans="2:63" x14ac:dyDescent="0.25">
      <c r="B63" s="41" t="s">
        <v>444</v>
      </c>
      <c r="C63" s="41" t="s">
        <v>283</v>
      </c>
      <c r="D63" s="40"/>
      <c r="E63" s="40"/>
      <c r="F63" s="40"/>
      <c r="G63" s="31"/>
      <c r="H63" s="32"/>
      <c r="I63" s="29"/>
      <c r="K63" s="41" t="s">
        <v>444</v>
      </c>
      <c r="L63" s="41" t="s">
        <v>283</v>
      </c>
      <c r="M63" s="40"/>
      <c r="N63" s="40"/>
      <c r="O63" s="40"/>
      <c r="P63" s="31"/>
      <c r="Q63" s="32"/>
      <c r="R63" s="29"/>
      <c r="T63" s="41" t="s">
        <v>444</v>
      </c>
      <c r="U63" s="41" t="s">
        <v>283</v>
      </c>
      <c r="V63" s="40"/>
      <c r="W63" s="40"/>
      <c r="X63" s="40"/>
      <c r="Y63" s="31"/>
      <c r="Z63" s="32"/>
      <c r="AA63" s="29"/>
      <c r="AC63" s="41" t="s">
        <v>444</v>
      </c>
      <c r="AD63" s="41" t="s">
        <v>283</v>
      </c>
      <c r="AE63" s="40"/>
      <c r="AF63" s="40"/>
      <c r="AG63" s="40"/>
      <c r="AH63" s="31"/>
      <c r="AI63" s="32"/>
      <c r="AJ63" s="29"/>
      <c r="AL63" s="41" t="s">
        <v>444</v>
      </c>
      <c r="AM63" s="41" t="s">
        <v>283</v>
      </c>
      <c r="AN63" s="40"/>
      <c r="AO63" s="40"/>
      <c r="AP63" s="40"/>
      <c r="AQ63" s="31"/>
      <c r="AR63" s="32"/>
      <c r="AS63" s="29"/>
      <c r="AU63" s="41" t="s">
        <v>444</v>
      </c>
      <c r="AV63" s="41" t="s">
        <v>283</v>
      </c>
      <c r="AW63" s="40"/>
      <c r="AX63" s="40"/>
      <c r="AY63" s="40"/>
      <c r="AZ63" s="31"/>
      <c r="BA63" s="32"/>
      <c r="BB63" s="29"/>
      <c r="BD63" s="41" t="s">
        <v>444</v>
      </c>
      <c r="BE63" s="41" t="s">
        <v>283</v>
      </c>
      <c r="BF63" s="40"/>
      <c r="BG63" s="40"/>
      <c r="BH63" s="40"/>
      <c r="BI63" s="31"/>
      <c r="BJ63" s="32"/>
      <c r="BK63" s="29"/>
    </row>
    <row r="64" spans="2:63" x14ac:dyDescent="0.25">
      <c r="B64" s="41" t="s">
        <v>444</v>
      </c>
      <c r="C64" s="41" t="s">
        <v>283</v>
      </c>
      <c r="D64" s="40"/>
      <c r="E64" s="40"/>
      <c r="F64" s="40"/>
      <c r="G64" s="31"/>
      <c r="H64" s="32"/>
      <c r="I64" s="29"/>
      <c r="K64" s="41" t="s">
        <v>444</v>
      </c>
      <c r="L64" s="41" t="s">
        <v>283</v>
      </c>
      <c r="M64" s="40"/>
      <c r="N64" s="40"/>
      <c r="O64" s="40"/>
      <c r="P64" s="31"/>
      <c r="Q64" s="32"/>
      <c r="R64" s="29"/>
      <c r="T64" s="41" t="s">
        <v>444</v>
      </c>
      <c r="U64" s="41" t="s">
        <v>283</v>
      </c>
      <c r="V64" s="40"/>
      <c r="W64" s="40"/>
      <c r="X64" s="40"/>
      <c r="Y64" s="31"/>
      <c r="Z64" s="32"/>
      <c r="AA64" s="29"/>
      <c r="AC64" s="41" t="s">
        <v>444</v>
      </c>
      <c r="AD64" s="41" t="s">
        <v>283</v>
      </c>
      <c r="AE64" s="40"/>
      <c r="AF64" s="40"/>
      <c r="AG64" s="40"/>
      <c r="AH64" s="31"/>
      <c r="AI64" s="32"/>
      <c r="AJ64" s="29"/>
      <c r="AL64" s="41" t="s">
        <v>444</v>
      </c>
      <c r="AM64" s="41" t="s">
        <v>283</v>
      </c>
      <c r="AN64" s="40"/>
      <c r="AO64" s="40"/>
      <c r="AP64" s="40"/>
      <c r="AQ64" s="31"/>
      <c r="AR64" s="32"/>
      <c r="AS64" s="29"/>
      <c r="AU64" s="41" t="s">
        <v>444</v>
      </c>
      <c r="AV64" s="41" t="s">
        <v>283</v>
      </c>
      <c r="AW64" s="40"/>
      <c r="AX64" s="40"/>
      <c r="AY64" s="40"/>
      <c r="AZ64" s="31"/>
      <c r="BA64" s="32"/>
      <c r="BB64" s="29"/>
      <c r="BD64" s="41" t="s">
        <v>444</v>
      </c>
      <c r="BE64" s="41" t="s">
        <v>283</v>
      </c>
      <c r="BF64" s="40"/>
      <c r="BG64" s="40"/>
      <c r="BH64" s="40"/>
      <c r="BI64" s="31"/>
      <c r="BJ64" s="32"/>
      <c r="BK64" s="29"/>
    </row>
    <row r="65" spans="2:63" x14ac:dyDescent="0.25">
      <c r="B65" s="41" t="s">
        <v>444</v>
      </c>
      <c r="C65" s="41" t="s">
        <v>283</v>
      </c>
      <c r="D65" s="40"/>
      <c r="E65" s="40"/>
      <c r="F65" s="40"/>
      <c r="G65" s="31"/>
      <c r="H65" s="32"/>
      <c r="I65" s="29"/>
      <c r="K65" s="41" t="s">
        <v>444</v>
      </c>
      <c r="L65" s="41" t="s">
        <v>283</v>
      </c>
      <c r="M65" s="40"/>
      <c r="N65" s="40"/>
      <c r="O65" s="40"/>
      <c r="P65" s="31"/>
      <c r="Q65" s="32"/>
      <c r="R65" s="29"/>
      <c r="T65" s="41" t="s">
        <v>444</v>
      </c>
      <c r="U65" s="41" t="s">
        <v>283</v>
      </c>
      <c r="V65" s="40"/>
      <c r="W65" s="40"/>
      <c r="X65" s="40"/>
      <c r="Y65" s="31"/>
      <c r="Z65" s="32"/>
      <c r="AA65" s="29"/>
      <c r="AC65" s="41" t="s">
        <v>444</v>
      </c>
      <c r="AD65" s="41" t="s">
        <v>283</v>
      </c>
      <c r="AE65" s="40"/>
      <c r="AF65" s="40"/>
      <c r="AG65" s="40"/>
      <c r="AH65" s="31"/>
      <c r="AI65" s="32"/>
      <c r="AJ65" s="29"/>
      <c r="AL65" s="41" t="s">
        <v>444</v>
      </c>
      <c r="AM65" s="41" t="s">
        <v>283</v>
      </c>
      <c r="AN65" s="40"/>
      <c r="AO65" s="40"/>
      <c r="AP65" s="40"/>
      <c r="AQ65" s="31"/>
      <c r="AR65" s="32"/>
      <c r="AS65" s="29"/>
      <c r="AU65" s="41" t="s">
        <v>444</v>
      </c>
      <c r="AV65" s="41" t="s">
        <v>283</v>
      </c>
      <c r="AW65" s="40"/>
      <c r="AX65" s="40"/>
      <c r="AY65" s="40"/>
      <c r="AZ65" s="31"/>
      <c r="BA65" s="32"/>
      <c r="BB65" s="29"/>
      <c r="BD65" s="41" t="s">
        <v>444</v>
      </c>
      <c r="BE65" s="41" t="s">
        <v>283</v>
      </c>
      <c r="BF65" s="40"/>
      <c r="BG65" s="40"/>
      <c r="BH65" s="40"/>
      <c r="BI65" s="31"/>
      <c r="BJ65" s="32"/>
      <c r="BK65" s="29"/>
    </row>
    <row r="66" spans="2:63" x14ac:dyDescent="0.25">
      <c r="B66" s="41" t="s">
        <v>444</v>
      </c>
      <c r="C66" s="41" t="s">
        <v>283</v>
      </c>
      <c r="D66" s="40"/>
      <c r="E66" s="40"/>
      <c r="F66" s="40"/>
      <c r="G66" s="31"/>
      <c r="H66" s="32"/>
      <c r="I66" s="29"/>
      <c r="K66" s="41" t="s">
        <v>444</v>
      </c>
      <c r="L66" s="41" t="s">
        <v>283</v>
      </c>
      <c r="M66" s="40"/>
      <c r="N66" s="40"/>
      <c r="O66" s="40"/>
      <c r="P66" s="31"/>
      <c r="Q66" s="32"/>
      <c r="R66" s="29"/>
      <c r="T66" s="41" t="s">
        <v>444</v>
      </c>
      <c r="U66" s="41" t="s">
        <v>283</v>
      </c>
      <c r="V66" s="40"/>
      <c r="W66" s="40"/>
      <c r="X66" s="40"/>
      <c r="Y66" s="31"/>
      <c r="Z66" s="32"/>
      <c r="AA66" s="29"/>
      <c r="AC66" s="41" t="s">
        <v>444</v>
      </c>
      <c r="AD66" s="41" t="s">
        <v>283</v>
      </c>
      <c r="AE66" s="40"/>
      <c r="AF66" s="40"/>
      <c r="AG66" s="40"/>
      <c r="AH66" s="31"/>
      <c r="AI66" s="32"/>
      <c r="AJ66" s="29"/>
      <c r="AL66" s="41" t="s">
        <v>444</v>
      </c>
      <c r="AM66" s="41" t="s">
        <v>283</v>
      </c>
      <c r="AN66" s="40"/>
      <c r="AO66" s="40"/>
      <c r="AP66" s="40"/>
      <c r="AQ66" s="31"/>
      <c r="AR66" s="32"/>
      <c r="AS66" s="29"/>
      <c r="AU66" s="41" t="s">
        <v>444</v>
      </c>
      <c r="AV66" s="41" t="s">
        <v>283</v>
      </c>
      <c r="AW66" s="40"/>
      <c r="AX66" s="40"/>
      <c r="AY66" s="40"/>
      <c r="AZ66" s="31"/>
      <c r="BA66" s="32"/>
      <c r="BB66" s="29"/>
      <c r="BD66" s="41" t="s">
        <v>444</v>
      </c>
      <c r="BE66" s="41" t="s">
        <v>283</v>
      </c>
      <c r="BF66" s="40"/>
      <c r="BG66" s="40"/>
      <c r="BH66" s="40"/>
      <c r="BI66" s="31"/>
      <c r="BJ66" s="32"/>
      <c r="BK66" s="29"/>
    </row>
    <row r="67" spans="2:63" x14ac:dyDescent="0.25">
      <c r="B67" s="41" t="s">
        <v>444</v>
      </c>
      <c r="C67" s="41" t="s">
        <v>283</v>
      </c>
      <c r="D67" s="40"/>
      <c r="E67" s="40"/>
      <c r="F67" s="40"/>
      <c r="G67" s="31"/>
      <c r="H67" s="32"/>
      <c r="I67" s="29"/>
      <c r="K67" s="41" t="s">
        <v>444</v>
      </c>
      <c r="L67" s="41" t="s">
        <v>283</v>
      </c>
      <c r="M67" s="40"/>
      <c r="N67" s="40"/>
      <c r="O67" s="40"/>
      <c r="P67" s="31"/>
      <c r="Q67" s="32"/>
      <c r="R67" s="29"/>
      <c r="T67" s="41" t="s">
        <v>444</v>
      </c>
      <c r="U67" s="41" t="s">
        <v>283</v>
      </c>
      <c r="V67" s="40"/>
      <c r="W67" s="40"/>
      <c r="X67" s="40"/>
      <c r="Y67" s="31"/>
      <c r="Z67" s="32"/>
      <c r="AA67" s="29"/>
      <c r="AC67" s="41" t="s">
        <v>444</v>
      </c>
      <c r="AD67" s="41" t="s">
        <v>283</v>
      </c>
      <c r="AE67" s="40"/>
      <c r="AF67" s="40"/>
      <c r="AG67" s="40"/>
      <c r="AH67" s="31"/>
      <c r="AI67" s="32"/>
      <c r="AJ67" s="29"/>
      <c r="AL67" s="41" t="s">
        <v>444</v>
      </c>
      <c r="AM67" s="41" t="s">
        <v>283</v>
      </c>
      <c r="AN67" s="40"/>
      <c r="AO67" s="40"/>
      <c r="AP67" s="40"/>
      <c r="AQ67" s="31"/>
      <c r="AR67" s="32"/>
      <c r="AS67" s="29"/>
      <c r="AU67" s="41" t="s">
        <v>444</v>
      </c>
      <c r="AV67" s="41" t="s">
        <v>283</v>
      </c>
      <c r="AW67" s="40"/>
      <c r="AX67" s="40"/>
      <c r="AY67" s="40"/>
      <c r="AZ67" s="31"/>
      <c r="BA67" s="32"/>
      <c r="BB67" s="29"/>
      <c r="BD67" s="41" t="s">
        <v>444</v>
      </c>
      <c r="BE67" s="41" t="s">
        <v>283</v>
      </c>
      <c r="BF67" s="40"/>
      <c r="BG67" s="40"/>
      <c r="BH67" s="40"/>
      <c r="BI67" s="31"/>
      <c r="BJ67" s="32"/>
      <c r="BK67" s="29"/>
    </row>
    <row r="68" spans="2:63" x14ac:dyDescent="0.25">
      <c r="B68" s="41" t="s">
        <v>444</v>
      </c>
      <c r="C68" s="41" t="s">
        <v>283</v>
      </c>
      <c r="D68" s="40"/>
      <c r="E68" s="40"/>
      <c r="F68" s="40"/>
      <c r="G68" s="31"/>
      <c r="H68" s="32"/>
      <c r="I68" s="29"/>
      <c r="K68" s="41" t="s">
        <v>444</v>
      </c>
      <c r="L68" s="41" t="s">
        <v>283</v>
      </c>
      <c r="M68" s="40"/>
      <c r="N68" s="40"/>
      <c r="O68" s="40"/>
      <c r="P68" s="31"/>
      <c r="Q68" s="32"/>
      <c r="R68" s="29"/>
      <c r="T68" s="41" t="s">
        <v>444</v>
      </c>
      <c r="U68" s="41" t="s">
        <v>283</v>
      </c>
      <c r="V68" s="40"/>
      <c r="W68" s="40"/>
      <c r="X68" s="40"/>
      <c r="Y68" s="31"/>
      <c r="Z68" s="32"/>
      <c r="AA68" s="29"/>
      <c r="AC68" s="41" t="s">
        <v>444</v>
      </c>
      <c r="AD68" s="41" t="s">
        <v>283</v>
      </c>
      <c r="AE68" s="40"/>
      <c r="AF68" s="40"/>
      <c r="AG68" s="40"/>
      <c r="AH68" s="31"/>
      <c r="AI68" s="32"/>
      <c r="AJ68" s="29"/>
      <c r="AL68" s="41" t="s">
        <v>444</v>
      </c>
      <c r="AM68" s="41" t="s">
        <v>283</v>
      </c>
      <c r="AN68" s="40"/>
      <c r="AO68" s="40"/>
      <c r="AP68" s="40"/>
      <c r="AQ68" s="31"/>
      <c r="AR68" s="32"/>
      <c r="AS68" s="29"/>
      <c r="AU68" s="41" t="s">
        <v>444</v>
      </c>
      <c r="AV68" s="41" t="s">
        <v>283</v>
      </c>
      <c r="AW68" s="40"/>
      <c r="AX68" s="40"/>
      <c r="AY68" s="40"/>
      <c r="AZ68" s="31"/>
      <c r="BA68" s="32"/>
      <c r="BB68" s="29"/>
      <c r="BD68" s="41" t="s">
        <v>444</v>
      </c>
      <c r="BE68" s="41" t="s">
        <v>283</v>
      </c>
      <c r="BF68" s="40"/>
      <c r="BG68" s="40"/>
      <c r="BH68" s="40"/>
      <c r="BI68" s="31"/>
      <c r="BJ68" s="32"/>
      <c r="BK68" s="29"/>
    </row>
    <row r="69" spans="2:63" x14ac:dyDescent="0.25">
      <c r="B69" s="41" t="s">
        <v>444</v>
      </c>
      <c r="C69" s="41" t="s">
        <v>283</v>
      </c>
      <c r="D69" s="40"/>
      <c r="E69" s="40"/>
      <c r="F69" s="40"/>
      <c r="G69" s="31"/>
      <c r="H69" s="32"/>
      <c r="I69" s="29"/>
      <c r="K69" s="41" t="s">
        <v>444</v>
      </c>
      <c r="L69" s="41" t="s">
        <v>283</v>
      </c>
      <c r="M69" s="40"/>
      <c r="N69" s="40"/>
      <c r="O69" s="40"/>
      <c r="P69" s="31"/>
      <c r="Q69" s="32"/>
      <c r="R69" s="29"/>
      <c r="T69" s="41" t="s">
        <v>444</v>
      </c>
      <c r="U69" s="41" t="s">
        <v>283</v>
      </c>
      <c r="V69" s="40"/>
      <c r="W69" s="40"/>
      <c r="X69" s="40"/>
      <c r="Y69" s="31"/>
      <c r="Z69" s="32"/>
      <c r="AA69" s="29"/>
      <c r="AC69" s="41" t="s">
        <v>444</v>
      </c>
      <c r="AD69" s="41" t="s">
        <v>283</v>
      </c>
      <c r="AE69" s="40"/>
      <c r="AF69" s="40"/>
      <c r="AG69" s="40"/>
      <c r="AH69" s="31"/>
      <c r="AI69" s="32"/>
      <c r="AJ69" s="29"/>
      <c r="AL69" s="41" t="s">
        <v>444</v>
      </c>
      <c r="AM69" s="41" t="s">
        <v>283</v>
      </c>
      <c r="AN69" s="40"/>
      <c r="AO69" s="40"/>
      <c r="AP69" s="40"/>
      <c r="AQ69" s="31"/>
      <c r="AR69" s="32"/>
      <c r="AS69" s="29"/>
      <c r="AU69" s="41" t="s">
        <v>444</v>
      </c>
      <c r="AV69" s="41" t="s">
        <v>283</v>
      </c>
      <c r="AW69" s="40"/>
      <c r="AX69" s="40"/>
      <c r="AY69" s="40"/>
      <c r="AZ69" s="31"/>
      <c r="BA69" s="32"/>
      <c r="BB69" s="29"/>
      <c r="BD69" s="41" t="s">
        <v>444</v>
      </c>
      <c r="BE69" s="41" t="s">
        <v>283</v>
      </c>
      <c r="BF69" s="40"/>
      <c r="BG69" s="40"/>
      <c r="BH69" s="40"/>
      <c r="BI69" s="31"/>
      <c r="BJ69" s="32"/>
      <c r="BK69" s="29"/>
    </row>
    <row r="70" spans="2:63" x14ac:dyDescent="0.25">
      <c r="B70" s="41" t="s">
        <v>444</v>
      </c>
      <c r="C70" s="41" t="s">
        <v>283</v>
      </c>
      <c r="D70" s="40"/>
      <c r="E70" s="40"/>
      <c r="F70" s="40"/>
      <c r="G70" s="31"/>
      <c r="H70" s="32"/>
      <c r="I70" s="29"/>
      <c r="K70" s="41" t="s">
        <v>444</v>
      </c>
      <c r="L70" s="41" t="s">
        <v>283</v>
      </c>
      <c r="M70" s="40"/>
      <c r="N70" s="40"/>
      <c r="O70" s="40"/>
      <c r="P70" s="31"/>
      <c r="Q70" s="32"/>
      <c r="R70" s="29"/>
      <c r="T70" s="41" t="s">
        <v>444</v>
      </c>
      <c r="U70" s="41" t="s">
        <v>283</v>
      </c>
      <c r="V70" s="40"/>
      <c r="W70" s="40"/>
      <c r="X70" s="40"/>
      <c r="Y70" s="31"/>
      <c r="Z70" s="32"/>
      <c r="AA70" s="29"/>
      <c r="AC70" s="41" t="s">
        <v>444</v>
      </c>
      <c r="AD70" s="41" t="s">
        <v>283</v>
      </c>
      <c r="AE70" s="40"/>
      <c r="AF70" s="40"/>
      <c r="AG70" s="40"/>
      <c r="AH70" s="31"/>
      <c r="AI70" s="32"/>
      <c r="AJ70" s="29"/>
      <c r="AL70" s="41" t="s">
        <v>444</v>
      </c>
      <c r="AM70" s="41" t="s">
        <v>283</v>
      </c>
      <c r="AN70" s="40"/>
      <c r="AO70" s="40"/>
      <c r="AP70" s="40"/>
      <c r="AQ70" s="31"/>
      <c r="AR70" s="32"/>
      <c r="AS70" s="29"/>
      <c r="AU70" s="41" t="s">
        <v>444</v>
      </c>
      <c r="AV70" s="41" t="s">
        <v>283</v>
      </c>
      <c r="AW70" s="40"/>
      <c r="AX70" s="40"/>
      <c r="AY70" s="40"/>
      <c r="AZ70" s="31"/>
      <c r="BA70" s="32"/>
      <c r="BB70" s="29"/>
      <c r="BD70" s="41" t="s">
        <v>444</v>
      </c>
      <c r="BE70" s="41" t="s">
        <v>283</v>
      </c>
      <c r="BF70" s="40"/>
      <c r="BG70" s="40"/>
      <c r="BH70" s="40"/>
      <c r="BI70" s="31"/>
      <c r="BJ70" s="32"/>
      <c r="BK70" s="29"/>
    </row>
    <row r="71" spans="2:63" x14ac:dyDescent="0.25">
      <c r="B71" s="41" t="s">
        <v>444</v>
      </c>
      <c r="C71" s="41" t="s">
        <v>283</v>
      </c>
      <c r="D71" s="40"/>
      <c r="E71" s="40"/>
      <c r="F71" s="40"/>
      <c r="G71" s="31"/>
      <c r="H71" s="32"/>
      <c r="I71" s="29"/>
      <c r="K71" s="41" t="s">
        <v>444</v>
      </c>
      <c r="L71" s="41" t="s">
        <v>283</v>
      </c>
      <c r="M71" s="40"/>
      <c r="N71" s="40"/>
      <c r="O71" s="40"/>
      <c r="P71" s="31"/>
      <c r="Q71" s="32"/>
      <c r="R71" s="29"/>
      <c r="T71" s="41" t="s">
        <v>444</v>
      </c>
      <c r="U71" s="41" t="s">
        <v>283</v>
      </c>
      <c r="V71" s="40"/>
      <c r="W71" s="40"/>
      <c r="X71" s="40"/>
      <c r="Y71" s="31"/>
      <c r="Z71" s="32"/>
      <c r="AA71" s="29"/>
      <c r="AC71" s="41" t="s">
        <v>444</v>
      </c>
      <c r="AD71" s="41" t="s">
        <v>283</v>
      </c>
      <c r="AE71" s="40"/>
      <c r="AF71" s="40"/>
      <c r="AG71" s="40"/>
      <c r="AH71" s="31"/>
      <c r="AI71" s="32"/>
      <c r="AJ71" s="29"/>
      <c r="AL71" s="41" t="s">
        <v>444</v>
      </c>
      <c r="AM71" s="41" t="s">
        <v>283</v>
      </c>
      <c r="AN71" s="40"/>
      <c r="AO71" s="40"/>
      <c r="AP71" s="40"/>
      <c r="AQ71" s="31"/>
      <c r="AR71" s="32"/>
      <c r="AS71" s="29"/>
      <c r="AU71" s="41" t="s">
        <v>444</v>
      </c>
      <c r="AV71" s="41" t="s">
        <v>283</v>
      </c>
      <c r="AW71" s="40"/>
      <c r="AX71" s="40"/>
      <c r="AY71" s="40"/>
      <c r="AZ71" s="31"/>
      <c r="BA71" s="32"/>
      <c r="BB71" s="29"/>
      <c r="BD71" s="41" t="s">
        <v>444</v>
      </c>
      <c r="BE71" s="41" t="s">
        <v>283</v>
      </c>
      <c r="BF71" s="40"/>
      <c r="BG71" s="40"/>
      <c r="BH71" s="40"/>
      <c r="BI71" s="31"/>
      <c r="BJ71" s="32"/>
      <c r="BK71" s="29"/>
    </row>
    <row r="72" spans="2:63" x14ac:dyDescent="0.25">
      <c r="B72" s="41" t="s">
        <v>444</v>
      </c>
      <c r="C72" s="41" t="s">
        <v>283</v>
      </c>
      <c r="D72" s="40"/>
      <c r="E72" s="40"/>
      <c r="F72" s="40"/>
      <c r="G72" s="31"/>
      <c r="H72" s="32"/>
      <c r="I72" s="29"/>
      <c r="K72" s="41" t="s">
        <v>444</v>
      </c>
      <c r="L72" s="41" t="s">
        <v>283</v>
      </c>
      <c r="M72" s="40"/>
      <c r="N72" s="40"/>
      <c r="O72" s="40"/>
      <c r="P72" s="31"/>
      <c r="Q72" s="32"/>
      <c r="R72" s="29"/>
      <c r="T72" s="41" t="s">
        <v>444</v>
      </c>
      <c r="U72" s="41" t="s">
        <v>283</v>
      </c>
      <c r="V72" s="40"/>
      <c r="W72" s="40"/>
      <c r="X72" s="40"/>
      <c r="Y72" s="31"/>
      <c r="Z72" s="32"/>
      <c r="AA72" s="29"/>
      <c r="AC72" s="41" t="s">
        <v>444</v>
      </c>
      <c r="AD72" s="41" t="s">
        <v>283</v>
      </c>
      <c r="AE72" s="40"/>
      <c r="AF72" s="40"/>
      <c r="AG72" s="40"/>
      <c r="AH72" s="31"/>
      <c r="AI72" s="32"/>
      <c r="AJ72" s="29"/>
      <c r="AL72" s="41" t="s">
        <v>444</v>
      </c>
      <c r="AM72" s="41" t="s">
        <v>283</v>
      </c>
      <c r="AN72" s="40"/>
      <c r="AO72" s="40"/>
      <c r="AP72" s="40"/>
      <c r="AQ72" s="31"/>
      <c r="AR72" s="32"/>
      <c r="AS72" s="29"/>
      <c r="AU72" s="41" t="s">
        <v>444</v>
      </c>
      <c r="AV72" s="41" t="s">
        <v>283</v>
      </c>
      <c r="AW72" s="40"/>
      <c r="AX72" s="40"/>
      <c r="AY72" s="40"/>
      <c r="AZ72" s="31"/>
      <c r="BA72" s="32"/>
      <c r="BB72" s="29"/>
      <c r="BD72" s="41" t="s">
        <v>444</v>
      </c>
      <c r="BE72" s="41" t="s">
        <v>283</v>
      </c>
      <c r="BF72" s="40"/>
      <c r="BG72" s="40"/>
      <c r="BH72" s="40"/>
      <c r="BI72" s="31"/>
      <c r="BJ72" s="32"/>
      <c r="BK72" s="29"/>
    </row>
    <row r="73" spans="2:63" x14ac:dyDescent="0.25">
      <c r="B73" s="41" t="s">
        <v>444</v>
      </c>
      <c r="C73" s="41" t="s">
        <v>283</v>
      </c>
      <c r="D73" s="40"/>
      <c r="E73" s="40"/>
      <c r="F73" s="40"/>
      <c r="G73" s="31"/>
      <c r="H73" s="32"/>
      <c r="I73" s="29"/>
      <c r="K73" s="41" t="s">
        <v>444</v>
      </c>
      <c r="L73" s="41" t="s">
        <v>283</v>
      </c>
      <c r="M73" s="40"/>
      <c r="N73" s="40"/>
      <c r="O73" s="40"/>
      <c r="P73" s="31"/>
      <c r="Q73" s="32"/>
      <c r="R73" s="29"/>
      <c r="T73" s="41" t="s">
        <v>444</v>
      </c>
      <c r="U73" s="41" t="s">
        <v>283</v>
      </c>
      <c r="V73" s="40"/>
      <c r="W73" s="40"/>
      <c r="X73" s="40"/>
      <c r="Y73" s="31"/>
      <c r="Z73" s="32"/>
      <c r="AA73" s="29"/>
      <c r="AC73" s="41" t="s">
        <v>444</v>
      </c>
      <c r="AD73" s="41" t="s">
        <v>283</v>
      </c>
      <c r="AE73" s="40"/>
      <c r="AF73" s="40"/>
      <c r="AG73" s="40"/>
      <c r="AH73" s="31"/>
      <c r="AI73" s="32"/>
      <c r="AJ73" s="29"/>
      <c r="AL73" s="41" t="s">
        <v>444</v>
      </c>
      <c r="AM73" s="41" t="s">
        <v>283</v>
      </c>
      <c r="AN73" s="40"/>
      <c r="AO73" s="40"/>
      <c r="AP73" s="40"/>
      <c r="AQ73" s="31"/>
      <c r="AR73" s="32"/>
      <c r="AS73" s="29"/>
      <c r="AU73" s="41" t="s">
        <v>444</v>
      </c>
      <c r="AV73" s="41" t="s">
        <v>283</v>
      </c>
      <c r="AW73" s="40"/>
      <c r="AX73" s="40"/>
      <c r="AY73" s="40"/>
      <c r="AZ73" s="31"/>
      <c r="BA73" s="32"/>
      <c r="BB73" s="29"/>
      <c r="BD73" s="41" t="s">
        <v>444</v>
      </c>
      <c r="BE73" s="41" t="s">
        <v>283</v>
      </c>
      <c r="BF73" s="40"/>
      <c r="BG73" s="40"/>
      <c r="BH73" s="40"/>
      <c r="BI73" s="31"/>
      <c r="BJ73" s="32"/>
      <c r="BK73" s="29"/>
    </row>
    <row r="74" spans="2:63" x14ac:dyDescent="0.25">
      <c r="B74" s="41" t="s">
        <v>444</v>
      </c>
      <c r="C74" s="41" t="s">
        <v>283</v>
      </c>
      <c r="D74" s="40"/>
      <c r="E74" s="40"/>
      <c r="F74" s="40"/>
      <c r="G74" s="31"/>
      <c r="H74" s="32"/>
      <c r="I74" s="29"/>
      <c r="K74" s="41" t="s">
        <v>444</v>
      </c>
      <c r="L74" s="41" t="s">
        <v>283</v>
      </c>
      <c r="M74" s="40"/>
      <c r="N74" s="40"/>
      <c r="O74" s="40"/>
      <c r="P74" s="31"/>
      <c r="Q74" s="32"/>
      <c r="R74" s="29"/>
      <c r="T74" s="41" t="s">
        <v>444</v>
      </c>
      <c r="U74" s="41" t="s">
        <v>283</v>
      </c>
      <c r="V74" s="40"/>
      <c r="W74" s="40"/>
      <c r="X74" s="40"/>
      <c r="Y74" s="31"/>
      <c r="Z74" s="32"/>
      <c r="AA74" s="29"/>
      <c r="AC74" s="41" t="s">
        <v>444</v>
      </c>
      <c r="AD74" s="41" t="s">
        <v>283</v>
      </c>
      <c r="AE74" s="40"/>
      <c r="AF74" s="40"/>
      <c r="AG74" s="40"/>
      <c r="AH74" s="31"/>
      <c r="AI74" s="32"/>
      <c r="AJ74" s="29"/>
      <c r="AL74" s="41" t="s">
        <v>444</v>
      </c>
      <c r="AM74" s="41" t="s">
        <v>283</v>
      </c>
      <c r="AN74" s="40"/>
      <c r="AO74" s="40"/>
      <c r="AP74" s="40"/>
      <c r="AQ74" s="31"/>
      <c r="AR74" s="32"/>
      <c r="AS74" s="29"/>
      <c r="AU74" s="41" t="s">
        <v>444</v>
      </c>
      <c r="AV74" s="41" t="s">
        <v>283</v>
      </c>
      <c r="AW74" s="40"/>
      <c r="AX74" s="40"/>
      <c r="AY74" s="40"/>
      <c r="AZ74" s="31"/>
      <c r="BA74" s="32"/>
      <c r="BB74" s="29"/>
      <c r="BD74" s="41" t="s">
        <v>444</v>
      </c>
      <c r="BE74" s="41" t="s">
        <v>283</v>
      </c>
      <c r="BF74" s="40"/>
      <c r="BG74" s="40"/>
      <c r="BH74" s="40"/>
      <c r="BI74" s="31"/>
      <c r="BJ74" s="32"/>
      <c r="BK74" s="29"/>
    </row>
    <row r="75" spans="2:63" x14ac:dyDescent="0.25">
      <c r="B75" s="41" t="s">
        <v>444</v>
      </c>
      <c r="C75" s="41" t="s">
        <v>283</v>
      </c>
      <c r="D75" s="40"/>
      <c r="E75" s="40"/>
      <c r="F75" s="40"/>
      <c r="G75" s="31"/>
      <c r="H75" s="32"/>
      <c r="I75" s="29"/>
      <c r="K75" s="41" t="s">
        <v>444</v>
      </c>
      <c r="L75" s="41" t="s">
        <v>283</v>
      </c>
      <c r="M75" s="40"/>
      <c r="N75" s="40"/>
      <c r="O75" s="40"/>
      <c r="P75" s="31"/>
      <c r="Q75" s="32"/>
      <c r="R75" s="29"/>
      <c r="T75" s="41" t="s">
        <v>444</v>
      </c>
      <c r="U75" s="41" t="s">
        <v>283</v>
      </c>
      <c r="V75" s="40"/>
      <c r="W75" s="40"/>
      <c r="X75" s="40"/>
      <c r="Y75" s="31"/>
      <c r="Z75" s="32"/>
      <c r="AA75" s="29"/>
      <c r="AC75" s="41" t="s">
        <v>444</v>
      </c>
      <c r="AD75" s="41" t="s">
        <v>283</v>
      </c>
      <c r="AE75" s="40"/>
      <c r="AF75" s="40"/>
      <c r="AG75" s="40"/>
      <c r="AH75" s="31"/>
      <c r="AI75" s="32"/>
      <c r="AJ75" s="29"/>
      <c r="AL75" s="41" t="s">
        <v>444</v>
      </c>
      <c r="AM75" s="41" t="s">
        <v>283</v>
      </c>
      <c r="AN75" s="40"/>
      <c r="AO75" s="40"/>
      <c r="AP75" s="40"/>
      <c r="AQ75" s="31"/>
      <c r="AR75" s="32"/>
      <c r="AS75" s="29"/>
      <c r="AU75" s="41" t="s">
        <v>444</v>
      </c>
      <c r="AV75" s="41" t="s">
        <v>283</v>
      </c>
      <c r="AW75" s="40"/>
      <c r="AX75" s="40"/>
      <c r="AY75" s="40"/>
      <c r="AZ75" s="31"/>
      <c r="BA75" s="32"/>
      <c r="BB75" s="29"/>
      <c r="BD75" s="41" t="s">
        <v>444</v>
      </c>
      <c r="BE75" s="41" t="s">
        <v>283</v>
      </c>
      <c r="BF75" s="40"/>
      <c r="BG75" s="40"/>
      <c r="BH75" s="40"/>
      <c r="BI75" s="31"/>
      <c r="BJ75" s="32"/>
      <c r="BK75" s="29"/>
    </row>
    <row r="76" spans="2:63" x14ac:dyDescent="0.25">
      <c r="B76" s="41" t="s">
        <v>444</v>
      </c>
      <c r="C76" s="41" t="s">
        <v>283</v>
      </c>
      <c r="D76" s="40"/>
      <c r="E76" s="40"/>
      <c r="F76" s="40"/>
      <c r="G76" s="31"/>
      <c r="H76" s="32"/>
      <c r="I76" s="29"/>
      <c r="K76" s="41" t="s">
        <v>444</v>
      </c>
      <c r="L76" s="41" t="s">
        <v>283</v>
      </c>
      <c r="M76" s="40"/>
      <c r="N76" s="40"/>
      <c r="O76" s="40"/>
      <c r="P76" s="31"/>
      <c r="Q76" s="32"/>
      <c r="R76" s="29"/>
      <c r="T76" s="41" t="s">
        <v>444</v>
      </c>
      <c r="U76" s="41" t="s">
        <v>283</v>
      </c>
      <c r="V76" s="40"/>
      <c r="W76" s="40"/>
      <c r="X76" s="40"/>
      <c r="Y76" s="31"/>
      <c r="Z76" s="32"/>
      <c r="AA76" s="29"/>
      <c r="AC76" s="41" t="s">
        <v>444</v>
      </c>
      <c r="AD76" s="41" t="s">
        <v>283</v>
      </c>
      <c r="AE76" s="40"/>
      <c r="AF76" s="40"/>
      <c r="AG76" s="40"/>
      <c r="AH76" s="31"/>
      <c r="AI76" s="32"/>
      <c r="AJ76" s="29"/>
      <c r="AL76" s="41" t="s">
        <v>444</v>
      </c>
      <c r="AM76" s="41" t="s">
        <v>283</v>
      </c>
      <c r="AN76" s="40"/>
      <c r="AO76" s="40"/>
      <c r="AP76" s="40"/>
      <c r="AQ76" s="31"/>
      <c r="AR76" s="32"/>
      <c r="AS76" s="29"/>
      <c r="AU76" s="41" t="s">
        <v>444</v>
      </c>
      <c r="AV76" s="41" t="s">
        <v>283</v>
      </c>
      <c r="AW76" s="40"/>
      <c r="AX76" s="40"/>
      <c r="AY76" s="40"/>
      <c r="AZ76" s="31"/>
      <c r="BA76" s="32"/>
      <c r="BB76" s="29"/>
      <c r="BD76" s="41" t="s">
        <v>444</v>
      </c>
      <c r="BE76" s="41" t="s">
        <v>283</v>
      </c>
      <c r="BF76" s="40"/>
      <c r="BG76" s="40"/>
      <c r="BH76" s="40"/>
      <c r="BI76" s="31"/>
      <c r="BJ76" s="32"/>
      <c r="BK76" s="29"/>
    </row>
    <row r="77" spans="2:63" s="24" customFormat="1" x14ac:dyDescent="0.25">
      <c r="B77" s="8" t="s">
        <v>445</v>
      </c>
      <c r="C77" s="25"/>
      <c r="D77" s="28">
        <f t="shared" ref="D77:F77" si="55">SUM(D62:D76)</f>
        <v>750000</v>
      </c>
      <c r="E77" s="28">
        <f t="shared" si="55"/>
        <v>300000</v>
      </c>
      <c r="F77" s="28">
        <f t="shared" si="55"/>
        <v>7500</v>
      </c>
      <c r="G77" s="25"/>
      <c r="H77" s="26"/>
      <c r="I77" s="30"/>
      <c r="K77" s="8" t="s">
        <v>445</v>
      </c>
      <c r="L77" s="25"/>
      <c r="M77" s="28">
        <f t="shared" ref="M77:O77" si="56">SUM(M62:M76)</f>
        <v>750000</v>
      </c>
      <c r="N77" s="28">
        <f t="shared" si="56"/>
        <v>300000</v>
      </c>
      <c r="O77" s="28">
        <f t="shared" si="56"/>
        <v>7500</v>
      </c>
      <c r="P77" s="25"/>
      <c r="Q77" s="26"/>
      <c r="R77" s="30"/>
      <c r="T77" s="8" t="s">
        <v>445</v>
      </c>
      <c r="U77" s="25"/>
      <c r="V77" s="28">
        <f t="shared" ref="V77:X77" si="57">SUM(V62:V76)</f>
        <v>750000</v>
      </c>
      <c r="W77" s="28">
        <f t="shared" si="57"/>
        <v>300000</v>
      </c>
      <c r="X77" s="28">
        <f t="shared" si="57"/>
        <v>7500</v>
      </c>
      <c r="Y77" s="25"/>
      <c r="Z77" s="26"/>
      <c r="AA77" s="30"/>
      <c r="AC77" s="8" t="s">
        <v>445</v>
      </c>
      <c r="AD77" s="25"/>
      <c r="AE77" s="28">
        <f t="shared" ref="AE77:AG77" si="58">SUM(AE62:AE76)</f>
        <v>750000</v>
      </c>
      <c r="AF77" s="28">
        <f t="shared" si="58"/>
        <v>300000</v>
      </c>
      <c r="AG77" s="28">
        <f t="shared" si="58"/>
        <v>7500</v>
      </c>
      <c r="AH77" s="25"/>
      <c r="AI77" s="26"/>
      <c r="AJ77" s="30"/>
      <c r="AL77" s="8" t="s">
        <v>445</v>
      </c>
      <c r="AM77" s="25"/>
      <c r="AN77" s="28">
        <f t="shared" ref="AN77:AP77" si="59">SUM(AN62:AN76)</f>
        <v>750000</v>
      </c>
      <c r="AO77" s="28">
        <f t="shared" si="59"/>
        <v>300000</v>
      </c>
      <c r="AP77" s="28">
        <f t="shared" si="59"/>
        <v>7500</v>
      </c>
      <c r="AQ77" s="25"/>
      <c r="AR77" s="26"/>
      <c r="AS77" s="30"/>
      <c r="AU77" s="8" t="s">
        <v>445</v>
      </c>
      <c r="AV77" s="25"/>
      <c r="AW77" s="28">
        <f t="shared" ref="AW77:AY77" si="60">SUM(AW62:AW76)</f>
        <v>750000</v>
      </c>
      <c r="AX77" s="28">
        <f t="shared" si="60"/>
        <v>300000</v>
      </c>
      <c r="AY77" s="28">
        <f t="shared" si="60"/>
        <v>7500</v>
      </c>
      <c r="AZ77" s="25"/>
      <c r="BA77" s="26"/>
      <c r="BB77" s="30"/>
      <c r="BD77" s="8" t="s">
        <v>445</v>
      </c>
      <c r="BE77" s="25"/>
      <c r="BF77" s="28">
        <f t="shared" ref="BF77:BH77" si="61">SUM(BF62:BF76)</f>
        <v>750000</v>
      </c>
      <c r="BG77" s="28">
        <f t="shared" si="61"/>
        <v>300000</v>
      </c>
      <c r="BH77" s="28">
        <f t="shared" si="61"/>
        <v>7500</v>
      </c>
      <c r="BI77" s="25"/>
      <c r="BJ77" s="26"/>
      <c r="BK77" s="30"/>
    </row>
    <row r="79" spans="2:63" s="20" customFormat="1" ht="38.25" x14ac:dyDescent="0.25">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x14ac:dyDescent="0.25">
      <c r="B80" s="41" t="s">
        <v>444</v>
      </c>
      <c r="C80" s="41" t="s">
        <v>283</v>
      </c>
      <c r="D80" s="40">
        <v>150000</v>
      </c>
      <c r="E80" s="40">
        <v>50000</v>
      </c>
      <c r="F80" s="29"/>
      <c r="G80" s="22">
        <v>0.08</v>
      </c>
      <c r="H80" s="23">
        <v>0.82</v>
      </c>
      <c r="I80" s="75">
        <f>D80*G80*H80</f>
        <v>9840</v>
      </c>
      <c r="K80" s="41" t="s">
        <v>444</v>
      </c>
      <c r="L80" s="41" t="s">
        <v>283</v>
      </c>
      <c r="M80" s="40">
        <v>150000</v>
      </c>
      <c r="N80" s="40">
        <v>50000</v>
      </c>
      <c r="O80" s="29"/>
      <c r="P80" s="22">
        <v>0.08</v>
      </c>
      <c r="Q80" s="23">
        <v>0.82</v>
      </c>
      <c r="R80" s="75">
        <f>M80*P80*Q80</f>
        <v>9840</v>
      </c>
      <c r="T80" s="41" t="s">
        <v>444</v>
      </c>
      <c r="U80" s="41" t="s">
        <v>283</v>
      </c>
      <c r="V80" s="40">
        <v>150000</v>
      </c>
      <c r="W80" s="40">
        <v>50000</v>
      </c>
      <c r="X80" s="29"/>
      <c r="Y80" s="22">
        <v>0.08</v>
      </c>
      <c r="Z80" s="23">
        <v>0.82</v>
      </c>
      <c r="AA80" s="75">
        <f>V80*Y80*Z80</f>
        <v>9840</v>
      </c>
      <c r="AC80" s="41" t="s">
        <v>444</v>
      </c>
      <c r="AD80" s="41" t="s">
        <v>283</v>
      </c>
      <c r="AE80" s="40">
        <v>150000</v>
      </c>
      <c r="AF80" s="40">
        <v>50000</v>
      </c>
      <c r="AG80" s="29"/>
      <c r="AH80" s="22">
        <v>0.08</v>
      </c>
      <c r="AI80" s="23">
        <v>0.82</v>
      </c>
      <c r="AJ80" s="75">
        <f>AE80*AH80*AI80</f>
        <v>9840</v>
      </c>
      <c r="AL80" s="41" t="s">
        <v>444</v>
      </c>
      <c r="AM80" s="41" t="s">
        <v>283</v>
      </c>
      <c r="AN80" s="40">
        <v>150000</v>
      </c>
      <c r="AO80" s="40">
        <v>50000</v>
      </c>
      <c r="AP80" s="29"/>
      <c r="AQ80" s="22">
        <v>0.08</v>
      </c>
      <c r="AR80" s="23">
        <v>0.82</v>
      </c>
      <c r="AS80" s="75">
        <f>AN80*AQ80*AR80</f>
        <v>9840</v>
      </c>
      <c r="AU80" s="41" t="s">
        <v>444</v>
      </c>
      <c r="AV80" s="41" t="s">
        <v>283</v>
      </c>
      <c r="AW80" s="40">
        <v>150000</v>
      </c>
      <c r="AX80" s="40">
        <v>50000</v>
      </c>
      <c r="AY80" s="29"/>
      <c r="AZ80" s="22">
        <v>0.08</v>
      </c>
      <c r="BA80" s="23">
        <v>0.82</v>
      </c>
      <c r="BB80" s="75">
        <f>AW80*AZ80*BA80</f>
        <v>9840</v>
      </c>
      <c r="BD80" s="41" t="s">
        <v>444</v>
      </c>
      <c r="BE80" s="41" t="s">
        <v>283</v>
      </c>
      <c r="BF80" s="40">
        <v>150000</v>
      </c>
      <c r="BG80" s="40">
        <v>50000</v>
      </c>
      <c r="BH80" s="29"/>
      <c r="BI80" s="22">
        <v>0.08</v>
      </c>
      <c r="BJ80" s="23">
        <v>0.82</v>
      </c>
      <c r="BK80" s="75">
        <f>BF80*BI80*BJ80</f>
        <v>9840</v>
      </c>
    </row>
    <row r="81" spans="2:63" x14ac:dyDescent="0.25">
      <c r="B81" s="41" t="s">
        <v>444</v>
      </c>
      <c r="C81" s="41" t="s">
        <v>283</v>
      </c>
      <c r="D81" s="40"/>
      <c r="E81" s="40"/>
      <c r="F81" s="29"/>
      <c r="G81" s="22"/>
      <c r="H81" s="23">
        <v>0.82</v>
      </c>
      <c r="I81" s="75">
        <f t="shared" ref="I81:I94" si="69">D81*G81*H81</f>
        <v>0</v>
      </c>
      <c r="K81" s="41" t="s">
        <v>444</v>
      </c>
      <c r="L81" s="41" t="s">
        <v>283</v>
      </c>
      <c r="M81" s="40"/>
      <c r="N81" s="40"/>
      <c r="O81" s="29"/>
      <c r="P81" s="22"/>
      <c r="Q81" s="23">
        <v>0.82</v>
      </c>
      <c r="R81" s="75">
        <f t="shared" ref="R81:R94" si="70">M81*P81*Q81</f>
        <v>0</v>
      </c>
      <c r="T81" s="41" t="s">
        <v>444</v>
      </c>
      <c r="U81" s="41" t="s">
        <v>283</v>
      </c>
      <c r="V81" s="40"/>
      <c r="W81" s="40"/>
      <c r="X81" s="29"/>
      <c r="Y81" s="22"/>
      <c r="Z81" s="23">
        <v>0.82</v>
      </c>
      <c r="AA81" s="75">
        <f t="shared" ref="AA81:AA94" si="71">V81*Y81*Z81</f>
        <v>0</v>
      </c>
      <c r="AC81" s="41" t="s">
        <v>444</v>
      </c>
      <c r="AD81" s="41" t="s">
        <v>283</v>
      </c>
      <c r="AE81" s="40"/>
      <c r="AF81" s="40"/>
      <c r="AG81" s="29"/>
      <c r="AH81" s="22"/>
      <c r="AI81" s="23">
        <v>0.82</v>
      </c>
      <c r="AJ81" s="75">
        <f t="shared" ref="AJ81:AJ94" si="72">AE81*AH81*AI81</f>
        <v>0</v>
      </c>
      <c r="AL81" s="41" t="s">
        <v>444</v>
      </c>
      <c r="AM81" s="41" t="s">
        <v>283</v>
      </c>
      <c r="AN81" s="40"/>
      <c r="AO81" s="40"/>
      <c r="AP81" s="29"/>
      <c r="AQ81" s="22"/>
      <c r="AR81" s="23">
        <v>0.82</v>
      </c>
      <c r="AS81" s="75">
        <f t="shared" ref="AS81:AS94" si="73">AN81*AQ81*AR81</f>
        <v>0</v>
      </c>
      <c r="AU81" s="41" t="s">
        <v>444</v>
      </c>
      <c r="AV81" s="41" t="s">
        <v>283</v>
      </c>
      <c r="AW81" s="40"/>
      <c r="AX81" s="40"/>
      <c r="AY81" s="29"/>
      <c r="AZ81" s="22"/>
      <c r="BA81" s="23">
        <v>0.82</v>
      </c>
      <c r="BB81" s="75">
        <f t="shared" ref="BB81:BB94" si="74">AW81*AZ81*BA81</f>
        <v>0</v>
      </c>
      <c r="BD81" s="41" t="s">
        <v>444</v>
      </c>
      <c r="BE81" s="41" t="s">
        <v>283</v>
      </c>
      <c r="BF81" s="40"/>
      <c r="BG81" s="40"/>
      <c r="BH81" s="29"/>
      <c r="BI81" s="22"/>
      <c r="BJ81" s="23">
        <v>0.82</v>
      </c>
      <c r="BK81" s="75">
        <f t="shared" ref="BK81:BK94" si="75">BF81*BI81*BJ81</f>
        <v>0</v>
      </c>
    </row>
    <row r="82" spans="2:63" x14ac:dyDescent="0.25">
      <c r="B82" s="41" t="s">
        <v>444</v>
      </c>
      <c r="C82" s="41" t="s">
        <v>283</v>
      </c>
      <c r="D82" s="40"/>
      <c r="E82" s="40"/>
      <c r="F82" s="29"/>
      <c r="G82" s="22"/>
      <c r="H82" s="23">
        <v>0.82</v>
      </c>
      <c r="I82" s="75">
        <f t="shared" si="69"/>
        <v>0</v>
      </c>
      <c r="K82" s="41" t="s">
        <v>444</v>
      </c>
      <c r="L82" s="41" t="s">
        <v>283</v>
      </c>
      <c r="M82" s="40"/>
      <c r="N82" s="40"/>
      <c r="O82" s="29"/>
      <c r="P82" s="22"/>
      <c r="Q82" s="23">
        <v>0.82</v>
      </c>
      <c r="R82" s="75">
        <f t="shared" si="70"/>
        <v>0</v>
      </c>
      <c r="T82" s="41" t="s">
        <v>444</v>
      </c>
      <c r="U82" s="41" t="s">
        <v>283</v>
      </c>
      <c r="V82" s="40"/>
      <c r="W82" s="40"/>
      <c r="X82" s="29"/>
      <c r="Y82" s="22"/>
      <c r="Z82" s="23">
        <v>0.82</v>
      </c>
      <c r="AA82" s="75">
        <f t="shared" si="71"/>
        <v>0</v>
      </c>
      <c r="AC82" s="41" t="s">
        <v>444</v>
      </c>
      <c r="AD82" s="41" t="s">
        <v>283</v>
      </c>
      <c r="AE82" s="40"/>
      <c r="AF82" s="40"/>
      <c r="AG82" s="29"/>
      <c r="AH82" s="22"/>
      <c r="AI82" s="23">
        <v>0.82</v>
      </c>
      <c r="AJ82" s="75">
        <f t="shared" si="72"/>
        <v>0</v>
      </c>
      <c r="AL82" s="41" t="s">
        <v>444</v>
      </c>
      <c r="AM82" s="41" t="s">
        <v>283</v>
      </c>
      <c r="AN82" s="40"/>
      <c r="AO82" s="40"/>
      <c r="AP82" s="29"/>
      <c r="AQ82" s="22"/>
      <c r="AR82" s="23">
        <v>0.82</v>
      </c>
      <c r="AS82" s="75">
        <f t="shared" si="73"/>
        <v>0</v>
      </c>
      <c r="AU82" s="41" t="s">
        <v>444</v>
      </c>
      <c r="AV82" s="41" t="s">
        <v>283</v>
      </c>
      <c r="AW82" s="40"/>
      <c r="AX82" s="40"/>
      <c r="AY82" s="29"/>
      <c r="AZ82" s="22"/>
      <c r="BA82" s="23">
        <v>0.82</v>
      </c>
      <c r="BB82" s="75">
        <f t="shared" si="74"/>
        <v>0</v>
      </c>
      <c r="BD82" s="41" t="s">
        <v>444</v>
      </c>
      <c r="BE82" s="41" t="s">
        <v>283</v>
      </c>
      <c r="BF82" s="40"/>
      <c r="BG82" s="40"/>
      <c r="BH82" s="29"/>
      <c r="BI82" s="22"/>
      <c r="BJ82" s="23">
        <v>0.82</v>
      </c>
      <c r="BK82" s="75">
        <f t="shared" si="75"/>
        <v>0</v>
      </c>
    </row>
    <row r="83" spans="2:63" x14ac:dyDescent="0.25">
      <c r="B83" s="41" t="s">
        <v>444</v>
      </c>
      <c r="C83" s="41" t="s">
        <v>283</v>
      </c>
      <c r="D83" s="40"/>
      <c r="E83" s="40"/>
      <c r="F83" s="29"/>
      <c r="G83" s="22"/>
      <c r="H83" s="23">
        <v>0.82</v>
      </c>
      <c r="I83" s="75">
        <f t="shared" si="69"/>
        <v>0</v>
      </c>
      <c r="K83" s="41" t="s">
        <v>444</v>
      </c>
      <c r="L83" s="41" t="s">
        <v>283</v>
      </c>
      <c r="M83" s="40"/>
      <c r="N83" s="40"/>
      <c r="O83" s="29"/>
      <c r="P83" s="22"/>
      <c r="Q83" s="23">
        <v>0.82</v>
      </c>
      <c r="R83" s="75">
        <f t="shared" si="70"/>
        <v>0</v>
      </c>
      <c r="T83" s="41" t="s">
        <v>444</v>
      </c>
      <c r="U83" s="41" t="s">
        <v>283</v>
      </c>
      <c r="V83" s="40"/>
      <c r="W83" s="40"/>
      <c r="X83" s="29"/>
      <c r="Y83" s="22"/>
      <c r="Z83" s="23">
        <v>0.82</v>
      </c>
      <c r="AA83" s="75">
        <f t="shared" si="71"/>
        <v>0</v>
      </c>
      <c r="AC83" s="41" t="s">
        <v>444</v>
      </c>
      <c r="AD83" s="41" t="s">
        <v>283</v>
      </c>
      <c r="AE83" s="40"/>
      <c r="AF83" s="40"/>
      <c r="AG83" s="29"/>
      <c r="AH83" s="22"/>
      <c r="AI83" s="23">
        <v>0.82</v>
      </c>
      <c r="AJ83" s="75">
        <f t="shared" si="72"/>
        <v>0</v>
      </c>
      <c r="AL83" s="41" t="s">
        <v>444</v>
      </c>
      <c r="AM83" s="41" t="s">
        <v>283</v>
      </c>
      <c r="AN83" s="40"/>
      <c r="AO83" s="40"/>
      <c r="AP83" s="29"/>
      <c r="AQ83" s="22"/>
      <c r="AR83" s="23">
        <v>0.82</v>
      </c>
      <c r="AS83" s="75">
        <f t="shared" si="73"/>
        <v>0</v>
      </c>
      <c r="AU83" s="41" t="s">
        <v>444</v>
      </c>
      <c r="AV83" s="41" t="s">
        <v>283</v>
      </c>
      <c r="AW83" s="40"/>
      <c r="AX83" s="40"/>
      <c r="AY83" s="29"/>
      <c r="AZ83" s="22"/>
      <c r="BA83" s="23">
        <v>0.82</v>
      </c>
      <c r="BB83" s="75">
        <f t="shared" si="74"/>
        <v>0</v>
      </c>
      <c r="BD83" s="41" t="s">
        <v>444</v>
      </c>
      <c r="BE83" s="41" t="s">
        <v>283</v>
      </c>
      <c r="BF83" s="40"/>
      <c r="BG83" s="40"/>
      <c r="BH83" s="29"/>
      <c r="BI83" s="22"/>
      <c r="BJ83" s="23">
        <v>0.82</v>
      </c>
      <c r="BK83" s="75">
        <f t="shared" si="75"/>
        <v>0</v>
      </c>
    </row>
    <row r="84" spans="2:63" x14ac:dyDescent="0.25">
      <c r="B84" s="41" t="s">
        <v>444</v>
      </c>
      <c r="C84" s="41" t="s">
        <v>283</v>
      </c>
      <c r="D84" s="40"/>
      <c r="E84" s="40"/>
      <c r="F84" s="29"/>
      <c r="G84" s="22"/>
      <c r="H84" s="23">
        <v>0.82</v>
      </c>
      <c r="I84" s="75">
        <f t="shared" si="69"/>
        <v>0</v>
      </c>
      <c r="K84" s="41" t="s">
        <v>444</v>
      </c>
      <c r="L84" s="41" t="s">
        <v>283</v>
      </c>
      <c r="M84" s="40"/>
      <c r="N84" s="40"/>
      <c r="O84" s="29"/>
      <c r="P84" s="22"/>
      <c r="Q84" s="23">
        <v>0.82</v>
      </c>
      <c r="R84" s="75">
        <f t="shared" si="70"/>
        <v>0</v>
      </c>
      <c r="T84" s="41" t="s">
        <v>444</v>
      </c>
      <c r="U84" s="41" t="s">
        <v>283</v>
      </c>
      <c r="V84" s="40"/>
      <c r="W84" s="40"/>
      <c r="X84" s="29"/>
      <c r="Y84" s="22"/>
      <c r="Z84" s="23">
        <v>0.82</v>
      </c>
      <c r="AA84" s="75">
        <f t="shared" si="71"/>
        <v>0</v>
      </c>
      <c r="AC84" s="41" t="s">
        <v>444</v>
      </c>
      <c r="AD84" s="41" t="s">
        <v>283</v>
      </c>
      <c r="AE84" s="40"/>
      <c r="AF84" s="40"/>
      <c r="AG84" s="29"/>
      <c r="AH84" s="22"/>
      <c r="AI84" s="23">
        <v>0.82</v>
      </c>
      <c r="AJ84" s="75">
        <f t="shared" si="72"/>
        <v>0</v>
      </c>
      <c r="AL84" s="41" t="s">
        <v>444</v>
      </c>
      <c r="AM84" s="41" t="s">
        <v>283</v>
      </c>
      <c r="AN84" s="40"/>
      <c r="AO84" s="40"/>
      <c r="AP84" s="29"/>
      <c r="AQ84" s="22"/>
      <c r="AR84" s="23">
        <v>0.82</v>
      </c>
      <c r="AS84" s="75">
        <f t="shared" si="73"/>
        <v>0</v>
      </c>
      <c r="AU84" s="41" t="s">
        <v>444</v>
      </c>
      <c r="AV84" s="41" t="s">
        <v>283</v>
      </c>
      <c r="AW84" s="40"/>
      <c r="AX84" s="40"/>
      <c r="AY84" s="29"/>
      <c r="AZ84" s="22"/>
      <c r="BA84" s="23">
        <v>0.82</v>
      </c>
      <c r="BB84" s="75">
        <f t="shared" si="74"/>
        <v>0</v>
      </c>
      <c r="BD84" s="41" t="s">
        <v>444</v>
      </c>
      <c r="BE84" s="41" t="s">
        <v>283</v>
      </c>
      <c r="BF84" s="40"/>
      <c r="BG84" s="40"/>
      <c r="BH84" s="29"/>
      <c r="BI84" s="22"/>
      <c r="BJ84" s="23">
        <v>0.82</v>
      </c>
      <c r="BK84" s="75">
        <f t="shared" si="75"/>
        <v>0</v>
      </c>
    </row>
    <row r="85" spans="2:63" x14ac:dyDescent="0.25">
      <c r="B85" s="41" t="s">
        <v>444</v>
      </c>
      <c r="C85" s="41" t="s">
        <v>283</v>
      </c>
      <c r="D85" s="40"/>
      <c r="E85" s="40"/>
      <c r="F85" s="29"/>
      <c r="G85" s="22"/>
      <c r="H85" s="23">
        <v>0.82</v>
      </c>
      <c r="I85" s="75">
        <f t="shared" si="69"/>
        <v>0</v>
      </c>
      <c r="K85" s="41" t="s">
        <v>444</v>
      </c>
      <c r="L85" s="41" t="s">
        <v>283</v>
      </c>
      <c r="M85" s="40"/>
      <c r="N85" s="40"/>
      <c r="O85" s="29"/>
      <c r="P85" s="22"/>
      <c r="Q85" s="23">
        <v>0.82</v>
      </c>
      <c r="R85" s="75">
        <f t="shared" si="70"/>
        <v>0</v>
      </c>
      <c r="T85" s="41" t="s">
        <v>444</v>
      </c>
      <c r="U85" s="41" t="s">
        <v>283</v>
      </c>
      <c r="V85" s="40"/>
      <c r="W85" s="40"/>
      <c r="X85" s="29"/>
      <c r="Y85" s="22"/>
      <c r="Z85" s="23">
        <v>0.82</v>
      </c>
      <c r="AA85" s="75">
        <f t="shared" si="71"/>
        <v>0</v>
      </c>
      <c r="AC85" s="41" t="s">
        <v>444</v>
      </c>
      <c r="AD85" s="41" t="s">
        <v>283</v>
      </c>
      <c r="AE85" s="40"/>
      <c r="AF85" s="40"/>
      <c r="AG85" s="29"/>
      <c r="AH85" s="22"/>
      <c r="AI85" s="23">
        <v>0.82</v>
      </c>
      <c r="AJ85" s="75">
        <f t="shared" si="72"/>
        <v>0</v>
      </c>
      <c r="AL85" s="41" t="s">
        <v>444</v>
      </c>
      <c r="AM85" s="41" t="s">
        <v>283</v>
      </c>
      <c r="AN85" s="40"/>
      <c r="AO85" s="40"/>
      <c r="AP85" s="29"/>
      <c r="AQ85" s="22"/>
      <c r="AR85" s="23">
        <v>0.82</v>
      </c>
      <c r="AS85" s="75">
        <f t="shared" si="73"/>
        <v>0</v>
      </c>
      <c r="AU85" s="41" t="s">
        <v>444</v>
      </c>
      <c r="AV85" s="41" t="s">
        <v>283</v>
      </c>
      <c r="AW85" s="40"/>
      <c r="AX85" s="40"/>
      <c r="AY85" s="29"/>
      <c r="AZ85" s="22"/>
      <c r="BA85" s="23">
        <v>0.82</v>
      </c>
      <c r="BB85" s="75">
        <f t="shared" si="74"/>
        <v>0</v>
      </c>
      <c r="BD85" s="41" t="s">
        <v>444</v>
      </c>
      <c r="BE85" s="41" t="s">
        <v>283</v>
      </c>
      <c r="BF85" s="40"/>
      <c r="BG85" s="40"/>
      <c r="BH85" s="29"/>
      <c r="BI85" s="22"/>
      <c r="BJ85" s="23">
        <v>0.82</v>
      </c>
      <c r="BK85" s="75">
        <f t="shared" si="75"/>
        <v>0</v>
      </c>
    </row>
    <row r="86" spans="2:63" x14ac:dyDescent="0.25">
      <c r="B86" s="41" t="s">
        <v>444</v>
      </c>
      <c r="C86" s="41" t="s">
        <v>283</v>
      </c>
      <c r="D86" s="40"/>
      <c r="E86" s="40"/>
      <c r="F86" s="29"/>
      <c r="G86" s="22"/>
      <c r="H86" s="23">
        <v>0.82</v>
      </c>
      <c r="I86" s="75">
        <f t="shared" si="69"/>
        <v>0</v>
      </c>
      <c r="K86" s="41" t="s">
        <v>444</v>
      </c>
      <c r="L86" s="41" t="s">
        <v>283</v>
      </c>
      <c r="M86" s="40"/>
      <c r="N86" s="40"/>
      <c r="O86" s="29"/>
      <c r="P86" s="22"/>
      <c r="Q86" s="23">
        <v>0.82</v>
      </c>
      <c r="R86" s="75">
        <f t="shared" si="70"/>
        <v>0</v>
      </c>
      <c r="T86" s="41" t="s">
        <v>444</v>
      </c>
      <c r="U86" s="41" t="s">
        <v>283</v>
      </c>
      <c r="V86" s="40"/>
      <c r="W86" s="40"/>
      <c r="X86" s="29"/>
      <c r="Y86" s="22"/>
      <c r="Z86" s="23">
        <v>0.82</v>
      </c>
      <c r="AA86" s="75">
        <f t="shared" si="71"/>
        <v>0</v>
      </c>
      <c r="AC86" s="41" t="s">
        <v>444</v>
      </c>
      <c r="AD86" s="41" t="s">
        <v>283</v>
      </c>
      <c r="AE86" s="40"/>
      <c r="AF86" s="40"/>
      <c r="AG86" s="29"/>
      <c r="AH86" s="22"/>
      <c r="AI86" s="23">
        <v>0.82</v>
      </c>
      <c r="AJ86" s="75">
        <f t="shared" si="72"/>
        <v>0</v>
      </c>
      <c r="AL86" s="41" t="s">
        <v>444</v>
      </c>
      <c r="AM86" s="41" t="s">
        <v>283</v>
      </c>
      <c r="AN86" s="40"/>
      <c r="AO86" s="40"/>
      <c r="AP86" s="29"/>
      <c r="AQ86" s="22"/>
      <c r="AR86" s="23">
        <v>0.82</v>
      </c>
      <c r="AS86" s="75">
        <f t="shared" si="73"/>
        <v>0</v>
      </c>
      <c r="AU86" s="41" t="s">
        <v>444</v>
      </c>
      <c r="AV86" s="41" t="s">
        <v>283</v>
      </c>
      <c r="AW86" s="40"/>
      <c r="AX86" s="40"/>
      <c r="AY86" s="29"/>
      <c r="AZ86" s="22"/>
      <c r="BA86" s="23">
        <v>0.82</v>
      </c>
      <c r="BB86" s="75">
        <f t="shared" si="74"/>
        <v>0</v>
      </c>
      <c r="BD86" s="41" t="s">
        <v>444</v>
      </c>
      <c r="BE86" s="41" t="s">
        <v>283</v>
      </c>
      <c r="BF86" s="40"/>
      <c r="BG86" s="40"/>
      <c r="BH86" s="29"/>
      <c r="BI86" s="22"/>
      <c r="BJ86" s="23">
        <v>0.82</v>
      </c>
      <c r="BK86" s="75">
        <f t="shared" si="75"/>
        <v>0</v>
      </c>
    </row>
    <row r="87" spans="2:63" x14ac:dyDescent="0.25">
      <c r="B87" s="41" t="s">
        <v>444</v>
      </c>
      <c r="C87" s="41" t="s">
        <v>283</v>
      </c>
      <c r="D87" s="40"/>
      <c r="E87" s="40"/>
      <c r="F87" s="29"/>
      <c r="G87" s="22"/>
      <c r="H87" s="23">
        <v>0.82</v>
      </c>
      <c r="I87" s="75">
        <f t="shared" si="69"/>
        <v>0</v>
      </c>
      <c r="K87" s="41" t="s">
        <v>444</v>
      </c>
      <c r="L87" s="41" t="s">
        <v>283</v>
      </c>
      <c r="M87" s="40"/>
      <c r="N87" s="40"/>
      <c r="O87" s="29"/>
      <c r="P87" s="22"/>
      <c r="Q87" s="23">
        <v>0.82</v>
      </c>
      <c r="R87" s="75">
        <f t="shared" si="70"/>
        <v>0</v>
      </c>
      <c r="T87" s="41" t="s">
        <v>444</v>
      </c>
      <c r="U87" s="41" t="s">
        <v>283</v>
      </c>
      <c r="V87" s="40"/>
      <c r="W87" s="40"/>
      <c r="X87" s="29"/>
      <c r="Y87" s="22"/>
      <c r="Z87" s="23">
        <v>0.82</v>
      </c>
      <c r="AA87" s="75">
        <f t="shared" si="71"/>
        <v>0</v>
      </c>
      <c r="AC87" s="41" t="s">
        <v>444</v>
      </c>
      <c r="AD87" s="41" t="s">
        <v>283</v>
      </c>
      <c r="AE87" s="40"/>
      <c r="AF87" s="40"/>
      <c r="AG87" s="29"/>
      <c r="AH87" s="22"/>
      <c r="AI87" s="23">
        <v>0.82</v>
      </c>
      <c r="AJ87" s="75">
        <f t="shared" si="72"/>
        <v>0</v>
      </c>
      <c r="AL87" s="41" t="s">
        <v>444</v>
      </c>
      <c r="AM87" s="41" t="s">
        <v>283</v>
      </c>
      <c r="AN87" s="40"/>
      <c r="AO87" s="40"/>
      <c r="AP87" s="29"/>
      <c r="AQ87" s="22"/>
      <c r="AR87" s="23">
        <v>0.82</v>
      </c>
      <c r="AS87" s="75">
        <f t="shared" si="73"/>
        <v>0</v>
      </c>
      <c r="AU87" s="41" t="s">
        <v>444</v>
      </c>
      <c r="AV87" s="41" t="s">
        <v>283</v>
      </c>
      <c r="AW87" s="40"/>
      <c r="AX87" s="40"/>
      <c r="AY87" s="29"/>
      <c r="AZ87" s="22"/>
      <c r="BA87" s="23">
        <v>0.82</v>
      </c>
      <c r="BB87" s="75">
        <f t="shared" si="74"/>
        <v>0</v>
      </c>
      <c r="BD87" s="41" t="s">
        <v>444</v>
      </c>
      <c r="BE87" s="41" t="s">
        <v>283</v>
      </c>
      <c r="BF87" s="40"/>
      <c r="BG87" s="40"/>
      <c r="BH87" s="29"/>
      <c r="BI87" s="22"/>
      <c r="BJ87" s="23">
        <v>0.82</v>
      </c>
      <c r="BK87" s="75">
        <f t="shared" si="75"/>
        <v>0</v>
      </c>
    </row>
    <row r="88" spans="2:63" x14ac:dyDescent="0.25">
      <c r="B88" s="41" t="s">
        <v>444</v>
      </c>
      <c r="C88" s="41" t="s">
        <v>283</v>
      </c>
      <c r="D88" s="40"/>
      <c r="E88" s="40"/>
      <c r="F88" s="29"/>
      <c r="G88" s="22"/>
      <c r="H88" s="23">
        <v>0.82</v>
      </c>
      <c r="I88" s="75">
        <f t="shared" si="69"/>
        <v>0</v>
      </c>
      <c r="K88" s="41" t="s">
        <v>444</v>
      </c>
      <c r="L88" s="41" t="s">
        <v>283</v>
      </c>
      <c r="M88" s="40"/>
      <c r="N88" s="40"/>
      <c r="O88" s="29"/>
      <c r="P88" s="22"/>
      <c r="Q88" s="23">
        <v>0.82</v>
      </c>
      <c r="R88" s="75">
        <f t="shared" si="70"/>
        <v>0</v>
      </c>
      <c r="T88" s="41" t="s">
        <v>444</v>
      </c>
      <c r="U88" s="41" t="s">
        <v>283</v>
      </c>
      <c r="V88" s="40"/>
      <c r="W88" s="40"/>
      <c r="X88" s="29"/>
      <c r="Y88" s="22"/>
      <c r="Z88" s="23">
        <v>0.82</v>
      </c>
      <c r="AA88" s="75">
        <f t="shared" si="71"/>
        <v>0</v>
      </c>
      <c r="AC88" s="41" t="s">
        <v>444</v>
      </c>
      <c r="AD88" s="41" t="s">
        <v>283</v>
      </c>
      <c r="AE88" s="40"/>
      <c r="AF88" s="40"/>
      <c r="AG88" s="29"/>
      <c r="AH88" s="22"/>
      <c r="AI88" s="23">
        <v>0.82</v>
      </c>
      <c r="AJ88" s="75">
        <f t="shared" si="72"/>
        <v>0</v>
      </c>
      <c r="AL88" s="41" t="s">
        <v>444</v>
      </c>
      <c r="AM88" s="41" t="s">
        <v>283</v>
      </c>
      <c r="AN88" s="40"/>
      <c r="AO88" s="40"/>
      <c r="AP88" s="29"/>
      <c r="AQ88" s="22"/>
      <c r="AR88" s="23">
        <v>0.82</v>
      </c>
      <c r="AS88" s="75">
        <f t="shared" si="73"/>
        <v>0</v>
      </c>
      <c r="AU88" s="41" t="s">
        <v>444</v>
      </c>
      <c r="AV88" s="41" t="s">
        <v>283</v>
      </c>
      <c r="AW88" s="40"/>
      <c r="AX88" s="40"/>
      <c r="AY88" s="29"/>
      <c r="AZ88" s="22"/>
      <c r="BA88" s="23">
        <v>0.82</v>
      </c>
      <c r="BB88" s="75">
        <f t="shared" si="74"/>
        <v>0</v>
      </c>
      <c r="BD88" s="41" t="s">
        <v>444</v>
      </c>
      <c r="BE88" s="41" t="s">
        <v>283</v>
      </c>
      <c r="BF88" s="40"/>
      <c r="BG88" s="40"/>
      <c r="BH88" s="29"/>
      <c r="BI88" s="22"/>
      <c r="BJ88" s="23">
        <v>0.82</v>
      </c>
      <c r="BK88" s="75">
        <f t="shared" si="75"/>
        <v>0</v>
      </c>
    </row>
    <row r="89" spans="2:63" x14ac:dyDescent="0.25">
      <c r="B89" s="41" t="s">
        <v>444</v>
      </c>
      <c r="C89" s="41" t="s">
        <v>283</v>
      </c>
      <c r="D89" s="40"/>
      <c r="E89" s="40"/>
      <c r="F89" s="29"/>
      <c r="G89" s="22"/>
      <c r="H89" s="23">
        <v>0.82</v>
      </c>
      <c r="I89" s="75">
        <f t="shared" si="69"/>
        <v>0</v>
      </c>
      <c r="K89" s="41" t="s">
        <v>444</v>
      </c>
      <c r="L89" s="41" t="s">
        <v>283</v>
      </c>
      <c r="M89" s="40"/>
      <c r="N89" s="40"/>
      <c r="O89" s="29"/>
      <c r="P89" s="22"/>
      <c r="Q89" s="23">
        <v>0.82</v>
      </c>
      <c r="R89" s="75">
        <f t="shared" si="70"/>
        <v>0</v>
      </c>
      <c r="T89" s="41" t="s">
        <v>444</v>
      </c>
      <c r="U89" s="41" t="s">
        <v>283</v>
      </c>
      <c r="V89" s="40"/>
      <c r="W89" s="40"/>
      <c r="X89" s="29"/>
      <c r="Y89" s="22"/>
      <c r="Z89" s="23">
        <v>0.82</v>
      </c>
      <c r="AA89" s="75">
        <f t="shared" si="71"/>
        <v>0</v>
      </c>
      <c r="AC89" s="41" t="s">
        <v>444</v>
      </c>
      <c r="AD89" s="41" t="s">
        <v>283</v>
      </c>
      <c r="AE89" s="40"/>
      <c r="AF89" s="40"/>
      <c r="AG89" s="29"/>
      <c r="AH89" s="22"/>
      <c r="AI89" s="23">
        <v>0.82</v>
      </c>
      <c r="AJ89" s="75">
        <f t="shared" si="72"/>
        <v>0</v>
      </c>
      <c r="AL89" s="41" t="s">
        <v>444</v>
      </c>
      <c r="AM89" s="41" t="s">
        <v>283</v>
      </c>
      <c r="AN89" s="40"/>
      <c r="AO89" s="40"/>
      <c r="AP89" s="29"/>
      <c r="AQ89" s="22"/>
      <c r="AR89" s="23">
        <v>0.82</v>
      </c>
      <c r="AS89" s="75">
        <f t="shared" si="73"/>
        <v>0</v>
      </c>
      <c r="AU89" s="41" t="s">
        <v>444</v>
      </c>
      <c r="AV89" s="41" t="s">
        <v>283</v>
      </c>
      <c r="AW89" s="40"/>
      <c r="AX89" s="40"/>
      <c r="AY89" s="29"/>
      <c r="AZ89" s="22"/>
      <c r="BA89" s="23">
        <v>0.82</v>
      </c>
      <c r="BB89" s="75">
        <f t="shared" si="74"/>
        <v>0</v>
      </c>
      <c r="BD89" s="41" t="s">
        <v>444</v>
      </c>
      <c r="BE89" s="41" t="s">
        <v>283</v>
      </c>
      <c r="BF89" s="40"/>
      <c r="BG89" s="40"/>
      <c r="BH89" s="29"/>
      <c r="BI89" s="22"/>
      <c r="BJ89" s="23">
        <v>0.82</v>
      </c>
      <c r="BK89" s="75">
        <f t="shared" si="75"/>
        <v>0</v>
      </c>
    </row>
    <row r="90" spans="2:63" x14ac:dyDescent="0.25">
      <c r="B90" s="41" t="s">
        <v>444</v>
      </c>
      <c r="C90" s="41" t="s">
        <v>283</v>
      </c>
      <c r="D90" s="40"/>
      <c r="E90" s="40"/>
      <c r="F90" s="29"/>
      <c r="G90" s="22"/>
      <c r="H90" s="23">
        <v>0.82</v>
      </c>
      <c r="I90" s="75">
        <f t="shared" si="69"/>
        <v>0</v>
      </c>
      <c r="K90" s="41" t="s">
        <v>444</v>
      </c>
      <c r="L90" s="41" t="s">
        <v>283</v>
      </c>
      <c r="M90" s="40"/>
      <c r="N90" s="40"/>
      <c r="O90" s="29"/>
      <c r="P90" s="22"/>
      <c r="Q90" s="23">
        <v>0.82</v>
      </c>
      <c r="R90" s="75">
        <f t="shared" si="70"/>
        <v>0</v>
      </c>
      <c r="T90" s="41" t="s">
        <v>444</v>
      </c>
      <c r="U90" s="41" t="s">
        <v>283</v>
      </c>
      <c r="V90" s="40"/>
      <c r="W90" s="40"/>
      <c r="X90" s="29"/>
      <c r="Y90" s="22"/>
      <c r="Z90" s="23">
        <v>0.82</v>
      </c>
      <c r="AA90" s="75">
        <f t="shared" si="71"/>
        <v>0</v>
      </c>
      <c r="AC90" s="41" t="s">
        <v>444</v>
      </c>
      <c r="AD90" s="41" t="s">
        <v>283</v>
      </c>
      <c r="AE90" s="40"/>
      <c r="AF90" s="40"/>
      <c r="AG90" s="29"/>
      <c r="AH90" s="22"/>
      <c r="AI90" s="23">
        <v>0.82</v>
      </c>
      <c r="AJ90" s="75">
        <f t="shared" si="72"/>
        <v>0</v>
      </c>
      <c r="AL90" s="41" t="s">
        <v>444</v>
      </c>
      <c r="AM90" s="41" t="s">
        <v>283</v>
      </c>
      <c r="AN90" s="40"/>
      <c r="AO90" s="40"/>
      <c r="AP90" s="29"/>
      <c r="AQ90" s="22"/>
      <c r="AR90" s="23">
        <v>0.82</v>
      </c>
      <c r="AS90" s="75">
        <f t="shared" si="73"/>
        <v>0</v>
      </c>
      <c r="AU90" s="41" t="s">
        <v>444</v>
      </c>
      <c r="AV90" s="41" t="s">
        <v>283</v>
      </c>
      <c r="AW90" s="40"/>
      <c r="AX90" s="40"/>
      <c r="AY90" s="29"/>
      <c r="AZ90" s="22"/>
      <c r="BA90" s="23">
        <v>0.82</v>
      </c>
      <c r="BB90" s="75">
        <f t="shared" si="74"/>
        <v>0</v>
      </c>
      <c r="BD90" s="41" t="s">
        <v>444</v>
      </c>
      <c r="BE90" s="41" t="s">
        <v>283</v>
      </c>
      <c r="BF90" s="40"/>
      <c r="BG90" s="40"/>
      <c r="BH90" s="29"/>
      <c r="BI90" s="22"/>
      <c r="BJ90" s="23">
        <v>0.82</v>
      </c>
      <c r="BK90" s="75">
        <f t="shared" si="75"/>
        <v>0</v>
      </c>
    </row>
    <row r="91" spans="2:63" x14ac:dyDescent="0.25">
      <c r="B91" s="41" t="s">
        <v>444</v>
      </c>
      <c r="C91" s="41" t="s">
        <v>283</v>
      </c>
      <c r="D91" s="40"/>
      <c r="E91" s="40"/>
      <c r="F91" s="29"/>
      <c r="G91" s="22"/>
      <c r="H91" s="23">
        <v>0.82</v>
      </c>
      <c r="I91" s="75">
        <f t="shared" si="69"/>
        <v>0</v>
      </c>
      <c r="K91" s="41" t="s">
        <v>444</v>
      </c>
      <c r="L91" s="41" t="s">
        <v>283</v>
      </c>
      <c r="M91" s="40"/>
      <c r="N91" s="40"/>
      <c r="O91" s="29"/>
      <c r="P91" s="22"/>
      <c r="Q91" s="23">
        <v>0.82</v>
      </c>
      <c r="R91" s="75">
        <f t="shared" si="70"/>
        <v>0</v>
      </c>
      <c r="T91" s="41" t="s">
        <v>444</v>
      </c>
      <c r="U91" s="41" t="s">
        <v>283</v>
      </c>
      <c r="V91" s="40"/>
      <c r="W91" s="40"/>
      <c r="X91" s="29"/>
      <c r="Y91" s="22"/>
      <c r="Z91" s="23">
        <v>0.82</v>
      </c>
      <c r="AA91" s="75">
        <f t="shared" si="71"/>
        <v>0</v>
      </c>
      <c r="AC91" s="41" t="s">
        <v>444</v>
      </c>
      <c r="AD91" s="41" t="s">
        <v>283</v>
      </c>
      <c r="AE91" s="40"/>
      <c r="AF91" s="40"/>
      <c r="AG91" s="29"/>
      <c r="AH91" s="22"/>
      <c r="AI91" s="23">
        <v>0.82</v>
      </c>
      <c r="AJ91" s="75">
        <f t="shared" si="72"/>
        <v>0</v>
      </c>
      <c r="AL91" s="41" t="s">
        <v>444</v>
      </c>
      <c r="AM91" s="41" t="s">
        <v>283</v>
      </c>
      <c r="AN91" s="40"/>
      <c r="AO91" s="40"/>
      <c r="AP91" s="29"/>
      <c r="AQ91" s="22"/>
      <c r="AR91" s="23">
        <v>0.82</v>
      </c>
      <c r="AS91" s="75">
        <f t="shared" si="73"/>
        <v>0</v>
      </c>
      <c r="AU91" s="41" t="s">
        <v>444</v>
      </c>
      <c r="AV91" s="41" t="s">
        <v>283</v>
      </c>
      <c r="AW91" s="40"/>
      <c r="AX91" s="40"/>
      <c r="AY91" s="29"/>
      <c r="AZ91" s="22"/>
      <c r="BA91" s="23">
        <v>0.82</v>
      </c>
      <c r="BB91" s="75">
        <f t="shared" si="74"/>
        <v>0</v>
      </c>
      <c r="BD91" s="41" t="s">
        <v>444</v>
      </c>
      <c r="BE91" s="41" t="s">
        <v>283</v>
      </c>
      <c r="BF91" s="40"/>
      <c r="BG91" s="40"/>
      <c r="BH91" s="29"/>
      <c r="BI91" s="22"/>
      <c r="BJ91" s="23">
        <v>0.82</v>
      </c>
      <c r="BK91" s="75">
        <f t="shared" si="75"/>
        <v>0</v>
      </c>
    </row>
    <row r="92" spans="2:63" x14ac:dyDescent="0.25">
      <c r="B92" s="41" t="s">
        <v>444</v>
      </c>
      <c r="C92" s="41" t="s">
        <v>283</v>
      </c>
      <c r="D92" s="40"/>
      <c r="E92" s="40"/>
      <c r="F92" s="29"/>
      <c r="G92" s="22"/>
      <c r="H92" s="23">
        <v>0.82</v>
      </c>
      <c r="I92" s="75">
        <f t="shared" si="69"/>
        <v>0</v>
      </c>
      <c r="K92" s="41" t="s">
        <v>444</v>
      </c>
      <c r="L92" s="41" t="s">
        <v>283</v>
      </c>
      <c r="M92" s="40"/>
      <c r="N92" s="40"/>
      <c r="O92" s="29"/>
      <c r="P92" s="22"/>
      <c r="Q92" s="23">
        <v>0.82</v>
      </c>
      <c r="R92" s="75">
        <f t="shared" si="70"/>
        <v>0</v>
      </c>
      <c r="T92" s="41" t="s">
        <v>444</v>
      </c>
      <c r="U92" s="41" t="s">
        <v>283</v>
      </c>
      <c r="V92" s="40"/>
      <c r="W92" s="40"/>
      <c r="X92" s="29"/>
      <c r="Y92" s="22"/>
      <c r="Z92" s="23">
        <v>0.82</v>
      </c>
      <c r="AA92" s="75">
        <f t="shared" si="71"/>
        <v>0</v>
      </c>
      <c r="AC92" s="41" t="s">
        <v>444</v>
      </c>
      <c r="AD92" s="41" t="s">
        <v>283</v>
      </c>
      <c r="AE92" s="40"/>
      <c r="AF92" s="40"/>
      <c r="AG92" s="29"/>
      <c r="AH92" s="22"/>
      <c r="AI92" s="23">
        <v>0.82</v>
      </c>
      <c r="AJ92" s="75">
        <f t="shared" si="72"/>
        <v>0</v>
      </c>
      <c r="AL92" s="41" t="s">
        <v>444</v>
      </c>
      <c r="AM92" s="41" t="s">
        <v>283</v>
      </c>
      <c r="AN92" s="40"/>
      <c r="AO92" s="40"/>
      <c r="AP92" s="29"/>
      <c r="AQ92" s="22"/>
      <c r="AR92" s="23">
        <v>0.82</v>
      </c>
      <c r="AS92" s="75">
        <f t="shared" si="73"/>
        <v>0</v>
      </c>
      <c r="AU92" s="41" t="s">
        <v>444</v>
      </c>
      <c r="AV92" s="41" t="s">
        <v>283</v>
      </c>
      <c r="AW92" s="40"/>
      <c r="AX92" s="40"/>
      <c r="AY92" s="29"/>
      <c r="AZ92" s="22"/>
      <c r="BA92" s="23">
        <v>0.82</v>
      </c>
      <c r="BB92" s="75">
        <f t="shared" si="74"/>
        <v>0</v>
      </c>
      <c r="BD92" s="41" t="s">
        <v>444</v>
      </c>
      <c r="BE92" s="41" t="s">
        <v>283</v>
      </c>
      <c r="BF92" s="40"/>
      <c r="BG92" s="40"/>
      <c r="BH92" s="29"/>
      <c r="BI92" s="22"/>
      <c r="BJ92" s="23">
        <v>0.82</v>
      </c>
      <c r="BK92" s="75">
        <f t="shared" si="75"/>
        <v>0</v>
      </c>
    </row>
    <row r="93" spans="2:63" x14ac:dyDescent="0.25">
      <c r="B93" s="41" t="s">
        <v>444</v>
      </c>
      <c r="C93" s="41" t="s">
        <v>283</v>
      </c>
      <c r="D93" s="40"/>
      <c r="E93" s="40"/>
      <c r="F93" s="29"/>
      <c r="G93" s="22"/>
      <c r="H93" s="23">
        <v>0.82</v>
      </c>
      <c r="I93" s="75">
        <f t="shared" si="69"/>
        <v>0</v>
      </c>
      <c r="K93" s="41" t="s">
        <v>444</v>
      </c>
      <c r="L93" s="41" t="s">
        <v>283</v>
      </c>
      <c r="M93" s="40"/>
      <c r="N93" s="40"/>
      <c r="O93" s="29"/>
      <c r="P93" s="22"/>
      <c r="Q93" s="23">
        <v>0.82</v>
      </c>
      <c r="R93" s="75">
        <f t="shared" si="70"/>
        <v>0</v>
      </c>
      <c r="T93" s="41" t="s">
        <v>444</v>
      </c>
      <c r="U93" s="41" t="s">
        <v>283</v>
      </c>
      <c r="V93" s="40"/>
      <c r="W93" s="40"/>
      <c r="X93" s="29"/>
      <c r="Y93" s="22"/>
      <c r="Z93" s="23">
        <v>0.82</v>
      </c>
      <c r="AA93" s="75">
        <f t="shared" si="71"/>
        <v>0</v>
      </c>
      <c r="AC93" s="41" t="s">
        <v>444</v>
      </c>
      <c r="AD93" s="41" t="s">
        <v>283</v>
      </c>
      <c r="AE93" s="40"/>
      <c r="AF93" s="40"/>
      <c r="AG93" s="29"/>
      <c r="AH93" s="22"/>
      <c r="AI93" s="23">
        <v>0.82</v>
      </c>
      <c r="AJ93" s="75">
        <f t="shared" si="72"/>
        <v>0</v>
      </c>
      <c r="AL93" s="41" t="s">
        <v>444</v>
      </c>
      <c r="AM93" s="41" t="s">
        <v>283</v>
      </c>
      <c r="AN93" s="40"/>
      <c r="AO93" s="40"/>
      <c r="AP93" s="29"/>
      <c r="AQ93" s="22"/>
      <c r="AR93" s="23">
        <v>0.82</v>
      </c>
      <c r="AS93" s="75">
        <f t="shared" si="73"/>
        <v>0</v>
      </c>
      <c r="AU93" s="41" t="s">
        <v>444</v>
      </c>
      <c r="AV93" s="41" t="s">
        <v>283</v>
      </c>
      <c r="AW93" s="40"/>
      <c r="AX93" s="40"/>
      <c r="AY93" s="29"/>
      <c r="AZ93" s="22"/>
      <c r="BA93" s="23">
        <v>0.82</v>
      </c>
      <c r="BB93" s="75">
        <f t="shared" si="74"/>
        <v>0</v>
      </c>
      <c r="BD93" s="41" t="s">
        <v>444</v>
      </c>
      <c r="BE93" s="41" t="s">
        <v>283</v>
      </c>
      <c r="BF93" s="40"/>
      <c r="BG93" s="40"/>
      <c r="BH93" s="29"/>
      <c r="BI93" s="22"/>
      <c r="BJ93" s="23">
        <v>0.82</v>
      </c>
      <c r="BK93" s="75">
        <f t="shared" si="75"/>
        <v>0</v>
      </c>
    </row>
    <row r="94" spans="2:63" x14ac:dyDescent="0.25">
      <c r="B94" s="41" t="s">
        <v>444</v>
      </c>
      <c r="C94" s="41" t="s">
        <v>283</v>
      </c>
      <c r="D94" s="40"/>
      <c r="E94" s="40"/>
      <c r="F94" s="29"/>
      <c r="G94" s="22"/>
      <c r="H94" s="23">
        <v>0.82</v>
      </c>
      <c r="I94" s="75">
        <f t="shared" si="69"/>
        <v>0</v>
      </c>
      <c r="K94" s="41" t="s">
        <v>444</v>
      </c>
      <c r="L94" s="41" t="s">
        <v>283</v>
      </c>
      <c r="M94" s="40"/>
      <c r="N94" s="40"/>
      <c r="O94" s="29"/>
      <c r="P94" s="22"/>
      <c r="Q94" s="23">
        <v>0.82</v>
      </c>
      <c r="R94" s="75">
        <f t="shared" si="70"/>
        <v>0</v>
      </c>
      <c r="T94" s="41" t="s">
        <v>444</v>
      </c>
      <c r="U94" s="41" t="s">
        <v>283</v>
      </c>
      <c r="V94" s="40"/>
      <c r="W94" s="40"/>
      <c r="X94" s="29"/>
      <c r="Y94" s="22"/>
      <c r="Z94" s="23">
        <v>0.82</v>
      </c>
      <c r="AA94" s="75">
        <f t="shared" si="71"/>
        <v>0</v>
      </c>
      <c r="AC94" s="41" t="s">
        <v>444</v>
      </c>
      <c r="AD94" s="41" t="s">
        <v>283</v>
      </c>
      <c r="AE94" s="40"/>
      <c r="AF94" s="40"/>
      <c r="AG94" s="29"/>
      <c r="AH94" s="22"/>
      <c r="AI94" s="23">
        <v>0.82</v>
      </c>
      <c r="AJ94" s="75">
        <f t="shared" si="72"/>
        <v>0</v>
      </c>
      <c r="AL94" s="41" t="s">
        <v>444</v>
      </c>
      <c r="AM94" s="41" t="s">
        <v>283</v>
      </c>
      <c r="AN94" s="40"/>
      <c r="AO94" s="40"/>
      <c r="AP94" s="29"/>
      <c r="AQ94" s="22"/>
      <c r="AR94" s="23">
        <v>0.82</v>
      </c>
      <c r="AS94" s="75">
        <f t="shared" si="73"/>
        <v>0</v>
      </c>
      <c r="AU94" s="41" t="s">
        <v>444</v>
      </c>
      <c r="AV94" s="41" t="s">
        <v>283</v>
      </c>
      <c r="AW94" s="40"/>
      <c r="AX94" s="40"/>
      <c r="AY94" s="29"/>
      <c r="AZ94" s="22"/>
      <c r="BA94" s="23">
        <v>0.82</v>
      </c>
      <c r="BB94" s="75">
        <f t="shared" si="74"/>
        <v>0</v>
      </c>
      <c r="BD94" s="41" t="s">
        <v>444</v>
      </c>
      <c r="BE94" s="41" t="s">
        <v>283</v>
      </c>
      <c r="BF94" s="40"/>
      <c r="BG94" s="40"/>
      <c r="BH94" s="29"/>
      <c r="BI94" s="22"/>
      <c r="BJ94" s="23">
        <v>0.82</v>
      </c>
      <c r="BK94" s="75">
        <f t="shared" si="75"/>
        <v>0</v>
      </c>
    </row>
    <row r="95" spans="2:63" s="24" customFormat="1" x14ac:dyDescent="0.25">
      <c r="B95" s="8" t="s">
        <v>446</v>
      </c>
      <c r="C95" s="25"/>
      <c r="D95" s="28">
        <f>SUM(D80:D94)</f>
        <v>150000</v>
      </c>
      <c r="E95" s="28">
        <f>SUM(E80:E94)</f>
        <v>50000</v>
      </c>
      <c r="F95" s="30"/>
      <c r="G95" s="25"/>
      <c r="H95" s="26"/>
      <c r="I95" s="28">
        <f>SUM(I80:I94)</f>
        <v>9840</v>
      </c>
      <c r="K95" s="8" t="s">
        <v>446</v>
      </c>
      <c r="L95" s="25"/>
      <c r="M95" s="28">
        <f>SUM(M80:M94)</f>
        <v>150000</v>
      </c>
      <c r="N95" s="28">
        <f>SUM(N80:N94)</f>
        <v>50000</v>
      </c>
      <c r="O95" s="30"/>
      <c r="P95" s="25"/>
      <c r="Q95" s="26"/>
      <c r="R95" s="28">
        <f>SUM(R80:R94)</f>
        <v>9840</v>
      </c>
      <c r="T95" s="8" t="s">
        <v>446</v>
      </c>
      <c r="U95" s="25"/>
      <c r="V95" s="28">
        <f>SUM(V80:V94)</f>
        <v>150000</v>
      </c>
      <c r="W95" s="28">
        <f>SUM(W80:W94)</f>
        <v>50000</v>
      </c>
      <c r="X95" s="30"/>
      <c r="Y95" s="25"/>
      <c r="Z95" s="26"/>
      <c r="AA95" s="28">
        <f>SUM(AA80:AA94)</f>
        <v>9840</v>
      </c>
      <c r="AC95" s="8" t="s">
        <v>446</v>
      </c>
      <c r="AD95" s="25"/>
      <c r="AE95" s="28">
        <f>SUM(AE80:AE94)</f>
        <v>150000</v>
      </c>
      <c r="AF95" s="28">
        <f>SUM(AF80:AF94)</f>
        <v>50000</v>
      </c>
      <c r="AG95" s="30"/>
      <c r="AH95" s="25"/>
      <c r="AI95" s="26"/>
      <c r="AJ95" s="28">
        <f>SUM(AJ80:AJ94)</f>
        <v>9840</v>
      </c>
      <c r="AL95" s="8" t="s">
        <v>446</v>
      </c>
      <c r="AM95" s="25"/>
      <c r="AN95" s="28">
        <f>SUM(AN80:AN94)</f>
        <v>150000</v>
      </c>
      <c r="AO95" s="28">
        <f>SUM(AO80:AO94)</f>
        <v>50000</v>
      </c>
      <c r="AP95" s="30"/>
      <c r="AQ95" s="25"/>
      <c r="AR95" s="26"/>
      <c r="AS95" s="28">
        <f>SUM(AS80:AS94)</f>
        <v>9840</v>
      </c>
      <c r="AU95" s="8" t="s">
        <v>446</v>
      </c>
      <c r="AV95" s="25"/>
      <c r="AW95" s="28">
        <f>SUM(AW80:AW94)</f>
        <v>150000</v>
      </c>
      <c r="AX95" s="28">
        <f>SUM(AX80:AX94)</f>
        <v>50000</v>
      </c>
      <c r="AY95" s="30"/>
      <c r="AZ95" s="25"/>
      <c r="BA95" s="26"/>
      <c r="BB95" s="28">
        <f>SUM(BB80:BB94)</f>
        <v>9840</v>
      </c>
      <c r="BD95" s="8" t="s">
        <v>446</v>
      </c>
      <c r="BE95" s="25"/>
      <c r="BF95" s="28">
        <f>SUM(BF80:BF94)</f>
        <v>150000</v>
      </c>
      <c r="BG95" s="28">
        <f>SUM(BG80:BG94)</f>
        <v>50000</v>
      </c>
      <c r="BH95" s="30"/>
      <c r="BI95" s="25"/>
      <c r="BJ95" s="26"/>
      <c r="BK95" s="28">
        <f>SUM(BK80:BK94)</f>
        <v>9840</v>
      </c>
    </row>
    <row r="97" spans="2:63" s="20" customFormat="1" ht="38.25" x14ac:dyDescent="0.25">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x14ac:dyDescent="0.25">
      <c r="B98" s="41" t="s">
        <v>444</v>
      </c>
      <c r="C98" s="41" t="s">
        <v>283</v>
      </c>
      <c r="D98" s="40">
        <v>200000</v>
      </c>
      <c r="E98" s="40">
        <v>100000</v>
      </c>
      <c r="F98" s="29"/>
      <c r="G98" s="22">
        <v>0.08</v>
      </c>
      <c r="H98" s="23">
        <v>0.82</v>
      </c>
      <c r="I98" s="75">
        <f>D98*G98*H98</f>
        <v>13120</v>
      </c>
      <c r="K98" s="41" t="s">
        <v>444</v>
      </c>
      <c r="L98" s="41" t="s">
        <v>283</v>
      </c>
      <c r="M98" s="40">
        <v>200000</v>
      </c>
      <c r="N98" s="40">
        <v>100000</v>
      </c>
      <c r="O98" s="29"/>
      <c r="P98" s="22">
        <v>0.08</v>
      </c>
      <c r="Q98" s="23">
        <v>0.82</v>
      </c>
      <c r="R98" s="75">
        <f>M98*P98*Q98</f>
        <v>13120</v>
      </c>
      <c r="T98" s="41" t="s">
        <v>444</v>
      </c>
      <c r="U98" s="41" t="s">
        <v>283</v>
      </c>
      <c r="V98" s="40">
        <v>200000</v>
      </c>
      <c r="W98" s="40">
        <v>100000</v>
      </c>
      <c r="X98" s="29"/>
      <c r="Y98" s="22">
        <v>0.08</v>
      </c>
      <c r="Z98" s="23">
        <v>0.82</v>
      </c>
      <c r="AA98" s="75">
        <f>V98*Y98*Z98</f>
        <v>13120</v>
      </c>
      <c r="AC98" s="41" t="s">
        <v>444</v>
      </c>
      <c r="AD98" s="41" t="s">
        <v>283</v>
      </c>
      <c r="AE98" s="40">
        <v>200000</v>
      </c>
      <c r="AF98" s="40">
        <v>100000</v>
      </c>
      <c r="AG98" s="29"/>
      <c r="AH98" s="22">
        <v>0.08</v>
      </c>
      <c r="AI98" s="23">
        <v>0.82</v>
      </c>
      <c r="AJ98" s="75">
        <f>AE98*AH98*AI98</f>
        <v>13120</v>
      </c>
      <c r="AL98" s="41" t="s">
        <v>444</v>
      </c>
      <c r="AM98" s="41" t="s">
        <v>283</v>
      </c>
      <c r="AN98" s="40">
        <v>200000</v>
      </c>
      <c r="AO98" s="40">
        <v>100000</v>
      </c>
      <c r="AP98" s="29"/>
      <c r="AQ98" s="22">
        <v>0.08</v>
      </c>
      <c r="AR98" s="23">
        <v>0.82</v>
      </c>
      <c r="AS98" s="75">
        <f>AN98*AQ98*AR98</f>
        <v>13120</v>
      </c>
      <c r="AU98" s="41" t="s">
        <v>444</v>
      </c>
      <c r="AV98" s="41" t="s">
        <v>283</v>
      </c>
      <c r="AW98" s="40">
        <v>200000</v>
      </c>
      <c r="AX98" s="40">
        <v>100000</v>
      </c>
      <c r="AY98" s="29"/>
      <c r="AZ98" s="22">
        <v>0.08</v>
      </c>
      <c r="BA98" s="23">
        <v>0.82</v>
      </c>
      <c r="BB98" s="75">
        <f>AW98*AZ98*BA98</f>
        <v>13120</v>
      </c>
      <c r="BD98" s="41" t="s">
        <v>444</v>
      </c>
      <c r="BE98" s="41" t="s">
        <v>283</v>
      </c>
      <c r="BF98" s="40">
        <v>200000</v>
      </c>
      <c r="BG98" s="40">
        <v>100000</v>
      </c>
      <c r="BH98" s="29"/>
      <c r="BI98" s="22">
        <v>0.08</v>
      </c>
      <c r="BJ98" s="23">
        <v>0.82</v>
      </c>
      <c r="BK98" s="75">
        <f>BF98*BI98*BJ98</f>
        <v>13120</v>
      </c>
    </row>
    <row r="99" spans="2:63" x14ac:dyDescent="0.25">
      <c r="B99" s="41" t="s">
        <v>444</v>
      </c>
      <c r="C99" s="41" t="s">
        <v>283</v>
      </c>
      <c r="D99" s="40"/>
      <c r="E99" s="40"/>
      <c r="F99" s="29"/>
      <c r="G99" s="22"/>
      <c r="H99" s="23">
        <v>0.82</v>
      </c>
      <c r="I99" s="75">
        <f t="shared" ref="I99:I112" si="83">D99*G99*H99</f>
        <v>0</v>
      </c>
      <c r="K99" s="41" t="s">
        <v>444</v>
      </c>
      <c r="L99" s="41" t="s">
        <v>283</v>
      </c>
      <c r="M99" s="40"/>
      <c r="N99" s="40"/>
      <c r="O99" s="29"/>
      <c r="P99" s="22"/>
      <c r="Q99" s="23">
        <v>0.82</v>
      </c>
      <c r="R99" s="75">
        <f t="shared" ref="R99:R112" si="84">M99*P99*Q99</f>
        <v>0</v>
      </c>
      <c r="T99" s="41" t="s">
        <v>444</v>
      </c>
      <c r="U99" s="41" t="s">
        <v>283</v>
      </c>
      <c r="V99" s="40"/>
      <c r="W99" s="40"/>
      <c r="X99" s="29"/>
      <c r="Y99" s="22"/>
      <c r="Z99" s="23">
        <v>0.82</v>
      </c>
      <c r="AA99" s="75">
        <f t="shared" ref="AA99:AA112" si="85">V99*Y99*Z99</f>
        <v>0</v>
      </c>
      <c r="AC99" s="41" t="s">
        <v>444</v>
      </c>
      <c r="AD99" s="41" t="s">
        <v>283</v>
      </c>
      <c r="AE99" s="40"/>
      <c r="AF99" s="40"/>
      <c r="AG99" s="29"/>
      <c r="AH99" s="22"/>
      <c r="AI99" s="23">
        <v>0.82</v>
      </c>
      <c r="AJ99" s="75">
        <f t="shared" ref="AJ99:AJ112" si="86">AE99*AH99*AI99</f>
        <v>0</v>
      </c>
      <c r="AL99" s="41" t="s">
        <v>444</v>
      </c>
      <c r="AM99" s="41" t="s">
        <v>283</v>
      </c>
      <c r="AN99" s="40"/>
      <c r="AO99" s="40"/>
      <c r="AP99" s="29"/>
      <c r="AQ99" s="22"/>
      <c r="AR99" s="23">
        <v>0.82</v>
      </c>
      <c r="AS99" s="75">
        <f t="shared" ref="AS99:AS112" si="87">AN99*AQ99*AR99</f>
        <v>0</v>
      </c>
      <c r="AU99" s="41" t="s">
        <v>444</v>
      </c>
      <c r="AV99" s="41" t="s">
        <v>283</v>
      </c>
      <c r="AW99" s="40"/>
      <c r="AX99" s="40"/>
      <c r="AY99" s="29"/>
      <c r="AZ99" s="22"/>
      <c r="BA99" s="23">
        <v>0.82</v>
      </c>
      <c r="BB99" s="75">
        <f t="shared" ref="BB99:BB112" si="88">AW99*AZ99*BA99</f>
        <v>0</v>
      </c>
      <c r="BD99" s="41" t="s">
        <v>444</v>
      </c>
      <c r="BE99" s="41" t="s">
        <v>283</v>
      </c>
      <c r="BF99" s="40"/>
      <c r="BG99" s="40"/>
      <c r="BH99" s="29"/>
      <c r="BI99" s="22"/>
      <c r="BJ99" s="23">
        <v>0.82</v>
      </c>
      <c r="BK99" s="75">
        <f t="shared" ref="BK99:BK112" si="89">BF99*BI99*BJ99</f>
        <v>0</v>
      </c>
    </row>
    <row r="100" spans="2:63" x14ac:dyDescent="0.25">
      <c r="B100" s="41" t="s">
        <v>444</v>
      </c>
      <c r="C100" s="41" t="s">
        <v>283</v>
      </c>
      <c r="D100" s="40"/>
      <c r="E100" s="40"/>
      <c r="F100" s="29"/>
      <c r="G100" s="22"/>
      <c r="H100" s="23">
        <v>0.82</v>
      </c>
      <c r="I100" s="75">
        <f t="shared" si="83"/>
        <v>0</v>
      </c>
      <c r="K100" s="41" t="s">
        <v>444</v>
      </c>
      <c r="L100" s="41" t="s">
        <v>283</v>
      </c>
      <c r="M100" s="40"/>
      <c r="N100" s="40"/>
      <c r="O100" s="29"/>
      <c r="P100" s="22"/>
      <c r="Q100" s="23">
        <v>0.82</v>
      </c>
      <c r="R100" s="75">
        <f t="shared" si="84"/>
        <v>0</v>
      </c>
      <c r="T100" s="41" t="s">
        <v>444</v>
      </c>
      <c r="U100" s="41" t="s">
        <v>283</v>
      </c>
      <c r="V100" s="40"/>
      <c r="W100" s="40"/>
      <c r="X100" s="29"/>
      <c r="Y100" s="22"/>
      <c r="Z100" s="23">
        <v>0.82</v>
      </c>
      <c r="AA100" s="75">
        <f t="shared" si="85"/>
        <v>0</v>
      </c>
      <c r="AC100" s="41" t="s">
        <v>444</v>
      </c>
      <c r="AD100" s="41" t="s">
        <v>283</v>
      </c>
      <c r="AE100" s="40"/>
      <c r="AF100" s="40"/>
      <c r="AG100" s="29"/>
      <c r="AH100" s="22"/>
      <c r="AI100" s="23">
        <v>0.82</v>
      </c>
      <c r="AJ100" s="75">
        <f t="shared" si="86"/>
        <v>0</v>
      </c>
      <c r="AL100" s="41" t="s">
        <v>444</v>
      </c>
      <c r="AM100" s="41" t="s">
        <v>283</v>
      </c>
      <c r="AN100" s="40"/>
      <c r="AO100" s="40"/>
      <c r="AP100" s="29"/>
      <c r="AQ100" s="22"/>
      <c r="AR100" s="23">
        <v>0.82</v>
      </c>
      <c r="AS100" s="75">
        <f t="shared" si="87"/>
        <v>0</v>
      </c>
      <c r="AU100" s="41" t="s">
        <v>444</v>
      </c>
      <c r="AV100" s="41" t="s">
        <v>283</v>
      </c>
      <c r="AW100" s="40"/>
      <c r="AX100" s="40"/>
      <c r="AY100" s="29"/>
      <c r="AZ100" s="22"/>
      <c r="BA100" s="23">
        <v>0.82</v>
      </c>
      <c r="BB100" s="75">
        <f t="shared" si="88"/>
        <v>0</v>
      </c>
      <c r="BD100" s="41" t="s">
        <v>444</v>
      </c>
      <c r="BE100" s="41" t="s">
        <v>283</v>
      </c>
      <c r="BF100" s="40"/>
      <c r="BG100" s="40"/>
      <c r="BH100" s="29"/>
      <c r="BI100" s="22"/>
      <c r="BJ100" s="23">
        <v>0.82</v>
      </c>
      <c r="BK100" s="75">
        <f t="shared" si="89"/>
        <v>0</v>
      </c>
    </row>
    <row r="101" spans="2:63" x14ac:dyDescent="0.25">
      <c r="B101" s="41" t="s">
        <v>444</v>
      </c>
      <c r="C101" s="41" t="s">
        <v>283</v>
      </c>
      <c r="D101" s="40"/>
      <c r="E101" s="40"/>
      <c r="F101" s="29"/>
      <c r="G101" s="22"/>
      <c r="H101" s="23">
        <v>0.82</v>
      </c>
      <c r="I101" s="75">
        <f t="shared" si="83"/>
        <v>0</v>
      </c>
      <c r="K101" s="41" t="s">
        <v>444</v>
      </c>
      <c r="L101" s="41" t="s">
        <v>283</v>
      </c>
      <c r="M101" s="40"/>
      <c r="N101" s="40"/>
      <c r="O101" s="29"/>
      <c r="P101" s="22"/>
      <c r="Q101" s="23">
        <v>0.82</v>
      </c>
      <c r="R101" s="75">
        <f t="shared" si="84"/>
        <v>0</v>
      </c>
      <c r="T101" s="41" t="s">
        <v>444</v>
      </c>
      <c r="U101" s="41" t="s">
        <v>283</v>
      </c>
      <c r="V101" s="40"/>
      <c r="W101" s="40"/>
      <c r="X101" s="29"/>
      <c r="Y101" s="22"/>
      <c r="Z101" s="23">
        <v>0.82</v>
      </c>
      <c r="AA101" s="75">
        <f t="shared" si="85"/>
        <v>0</v>
      </c>
      <c r="AC101" s="41" t="s">
        <v>444</v>
      </c>
      <c r="AD101" s="41" t="s">
        <v>283</v>
      </c>
      <c r="AE101" s="40"/>
      <c r="AF101" s="40"/>
      <c r="AG101" s="29"/>
      <c r="AH101" s="22"/>
      <c r="AI101" s="23">
        <v>0.82</v>
      </c>
      <c r="AJ101" s="75">
        <f t="shared" si="86"/>
        <v>0</v>
      </c>
      <c r="AL101" s="41" t="s">
        <v>444</v>
      </c>
      <c r="AM101" s="41" t="s">
        <v>283</v>
      </c>
      <c r="AN101" s="40"/>
      <c r="AO101" s="40"/>
      <c r="AP101" s="29"/>
      <c r="AQ101" s="22"/>
      <c r="AR101" s="23">
        <v>0.82</v>
      </c>
      <c r="AS101" s="75">
        <f t="shared" si="87"/>
        <v>0</v>
      </c>
      <c r="AU101" s="41" t="s">
        <v>444</v>
      </c>
      <c r="AV101" s="41" t="s">
        <v>283</v>
      </c>
      <c r="AW101" s="40"/>
      <c r="AX101" s="40"/>
      <c r="AY101" s="29"/>
      <c r="AZ101" s="22"/>
      <c r="BA101" s="23">
        <v>0.82</v>
      </c>
      <c r="BB101" s="75">
        <f t="shared" si="88"/>
        <v>0</v>
      </c>
      <c r="BD101" s="41" t="s">
        <v>444</v>
      </c>
      <c r="BE101" s="41" t="s">
        <v>283</v>
      </c>
      <c r="BF101" s="40"/>
      <c r="BG101" s="40"/>
      <c r="BH101" s="29"/>
      <c r="BI101" s="22"/>
      <c r="BJ101" s="23">
        <v>0.82</v>
      </c>
      <c r="BK101" s="75">
        <f t="shared" si="89"/>
        <v>0</v>
      </c>
    </row>
    <row r="102" spans="2:63" x14ac:dyDescent="0.25">
      <c r="B102" s="41" t="s">
        <v>444</v>
      </c>
      <c r="C102" s="41" t="s">
        <v>283</v>
      </c>
      <c r="D102" s="40"/>
      <c r="E102" s="40"/>
      <c r="F102" s="29"/>
      <c r="G102" s="22"/>
      <c r="H102" s="23">
        <v>0.82</v>
      </c>
      <c r="I102" s="75">
        <f t="shared" si="83"/>
        <v>0</v>
      </c>
      <c r="K102" s="41" t="s">
        <v>444</v>
      </c>
      <c r="L102" s="41" t="s">
        <v>283</v>
      </c>
      <c r="M102" s="40"/>
      <c r="N102" s="40"/>
      <c r="O102" s="29"/>
      <c r="P102" s="22"/>
      <c r="Q102" s="23">
        <v>0.82</v>
      </c>
      <c r="R102" s="75">
        <f t="shared" si="84"/>
        <v>0</v>
      </c>
      <c r="T102" s="41" t="s">
        <v>444</v>
      </c>
      <c r="U102" s="41" t="s">
        <v>283</v>
      </c>
      <c r="V102" s="40"/>
      <c r="W102" s="40"/>
      <c r="X102" s="29"/>
      <c r="Y102" s="22"/>
      <c r="Z102" s="23">
        <v>0.82</v>
      </c>
      <c r="AA102" s="75">
        <f t="shared" si="85"/>
        <v>0</v>
      </c>
      <c r="AC102" s="41" t="s">
        <v>444</v>
      </c>
      <c r="AD102" s="41" t="s">
        <v>283</v>
      </c>
      <c r="AE102" s="40"/>
      <c r="AF102" s="40"/>
      <c r="AG102" s="29"/>
      <c r="AH102" s="22"/>
      <c r="AI102" s="23">
        <v>0.82</v>
      </c>
      <c r="AJ102" s="75">
        <f t="shared" si="86"/>
        <v>0</v>
      </c>
      <c r="AL102" s="41" t="s">
        <v>444</v>
      </c>
      <c r="AM102" s="41" t="s">
        <v>283</v>
      </c>
      <c r="AN102" s="40"/>
      <c r="AO102" s="40"/>
      <c r="AP102" s="29"/>
      <c r="AQ102" s="22"/>
      <c r="AR102" s="23">
        <v>0.82</v>
      </c>
      <c r="AS102" s="75">
        <f t="shared" si="87"/>
        <v>0</v>
      </c>
      <c r="AU102" s="41" t="s">
        <v>444</v>
      </c>
      <c r="AV102" s="41" t="s">
        <v>283</v>
      </c>
      <c r="AW102" s="40"/>
      <c r="AX102" s="40"/>
      <c r="AY102" s="29"/>
      <c r="AZ102" s="22"/>
      <c r="BA102" s="23">
        <v>0.82</v>
      </c>
      <c r="BB102" s="75">
        <f t="shared" si="88"/>
        <v>0</v>
      </c>
      <c r="BD102" s="41" t="s">
        <v>444</v>
      </c>
      <c r="BE102" s="41" t="s">
        <v>283</v>
      </c>
      <c r="BF102" s="40"/>
      <c r="BG102" s="40"/>
      <c r="BH102" s="29"/>
      <c r="BI102" s="22"/>
      <c r="BJ102" s="23">
        <v>0.82</v>
      </c>
      <c r="BK102" s="75">
        <f t="shared" si="89"/>
        <v>0</v>
      </c>
    </row>
    <row r="103" spans="2:63" x14ac:dyDescent="0.25">
      <c r="B103" s="41" t="s">
        <v>444</v>
      </c>
      <c r="C103" s="41" t="s">
        <v>283</v>
      </c>
      <c r="D103" s="40"/>
      <c r="E103" s="40"/>
      <c r="F103" s="29"/>
      <c r="G103" s="22"/>
      <c r="H103" s="23">
        <v>0.82</v>
      </c>
      <c r="I103" s="75">
        <f t="shared" si="83"/>
        <v>0</v>
      </c>
      <c r="K103" s="41" t="s">
        <v>444</v>
      </c>
      <c r="L103" s="41" t="s">
        <v>283</v>
      </c>
      <c r="M103" s="40"/>
      <c r="N103" s="40"/>
      <c r="O103" s="29"/>
      <c r="P103" s="22"/>
      <c r="Q103" s="23">
        <v>0.82</v>
      </c>
      <c r="R103" s="75">
        <f t="shared" si="84"/>
        <v>0</v>
      </c>
      <c r="T103" s="41" t="s">
        <v>444</v>
      </c>
      <c r="U103" s="41" t="s">
        <v>283</v>
      </c>
      <c r="V103" s="40"/>
      <c r="W103" s="40"/>
      <c r="X103" s="29"/>
      <c r="Y103" s="22"/>
      <c r="Z103" s="23">
        <v>0.82</v>
      </c>
      <c r="AA103" s="75">
        <f t="shared" si="85"/>
        <v>0</v>
      </c>
      <c r="AC103" s="41" t="s">
        <v>444</v>
      </c>
      <c r="AD103" s="41" t="s">
        <v>283</v>
      </c>
      <c r="AE103" s="40"/>
      <c r="AF103" s="40"/>
      <c r="AG103" s="29"/>
      <c r="AH103" s="22"/>
      <c r="AI103" s="23">
        <v>0.82</v>
      </c>
      <c r="AJ103" s="75">
        <f t="shared" si="86"/>
        <v>0</v>
      </c>
      <c r="AL103" s="41" t="s">
        <v>444</v>
      </c>
      <c r="AM103" s="41" t="s">
        <v>283</v>
      </c>
      <c r="AN103" s="40"/>
      <c r="AO103" s="40"/>
      <c r="AP103" s="29"/>
      <c r="AQ103" s="22"/>
      <c r="AR103" s="23">
        <v>0.82</v>
      </c>
      <c r="AS103" s="75">
        <f t="shared" si="87"/>
        <v>0</v>
      </c>
      <c r="AU103" s="41" t="s">
        <v>444</v>
      </c>
      <c r="AV103" s="41" t="s">
        <v>283</v>
      </c>
      <c r="AW103" s="40"/>
      <c r="AX103" s="40"/>
      <c r="AY103" s="29"/>
      <c r="AZ103" s="22"/>
      <c r="BA103" s="23">
        <v>0.82</v>
      </c>
      <c r="BB103" s="75">
        <f t="shared" si="88"/>
        <v>0</v>
      </c>
      <c r="BD103" s="41" t="s">
        <v>444</v>
      </c>
      <c r="BE103" s="41" t="s">
        <v>283</v>
      </c>
      <c r="BF103" s="40"/>
      <c r="BG103" s="40"/>
      <c r="BH103" s="29"/>
      <c r="BI103" s="22"/>
      <c r="BJ103" s="23">
        <v>0.82</v>
      </c>
      <c r="BK103" s="75">
        <f t="shared" si="89"/>
        <v>0</v>
      </c>
    </row>
    <row r="104" spans="2:63" x14ac:dyDescent="0.25">
      <c r="B104" s="41" t="s">
        <v>444</v>
      </c>
      <c r="C104" s="41" t="s">
        <v>283</v>
      </c>
      <c r="D104" s="40"/>
      <c r="E104" s="40"/>
      <c r="F104" s="29"/>
      <c r="G104" s="22"/>
      <c r="H104" s="23">
        <v>0.82</v>
      </c>
      <c r="I104" s="75">
        <f t="shared" si="83"/>
        <v>0</v>
      </c>
      <c r="K104" s="41" t="s">
        <v>444</v>
      </c>
      <c r="L104" s="41" t="s">
        <v>283</v>
      </c>
      <c r="M104" s="40"/>
      <c r="N104" s="40"/>
      <c r="O104" s="29"/>
      <c r="P104" s="22"/>
      <c r="Q104" s="23">
        <v>0.82</v>
      </c>
      <c r="R104" s="75">
        <f t="shared" si="84"/>
        <v>0</v>
      </c>
      <c r="T104" s="41" t="s">
        <v>444</v>
      </c>
      <c r="U104" s="41" t="s">
        <v>283</v>
      </c>
      <c r="V104" s="40"/>
      <c r="W104" s="40"/>
      <c r="X104" s="29"/>
      <c r="Y104" s="22"/>
      <c r="Z104" s="23">
        <v>0.82</v>
      </c>
      <c r="AA104" s="75">
        <f t="shared" si="85"/>
        <v>0</v>
      </c>
      <c r="AC104" s="41" t="s">
        <v>444</v>
      </c>
      <c r="AD104" s="41" t="s">
        <v>283</v>
      </c>
      <c r="AE104" s="40"/>
      <c r="AF104" s="40"/>
      <c r="AG104" s="29"/>
      <c r="AH104" s="22"/>
      <c r="AI104" s="23">
        <v>0.82</v>
      </c>
      <c r="AJ104" s="75">
        <f t="shared" si="86"/>
        <v>0</v>
      </c>
      <c r="AL104" s="41" t="s">
        <v>444</v>
      </c>
      <c r="AM104" s="41" t="s">
        <v>283</v>
      </c>
      <c r="AN104" s="40"/>
      <c r="AO104" s="40"/>
      <c r="AP104" s="29"/>
      <c r="AQ104" s="22"/>
      <c r="AR104" s="23">
        <v>0.82</v>
      </c>
      <c r="AS104" s="75">
        <f t="shared" si="87"/>
        <v>0</v>
      </c>
      <c r="AU104" s="41" t="s">
        <v>444</v>
      </c>
      <c r="AV104" s="41" t="s">
        <v>283</v>
      </c>
      <c r="AW104" s="40"/>
      <c r="AX104" s="40"/>
      <c r="AY104" s="29"/>
      <c r="AZ104" s="22"/>
      <c r="BA104" s="23">
        <v>0.82</v>
      </c>
      <c r="BB104" s="75">
        <f t="shared" si="88"/>
        <v>0</v>
      </c>
      <c r="BD104" s="41" t="s">
        <v>444</v>
      </c>
      <c r="BE104" s="41" t="s">
        <v>283</v>
      </c>
      <c r="BF104" s="40"/>
      <c r="BG104" s="40"/>
      <c r="BH104" s="29"/>
      <c r="BI104" s="22"/>
      <c r="BJ104" s="23">
        <v>0.82</v>
      </c>
      <c r="BK104" s="75">
        <f t="shared" si="89"/>
        <v>0</v>
      </c>
    </row>
    <row r="105" spans="2:63" x14ac:dyDescent="0.25">
      <c r="B105" s="41" t="s">
        <v>444</v>
      </c>
      <c r="C105" s="41" t="s">
        <v>283</v>
      </c>
      <c r="D105" s="40"/>
      <c r="E105" s="40"/>
      <c r="F105" s="29"/>
      <c r="G105" s="22"/>
      <c r="H105" s="23">
        <v>0.82</v>
      </c>
      <c r="I105" s="75">
        <f t="shared" si="83"/>
        <v>0</v>
      </c>
      <c r="K105" s="41" t="s">
        <v>444</v>
      </c>
      <c r="L105" s="41" t="s">
        <v>283</v>
      </c>
      <c r="M105" s="40"/>
      <c r="N105" s="40"/>
      <c r="O105" s="29"/>
      <c r="P105" s="22"/>
      <c r="Q105" s="23">
        <v>0.82</v>
      </c>
      <c r="R105" s="75">
        <f t="shared" si="84"/>
        <v>0</v>
      </c>
      <c r="T105" s="41" t="s">
        <v>444</v>
      </c>
      <c r="U105" s="41" t="s">
        <v>283</v>
      </c>
      <c r="V105" s="40"/>
      <c r="W105" s="40"/>
      <c r="X105" s="29"/>
      <c r="Y105" s="22"/>
      <c r="Z105" s="23">
        <v>0.82</v>
      </c>
      <c r="AA105" s="75">
        <f t="shared" si="85"/>
        <v>0</v>
      </c>
      <c r="AC105" s="41" t="s">
        <v>444</v>
      </c>
      <c r="AD105" s="41" t="s">
        <v>283</v>
      </c>
      <c r="AE105" s="40"/>
      <c r="AF105" s="40"/>
      <c r="AG105" s="29"/>
      <c r="AH105" s="22"/>
      <c r="AI105" s="23">
        <v>0.82</v>
      </c>
      <c r="AJ105" s="75">
        <f t="shared" si="86"/>
        <v>0</v>
      </c>
      <c r="AL105" s="41" t="s">
        <v>444</v>
      </c>
      <c r="AM105" s="41" t="s">
        <v>283</v>
      </c>
      <c r="AN105" s="40"/>
      <c r="AO105" s="40"/>
      <c r="AP105" s="29"/>
      <c r="AQ105" s="22"/>
      <c r="AR105" s="23">
        <v>0.82</v>
      </c>
      <c r="AS105" s="75">
        <f t="shared" si="87"/>
        <v>0</v>
      </c>
      <c r="AU105" s="41" t="s">
        <v>444</v>
      </c>
      <c r="AV105" s="41" t="s">
        <v>283</v>
      </c>
      <c r="AW105" s="40"/>
      <c r="AX105" s="40"/>
      <c r="AY105" s="29"/>
      <c r="AZ105" s="22"/>
      <c r="BA105" s="23">
        <v>0.82</v>
      </c>
      <c r="BB105" s="75">
        <f t="shared" si="88"/>
        <v>0</v>
      </c>
      <c r="BD105" s="41" t="s">
        <v>444</v>
      </c>
      <c r="BE105" s="41" t="s">
        <v>283</v>
      </c>
      <c r="BF105" s="40"/>
      <c r="BG105" s="40"/>
      <c r="BH105" s="29"/>
      <c r="BI105" s="22"/>
      <c r="BJ105" s="23">
        <v>0.82</v>
      </c>
      <c r="BK105" s="75">
        <f t="shared" si="89"/>
        <v>0</v>
      </c>
    </row>
    <row r="106" spans="2:63" x14ac:dyDescent="0.25">
      <c r="B106" s="41" t="s">
        <v>444</v>
      </c>
      <c r="C106" s="41" t="s">
        <v>283</v>
      </c>
      <c r="D106" s="40"/>
      <c r="E106" s="40"/>
      <c r="F106" s="29"/>
      <c r="G106" s="22"/>
      <c r="H106" s="23">
        <v>0.82</v>
      </c>
      <c r="I106" s="75">
        <f t="shared" si="83"/>
        <v>0</v>
      </c>
      <c r="K106" s="41" t="s">
        <v>444</v>
      </c>
      <c r="L106" s="41" t="s">
        <v>283</v>
      </c>
      <c r="M106" s="40"/>
      <c r="N106" s="40"/>
      <c r="O106" s="29"/>
      <c r="P106" s="22"/>
      <c r="Q106" s="23">
        <v>0.82</v>
      </c>
      <c r="R106" s="75">
        <f t="shared" si="84"/>
        <v>0</v>
      </c>
      <c r="T106" s="41" t="s">
        <v>444</v>
      </c>
      <c r="U106" s="41" t="s">
        <v>283</v>
      </c>
      <c r="V106" s="40"/>
      <c r="W106" s="40"/>
      <c r="X106" s="29"/>
      <c r="Y106" s="22"/>
      <c r="Z106" s="23">
        <v>0.82</v>
      </c>
      <c r="AA106" s="75">
        <f t="shared" si="85"/>
        <v>0</v>
      </c>
      <c r="AC106" s="41" t="s">
        <v>444</v>
      </c>
      <c r="AD106" s="41" t="s">
        <v>283</v>
      </c>
      <c r="AE106" s="40"/>
      <c r="AF106" s="40"/>
      <c r="AG106" s="29"/>
      <c r="AH106" s="22"/>
      <c r="AI106" s="23">
        <v>0.82</v>
      </c>
      <c r="AJ106" s="75">
        <f t="shared" si="86"/>
        <v>0</v>
      </c>
      <c r="AL106" s="41" t="s">
        <v>444</v>
      </c>
      <c r="AM106" s="41" t="s">
        <v>283</v>
      </c>
      <c r="AN106" s="40"/>
      <c r="AO106" s="40"/>
      <c r="AP106" s="29"/>
      <c r="AQ106" s="22"/>
      <c r="AR106" s="23">
        <v>0.82</v>
      </c>
      <c r="AS106" s="75">
        <f t="shared" si="87"/>
        <v>0</v>
      </c>
      <c r="AU106" s="41" t="s">
        <v>444</v>
      </c>
      <c r="AV106" s="41" t="s">
        <v>283</v>
      </c>
      <c r="AW106" s="40"/>
      <c r="AX106" s="40"/>
      <c r="AY106" s="29"/>
      <c r="AZ106" s="22"/>
      <c r="BA106" s="23">
        <v>0.82</v>
      </c>
      <c r="BB106" s="75">
        <f t="shared" si="88"/>
        <v>0</v>
      </c>
      <c r="BD106" s="41" t="s">
        <v>444</v>
      </c>
      <c r="BE106" s="41" t="s">
        <v>283</v>
      </c>
      <c r="BF106" s="40"/>
      <c r="BG106" s="40"/>
      <c r="BH106" s="29"/>
      <c r="BI106" s="22"/>
      <c r="BJ106" s="23">
        <v>0.82</v>
      </c>
      <c r="BK106" s="75">
        <f t="shared" si="89"/>
        <v>0</v>
      </c>
    </row>
    <row r="107" spans="2:63" x14ac:dyDescent="0.25">
      <c r="B107" s="41" t="s">
        <v>444</v>
      </c>
      <c r="C107" s="41" t="s">
        <v>283</v>
      </c>
      <c r="D107" s="40"/>
      <c r="E107" s="40"/>
      <c r="F107" s="29"/>
      <c r="G107" s="22"/>
      <c r="H107" s="23">
        <v>0.82</v>
      </c>
      <c r="I107" s="75">
        <f t="shared" si="83"/>
        <v>0</v>
      </c>
      <c r="K107" s="41" t="s">
        <v>444</v>
      </c>
      <c r="L107" s="41" t="s">
        <v>283</v>
      </c>
      <c r="M107" s="40"/>
      <c r="N107" s="40"/>
      <c r="O107" s="29"/>
      <c r="P107" s="22"/>
      <c r="Q107" s="23">
        <v>0.82</v>
      </c>
      <c r="R107" s="75">
        <f t="shared" si="84"/>
        <v>0</v>
      </c>
      <c r="T107" s="41" t="s">
        <v>444</v>
      </c>
      <c r="U107" s="41" t="s">
        <v>283</v>
      </c>
      <c r="V107" s="40"/>
      <c r="W107" s="40"/>
      <c r="X107" s="29"/>
      <c r="Y107" s="22"/>
      <c r="Z107" s="23">
        <v>0.82</v>
      </c>
      <c r="AA107" s="75">
        <f t="shared" si="85"/>
        <v>0</v>
      </c>
      <c r="AC107" s="41" t="s">
        <v>444</v>
      </c>
      <c r="AD107" s="41" t="s">
        <v>283</v>
      </c>
      <c r="AE107" s="40"/>
      <c r="AF107" s="40"/>
      <c r="AG107" s="29"/>
      <c r="AH107" s="22"/>
      <c r="AI107" s="23">
        <v>0.82</v>
      </c>
      <c r="AJ107" s="75">
        <f t="shared" si="86"/>
        <v>0</v>
      </c>
      <c r="AL107" s="41" t="s">
        <v>444</v>
      </c>
      <c r="AM107" s="41" t="s">
        <v>283</v>
      </c>
      <c r="AN107" s="40"/>
      <c r="AO107" s="40"/>
      <c r="AP107" s="29"/>
      <c r="AQ107" s="22"/>
      <c r="AR107" s="23">
        <v>0.82</v>
      </c>
      <c r="AS107" s="75">
        <f t="shared" si="87"/>
        <v>0</v>
      </c>
      <c r="AU107" s="41" t="s">
        <v>444</v>
      </c>
      <c r="AV107" s="41" t="s">
        <v>283</v>
      </c>
      <c r="AW107" s="40"/>
      <c r="AX107" s="40"/>
      <c r="AY107" s="29"/>
      <c r="AZ107" s="22"/>
      <c r="BA107" s="23">
        <v>0.82</v>
      </c>
      <c r="BB107" s="75">
        <f t="shared" si="88"/>
        <v>0</v>
      </c>
      <c r="BD107" s="41" t="s">
        <v>444</v>
      </c>
      <c r="BE107" s="41" t="s">
        <v>283</v>
      </c>
      <c r="BF107" s="40"/>
      <c r="BG107" s="40"/>
      <c r="BH107" s="29"/>
      <c r="BI107" s="22"/>
      <c r="BJ107" s="23">
        <v>0.82</v>
      </c>
      <c r="BK107" s="75">
        <f t="shared" si="89"/>
        <v>0</v>
      </c>
    </row>
    <row r="108" spans="2:63" x14ac:dyDescent="0.25">
      <c r="B108" s="41" t="s">
        <v>444</v>
      </c>
      <c r="C108" s="41" t="s">
        <v>283</v>
      </c>
      <c r="D108" s="40"/>
      <c r="E108" s="40"/>
      <c r="F108" s="29"/>
      <c r="G108" s="22"/>
      <c r="H108" s="23">
        <v>0.82</v>
      </c>
      <c r="I108" s="75">
        <f t="shared" si="83"/>
        <v>0</v>
      </c>
      <c r="K108" s="41" t="s">
        <v>444</v>
      </c>
      <c r="L108" s="41" t="s">
        <v>283</v>
      </c>
      <c r="M108" s="40"/>
      <c r="N108" s="40"/>
      <c r="O108" s="29"/>
      <c r="P108" s="22"/>
      <c r="Q108" s="23">
        <v>0.82</v>
      </c>
      <c r="R108" s="75">
        <f t="shared" si="84"/>
        <v>0</v>
      </c>
      <c r="T108" s="41" t="s">
        <v>444</v>
      </c>
      <c r="U108" s="41" t="s">
        <v>283</v>
      </c>
      <c r="V108" s="40"/>
      <c r="W108" s="40"/>
      <c r="X108" s="29"/>
      <c r="Y108" s="22"/>
      <c r="Z108" s="23">
        <v>0.82</v>
      </c>
      <c r="AA108" s="75">
        <f t="shared" si="85"/>
        <v>0</v>
      </c>
      <c r="AC108" s="41" t="s">
        <v>444</v>
      </c>
      <c r="AD108" s="41" t="s">
        <v>283</v>
      </c>
      <c r="AE108" s="40"/>
      <c r="AF108" s="40"/>
      <c r="AG108" s="29"/>
      <c r="AH108" s="22"/>
      <c r="AI108" s="23">
        <v>0.82</v>
      </c>
      <c r="AJ108" s="75">
        <f t="shared" si="86"/>
        <v>0</v>
      </c>
      <c r="AL108" s="41" t="s">
        <v>444</v>
      </c>
      <c r="AM108" s="41" t="s">
        <v>283</v>
      </c>
      <c r="AN108" s="40"/>
      <c r="AO108" s="40"/>
      <c r="AP108" s="29"/>
      <c r="AQ108" s="22"/>
      <c r="AR108" s="23">
        <v>0.82</v>
      </c>
      <c r="AS108" s="75">
        <f t="shared" si="87"/>
        <v>0</v>
      </c>
      <c r="AU108" s="41" t="s">
        <v>444</v>
      </c>
      <c r="AV108" s="41" t="s">
        <v>283</v>
      </c>
      <c r="AW108" s="40"/>
      <c r="AX108" s="40"/>
      <c r="AY108" s="29"/>
      <c r="AZ108" s="22"/>
      <c r="BA108" s="23">
        <v>0.82</v>
      </c>
      <c r="BB108" s="75">
        <f t="shared" si="88"/>
        <v>0</v>
      </c>
      <c r="BD108" s="41" t="s">
        <v>444</v>
      </c>
      <c r="BE108" s="41" t="s">
        <v>283</v>
      </c>
      <c r="BF108" s="40"/>
      <c r="BG108" s="40"/>
      <c r="BH108" s="29"/>
      <c r="BI108" s="22"/>
      <c r="BJ108" s="23">
        <v>0.82</v>
      </c>
      <c r="BK108" s="75">
        <f t="shared" si="89"/>
        <v>0</v>
      </c>
    </row>
    <row r="109" spans="2:63" x14ac:dyDescent="0.25">
      <c r="B109" s="41" t="s">
        <v>444</v>
      </c>
      <c r="C109" s="41" t="s">
        <v>283</v>
      </c>
      <c r="D109" s="40"/>
      <c r="E109" s="40"/>
      <c r="F109" s="29"/>
      <c r="G109" s="22"/>
      <c r="H109" s="23">
        <v>0.82</v>
      </c>
      <c r="I109" s="75">
        <f t="shared" si="83"/>
        <v>0</v>
      </c>
      <c r="K109" s="41" t="s">
        <v>444</v>
      </c>
      <c r="L109" s="41" t="s">
        <v>283</v>
      </c>
      <c r="M109" s="40"/>
      <c r="N109" s="40"/>
      <c r="O109" s="29"/>
      <c r="P109" s="22"/>
      <c r="Q109" s="23">
        <v>0.82</v>
      </c>
      <c r="R109" s="75">
        <f t="shared" si="84"/>
        <v>0</v>
      </c>
      <c r="T109" s="41" t="s">
        <v>444</v>
      </c>
      <c r="U109" s="41" t="s">
        <v>283</v>
      </c>
      <c r="V109" s="40"/>
      <c r="W109" s="40"/>
      <c r="X109" s="29"/>
      <c r="Y109" s="22"/>
      <c r="Z109" s="23">
        <v>0.82</v>
      </c>
      <c r="AA109" s="75">
        <f t="shared" si="85"/>
        <v>0</v>
      </c>
      <c r="AC109" s="41" t="s">
        <v>444</v>
      </c>
      <c r="AD109" s="41" t="s">
        <v>283</v>
      </c>
      <c r="AE109" s="40"/>
      <c r="AF109" s="40"/>
      <c r="AG109" s="29"/>
      <c r="AH109" s="22"/>
      <c r="AI109" s="23">
        <v>0.82</v>
      </c>
      <c r="AJ109" s="75">
        <f t="shared" si="86"/>
        <v>0</v>
      </c>
      <c r="AL109" s="41" t="s">
        <v>444</v>
      </c>
      <c r="AM109" s="41" t="s">
        <v>283</v>
      </c>
      <c r="AN109" s="40"/>
      <c r="AO109" s="40"/>
      <c r="AP109" s="29"/>
      <c r="AQ109" s="22"/>
      <c r="AR109" s="23">
        <v>0.82</v>
      </c>
      <c r="AS109" s="75">
        <f t="shared" si="87"/>
        <v>0</v>
      </c>
      <c r="AU109" s="41" t="s">
        <v>444</v>
      </c>
      <c r="AV109" s="41" t="s">
        <v>283</v>
      </c>
      <c r="AW109" s="40"/>
      <c r="AX109" s="40"/>
      <c r="AY109" s="29"/>
      <c r="AZ109" s="22"/>
      <c r="BA109" s="23">
        <v>0.82</v>
      </c>
      <c r="BB109" s="75">
        <f t="shared" si="88"/>
        <v>0</v>
      </c>
      <c r="BD109" s="41" t="s">
        <v>444</v>
      </c>
      <c r="BE109" s="41" t="s">
        <v>283</v>
      </c>
      <c r="BF109" s="40"/>
      <c r="BG109" s="40"/>
      <c r="BH109" s="29"/>
      <c r="BI109" s="22"/>
      <c r="BJ109" s="23">
        <v>0.82</v>
      </c>
      <c r="BK109" s="75">
        <f t="shared" si="89"/>
        <v>0</v>
      </c>
    </row>
    <row r="110" spans="2:63" x14ac:dyDescent="0.25">
      <c r="B110" s="41" t="s">
        <v>444</v>
      </c>
      <c r="C110" s="41" t="s">
        <v>283</v>
      </c>
      <c r="D110" s="40"/>
      <c r="E110" s="40"/>
      <c r="F110" s="29"/>
      <c r="G110" s="22"/>
      <c r="H110" s="23">
        <v>0.82</v>
      </c>
      <c r="I110" s="75">
        <f t="shared" si="83"/>
        <v>0</v>
      </c>
      <c r="K110" s="41" t="s">
        <v>444</v>
      </c>
      <c r="L110" s="41" t="s">
        <v>283</v>
      </c>
      <c r="M110" s="40"/>
      <c r="N110" s="40"/>
      <c r="O110" s="29"/>
      <c r="P110" s="22"/>
      <c r="Q110" s="23">
        <v>0.82</v>
      </c>
      <c r="R110" s="75">
        <f t="shared" si="84"/>
        <v>0</v>
      </c>
      <c r="T110" s="41" t="s">
        <v>444</v>
      </c>
      <c r="U110" s="41" t="s">
        <v>283</v>
      </c>
      <c r="V110" s="40"/>
      <c r="W110" s="40"/>
      <c r="X110" s="29"/>
      <c r="Y110" s="22"/>
      <c r="Z110" s="23">
        <v>0.82</v>
      </c>
      <c r="AA110" s="75">
        <f t="shared" si="85"/>
        <v>0</v>
      </c>
      <c r="AC110" s="41" t="s">
        <v>444</v>
      </c>
      <c r="AD110" s="41" t="s">
        <v>283</v>
      </c>
      <c r="AE110" s="40"/>
      <c r="AF110" s="40"/>
      <c r="AG110" s="29"/>
      <c r="AH110" s="22"/>
      <c r="AI110" s="23">
        <v>0.82</v>
      </c>
      <c r="AJ110" s="75">
        <f t="shared" si="86"/>
        <v>0</v>
      </c>
      <c r="AL110" s="41" t="s">
        <v>444</v>
      </c>
      <c r="AM110" s="41" t="s">
        <v>283</v>
      </c>
      <c r="AN110" s="40"/>
      <c r="AO110" s="40"/>
      <c r="AP110" s="29"/>
      <c r="AQ110" s="22"/>
      <c r="AR110" s="23">
        <v>0.82</v>
      </c>
      <c r="AS110" s="75">
        <f t="shared" si="87"/>
        <v>0</v>
      </c>
      <c r="AU110" s="41" t="s">
        <v>444</v>
      </c>
      <c r="AV110" s="41" t="s">
        <v>283</v>
      </c>
      <c r="AW110" s="40"/>
      <c r="AX110" s="40"/>
      <c r="AY110" s="29"/>
      <c r="AZ110" s="22"/>
      <c r="BA110" s="23">
        <v>0.82</v>
      </c>
      <c r="BB110" s="75">
        <f t="shared" si="88"/>
        <v>0</v>
      </c>
      <c r="BD110" s="41" t="s">
        <v>444</v>
      </c>
      <c r="BE110" s="41" t="s">
        <v>283</v>
      </c>
      <c r="BF110" s="40"/>
      <c r="BG110" s="40"/>
      <c r="BH110" s="29"/>
      <c r="BI110" s="22"/>
      <c r="BJ110" s="23">
        <v>0.82</v>
      </c>
      <c r="BK110" s="75">
        <f t="shared" si="89"/>
        <v>0</v>
      </c>
    </row>
    <row r="111" spans="2:63" x14ac:dyDescent="0.25">
      <c r="B111" s="41" t="s">
        <v>444</v>
      </c>
      <c r="C111" s="41" t="s">
        <v>283</v>
      </c>
      <c r="D111" s="40"/>
      <c r="E111" s="40"/>
      <c r="F111" s="29"/>
      <c r="G111" s="22"/>
      <c r="H111" s="23">
        <v>0.82</v>
      </c>
      <c r="I111" s="75">
        <f t="shared" si="83"/>
        <v>0</v>
      </c>
      <c r="K111" s="41" t="s">
        <v>444</v>
      </c>
      <c r="L111" s="41" t="s">
        <v>283</v>
      </c>
      <c r="M111" s="40"/>
      <c r="N111" s="40"/>
      <c r="O111" s="29"/>
      <c r="P111" s="22"/>
      <c r="Q111" s="23">
        <v>0.82</v>
      </c>
      <c r="R111" s="75">
        <f t="shared" si="84"/>
        <v>0</v>
      </c>
      <c r="T111" s="41" t="s">
        <v>444</v>
      </c>
      <c r="U111" s="41" t="s">
        <v>283</v>
      </c>
      <c r="V111" s="40"/>
      <c r="W111" s="40"/>
      <c r="X111" s="29"/>
      <c r="Y111" s="22"/>
      <c r="Z111" s="23">
        <v>0.82</v>
      </c>
      <c r="AA111" s="75">
        <f t="shared" si="85"/>
        <v>0</v>
      </c>
      <c r="AC111" s="41" t="s">
        <v>444</v>
      </c>
      <c r="AD111" s="41" t="s">
        <v>283</v>
      </c>
      <c r="AE111" s="40"/>
      <c r="AF111" s="40"/>
      <c r="AG111" s="29"/>
      <c r="AH111" s="22"/>
      <c r="AI111" s="23">
        <v>0.82</v>
      </c>
      <c r="AJ111" s="75">
        <f t="shared" si="86"/>
        <v>0</v>
      </c>
      <c r="AL111" s="41" t="s">
        <v>444</v>
      </c>
      <c r="AM111" s="41" t="s">
        <v>283</v>
      </c>
      <c r="AN111" s="40"/>
      <c r="AO111" s="40"/>
      <c r="AP111" s="29"/>
      <c r="AQ111" s="22"/>
      <c r="AR111" s="23">
        <v>0.82</v>
      </c>
      <c r="AS111" s="75">
        <f t="shared" si="87"/>
        <v>0</v>
      </c>
      <c r="AU111" s="41" t="s">
        <v>444</v>
      </c>
      <c r="AV111" s="41" t="s">
        <v>283</v>
      </c>
      <c r="AW111" s="40"/>
      <c r="AX111" s="40"/>
      <c r="AY111" s="29"/>
      <c r="AZ111" s="22"/>
      <c r="BA111" s="23">
        <v>0.82</v>
      </c>
      <c r="BB111" s="75">
        <f t="shared" si="88"/>
        <v>0</v>
      </c>
      <c r="BD111" s="41" t="s">
        <v>444</v>
      </c>
      <c r="BE111" s="41" t="s">
        <v>283</v>
      </c>
      <c r="BF111" s="40"/>
      <c r="BG111" s="40"/>
      <c r="BH111" s="29"/>
      <c r="BI111" s="22"/>
      <c r="BJ111" s="23">
        <v>0.82</v>
      </c>
      <c r="BK111" s="75">
        <f t="shared" si="89"/>
        <v>0</v>
      </c>
    </row>
    <row r="112" spans="2:63" x14ac:dyDescent="0.25">
      <c r="B112" s="41" t="s">
        <v>444</v>
      </c>
      <c r="C112" s="41" t="s">
        <v>283</v>
      </c>
      <c r="D112" s="40"/>
      <c r="E112" s="40"/>
      <c r="F112" s="29"/>
      <c r="G112" s="22"/>
      <c r="H112" s="23">
        <v>0.82</v>
      </c>
      <c r="I112" s="75">
        <f t="shared" si="83"/>
        <v>0</v>
      </c>
      <c r="K112" s="41" t="s">
        <v>444</v>
      </c>
      <c r="L112" s="41" t="s">
        <v>283</v>
      </c>
      <c r="M112" s="40"/>
      <c r="N112" s="40"/>
      <c r="O112" s="29"/>
      <c r="P112" s="22"/>
      <c r="Q112" s="23">
        <v>0.82</v>
      </c>
      <c r="R112" s="75">
        <f t="shared" si="84"/>
        <v>0</v>
      </c>
      <c r="T112" s="41" t="s">
        <v>444</v>
      </c>
      <c r="U112" s="41" t="s">
        <v>283</v>
      </c>
      <c r="V112" s="40"/>
      <c r="W112" s="40"/>
      <c r="X112" s="29"/>
      <c r="Y112" s="22"/>
      <c r="Z112" s="23">
        <v>0.82</v>
      </c>
      <c r="AA112" s="75">
        <f t="shared" si="85"/>
        <v>0</v>
      </c>
      <c r="AC112" s="41" t="s">
        <v>444</v>
      </c>
      <c r="AD112" s="41" t="s">
        <v>283</v>
      </c>
      <c r="AE112" s="40"/>
      <c r="AF112" s="40"/>
      <c r="AG112" s="29"/>
      <c r="AH112" s="22"/>
      <c r="AI112" s="23">
        <v>0.82</v>
      </c>
      <c r="AJ112" s="75">
        <f t="shared" si="86"/>
        <v>0</v>
      </c>
      <c r="AL112" s="41" t="s">
        <v>444</v>
      </c>
      <c r="AM112" s="41" t="s">
        <v>283</v>
      </c>
      <c r="AN112" s="40"/>
      <c r="AO112" s="40"/>
      <c r="AP112" s="29"/>
      <c r="AQ112" s="22"/>
      <c r="AR112" s="23">
        <v>0.82</v>
      </c>
      <c r="AS112" s="75">
        <f t="shared" si="87"/>
        <v>0</v>
      </c>
      <c r="AU112" s="41" t="s">
        <v>444</v>
      </c>
      <c r="AV112" s="41" t="s">
        <v>283</v>
      </c>
      <c r="AW112" s="40"/>
      <c r="AX112" s="40"/>
      <c r="AY112" s="29"/>
      <c r="AZ112" s="22"/>
      <c r="BA112" s="23">
        <v>0.82</v>
      </c>
      <c r="BB112" s="75">
        <f t="shared" si="88"/>
        <v>0</v>
      </c>
      <c r="BD112" s="41" t="s">
        <v>444</v>
      </c>
      <c r="BE112" s="41" t="s">
        <v>283</v>
      </c>
      <c r="BF112" s="40"/>
      <c r="BG112" s="40"/>
      <c r="BH112" s="29"/>
      <c r="BI112" s="22"/>
      <c r="BJ112" s="23">
        <v>0.82</v>
      </c>
      <c r="BK112" s="75">
        <f t="shared" si="89"/>
        <v>0</v>
      </c>
    </row>
    <row r="113" spans="2:63" s="24" customFormat="1" x14ac:dyDescent="0.25">
      <c r="B113" s="8" t="s">
        <v>447</v>
      </c>
      <c r="C113" s="25"/>
      <c r="D113" s="28">
        <f>SUM(D98:D112)</f>
        <v>200000</v>
      </c>
      <c r="E113" s="28">
        <f>SUM(E98:E112)</f>
        <v>100000</v>
      </c>
      <c r="F113" s="30"/>
      <c r="G113" s="25"/>
      <c r="H113" s="26"/>
      <c r="I113" s="28">
        <f>SUM(I98:I112)</f>
        <v>13120</v>
      </c>
      <c r="K113" s="8" t="s">
        <v>447</v>
      </c>
      <c r="L113" s="25"/>
      <c r="M113" s="28">
        <f>SUM(M98:M112)</f>
        <v>200000</v>
      </c>
      <c r="N113" s="28">
        <f>SUM(N98:N112)</f>
        <v>100000</v>
      </c>
      <c r="O113" s="30"/>
      <c r="P113" s="25"/>
      <c r="Q113" s="26"/>
      <c r="R113" s="28">
        <f>SUM(R98:R112)</f>
        <v>13120</v>
      </c>
      <c r="T113" s="8" t="s">
        <v>447</v>
      </c>
      <c r="U113" s="25"/>
      <c r="V113" s="28">
        <f>SUM(V98:V112)</f>
        <v>200000</v>
      </c>
      <c r="W113" s="28">
        <f>SUM(W98:W112)</f>
        <v>100000</v>
      </c>
      <c r="X113" s="30"/>
      <c r="Y113" s="25"/>
      <c r="Z113" s="26"/>
      <c r="AA113" s="28">
        <f>SUM(AA98:AA112)</f>
        <v>13120</v>
      </c>
      <c r="AC113" s="8" t="s">
        <v>447</v>
      </c>
      <c r="AD113" s="25"/>
      <c r="AE113" s="28">
        <f>SUM(AE98:AE112)</f>
        <v>200000</v>
      </c>
      <c r="AF113" s="28">
        <f>SUM(AF98:AF112)</f>
        <v>100000</v>
      </c>
      <c r="AG113" s="30"/>
      <c r="AH113" s="25"/>
      <c r="AI113" s="26"/>
      <c r="AJ113" s="28">
        <f>SUM(AJ98:AJ112)</f>
        <v>13120</v>
      </c>
      <c r="AL113" s="8" t="s">
        <v>447</v>
      </c>
      <c r="AM113" s="25"/>
      <c r="AN113" s="28">
        <f>SUM(AN98:AN112)</f>
        <v>200000</v>
      </c>
      <c r="AO113" s="28">
        <f>SUM(AO98:AO112)</f>
        <v>100000</v>
      </c>
      <c r="AP113" s="30"/>
      <c r="AQ113" s="25"/>
      <c r="AR113" s="26"/>
      <c r="AS113" s="28">
        <f>SUM(AS98:AS112)</f>
        <v>13120</v>
      </c>
      <c r="AU113" s="8" t="s">
        <v>447</v>
      </c>
      <c r="AV113" s="25"/>
      <c r="AW113" s="28">
        <f>SUM(AW98:AW112)</f>
        <v>200000</v>
      </c>
      <c r="AX113" s="28">
        <f>SUM(AX98:AX112)</f>
        <v>100000</v>
      </c>
      <c r="AY113" s="30"/>
      <c r="AZ113" s="25"/>
      <c r="BA113" s="26"/>
      <c r="BB113" s="28">
        <f>SUM(BB98:BB112)</f>
        <v>13120</v>
      </c>
      <c r="BD113" s="8" t="s">
        <v>447</v>
      </c>
      <c r="BE113" s="25"/>
      <c r="BF113" s="28">
        <f>SUM(BF98:BF112)</f>
        <v>200000</v>
      </c>
      <c r="BG113" s="28">
        <f>SUM(BG98:BG112)</f>
        <v>100000</v>
      </c>
      <c r="BH113" s="30"/>
      <c r="BI113" s="25"/>
      <c r="BJ113" s="26"/>
      <c r="BK113" s="28">
        <f>SUM(BK98:BK112)</f>
        <v>13120</v>
      </c>
    </row>
    <row r="115" spans="2:63" s="20" customFormat="1" ht="38.25" x14ac:dyDescent="0.25">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x14ac:dyDescent="0.25">
      <c r="B116" s="41" t="s">
        <v>444</v>
      </c>
      <c r="C116" s="41" t="s">
        <v>283</v>
      </c>
      <c r="D116" s="40">
        <v>80000</v>
      </c>
      <c r="E116" s="40">
        <v>60000</v>
      </c>
      <c r="F116" s="40">
        <v>2500</v>
      </c>
      <c r="G116" s="31"/>
      <c r="H116" s="32"/>
      <c r="I116" s="29"/>
      <c r="K116" s="41" t="s">
        <v>444</v>
      </c>
      <c r="L116" s="41" t="s">
        <v>283</v>
      </c>
      <c r="M116" s="40">
        <v>80000</v>
      </c>
      <c r="N116" s="40">
        <v>60000</v>
      </c>
      <c r="O116" s="40">
        <v>2500</v>
      </c>
      <c r="P116" s="31"/>
      <c r="Q116" s="32"/>
      <c r="R116" s="29"/>
      <c r="T116" s="41" t="s">
        <v>444</v>
      </c>
      <c r="U116" s="41" t="s">
        <v>283</v>
      </c>
      <c r="V116" s="40">
        <v>80000</v>
      </c>
      <c r="W116" s="40">
        <v>60000</v>
      </c>
      <c r="X116" s="40">
        <v>2500</v>
      </c>
      <c r="Y116" s="31"/>
      <c r="Z116" s="32"/>
      <c r="AA116" s="29"/>
      <c r="AC116" s="41" t="s">
        <v>444</v>
      </c>
      <c r="AD116" s="41" t="s">
        <v>283</v>
      </c>
      <c r="AE116" s="40">
        <v>80000</v>
      </c>
      <c r="AF116" s="40">
        <v>60000</v>
      </c>
      <c r="AG116" s="40">
        <v>2500</v>
      </c>
      <c r="AH116" s="31"/>
      <c r="AI116" s="32"/>
      <c r="AJ116" s="29"/>
      <c r="AL116" s="41" t="s">
        <v>444</v>
      </c>
      <c r="AM116" s="41" t="s">
        <v>283</v>
      </c>
      <c r="AN116" s="40">
        <v>80000</v>
      </c>
      <c r="AO116" s="40">
        <v>60000</v>
      </c>
      <c r="AP116" s="40">
        <v>2500</v>
      </c>
      <c r="AQ116" s="31"/>
      <c r="AR116" s="32"/>
      <c r="AS116" s="29"/>
      <c r="AU116" s="41" t="s">
        <v>444</v>
      </c>
      <c r="AV116" s="41" t="s">
        <v>283</v>
      </c>
      <c r="AW116" s="40">
        <v>80000</v>
      </c>
      <c r="AX116" s="40">
        <v>60000</v>
      </c>
      <c r="AY116" s="40">
        <v>2500</v>
      </c>
      <c r="AZ116" s="31"/>
      <c r="BA116" s="32"/>
      <c r="BB116" s="29"/>
      <c r="BD116" s="41" t="s">
        <v>444</v>
      </c>
      <c r="BE116" s="41" t="s">
        <v>283</v>
      </c>
      <c r="BF116" s="40">
        <v>80000</v>
      </c>
      <c r="BG116" s="40">
        <v>60000</v>
      </c>
      <c r="BH116" s="40">
        <v>2500</v>
      </c>
      <c r="BI116" s="31"/>
      <c r="BJ116" s="32"/>
      <c r="BK116" s="29"/>
    </row>
    <row r="117" spans="2:63" x14ac:dyDescent="0.25">
      <c r="B117" s="41" t="s">
        <v>444</v>
      </c>
      <c r="C117" s="41" t="s">
        <v>283</v>
      </c>
      <c r="D117" s="40"/>
      <c r="E117" s="40"/>
      <c r="F117" s="40"/>
      <c r="G117" s="31"/>
      <c r="H117" s="32"/>
      <c r="I117" s="29"/>
      <c r="K117" s="41" t="s">
        <v>444</v>
      </c>
      <c r="L117" s="41" t="s">
        <v>283</v>
      </c>
      <c r="M117" s="40"/>
      <c r="N117" s="40"/>
      <c r="O117" s="40"/>
      <c r="P117" s="31"/>
      <c r="Q117" s="32"/>
      <c r="R117" s="29"/>
      <c r="T117" s="41" t="s">
        <v>444</v>
      </c>
      <c r="U117" s="41" t="s">
        <v>283</v>
      </c>
      <c r="V117" s="40"/>
      <c r="W117" s="40"/>
      <c r="X117" s="40"/>
      <c r="Y117" s="31"/>
      <c r="Z117" s="32"/>
      <c r="AA117" s="29"/>
      <c r="AC117" s="41" t="s">
        <v>444</v>
      </c>
      <c r="AD117" s="41" t="s">
        <v>283</v>
      </c>
      <c r="AE117" s="40"/>
      <c r="AF117" s="40"/>
      <c r="AG117" s="40"/>
      <c r="AH117" s="31"/>
      <c r="AI117" s="32"/>
      <c r="AJ117" s="29"/>
      <c r="AL117" s="41" t="s">
        <v>444</v>
      </c>
      <c r="AM117" s="41" t="s">
        <v>283</v>
      </c>
      <c r="AN117" s="40"/>
      <c r="AO117" s="40"/>
      <c r="AP117" s="40"/>
      <c r="AQ117" s="31"/>
      <c r="AR117" s="32"/>
      <c r="AS117" s="29"/>
      <c r="AU117" s="41" t="s">
        <v>444</v>
      </c>
      <c r="AV117" s="41" t="s">
        <v>283</v>
      </c>
      <c r="AW117" s="40"/>
      <c r="AX117" s="40"/>
      <c r="AY117" s="40"/>
      <c r="AZ117" s="31"/>
      <c r="BA117" s="32"/>
      <c r="BB117" s="29"/>
      <c r="BD117" s="41" t="s">
        <v>444</v>
      </c>
      <c r="BE117" s="41" t="s">
        <v>283</v>
      </c>
      <c r="BF117" s="40"/>
      <c r="BG117" s="40"/>
      <c r="BH117" s="40"/>
      <c r="BI117" s="31"/>
      <c r="BJ117" s="32"/>
      <c r="BK117" s="29"/>
    </row>
    <row r="118" spans="2:63" x14ac:dyDescent="0.25">
      <c r="B118" s="41" t="s">
        <v>444</v>
      </c>
      <c r="C118" s="41" t="s">
        <v>283</v>
      </c>
      <c r="D118" s="40"/>
      <c r="E118" s="40"/>
      <c r="F118" s="40"/>
      <c r="G118" s="31"/>
      <c r="H118" s="32"/>
      <c r="I118" s="29"/>
      <c r="K118" s="41" t="s">
        <v>444</v>
      </c>
      <c r="L118" s="41" t="s">
        <v>283</v>
      </c>
      <c r="M118" s="40"/>
      <c r="N118" s="40"/>
      <c r="O118" s="40"/>
      <c r="P118" s="31"/>
      <c r="Q118" s="32"/>
      <c r="R118" s="29"/>
      <c r="T118" s="41" t="s">
        <v>444</v>
      </c>
      <c r="U118" s="41" t="s">
        <v>283</v>
      </c>
      <c r="V118" s="40"/>
      <c r="W118" s="40"/>
      <c r="X118" s="40"/>
      <c r="Y118" s="31"/>
      <c r="Z118" s="32"/>
      <c r="AA118" s="29"/>
      <c r="AC118" s="41" t="s">
        <v>444</v>
      </c>
      <c r="AD118" s="41" t="s">
        <v>283</v>
      </c>
      <c r="AE118" s="40"/>
      <c r="AF118" s="40"/>
      <c r="AG118" s="40"/>
      <c r="AH118" s="31"/>
      <c r="AI118" s="32"/>
      <c r="AJ118" s="29"/>
      <c r="AL118" s="41" t="s">
        <v>444</v>
      </c>
      <c r="AM118" s="41" t="s">
        <v>283</v>
      </c>
      <c r="AN118" s="40"/>
      <c r="AO118" s="40"/>
      <c r="AP118" s="40"/>
      <c r="AQ118" s="31"/>
      <c r="AR118" s="32"/>
      <c r="AS118" s="29"/>
      <c r="AU118" s="41" t="s">
        <v>444</v>
      </c>
      <c r="AV118" s="41" t="s">
        <v>283</v>
      </c>
      <c r="AW118" s="40"/>
      <c r="AX118" s="40"/>
      <c r="AY118" s="40"/>
      <c r="AZ118" s="31"/>
      <c r="BA118" s="32"/>
      <c r="BB118" s="29"/>
      <c r="BD118" s="41" t="s">
        <v>444</v>
      </c>
      <c r="BE118" s="41" t="s">
        <v>283</v>
      </c>
      <c r="BF118" s="40"/>
      <c r="BG118" s="40"/>
      <c r="BH118" s="40"/>
      <c r="BI118" s="31"/>
      <c r="BJ118" s="32"/>
      <c r="BK118" s="29"/>
    </row>
    <row r="119" spans="2:63" x14ac:dyDescent="0.25">
      <c r="B119" s="41" t="s">
        <v>444</v>
      </c>
      <c r="C119" s="41" t="s">
        <v>283</v>
      </c>
      <c r="D119" s="40"/>
      <c r="E119" s="40"/>
      <c r="F119" s="40"/>
      <c r="G119" s="31"/>
      <c r="H119" s="32"/>
      <c r="I119" s="29"/>
      <c r="K119" s="41" t="s">
        <v>444</v>
      </c>
      <c r="L119" s="41" t="s">
        <v>283</v>
      </c>
      <c r="M119" s="40"/>
      <c r="N119" s="40"/>
      <c r="O119" s="40"/>
      <c r="P119" s="31"/>
      <c r="Q119" s="32"/>
      <c r="R119" s="29"/>
      <c r="T119" s="41" t="s">
        <v>444</v>
      </c>
      <c r="U119" s="41" t="s">
        <v>283</v>
      </c>
      <c r="V119" s="40"/>
      <c r="W119" s="40"/>
      <c r="X119" s="40"/>
      <c r="Y119" s="31"/>
      <c r="Z119" s="32"/>
      <c r="AA119" s="29"/>
      <c r="AC119" s="41" t="s">
        <v>444</v>
      </c>
      <c r="AD119" s="41" t="s">
        <v>283</v>
      </c>
      <c r="AE119" s="40"/>
      <c r="AF119" s="40"/>
      <c r="AG119" s="40"/>
      <c r="AH119" s="31"/>
      <c r="AI119" s="32"/>
      <c r="AJ119" s="29"/>
      <c r="AL119" s="41" t="s">
        <v>444</v>
      </c>
      <c r="AM119" s="41" t="s">
        <v>283</v>
      </c>
      <c r="AN119" s="40"/>
      <c r="AO119" s="40"/>
      <c r="AP119" s="40"/>
      <c r="AQ119" s="31"/>
      <c r="AR119" s="32"/>
      <c r="AS119" s="29"/>
      <c r="AU119" s="41" t="s">
        <v>444</v>
      </c>
      <c r="AV119" s="41" t="s">
        <v>283</v>
      </c>
      <c r="AW119" s="40"/>
      <c r="AX119" s="40"/>
      <c r="AY119" s="40"/>
      <c r="AZ119" s="31"/>
      <c r="BA119" s="32"/>
      <c r="BB119" s="29"/>
      <c r="BD119" s="41" t="s">
        <v>444</v>
      </c>
      <c r="BE119" s="41" t="s">
        <v>283</v>
      </c>
      <c r="BF119" s="40"/>
      <c r="BG119" s="40"/>
      <c r="BH119" s="40"/>
      <c r="BI119" s="31"/>
      <c r="BJ119" s="32"/>
      <c r="BK119" s="29"/>
    </row>
    <row r="120" spans="2:63" x14ac:dyDescent="0.25">
      <c r="B120" s="41" t="s">
        <v>444</v>
      </c>
      <c r="C120" s="41" t="s">
        <v>283</v>
      </c>
      <c r="D120" s="40"/>
      <c r="E120" s="40"/>
      <c r="F120" s="40"/>
      <c r="G120" s="31"/>
      <c r="H120" s="32"/>
      <c r="I120" s="29"/>
      <c r="K120" s="41" t="s">
        <v>444</v>
      </c>
      <c r="L120" s="41" t="s">
        <v>283</v>
      </c>
      <c r="M120" s="40"/>
      <c r="N120" s="40"/>
      <c r="O120" s="40"/>
      <c r="P120" s="31"/>
      <c r="Q120" s="32"/>
      <c r="R120" s="29"/>
      <c r="T120" s="41" t="s">
        <v>444</v>
      </c>
      <c r="U120" s="41" t="s">
        <v>283</v>
      </c>
      <c r="V120" s="40"/>
      <c r="W120" s="40"/>
      <c r="X120" s="40"/>
      <c r="Y120" s="31"/>
      <c r="Z120" s="32"/>
      <c r="AA120" s="29"/>
      <c r="AC120" s="41" t="s">
        <v>444</v>
      </c>
      <c r="AD120" s="41" t="s">
        <v>283</v>
      </c>
      <c r="AE120" s="40"/>
      <c r="AF120" s="40"/>
      <c r="AG120" s="40"/>
      <c r="AH120" s="31"/>
      <c r="AI120" s="32"/>
      <c r="AJ120" s="29"/>
      <c r="AL120" s="41" t="s">
        <v>444</v>
      </c>
      <c r="AM120" s="41" t="s">
        <v>283</v>
      </c>
      <c r="AN120" s="40"/>
      <c r="AO120" s="40"/>
      <c r="AP120" s="40"/>
      <c r="AQ120" s="31"/>
      <c r="AR120" s="32"/>
      <c r="AS120" s="29"/>
      <c r="AU120" s="41" t="s">
        <v>444</v>
      </c>
      <c r="AV120" s="41" t="s">
        <v>283</v>
      </c>
      <c r="AW120" s="40"/>
      <c r="AX120" s="40"/>
      <c r="AY120" s="40"/>
      <c r="AZ120" s="31"/>
      <c r="BA120" s="32"/>
      <c r="BB120" s="29"/>
      <c r="BD120" s="41" t="s">
        <v>444</v>
      </c>
      <c r="BE120" s="41" t="s">
        <v>283</v>
      </c>
      <c r="BF120" s="40"/>
      <c r="BG120" s="40"/>
      <c r="BH120" s="40"/>
      <c r="BI120" s="31"/>
      <c r="BJ120" s="32"/>
      <c r="BK120" s="29"/>
    </row>
    <row r="121" spans="2:63" x14ac:dyDescent="0.25">
      <c r="B121" s="41" t="s">
        <v>444</v>
      </c>
      <c r="C121" s="41" t="s">
        <v>283</v>
      </c>
      <c r="D121" s="40"/>
      <c r="E121" s="40"/>
      <c r="F121" s="40"/>
      <c r="G121" s="31"/>
      <c r="H121" s="32"/>
      <c r="I121" s="29"/>
      <c r="K121" s="41" t="s">
        <v>444</v>
      </c>
      <c r="L121" s="41" t="s">
        <v>283</v>
      </c>
      <c r="M121" s="40"/>
      <c r="N121" s="40"/>
      <c r="O121" s="40"/>
      <c r="P121" s="31"/>
      <c r="Q121" s="32"/>
      <c r="R121" s="29"/>
      <c r="T121" s="41" t="s">
        <v>444</v>
      </c>
      <c r="U121" s="41" t="s">
        <v>283</v>
      </c>
      <c r="V121" s="40"/>
      <c r="W121" s="40"/>
      <c r="X121" s="40"/>
      <c r="Y121" s="31"/>
      <c r="Z121" s="32"/>
      <c r="AA121" s="29"/>
      <c r="AC121" s="41" t="s">
        <v>444</v>
      </c>
      <c r="AD121" s="41" t="s">
        <v>283</v>
      </c>
      <c r="AE121" s="40"/>
      <c r="AF121" s="40"/>
      <c r="AG121" s="40"/>
      <c r="AH121" s="31"/>
      <c r="AI121" s="32"/>
      <c r="AJ121" s="29"/>
      <c r="AL121" s="41" t="s">
        <v>444</v>
      </c>
      <c r="AM121" s="41" t="s">
        <v>283</v>
      </c>
      <c r="AN121" s="40"/>
      <c r="AO121" s="40"/>
      <c r="AP121" s="40"/>
      <c r="AQ121" s="31"/>
      <c r="AR121" s="32"/>
      <c r="AS121" s="29"/>
      <c r="AU121" s="41" t="s">
        <v>444</v>
      </c>
      <c r="AV121" s="41" t="s">
        <v>283</v>
      </c>
      <c r="AW121" s="40"/>
      <c r="AX121" s="40"/>
      <c r="AY121" s="40"/>
      <c r="AZ121" s="31"/>
      <c r="BA121" s="32"/>
      <c r="BB121" s="29"/>
      <c r="BD121" s="41" t="s">
        <v>444</v>
      </c>
      <c r="BE121" s="41" t="s">
        <v>283</v>
      </c>
      <c r="BF121" s="40"/>
      <c r="BG121" s="40"/>
      <c r="BH121" s="40"/>
      <c r="BI121" s="31"/>
      <c r="BJ121" s="32"/>
      <c r="BK121" s="29"/>
    </row>
    <row r="122" spans="2:63" x14ac:dyDescent="0.25">
      <c r="B122" s="41" t="s">
        <v>444</v>
      </c>
      <c r="C122" s="41" t="s">
        <v>283</v>
      </c>
      <c r="D122" s="40"/>
      <c r="E122" s="40"/>
      <c r="F122" s="40"/>
      <c r="G122" s="31"/>
      <c r="H122" s="32"/>
      <c r="I122" s="29"/>
      <c r="K122" s="41" t="s">
        <v>444</v>
      </c>
      <c r="L122" s="41" t="s">
        <v>283</v>
      </c>
      <c r="M122" s="40"/>
      <c r="N122" s="40"/>
      <c r="O122" s="40"/>
      <c r="P122" s="31"/>
      <c r="Q122" s="32"/>
      <c r="R122" s="29"/>
      <c r="T122" s="41" t="s">
        <v>444</v>
      </c>
      <c r="U122" s="41" t="s">
        <v>283</v>
      </c>
      <c r="V122" s="40"/>
      <c r="W122" s="40"/>
      <c r="X122" s="40"/>
      <c r="Y122" s="31"/>
      <c r="Z122" s="32"/>
      <c r="AA122" s="29"/>
      <c r="AC122" s="41" t="s">
        <v>444</v>
      </c>
      <c r="AD122" s="41" t="s">
        <v>283</v>
      </c>
      <c r="AE122" s="40"/>
      <c r="AF122" s="40"/>
      <c r="AG122" s="40"/>
      <c r="AH122" s="31"/>
      <c r="AI122" s="32"/>
      <c r="AJ122" s="29"/>
      <c r="AL122" s="41" t="s">
        <v>444</v>
      </c>
      <c r="AM122" s="41" t="s">
        <v>283</v>
      </c>
      <c r="AN122" s="40"/>
      <c r="AO122" s="40"/>
      <c r="AP122" s="40"/>
      <c r="AQ122" s="31"/>
      <c r="AR122" s="32"/>
      <c r="AS122" s="29"/>
      <c r="AU122" s="41" t="s">
        <v>444</v>
      </c>
      <c r="AV122" s="41" t="s">
        <v>283</v>
      </c>
      <c r="AW122" s="40"/>
      <c r="AX122" s="40"/>
      <c r="AY122" s="40"/>
      <c r="AZ122" s="31"/>
      <c r="BA122" s="32"/>
      <c r="BB122" s="29"/>
      <c r="BD122" s="41" t="s">
        <v>444</v>
      </c>
      <c r="BE122" s="41" t="s">
        <v>283</v>
      </c>
      <c r="BF122" s="40"/>
      <c r="BG122" s="40"/>
      <c r="BH122" s="40"/>
      <c r="BI122" s="31"/>
      <c r="BJ122" s="32"/>
      <c r="BK122" s="29"/>
    </row>
    <row r="123" spans="2:63" x14ac:dyDescent="0.25">
      <c r="B123" s="41" t="s">
        <v>444</v>
      </c>
      <c r="C123" s="41" t="s">
        <v>283</v>
      </c>
      <c r="D123" s="40"/>
      <c r="E123" s="40"/>
      <c r="F123" s="40"/>
      <c r="G123" s="31"/>
      <c r="H123" s="32"/>
      <c r="I123" s="29"/>
      <c r="K123" s="41" t="s">
        <v>444</v>
      </c>
      <c r="L123" s="41" t="s">
        <v>283</v>
      </c>
      <c r="M123" s="40"/>
      <c r="N123" s="40"/>
      <c r="O123" s="40"/>
      <c r="P123" s="31"/>
      <c r="Q123" s="32"/>
      <c r="R123" s="29"/>
      <c r="T123" s="41" t="s">
        <v>444</v>
      </c>
      <c r="U123" s="41" t="s">
        <v>283</v>
      </c>
      <c r="V123" s="40"/>
      <c r="W123" s="40"/>
      <c r="X123" s="40"/>
      <c r="Y123" s="31"/>
      <c r="Z123" s="32"/>
      <c r="AA123" s="29"/>
      <c r="AC123" s="41" t="s">
        <v>444</v>
      </c>
      <c r="AD123" s="41" t="s">
        <v>283</v>
      </c>
      <c r="AE123" s="40"/>
      <c r="AF123" s="40"/>
      <c r="AG123" s="40"/>
      <c r="AH123" s="31"/>
      <c r="AI123" s="32"/>
      <c r="AJ123" s="29"/>
      <c r="AL123" s="41" t="s">
        <v>444</v>
      </c>
      <c r="AM123" s="41" t="s">
        <v>283</v>
      </c>
      <c r="AN123" s="40"/>
      <c r="AO123" s="40"/>
      <c r="AP123" s="40"/>
      <c r="AQ123" s="31"/>
      <c r="AR123" s="32"/>
      <c r="AS123" s="29"/>
      <c r="AU123" s="41" t="s">
        <v>444</v>
      </c>
      <c r="AV123" s="41" t="s">
        <v>283</v>
      </c>
      <c r="AW123" s="40"/>
      <c r="AX123" s="40"/>
      <c r="AY123" s="40"/>
      <c r="AZ123" s="31"/>
      <c r="BA123" s="32"/>
      <c r="BB123" s="29"/>
      <c r="BD123" s="41" t="s">
        <v>444</v>
      </c>
      <c r="BE123" s="41" t="s">
        <v>283</v>
      </c>
      <c r="BF123" s="40"/>
      <c r="BG123" s="40"/>
      <c r="BH123" s="40"/>
      <c r="BI123" s="31"/>
      <c r="BJ123" s="32"/>
      <c r="BK123" s="29"/>
    </row>
    <row r="124" spans="2:63" x14ac:dyDescent="0.25">
      <c r="B124" s="41" t="s">
        <v>444</v>
      </c>
      <c r="C124" s="41" t="s">
        <v>283</v>
      </c>
      <c r="D124" s="40"/>
      <c r="E124" s="40"/>
      <c r="F124" s="40"/>
      <c r="G124" s="31"/>
      <c r="H124" s="32"/>
      <c r="I124" s="29"/>
      <c r="K124" s="41" t="s">
        <v>444</v>
      </c>
      <c r="L124" s="41" t="s">
        <v>283</v>
      </c>
      <c r="M124" s="40"/>
      <c r="N124" s="40"/>
      <c r="O124" s="40"/>
      <c r="P124" s="31"/>
      <c r="Q124" s="32"/>
      <c r="R124" s="29"/>
      <c r="T124" s="41" t="s">
        <v>444</v>
      </c>
      <c r="U124" s="41" t="s">
        <v>283</v>
      </c>
      <c r="V124" s="40"/>
      <c r="W124" s="40"/>
      <c r="X124" s="40"/>
      <c r="Y124" s="31"/>
      <c r="Z124" s="32"/>
      <c r="AA124" s="29"/>
      <c r="AC124" s="41" t="s">
        <v>444</v>
      </c>
      <c r="AD124" s="41" t="s">
        <v>283</v>
      </c>
      <c r="AE124" s="40"/>
      <c r="AF124" s="40"/>
      <c r="AG124" s="40"/>
      <c r="AH124" s="31"/>
      <c r="AI124" s="32"/>
      <c r="AJ124" s="29"/>
      <c r="AL124" s="41" t="s">
        <v>444</v>
      </c>
      <c r="AM124" s="41" t="s">
        <v>283</v>
      </c>
      <c r="AN124" s="40"/>
      <c r="AO124" s="40"/>
      <c r="AP124" s="40"/>
      <c r="AQ124" s="31"/>
      <c r="AR124" s="32"/>
      <c r="AS124" s="29"/>
      <c r="AU124" s="41" t="s">
        <v>444</v>
      </c>
      <c r="AV124" s="41" t="s">
        <v>283</v>
      </c>
      <c r="AW124" s="40"/>
      <c r="AX124" s="40"/>
      <c r="AY124" s="40"/>
      <c r="AZ124" s="31"/>
      <c r="BA124" s="32"/>
      <c r="BB124" s="29"/>
      <c r="BD124" s="41" t="s">
        <v>444</v>
      </c>
      <c r="BE124" s="41" t="s">
        <v>283</v>
      </c>
      <c r="BF124" s="40"/>
      <c r="BG124" s="40"/>
      <c r="BH124" s="40"/>
      <c r="BI124" s="31"/>
      <c r="BJ124" s="32"/>
      <c r="BK124" s="29"/>
    </row>
    <row r="125" spans="2:63" x14ac:dyDescent="0.25">
      <c r="B125" s="41" t="s">
        <v>444</v>
      </c>
      <c r="C125" s="41" t="s">
        <v>283</v>
      </c>
      <c r="D125" s="40"/>
      <c r="E125" s="40"/>
      <c r="F125" s="40"/>
      <c r="G125" s="31"/>
      <c r="H125" s="32"/>
      <c r="I125" s="29"/>
      <c r="K125" s="41" t="s">
        <v>444</v>
      </c>
      <c r="L125" s="41" t="s">
        <v>283</v>
      </c>
      <c r="M125" s="40"/>
      <c r="N125" s="40"/>
      <c r="O125" s="40"/>
      <c r="P125" s="31"/>
      <c r="Q125" s="32"/>
      <c r="R125" s="29"/>
      <c r="T125" s="41" t="s">
        <v>444</v>
      </c>
      <c r="U125" s="41" t="s">
        <v>283</v>
      </c>
      <c r="V125" s="40"/>
      <c r="W125" s="40"/>
      <c r="X125" s="40"/>
      <c r="Y125" s="31"/>
      <c r="Z125" s="32"/>
      <c r="AA125" s="29"/>
      <c r="AC125" s="41" t="s">
        <v>444</v>
      </c>
      <c r="AD125" s="41" t="s">
        <v>283</v>
      </c>
      <c r="AE125" s="40"/>
      <c r="AF125" s="40"/>
      <c r="AG125" s="40"/>
      <c r="AH125" s="31"/>
      <c r="AI125" s="32"/>
      <c r="AJ125" s="29"/>
      <c r="AL125" s="41" t="s">
        <v>444</v>
      </c>
      <c r="AM125" s="41" t="s">
        <v>283</v>
      </c>
      <c r="AN125" s="40"/>
      <c r="AO125" s="40"/>
      <c r="AP125" s="40"/>
      <c r="AQ125" s="31"/>
      <c r="AR125" s="32"/>
      <c r="AS125" s="29"/>
      <c r="AU125" s="41" t="s">
        <v>444</v>
      </c>
      <c r="AV125" s="41" t="s">
        <v>283</v>
      </c>
      <c r="AW125" s="40"/>
      <c r="AX125" s="40"/>
      <c r="AY125" s="40"/>
      <c r="AZ125" s="31"/>
      <c r="BA125" s="32"/>
      <c r="BB125" s="29"/>
      <c r="BD125" s="41" t="s">
        <v>444</v>
      </c>
      <c r="BE125" s="41" t="s">
        <v>283</v>
      </c>
      <c r="BF125" s="40"/>
      <c r="BG125" s="40"/>
      <c r="BH125" s="40"/>
      <c r="BI125" s="31"/>
      <c r="BJ125" s="32"/>
      <c r="BK125" s="29"/>
    </row>
    <row r="126" spans="2:63" x14ac:dyDescent="0.25">
      <c r="B126" s="41" t="s">
        <v>444</v>
      </c>
      <c r="C126" s="41" t="s">
        <v>283</v>
      </c>
      <c r="D126" s="40"/>
      <c r="E126" s="40"/>
      <c r="F126" s="40"/>
      <c r="G126" s="31"/>
      <c r="H126" s="32"/>
      <c r="I126" s="29"/>
      <c r="K126" s="41" t="s">
        <v>444</v>
      </c>
      <c r="L126" s="41" t="s">
        <v>283</v>
      </c>
      <c r="M126" s="40"/>
      <c r="N126" s="40"/>
      <c r="O126" s="40"/>
      <c r="P126" s="31"/>
      <c r="Q126" s="32"/>
      <c r="R126" s="29"/>
      <c r="T126" s="41" t="s">
        <v>444</v>
      </c>
      <c r="U126" s="41" t="s">
        <v>283</v>
      </c>
      <c r="V126" s="40"/>
      <c r="W126" s="40"/>
      <c r="X126" s="40"/>
      <c r="Y126" s="31"/>
      <c r="Z126" s="32"/>
      <c r="AA126" s="29"/>
      <c r="AC126" s="41" t="s">
        <v>444</v>
      </c>
      <c r="AD126" s="41" t="s">
        <v>283</v>
      </c>
      <c r="AE126" s="40"/>
      <c r="AF126" s="40"/>
      <c r="AG126" s="40"/>
      <c r="AH126" s="31"/>
      <c r="AI126" s="32"/>
      <c r="AJ126" s="29"/>
      <c r="AL126" s="41" t="s">
        <v>444</v>
      </c>
      <c r="AM126" s="41" t="s">
        <v>283</v>
      </c>
      <c r="AN126" s="40"/>
      <c r="AO126" s="40"/>
      <c r="AP126" s="40"/>
      <c r="AQ126" s="31"/>
      <c r="AR126" s="32"/>
      <c r="AS126" s="29"/>
      <c r="AU126" s="41" t="s">
        <v>444</v>
      </c>
      <c r="AV126" s="41" t="s">
        <v>283</v>
      </c>
      <c r="AW126" s="40"/>
      <c r="AX126" s="40"/>
      <c r="AY126" s="40"/>
      <c r="AZ126" s="31"/>
      <c r="BA126" s="32"/>
      <c r="BB126" s="29"/>
      <c r="BD126" s="41" t="s">
        <v>444</v>
      </c>
      <c r="BE126" s="41" t="s">
        <v>283</v>
      </c>
      <c r="BF126" s="40"/>
      <c r="BG126" s="40"/>
      <c r="BH126" s="40"/>
      <c r="BI126" s="31"/>
      <c r="BJ126" s="32"/>
      <c r="BK126" s="29"/>
    </row>
    <row r="127" spans="2:63" x14ac:dyDescent="0.25">
      <c r="B127" s="41" t="s">
        <v>444</v>
      </c>
      <c r="C127" s="41" t="s">
        <v>283</v>
      </c>
      <c r="D127" s="40"/>
      <c r="E127" s="40"/>
      <c r="F127" s="40"/>
      <c r="G127" s="31"/>
      <c r="H127" s="32"/>
      <c r="I127" s="29"/>
      <c r="K127" s="41" t="s">
        <v>444</v>
      </c>
      <c r="L127" s="41" t="s">
        <v>283</v>
      </c>
      <c r="M127" s="40"/>
      <c r="N127" s="40"/>
      <c r="O127" s="40"/>
      <c r="P127" s="31"/>
      <c r="Q127" s="32"/>
      <c r="R127" s="29"/>
      <c r="T127" s="41" t="s">
        <v>444</v>
      </c>
      <c r="U127" s="41" t="s">
        <v>283</v>
      </c>
      <c r="V127" s="40"/>
      <c r="W127" s="40"/>
      <c r="X127" s="40"/>
      <c r="Y127" s="31"/>
      <c r="Z127" s="32"/>
      <c r="AA127" s="29"/>
      <c r="AC127" s="41" t="s">
        <v>444</v>
      </c>
      <c r="AD127" s="41" t="s">
        <v>283</v>
      </c>
      <c r="AE127" s="40"/>
      <c r="AF127" s="40"/>
      <c r="AG127" s="40"/>
      <c r="AH127" s="31"/>
      <c r="AI127" s="32"/>
      <c r="AJ127" s="29"/>
      <c r="AL127" s="41" t="s">
        <v>444</v>
      </c>
      <c r="AM127" s="41" t="s">
        <v>283</v>
      </c>
      <c r="AN127" s="40"/>
      <c r="AO127" s="40"/>
      <c r="AP127" s="40"/>
      <c r="AQ127" s="31"/>
      <c r="AR127" s="32"/>
      <c r="AS127" s="29"/>
      <c r="AU127" s="41" t="s">
        <v>444</v>
      </c>
      <c r="AV127" s="41" t="s">
        <v>283</v>
      </c>
      <c r="AW127" s="40"/>
      <c r="AX127" s="40"/>
      <c r="AY127" s="40"/>
      <c r="AZ127" s="31"/>
      <c r="BA127" s="32"/>
      <c r="BB127" s="29"/>
      <c r="BD127" s="41" t="s">
        <v>444</v>
      </c>
      <c r="BE127" s="41" t="s">
        <v>283</v>
      </c>
      <c r="BF127" s="40"/>
      <c r="BG127" s="40"/>
      <c r="BH127" s="40"/>
      <c r="BI127" s="31"/>
      <c r="BJ127" s="32"/>
      <c r="BK127" s="29"/>
    </row>
    <row r="128" spans="2:63" x14ac:dyDescent="0.25">
      <c r="B128" s="41" t="s">
        <v>444</v>
      </c>
      <c r="C128" s="41" t="s">
        <v>283</v>
      </c>
      <c r="D128" s="40"/>
      <c r="E128" s="40"/>
      <c r="F128" s="40"/>
      <c r="G128" s="31"/>
      <c r="H128" s="32"/>
      <c r="I128" s="29"/>
      <c r="K128" s="41" t="s">
        <v>444</v>
      </c>
      <c r="L128" s="41" t="s">
        <v>283</v>
      </c>
      <c r="M128" s="40"/>
      <c r="N128" s="40"/>
      <c r="O128" s="40"/>
      <c r="P128" s="31"/>
      <c r="Q128" s="32"/>
      <c r="R128" s="29"/>
      <c r="T128" s="41" t="s">
        <v>444</v>
      </c>
      <c r="U128" s="41" t="s">
        <v>283</v>
      </c>
      <c r="V128" s="40"/>
      <c r="W128" s="40"/>
      <c r="X128" s="40"/>
      <c r="Y128" s="31"/>
      <c r="Z128" s="32"/>
      <c r="AA128" s="29"/>
      <c r="AC128" s="41" t="s">
        <v>444</v>
      </c>
      <c r="AD128" s="41" t="s">
        <v>283</v>
      </c>
      <c r="AE128" s="40"/>
      <c r="AF128" s="40"/>
      <c r="AG128" s="40"/>
      <c r="AH128" s="31"/>
      <c r="AI128" s="32"/>
      <c r="AJ128" s="29"/>
      <c r="AL128" s="41" t="s">
        <v>444</v>
      </c>
      <c r="AM128" s="41" t="s">
        <v>283</v>
      </c>
      <c r="AN128" s="40"/>
      <c r="AO128" s="40"/>
      <c r="AP128" s="40"/>
      <c r="AQ128" s="31"/>
      <c r="AR128" s="32"/>
      <c r="AS128" s="29"/>
      <c r="AU128" s="41" t="s">
        <v>444</v>
      </c>
      <c r="AV128" s="41" t="s">
        <v>283</v>
      </c>
      <c r="AW128" s="40"/>
      <c r="AX128" s="40"/>
      <c r="AY128" s="40"/>
      <c r="AZ128" s="31"/>
      <c r="BA128" s="32"/>
      <c r="BB128" s="29"/>
      <c r="BD128" s="41" t="s">
        <v>444</v>
      </c>
      <c r="BE128" s="41" t="s">
        <v>283</v>
      </c>
      <c r="BF128" s="40"/>
      <c r="BG128" s="40"/>
      <c r="BH128" s="40"/>
      <c r="BI128" s="31"/>
      <c r="BJ128" s="32"/>
      <c r="BK128" s="29"/>
    </row>
    <row r="129" spans="2:63" x14ac:dyDescent="0.25">
      <c r="B129" s="41" t="s">
        <v>444</v>
      </c>
      <c r="C129" s="41" t="s">
        <v>283</v>
      </c>
      <c r="D129" s="40"/>
      <c r="E129" s="40"/>
      <c r="F129" s="40"/>
      <c r="G129" s="31"/>
      <c r="H129" s="32"/>
      <c r="I129" s="29"/>
      <c r="K129" s="41" t="s">
        <v>444</v>
      </c>
      <c r="L129" s="41" t="s">
        <v>283</v>
      </c>
      <c r="M129" s="40"/>
      <c r="N129" s="40"/>
      <c r="O129" s="40"/>
      <c r="P129" s="31"/>
      <c r="Q129" s="32"/>
      <c r="R129" s="29"/>
      <c r="T129" s="41" t="s">
        <v>444</v>
      </c>
      <c r="U129" s="41" t="s">
        <v>283</v>
      </c>
      <c r="V129" s="40"/>
      <c r="W129" s="40"/>
      <c r="X129" s="40"/>
      <c r="Y129" s="31"/>
      <c r="Z129" s="32"/>
      <c r="AA129" s="29"/>
      <c r="AC129" s="41" t="s">
        <v>444</v>
      </c>
      <c r="AD129" s="41" t="s">
        <v>283</v>
      </c>
      <c r="AE129" s="40"/>
      <c r="AF129" s="40"/>
      <c r="AG129" s="40"/>
      <c r="AH129" s="31"/>
      <c r="AI129" s="32"/>
      <c r="AJ129" s="29"/>
      <c r="AL129" s="41" t="s">
        <v>444</v>
      </c>
      <c r="AM129" s="41" t="s">
        <v>283</v>
      </c>
      <c r="AN129" s="40"/>
      <c r="AO129" s="40"/>
      <c r="AP129" s="40"/>
      <c r="AQ129" s="31"/>
      <c r="AR129" s="32"/>
      <c r="AS129" s="29"/>
      <c r="AU129" s="41" t="s">
        <v>444</v>
      </c>
      <c r="AV129" s="41" t="s">
        <v>283</v>
      </c>
      <c r="AW129" s="40"/>
      <c r="AX129" s="40"/>
      <c r="AY129" s="40"/>
      <c r="AZ129" s="31"/>
      <c r="BA129" s="32"/>
      <c r="BB129" s="29"/>
      <c r="BD129" s="41" t="s">
        <v>444</v>
      </c>
      <c r="BE129" s="41" t="s">
        <v>283</v>
      </c>
      <c r="BF129" s="40"/>
      <c r="BG129" s="40"/>
      <c r="BH129" s="40"/>
      <c r="BI129" s="31"/>
      <c r="BJ129" s="32"/>
      <c r="BK129" s="29"/>
    </row>
    <row r="130" spans="2:63" x14ac:dyDescent="0.25">
      <c r="B130" s="41" t="s">
        <v>444</v>
      </c>
      <c r="C130" s="41" t="s">
        <v>283</v>
      </c>
      <c r="D130" s="40"/>
      <c r="E130" s="40"/>
      <c r="F130" s="40"/>
      <c r="G130" s="31"/>
      <c r="H130" s="32"/>
      <c r="I130" s="29"/>
      <c r="K130" s="41" t="s">
        <v>444</v>
      </c>
      <c r="L130" s="41" t="s">
        <v>283</v>
      </c>
      <c r="M130" s="40"/>
      <c r="N130" s="40"/>
      <c r="O130" s="40"/>
      <c r="P130" s="31"/>
      <c r="Q130" s="32"/>
      <c r="R130" s="29"/>
      <c r="T130" s="41" t="s">
        <v>444</v>
      </c>
      <c r="U130" s="41" t="s">
        <v>283</v>
      </c>
      <c r="V130" s="40"/>
      <c r="W130" s="40"/>
      <c r="X130" s="40"/>
      <c r="Y130" s="31"/>
      <c r="Z130" s="32"/>
      <c r="AA130" s="29"/>
      <c r="AC130" s="41" t="s">
        <v>444</v>
      </c>
      <c r="AD130" s="41" t="s">
        <v>283</v>
      </c>
      <c r="AE130" s="40"/>
      <c r="AF130" s="40"/>
      <c r="AG130" s="40"/>
      <c r="AH130" s="31"/>
      <c r="AI130" s="32"/>
      <c r="AJ130" s="29"/>
      <c r="AL130" s="41" t="s">
        <v>444</v>
      </c>
      <c r="AM130" s="41" t="s">
        <v>283</v>
      </c>
      <c r="AN130" s="40"/>
      <c r="AO130" s="40"/>
      <c r="AP130" s="40"/>
      <c r="AQ130" s="31"/>
      <c r="AR130" s="32"/>
      <c r="AS130" s="29"/>
      <c r="AU130" s="41" t="s">
        <v>444</v>
      </c>
      <c r="AV130" s="41" t="s">
        <v>283</v>
      </c>
      <c r="AW130" s="40"/>
      <c r="AX130" s="40"/>
      <c r="AY130" s="40"/>
      <c r="AZ130" s="31"/>
      <c r="BA130" s="32"/>
      <c r="BB130" s="29"/>
      <c r="BD130" s="41" t="s">
        <v>444</v>
      </c>
      <c r="BE130" s="41" t="s">
        <v>283</v>
      </c>
      <c r="BF130" s="40"/>
      <c r="BG130" s="40"/>
      <c r="BH130" s="40"/>
      <c r="BI130" s="31"/>
      <c r="BJ130" s="32"/>
      <c r="BK130" s="29"/>
    </row>
    <row r="131" spans="2:63" s="24" customFormat="1" x14ac:dyDescent="0.25">
      <c r="B131" s="8" t="s">
        <v>448</v>
      </c>
      <c r="C131" s="25"/>
      <c r="D131" s="30"/>
      <c r="E131" s="30"/>
      <c r="F131" s="28">
        <f t="shared" ref="F131" si="97">SUM(F116:F130)</f>
        <v>2500</v>
      </c>
      <c r="G131" s="25"/>
      <c r="H131" s="26"/>
      <c r="I131" s="30"/>
      <c r="K131" s="8" t="s">
        <v>448</v>
      </c>
      <c r="L131" s="25"/>
      <c r="M131" s="30"/>
      <c r="N131" s="30"/>
      <c r="O131" s="28">
        <f t="shared" ref="O131" si="98">SUM(O116:O130)</f>
        <v>2500</v>
      </c>
      <c r="P131" s="25"/>
      <c r="Q131" s="26"/>
      <c r="R131" s="30"/>
      <c r="T131" s="8" t="s">
        <v>448</v>
      </c>
      <c r="U131" s="25"/>
      <c r="V131" s="30"/>
      <c r="W131" s="30"/>
      <c r="X131" s="28">
        <f t="shared" ref="X131" si="99">SUM(X116:X130)</f>
        <v>2500</v>
      </c>
      <c r="Y131" s="25"/>
      <c r="Z131" s="26"/>
      <c r="AA131" s="30"/>
      <c r="AC131" s="8" t="s">
        <v>448</v>
      </c>
      <c r="AD131" s="25"/>
      <c r="AE131" s="30"/>
      <c r="AF131" s="30"/>
      <c r="AG131" s="28">
        <f t="shared" ref="AG131" si="100">SUM(AG116:AG130)</f>
        <v>2500</v>
      </c>
      <c r="AH131" s="25"/>
      <c r="AI131" s="26"/>
      <c r="AJ131" s="30"/>
      <c r="AL131" s="8" t="s">
        <v>448</v>
      </c>
      <c r="AM131" s="25"/>
      <c r="AN131" s="30"/>
      <c r="AO131" s="30"/>
      <c r="AP131" s="28">
        <f t="shared" ref="AP131" si="101">SUM(AP116:AP130)</f>
        <v>2500</v>
      </c>
      <c r="AQ131" s="25"/>
      <c r="AR131" s="26"/>
      <c r="AS131" s="30"/>
      <c r="AU131" s="8" t="s">
        <v>448</v>
      </c>
      <c r="AV131" s="25"/>
      <c r="AW131" s="30"/>
      <c r="AX131" s="30"/>
      <c r="AY131" s="28">
        <f t="shared" ref="AY131" si="102">SUM(AY116:AY130)</f>
        <v>2500</v>
      </c>
      <c r="AZ131" s="25"/>
      <c r="BA131" s="26"/>
      <c r="BB131" s="30"/>
      <c r="BD131" s="8" t="s">
        <v>448</v>
      </c>
      <c r="BE131" s="25"/>
      <c r="BF131" s="30"/>
      <c r="BG131" s="30"/>
      <c r="BH131" s="28">
        <f t="shared" ref="BH131" si="103">SUM(BH116:BH130)</f>
        <v>2500</v>
      </c>
      <c r="BI131" s="25"/>
      <c r="BJ131" s="26"/>
      <c r="BK131" s="30"/>
    </row>
    <row r="133" spans="2:63" ht="38.25" x14ac:dyDescent="0.25">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x14ac:dyDescent="0.25">
      <c r="B134" s="41" t="s">
        <v>444</v>
      </c>
      <c r="C134" s="41" t="s">
        <v>283</v>
      </c>
      <c r="D134" s="40">
        <v>100000</v>
      </c>
      <c r="E134" s="40">
        <v>72000</v>
      </c>
      <c r="F134" s="40">
        <v>3000</v>
      </c>
      <c r="G134" s="31"/>
      <c r="H134" s="32"/>
      <c r="I134" s="29"/>
      <c r="K134" s="41" t="s">
        <v>444</v>
      </c>
      <c r="L134" s="41" t="s">
        <v>283</v>
      </c>
      <c r="M134" s="40">
        <v>100000</v>
      </c>
      <c r="N134" s="40">
        <v>72000</v>
      </c>
      <c r="O134" s="40">
        <v>3000</v>
      </c>
      <c r="P134" s="31"/>
      <c r="Q134" s="32"/>
      <c r="R134" s="29"/>
      <c r="T134" s="41" t="s">
        <v>444</v>
      </c>
      <c r="U134" s="41" t="s">
        <v>283</v>
      </c>
      <c r="V134" s="40">
        <v>100000</v>
      </c>
      <c r="W134" s="40">
        <v>72000</v>
      </c>
      <c r="X134" s="40">
        <v>3000</v>
      </c>
      <c r="Y134" s="31"/>
      <c r="Z134" s="32"/>
      <c r="AA134" s="29"/>
      <c r="AC134" s="41" t="s">
        <v>444</v>
      </c>
      <c r="AD134" s="41" t="s">
        <v>283</v>
      </c>
      <c r="AE134" s="40">
        <v>100000</v>
      </c>
      <c r="AF134" s="40">
        <v>72000</v>
      </c>
      <c r="AG134" s="40">
        <v>3000</v>
      </c>
      <c r="AH134" s="31"/>
      <c r="AI134" s="32"/>
      <c r="AJ134" s="29"/>
      <c r="AL134" s="41" t="s">
        <v>444</v>
      </c>
      <c r="AM134" s="41" t="s">
        <v>283</v>
      </c>
      <c r="AN134" s="40">
        <v>100000</v>
      </c>
      <c r="AO134" s="40">
        <v>72000</v>
      </c>
      <c r="AP134" s="40">
        <v>3000</v>
      </c>
      <c r="AQ134" s="31"/>
      <c r="AR134" s="32"/>
      <c r="AS134" s="29"/>
      <c r="AU134" s="41" t="s">
        <v>444</v>
      </c>
      <c r="AV134" s="41" t="s">
        <v>283</v>
      </c>
      <c r="AW134" s="40">
        <v>100000</v>
      </c>
      <c r="AX134" s="40">
        <v>72000</v>
      </c>
      <c r="AY134" s="40">
        <v>3000</v>
      </c>
      <c r="AZ134" s="31"/>
      <c r="BA134" s="32"/>
      <c r="BB134" s="29"/>
      <c r="BD134" s="41" t="s">
        <v>444</v>
      </c>
      <c r="BE134" s="41" t="s">
        <v>283</v>
      </c>
      <c r="BF134" s="40">
        <v>100000</v>
      </c>
      <c r="BG134" s="40">
        <v>72000</v>
      </c>
      <c r="BH134" s="40">
        <v>3000</v>
      </c>
      <c r="BI134" s="31"/>
      <c r="BJ134" s="32"/>
      <c r="BK134" s="29"/>
    </row>
    <row r="135" spans="2:63" x14ac:dyDescent="0.25">
      <c r="B135" s="41" t="s">
        <v>444</v>
      </c>
      <c r="C135" s="41" t="s">
        <v>283</v>
      </c>
      <c r="D135" s="40"/>
      <c r="E135" s="40"/>
      <c r="F135" s="40"/>
      <c r="G135" s="31"/>
      <c r="H135" s="32"/>
      <c r="I135" s="29"/>
      <c r="K135" s="41" t="s">
        <v>444</v>
      </c>
      <c r="L135" s="41" t="s">
        <v>283</v>
      </c>
      <c r="M135" s="40"/>
      <c r="N135" s="40"/>
      <c r="O135" s="40"/>
      <c r="P135" s="31"/>
      <c r="Q135" s="32"/>
      <c r="R135" s="29"/>
      <c r="T135" s="41" t="s">
        <v>444</v>
      </c>
      <c r="U135" s="41" t="s">
        <v>283</v>
      </c>
      <c r="V135" s="40"/>
      <c r="W135" s="40"/>
      <c r="X135" s="40"/>
      <c r="Y135" s="31"/>
      <c r="Z135" s="32"/>
      <c r="AA135" s="29"/>
      <c r="AC135" s="41" t="s">
        <v>444</v>
      </c>
      <c r="AD135" s="41" t="s">
        <v>283</v>
      </c>
      <c r="AE135" s="40"/>
      <c r="AF135" s="40"/>
      <c r="AG135" s="40"/>
      <c r="AH135" s="31"/>
      <c r="AI135" s="32"/>
      <c r="AJ135" s="29"/>
      <c r="AL135" s="41" t="s">
        <v>444</v>
      </c>
      <c r="AM135" s="41" t="s">
        <v>283</v>
      </c>
      <c r="AN135" s="40"/>
      <c r="AO135" s="40"/>
      <c r="AP135" s="40"/>
      <c r="AQ135" s="31"/>
      <c r="AR135" s="32"/>
      <c r="AS135" s="29"/>
      <c r="AU135" s="41" t="s">
        <v>444</v>
      </c>
      <c r="AV135" s="41" t="s">
        <v>283</v>
      </c>
      <c r="AW135" s="40"/>
      <c r="AX135" s="40"/>
      <c r="AY135" s="40"/>
      <c r="AZ135" s="31"/>
      <c r="BA135" s="32"/>
      <c r="BB135" s="29"/>
      <c r="BD135" s="41" t="s">
        <v>444</v>
      </c>
      <c r="BE135" s="41" t="s">
        <v>283</v>
      </c>
      <c r="BF135" s="40"/>
      <c r="BG135" s="40"/>
      <c r="BH135" s="40"/>
      <c r="BI135" s="31"/>
      <c r="BJ135" s="32"/>
      <c r="BK135" s="29"/>
    </row>
    <row r="136" spans="2:63" x14ac:dyDescent="0.25">
      <c r="B136" s="41" t="s">
        <v>444</v>
      </c>
      <c r="C136" s="41" t="s">
        <v>283</v>
      </c>
      <c r="D136" s="40"/>
      <c r="E136" s="40"/>
      <c r="F136" s="40"/>
      <c r="G136" s="31"/>
      <c r="H136" s="32"/>
      <c r="I136" s="29"/>
      <c r="K136" s="41" t="s">
        <v>444</v>
      </c>
      <c r="L136" s="41" t="s">
        <v>283</v>
      </c>
      <c r="M136" s="40"/>
      <c r="N136" s="40"/>
      <c r="O136" s="40"/>
      <c r="P136" s="31"/>
      <c r="Q136" s="32"/>
      <c r="R136" s="29"/>
      <c r="T136" s="41" t="s">
        <v>444</v>
      </c>
      <c r="U136" s="41" t="s">
        <v>283</v>
      </c>
      <c r="V136" s="40"/>
      <c r="W136" s="40"/>
      <c r="X136" s="40"/>
      <c r="Y136" s="31"/>
      <c r="Z136" s="32"/>
      <c r="AA136" s="29"/>
      <c r="AC136" s="41" t="s">
        <v>444</v>
      </c>
      <c r="AD136" s="41" t="s">
        <v>283</v>
      </c>
      <c r="AE136" s="40"/>
      <c r="AF136" s="40"/>
      <c r="AG136" s="40"/>
      <c r="AH136" s="31"/>
      <c r="AI136" s="32"/>
      <c r="AJ136" s="29"/>
      <c r="AL136" s="41" t="s">
        <v>444</v>
      </c>
      <c r="AM136" s="41" t="s">
        <v>283</v>
      </c>
      <c r="AN136" s="40"/>
      <c r="AO136" s="40"/>
      <c r="AP136" s="40"/>
      <c r="AQ136" s="31"/>
      <c r="AR136" s="32"/>
      <c r="AS136" s="29"/>
      <c r="AU136" s="41" t="s">
        <v>444</v>
      </c>
      <c r="AV136" s="41" t="s">
        <v>283</v>
      </c>
      <c r="AW136" s="40"/>
      <c r="AX136" s="40"/>
      <c r="AY136" s="40"/>
      <c r="AZ136" s="31"/>
      <c r="BA136" s="32"/>
      <c r="BB136" s="29"/>
      <c r="BD136" s="41" t="s">
        <v>444</v>
      </c>
      <c r="BE136" s="41" t="s">
        <v>283</v>
      </c>
      <c r="BF136" s="40"/>
      <c r="BG136" s="40"/>
      <c r="BH136" s="40"/>
      <c r="BI136" s="31"/>
      <c r="BJ136" s="32"/>
      <c r="BK136" s="29"/>
    </row>
    <row r="137" spans="2:63" x14ac:dyDescent="0.25">
      <c r="B137" s="41" t="s">
        <v>444</v>
      </c>
      <c r="C137" s="41" t="s">
        <v>283</v>
      </c>
      <c r="D137" s="40"/>
      <c r="E137" s="40"/>
      <c r="F137" s="40"/>
      <c r="G137" s="31"/>
      <c r="H137" s="32"/>
      <c r="I137" s="29"/>
      <c r="K137" s="41" t="s">
        <v>444</v>
      </c>
      <c r="L137" s="41" t="s">
        <v>283</v>
      </c>
      <c r="M137" s="40"/>
      <c r="N137" s="40"/>
      <c r="O137" s="40"/>
      <c r="P137" s="31"/>
      <c r="Q137" s="32"/>
      <c r="R137" s="29"/>
      <c r="T137" s="41" t="s">
        <v>444</v>
      </c>
      <c r="U137" s="41" t="s">
        <v>283</v>
      </c>
      <c r="V137" s="40"/>
      <c r="W137" s="40"/>
      <c r="X137" s="40"/>
      <c r="Y137" s="31"/>
      <c r="Z137" s="32"/>
      <c r="AA137" s="29"/>
      <c r="AC137" s="41" t="s">
        <v>444</v>
      </c>
      <c r="AD137" s="41" t="s">
        <v>283</v>
      </c>
      <c r="AE137" s="40"/>
      <c r="AF137" s="40"/>
      <c r="AG137" s="40"/>
      <c r="AH137" s="31"/>
      <c r="AI137" s="32"/>
      <c r="AJ137" s="29"/>
      <c r="AL137" s="41" t="s">
        <v>444</v>
      </c>
      <c r="AM137" s="41" t="s">
        <v>283</v>
      </c>
      <c r="AN137" s="40"/>
      <c r="AO137" s="40"/>
      <c r="AP137" s="40"/>
      <c r="AQ137" s="31"/>
      <c r="AR137" s="32"/>
      <c r="AS137" s="29"/>
      <c r="AU137" s="41" t="s">
        <v>444</v>
      </c>
      <c r="AV137" s="41" t="s">
        <v>283</v>
      </c>
      <c r="AW137" s="40"/>
      <c r="AX137" s="40"/>
      <c r="AY137" s="40"/>
      <c r="AZ137" s="31"/>
      <c r="BA137" s="32"/>
      <c r="BB137" s="29"/>
      <c r="BD137" s="41" t="s">
        <v>444</v>
      </c>
      <c r="BE137" s="41" t="s">
        <v>283</v>
      </c>
      <c r="BF137" s="40"/>
      <c r="BG137" s="40"/>
      <c r="BH137" s="40"/>
      <c r="BI137" s="31"/>
      <c r="BJ137" s="32"/>
      <c r="BK137" s="29"/>
    </row>
    <row r="138" spans="2:63" x14ac:dyDescent="0.25">
      <c r="B138" s="41" t="s">
        <v>444</v>
      </c>
      <c r="C138" s="41" t="s">
        <v>283</v>
      </c>
      <c r="D138" s="40"/>
      <c r="E138" s="40"/>
      <c r="F138" s="40"/>
      <c r="G138" s="31"/>
      <c r="H138" s="32"/>
      <c r="I138" s="29"/>
      <c r="K138" s="41" t="s">
        <v>444</v>
      </c>
      <c r="L138" s="41" t="s">
        <v>283</v>
      </c>
      <c r="M138" s="40"/>
      <c r="N138" s="40"/>
      <c r="O138" s="40"/>
      <c r="P138" s="31"/>
      <c r="Q138" s="32"/>
      <c r="R138" s="29"/>
      <c r="T138" s="41" t="s">
        <v>444</v>
      </c>
      <c r="U138" s="41" t="s">
        <v>283</v>
      </c>
      <c r="V138" s="40"/>
      <c r="W138" s="40"/>
      <c r="X138" s="40"/>
      <c r="Y138" s="31"/>
      <c r="Z138" s="32"/>
      <c r="AA138" s="29"/>
      <c r="AC138" s="41" t="s">
        <v>444</v>
      </c>
      <c r="AD138" s="41" t="s">
        <v>283</v>
      </c>
      <c r="AE138" s="40"/>
      <c r="AF138" s="40"/>
      <c r="AG138" s="40"/>
      <c r="AH138" s="31"/>
      <c r="AI138" s="32"/>
      <c r="AJ138" s="29"/>
      <c r="AL138" s="41" t="s">
        <v>444</v>
      </c>
      <c r="AM138" s="41" t="s">
        <v>283</v>
      </c>
      <c r="AN138" s="40"/>
      <c r="AO138" s="40"/>
      <c r="AP138" s="40"/>
      <c r="AQ138" s="31"/>
      <c r="AR138" s="32"/>
      <c r="AS138" s="29"/>
      <c r="AU138" s="41" t="s">
        <v>444</v>
      </c>
      <c r="AV138" s="41" t="s">
        <v>283</v>
      </c>
      <c r="AW138" s="40"/>
      <c r="AX138" s="40"/>
      <c r="AY138" s="40"/>
      <c r="AZ138" s="31"/>
      <c r="BA138" s="32"/>
      <c r="BB138" s="29"/>
      <c r="BD138" s="41" t="s">
        <v>444</v>
      </c>
      <c r="BE138" s="41" t="s">
        <v>283</v>
      </c>
      <c r="BF138" s="40"/>
      <c r="BG138" s="40"/>
      <c r="BH138" s="40"/>
      <c r="BI138" s="31"/>
      <c r="BJ138" s="32"/>
      <c r="BK138" s="29"/>
    </row>
    <row r="139" spans="2:63" x14ac:dyDescent="0.25">
      <c r="B139" s="41" t="s">
        <v>444</v>
      </c>
      <c r="C139" s="41" t="s">
        <v>283</v>
      </c>
      <c r="D139" s="40"/>
      <c r="E139" s="40"/>
      <c r="F139" s="40"/>
      <c r="G139" s="31"/>
      <c r="H139" s="32"/>
      <c r="I139" s="29"/>
      <c r="K139" s="41" t="s">
        <v>444</v>
      </c>
      <c r="L139" s="41" t="s">
        <v>283</v>
      </c>
      <c r="M139" s="40"/>
      <c r="N139" s="40"/>
      <c r="O139" s="40"/>
      <c r="P139" s="31"/>
      <c r="Q139" s="32"/>
      <c r="R139" s="29"/>
      <c r="T139" s="41" t="s">
        <v>444</v>
      </c>
      <c r="U139" s="41" t="s">
        <v>283</v>
      </c>
      <c r="V139" s="40"/>
      <c r="W139" s="40"/>
      <c r="X139" s="40"/>
      <c r="Y139" s="31"/>
      <c r="Z139" s="32"/>
      <c r="AA139" s="29"/>
      <c r="AC139" s="41" t="s">
        <v>444</v>
      </c>
      <c r="AD139" s="41" t="s">
        <v>283</v>
      </c>
      <c r="AE139" s="40"/>
      <c r="AF139" s="40"/>
      <c r="AG139" s="40"/>
      <c r="AH139" s="31"/>
      <c r="AI139" s="32"/>
      <c r="AJ139" s="29"/>
      <c r="AL139" s="41" t="s">
        <v>444</v>
      </c>
      <c r="AM139" s="41" t="s">
        <v>283</v>
      </c>
      <c r="AN139" s="40"/>
      <c r="AO139" s="40"/>
      <c r="AP139" s="40"/>
      <c r="AQ139" s="31"/>
      <c r="AR139" s="32"/>
      <c r="AS139" s="29"/>
      <c r="AU139" s="41" t="s">
        <v>444</v>
      </c>
      <c r="AV139" s="41" t="s">
        <v>283</v>
      </c>
      <c r="AW139" s="40"/>
      <c r="AX139" s="40"/>
      <c r="AY139" s="40"/>
      <c r="AZ139" s="31"/>
      <c r="BA139" s="32"/>
      <c r="BB139" s="29"/>
      <c r="BD139" s="41" t="s">
        <v>444</v>
      </c>
      <c r="BE139" s="41" t="s">
        <v>283</v>
      </c>
      <c r="BF139" s="40"/>
      <c r="BG139" s="40"/>
      <c r="BH139" s="40"/>
      <c r="BI139" s="31"/>
      <c r="BJ139" s="32"/>
      <c r="BK139" s="29"/>
    </row>
    <row r="140" spans="2:63" x14ac:dyDescent="0.25">
      <c r="B140" s="41" t="s">
        <v>444</v>
      </c>
      <c r="C140" s="41" t="s">
        <v>283</v>
      </c>
      <c r="D140" s="40"/>
      <c r="E140" s="40"/>
      <c r="F140" s="40"/>
      <c r="G140" s="31"/>
      <c r="H140" s="32"/>
      <c r="I140" s="29"/>
      <c r="K140" s="41" t="s">
        <v>444</v>
      </c>
      <c r="L140" s="41" t="s">
        <v>283</v>
      </c>
      <c r="M140" s="40"/>
      <c r="N140" s="40"/>
      <c r="O140" s="40"/>
      <c r="P140" s="31"/>
      <c r="Q140" s="32"/>
      <c r="R140" s="29"/>
      <c r="T140" s="41" t="s">
        <v>444</v>
      </c>
      <c r="U140" s="41" t="s">
        <v>283</v>
      </c>
      <c r="V140" s="40"/>
      <c r="W140" s="40"/>
      <c r="X140" s="40"/>
      <c r="Y140" s="31"/>
      <c r="Z140" s="32"/>
      <c r="AA140" s="29"/>
      <c r="AC140" s="41" t="s">
        <v>444</v>
      </c>
      <c r="AD140" s="41" t="s">
        <v>283</v>
      </c>
      <c r="AE140" s="40"/>
      <c r="AF140" s="40"/>
      <c r="AG140" s="40"/>
      <c r="AH140" s="31"/>
      <c r="AI140" s="32"/>
      <c r="AJ140" s="29"/>
      <c r="AL140" s="41" t="s">
        <v>444</v>
      </c>
      <c r="AM140" s="41" t="s">
        <v>283</v>
      </c>
      <c r="AN140" s="40"/>
      <c r="AO140" s="40"/>
      <c r="AP140" s="40"/>
      <c r="AQ140" s="31"/>
      <c r="AR140" s="32"/>
      <c r="AS140" s="29"/>
      <c r="AU140" s="41" t="s">
        <v>444</v>
      </c>
      <c r="AV140" s="41" t="s">
        <v>283</v>
      </c>
      <c r="AW140" s="40"/>
      <c r="AX140" s="40"/>
      <c r="AY140" s="40"/>
      <c r="AZ140" s="31"/>
      <c r="BA140" s="32"/>
      <c r="BB140" s="29"/>
      <c r="BD140" s="41" t="s">
        <v>444</v>
      </c>
      <c r="BE140" s="41" t="s">
        <v>283</v>
      </c>
      <c r="BF140" s="40"/>
      <c r="BG140" s="40"/>
      <c r="BH140" s="40"/>
      <c r="BI140" s="31"/>
      <c r="BJ140" s="32"/>
      <c r="BK140" s="29"/>
    </row>
    <row r="141" spans="2:63" x14ac:dyDescent="0.25">
      <c r="B141" s="41" t="s">
        <v>444</v>
      </c>
      <c r="C141" s="41" t="s">
        <v>283</v>
      </c>
      <c r="D141" s="40"/>
      <c r="E141" s="40"/>
      <c r="F141" s="40"/>
      <c r="G141" s="31"/>
      <c r="H141" s="32"/>
      <c r="I141" s="29"/>
      <c r="K141" s="41" t="s">
        <v>444</v>
      </c>
      <c r="L141" s="41" t="s">
        <v>283</v>
      </c>
      <c r="M141" s="40"/>
      <c r="N141" s="40"/>
      <c r="O141" s="40"/>
      <c r="P141" s="31"/>
      <c r="Q141" s="32"/>
      <c r="R141" s="29"/>
      <c r="T141" s="41" t="s">
        <v>444</v>
      </c>
      <c r="U141" s="41" t="s">
        <v>283</v>
      </c>
      <c r="V141" s="40"/>
      <c r="W141" s="40"/>
      <c r="X141" s="40"/>
      <c r="Y141" s="31"/>
      <c r="Z141" s="32"/>
      <c r="AA141" s="29"/>
      <c r="AC141" s="41" t="s">
        <v>444</v>
      </c>
      <c r="AD141" s="41" t="s">
        <v>283</v>
      </c>
      <c r="AE141" s="40"/>
      <c r="AF141" s="40"/>
      <c r="AG141" s="40"/>
      <c r="AH141" s="31"/>
      <c r="AI141" s="32"/>
      <c r="AJ141" s="29"/>
      <c r="AL141" s="41" t="s">
        <v>444</v>
      </c>
      <c r="AM141" s="41" t="s">
        <v>283</v>
      </c>
      <c r="AN141" s="40"/>
      <c r="AO141" s="40"/>
      <c r="AP141" s="40"/>
      <c r="AQ141" s="31"/>
      <c r="AR141" s="32"/>
      <c r="AS141" s="29"/>
      <c r="AU141" s="41" t="s">
        <v>444</v>
      </c>
      <c r="AV141" s="41" t="s">
        <v>283</v>
      </c>
      <c r="AW141" s="40"/>
      <c r="AX141" s="40"/>
      <c r="AY141" s="40"/>
      <c r="AZ141" s="31"/>
      <c r="BA141" s="32"/>
      <c r="BB141" s="29"/>
      <c r="BD141" s="41" t="s">
        <v>444</v>
      </c>
      <c r="BE141" s="41" t="s">
        <v>283</v>
      </c>
      <c r="BF141" s="40"/>
      <c r="BG141" s="40"/>
      <c r="BH141" s="40"/>
      <c r="BI141" s="31"/>
      <c r="BJ141" s="32"/>
      <c r="BK141" s="29"/>
    </row>
    <row r="142" spans="2:63" x14ac:dyDescent="0.25">
      <c r="B142" s="41" t="s">
        <v>444</v>
      </c>
      <c r="C142" s="41" t="s">
        <v>283</v>
      </c>
      <c r="D142" s="40"/>
      <c r="E142" s="40"/>
      <c r="F142" s="40"/>
      <c r="G142" s="31"/>
      <c r="H142" s="32"/>
      <c r="I142" s="29"/>
      <c r="K142" s="41" t="s">
        <v>444</v>
      </c>
      <c r="L142" s="41" t="s">
        <v>283</v>
      </c>
      <c r="M142" s="40"/>
      <c r="N142" s="40"/>
      <c r="O142" s="40"/>
      <c r="P142" s="31"/>
      <c r="Q142" s="32"/>
      <c r="R142" s="29"/>
      <c r="T142" s="41" t="s">
        <v>444</v>
      </c>
      <c r="U142" s="41" t="s">
        <v>283</v>
      </c>
      <c r="V142" s="40"/>
      <c r="W142" s="40"/>
      <c r="X142" s="40"/>
      <c r="Y142" s="31"/>
      <c r="Z142" s="32"/>
      <c r="AA142" s="29"/>
      <c r="AC142" s="41" t="s">
        <v>444</v>
      </c>
      <c r="AD142" s="41" t="s">
        <v>283</v>
      </c>
      <c r="AE142" s="40"/>
      <c r="AF142" s="40"/>
      <c r="AG142" s="40"/>
      <c r="AH142" s="31"/>
      <c r="AI142" s="32"/>
      <c r="AJ142" s="29"/>
      <c r="AL142" s="41" t="s">
        <v>444</v>
      </c>
      <c r="AM142" s="41" t="s">
        <v>283</v>
      </c>
      <c r="AN142" s="40"/>
      <c r="AO142" s="40"/>
      <c r="AP142" s="40"/>
      <c r="AQ142" s="31"/>
      <c r="AR142" s="32"/>
      <c r="AS142" s="29"/>
      <c r="AU142" s="41" t="s">
        <v>444</v>
      </c>
      <c r="AV142" s="41" t="s">
        <v>283</v>
      </c>
      <c r="AW142" s="40"/>
      <c r="AX142" s="40"/>
      <c r="AY142" s="40"/>
      <c r="AZ142" s="31"/>
      <c r="BA142" s="32"/>
      <c r="BB142" s="29"/>
      <c r="BD142" s="41" t="s">
        <v>444</v>
      </c>
      <c r="BE142" s="41" t="s">
        <v>283</v>
      </c>
      <c r="BF142" s="40"/>
      <c r="BG142" s="40"/>
      <c r="BH142" s="40"/>
      <c r="BI142" s="31"/>
      <c r="BJ142" s="32"/>
      <c r="BK142" s="29"/>
    </row>
    <row r="143" spans="2:63" x14ac:dyDescent="0.25">
      <c r="B143" s="41" t="s">
        <v>444</v>
      </c>
      <c r="C143" s="41" t="s">
        <v>283</v>
      </c>
      <c r="D143" s="40"/>
      <c r="E143" s="40"/>
      <c r="F143" s="40"/>
      <c r="G143" s="31"/>
      <c r="H143" s="32"/>
      <c r="I143" s="29"/>
      <c r="K143" s="41" t="s">
        <v>444</v>
      </c>
      <c r="L143" s="41" t="s">
        <v>283</v>
      </c>
      <c r="M143" s="40"/>
      <c r="N143" s="40"/>
      <c r="O143" s="40"/>
      <c r="P143" s="31"/>
      <c r="Q143" s="32"/>
      <c r="R143" s="29"/>
      <c r="T143" s="41" t="s">
        <v>444</v>
      </c>
      <c r="U143" s="41" t="s">
        <v>283</v>
      </c>
      <c r="V143" s="40"/>
      <c r="W143" s="40"/>
      <c r="X143" s="40"/>
      <c r="Y143" s="31"/>
      <c r="Z143" s="32"/>
      <c r="AA143" s="29"/>
      <c r="AC143" s="41" t="s">
        <v>444</v>
      </c>
      <c r="AD143" s="41" t="s">
        <v>283</v>
      </c>
      <c r="AE143" s="40"/>
      <c r="AF143" s="40"/>
      <c r="AG143" s="40"/>
      <c r="AH143" s="31"/>
      <c r="AI143" s="32"/>
      <c r="AJ143" s="29"/>
      <c r="AL143" s="41" t="s">
        <v>444</v>
      </c>
      <c r="AM143" s="41" t="s">
        <v>283</v>
      </c>
      <c r="AN143" s="40"/>
      <c r="AO143" s="40"/>
      <c r="AP143" s="40"/>
      <c r="AQ143" s="31"/>
      <c r="AR143" s="32"/>
      <c r="AS143" s="29"/>
      <c r="AU143" s="41" t="s">
        <v>444</v>
      </c>
      <c r="AV143" s="41" t="s">
        <v>283</v>
      </c>
      <c r="AW143" s="40"/>
      <c r="AX143" s="40"/>
      <c r="AY143" s="40"/>
      <c r="AZ143" s="31"/>
      <c r="BA143" s="32"/>
      <c r="BB143" s="29"/>
      <c r="BD143" s="41" t="s">
        <v>444</v>
      </c>
      <c r="BE143" s="41" t="s">
        <v>283</v>
      </c>
      <c r="BF143" s="40"/>
      <c r="BG143" s="40"/>
      <c r="BH143" s="40"/>
      <c r="BI143" s="31"/>
      <c r="BJ143" s="32"/>
      <c r="BK143" s="29"/>
    </row>
    <row r="144" spans="2:63" x14ac:dyDescent="0.25">
      <c r="B144" s="41" t="s">
        <v>444</v>
      </c>
      <c r="C144" s="41" t="s">
        <v>283</v>
      </c>
      <c r="D144" s="40"/>
      <c r="E144" s="40"/>
      <c r="F144" s="40"/>
      <c r="G144" s="31"/>
      <c r="H144" s="32"/>
      <c r="I144" s="29"/>
      <c r="K144" s="41" t="s">
        <v>444</v>
      </c>
      <c r="L144" s="41" t="s">
        <v>283</v>
      </c>
      <c r="M144" s="40"/>
      <c r="N144" s="40"/>
      <c r="O144" s="40"/>
      <c r="P144" s="31"/>
      <c r="Q144" s="32"/>
      <c r="R144" s="29"/>
      <c r="T144" s="41" t="s">
        <v>444</v>
      </c>
      <c r="U144" s="41" t="s">
        <v>283</v>
      </c>
      <c r="V144" s="40"/>
      <c r="W144" s="40"/>
      <c r="X144" s="40"/>
      <c r="Y144" s="31"/>
      <c r="Z144" s="32"/>
      <c r="AA144" s="29"/>
      <c r="AC144" s="41" t="s">
        <v>444</v>
      </c>
      <c r="AD144" s="41" t="s">
        <v>283</v>
      </c>
      <c r="AE144" s="40"/>
      <c r="AF144" s="40"/>
      <c r="AG144" s="40"/>
      <c r="AH144" s="31"/>
      <c r="AI144" s="32"/>
      <c r="AJ144" s="29"/>
      <c r="AL144" s="41" t="s">
        <v>444</v>
      </c>
      <c r="AM144" s="41" t="s">
        <v>283</v>
      </c>
      <c r="AN144" s="40"/>
      <c r="AO144" s="40"/>
      <c r="AP144" s="40"/>
      <c r="AQ144" s="31"/>
      <c r="AR144" s="32"/>
      <c r="AS144" s="29"/>
      <c r="AU144" s="41" t="s">
        <v>444</v>
      </c>
      <c r="AV144" s="41" t="s">
        <v>283</v>
      </c>
      <c r="AW144" s="40"/>
      <c r="AX144" s="40"/>
      <c r="AY144" s="40"/>
      <c r="AZ144" s="31"/>
      <c r="BA144" s="32"/>
      <c r="BB144" s="29"/>
      <c r="BD144" s="41" t="s">
        <v>444</v>
      </c>
      <c r="BE144" s="41" t="s">
        <v>283</v>
      </c>
      <c r="BF144" s="40"/>
      <c r="BG144" s="40"/>
      <c r="BH144" s="40"/>
      <c r="BI144" s="31"/>
      <c r="BJ144" s="32"/>
      <c r="BK144" s="29"/>
    </row>
    <row r="145" spans="2:63" x14ac:dyDescent="0.25">
      <c r="B145" s="41" t="s">
        <v>444</v>
      </c>
      <c r="C145" s="41" t="s">
        <v>283</v>
      </c>
      <c r="D145" s="40"/>
      <c r="E145" s="40"/>
      <c r="F145" s="40"/>
      <c r="G145" s="31"/>
      <c r="H145" s="32"/>
      <c r="I145" s="29"/>
      <c r="K145" s="41" t="s">
        <v>444</v>
      </c>
      <c r="L145" s="41" t="s">
        <v>283</v>
      </c>
      <c r="M145" s="40"/>
      <c r="N145" s="40"/>
      <c r="O145" s="40"/>
      <c r="P145" s="31"/>
      <c r="Q145" s="32"/>
      <c r="R145" s="29"/>
      <c r="T145" s="41" t="s">
        <v>444</v>
      </c>
      <c r="U145" s="41" t="s">
        <v>283</v>
      </c>
      <c r="V145" s="40"/>
      <c r="W145" s="40"/>
      <c r="X145" s="40"/>
      <c r="Y145" s="31"/>
      <c r="Z145" s="32"/>
      <c r="AA145" s="29"/>
      <c r="AC145" s="41" t="s">
        <v>444</v>
      </c>
      <c r="AD145" s="41" t="s">
        <v>283</v>
      </c>
      <c r="AE145" s="40"/>
      <c r="AF145" s="40"/>
      <c r="AG145" s="40"/>
      <c r="AH145" s="31"/>
      <c r="AI145" s="32"/>
      <c r="AJ145" s="29"/>
      <c r="AL145" s="41" t="s">
        <v>444</v>
      </c>
      <c r="AM145" s="41" t="s">
        <v>283</v>
      </c>
      <c r="AN145" s="40"/>
      <c r="AO145" s="40"/>
      <c r="AP145" s="40"/>
      <c r="AQ145" s="31"/>
      <c r="AR145" s="32"/>
      <c r="AS145" s="29"/>
      <c r="AU145" s="41" t="s">
        <v>444</v>
      </c>
      <c r="AV145" s="41" t="s">
        <v>283</v>
      </c>
      <c r="AW145" s="40"/>
      <c r="AX145" s="40"/>
      <c r="AY145" s="40"/>
      <c r="AZ145" s="31"/>
      <c r="BA145" s="32"/>
      <c r="BB145" s="29"/>
      <c r="BD145" s="41" t="s">
        <v>444</v>
      </c>
      <c r="BE145" s="41" t="s">
        <v>283</v>
      </c>
      <c r="BF145" s="40"/>
      <c r="BG145" s="40"/>
      <c r="BH145" s="40"/>
      <c r="BI145" s="31"/>
      <c r="BJ145" s="32"/>
      <c r="BK145" s="29"/>
    </row>
    <row r="146" spans="2:63" x14ac:dyDescent="0.25">
      <c r="B146" s="41" t="s">
        <v>444</v>
      </c>
      <c r="C146" s="41" t="s">
        <v>283</v>
      </c>
      <c r="D146" s="40"/>
      <c r="E146" s="40"/>
      <c r="F146" s="40"/>
      <c r="G146" s="31"/>
      <c r="H146" s="32"/>
      <c r="I146" s="29"/>
      <c r="K146" s="41" t="s">
        <v>444</v>
      </c>
      <c r="L146" s="41" t="s">
        <v>283</v>
      </c>
      <c r="M146" s="40"/>
      <c r="N146" s="40"/>
      <c r="O146" s="40"/>
      <c r="P146" s="31"/>
      <c r="Q146" s="32"/>
      <c r="R146" s="29"/>
      <c r="T146" s="41" t="s">
        <v>444</v>
      </c>
      <c r="U146" s="41" t="s">
        <v>283</v>
      </c>
      <c r="V146" s="40"/>
      <c r="W146" s="40"/>
      <c r="X146" s="40"/>
      <c r="Y146" s="31"/>
      <c r="Z146" s="32"/>
      <c r="AA146" s="29"/>
      <c r="AC146" s="41" t="s">
        <v>444</v>
      </c>
      <c r="AD146" s="41" t="s">
        <v>283</v>
      </c>
      <c r="AE146" s="40"/>
      <c r="AF146" s="40"/>
      <c r="AG146" s="40"/>
      <c r="AH146" s="31"/>
      <c r="AI146" s="32"/>
      <c r="AJ146" s="29"/>
      <c r="AL146" s="41" t="s">
        <v>444</v>
      </c>
      <c r="AM146" s="41" t="s">
        <v>283</v>
      </c>
      <c r="AN146" s="40"/>
      <c r="AO146" s="40"/>
      <c r="AP146" s="40"/>
      <c r="AQ146" s="31"/>
      <c r="AR146" s="32"/>
      <c r="AS146" s="29"/>
      <c r="AU146" s="41" t="s">
        <v>444</v>
      </c>
      <c r="AV146" s="41" t="s">
        <v>283</v>
      </c>
      <c r="AW146" s="40"/>
      <c r="AX146" s="40"/>
      <c r="AY146" s="40"/>
      <c r="AZ146" s="31"/>
      <c r="BA146" s="32"/>
      <c r="BB146" s="29"/>
      <c r="BD146" s="41" t="s">
        <v>444</v>
      </c>
      <c r="BE146" s="41" t="s">
        <v>283</v>
      </c>
      <c r="BF146" s="40"/>
      <c r="BG146" s="40"/>
      <c r="BH146" s="40"/>
      <c r="BI146" s="31"/>
      <c r="BJ146" s="32"/>
      <c r="BK146" s="29"/>
    </row>
    <row r="147" spans="2:63" x14ac:dyDescent="0.25">
      <c r="B147" s="41" t="s">
        <v>444</v>
      </c>
      <c r="C147" s="41" t="s">
        <v>283</v>
      </c>
      <c r="D147" s="40"/>
      <c r="E147" s="40"/>
      <c r="F147" s="40"/>
      <c r="G147" s="31"/>
      <c r="H147" s="32"/>
      <c r="I147" s="29"/>
      <c r="K147" s="41" t="s">
        <v>444</v>
      </c>
      <c r="L147" s="41" t="s">
        <v>283</v>
      </c>
      <c r="M147" s="40"/>
      <c r="N147" s="40"/>
      <c r="O147" s="40"/>
      <c r="P147" s="31"/>
      <c r="Q147" s="32"/>
      <c r="R147" s="29"/>
      <c r="T147" s="41" t="s">
        <v>444</v>
      </c>
      <c r="U147" s="41" t="s">
        <v>283</v>
      </c>
      <c r="V147" s="40"/>
      <c r="W147" s="40"/>
      <c r="X147" s="40"/>
      <c r="Y147" s="31"/>
      <c r="Z147" s="32"/>
      <c r="AA147" s="29"/>
      <c r="AC147" s="41" t="s">
        <v>444</v>
      </c>
      <c r="AD147" s="41" t="s">
        <v>283</v>
      </c>
      <c r="AE147" s="40"/>
      <c r="AF147" s="40"/>
      <c r="AG147" s="40"/>
      <c r="AH147" s="31"/>
      <c r="AI147" s="32"/>
      <c r="AJ147" s="29"/>
      <c r="AL147" s="41" t="s">
        <v>444</v>
      </c>
      <c r="AM147" s="41" t="s">
        <v>283</v>
      </c>
      <c r="AN147" s="40"/>
      <c r="AO147" s="40"/>
      <c r="AP147" s="40"/>
      <c r="AQ147" s="31"/>
      <c r="AR147" s="32"/>
      <c r="AS147" s="29"/>
      <c r="AU147" s="41" t="s">
        <v>444</v>
      </c>
      <c r="AV147" s="41" t="s">
        <v>283</v>
      </c>
      <c r="AW147" s="40"/>
      <c r="AX147" s="40"/>
      <c r="AY147" s="40"/>
      <c r="AZ147" s="31"/>
      <c r="BA147" s="32"/>
      <c r="BB147" s="29"/>
      <c r="BD147" s="41" t="s">
        <v>444</v>
      </c>
      <c r="BE147" s="41" t="s">
        <v>283</v>
      </c>
      <c r="BF147" s="40"/>
      <c r="BG147" s="40"/>
      <c r="BH147" s="40"/>
      <c r="BI147" s="31"/>
      <c r="BJ147" s="32"/>
      <c r="BK147" s="29"/>
    </row>
    <row r="148" spans="2:63" x14ac:dyDescent="0.25">
      <c r="B148" s="41" t="s">
        <v>444</v>
      </c>
      <c r="C148" s="41" t="s">
        <v>283</v>
      </c>
      <c r="D148" s="40"/>
      <c r="E148" s="40"/>
      <c r="F148" s="40"/>
      <c r="G148" s="31"/>
      <c r="H148" s="32"/>
      <c r="I148" s="29"/>
      <c r="K148" s="41" t="s">
        <v>444</v>
      </c>
      <c r="L148" s="41" t="s">
        <v>283</v>
      </c>
      <c r="M148" s="40"/>
      <c r="N148" s="40"/>
      <c r="O148" s="40"/>
      <c r="P148" s="31"/>
      <c r="Q148" s="32"/>
      <c r="R148" s="29"/>
      <c r="T148" s="41" t="s">
        <v>444</v>
      </c>
      <c r="U148" s="41" t="s">
        <v>283</v>
      </c>
      <c r="V148" s="40"/>
      <c r="W148" s="40"/>
      <c r="X148" s="40"/>
      <c r="Y148" s="31"/>
      <c r="Z148" s="32"/>
      <c r="AA148" s="29"/>
      <c r="AC148" s="41" t="s">
        <v>444</v>
      </c>
      <c r="AD148" s="41" t="s">
        <v>283</v>
      </c>
      <c r="AE148" s="40"/>
      <c r="AF148" s="40"/>
      <c r="AG148" s="40"/>
      <c r="AH148" s="31"/>
      <c r="AI148" s="32"/>
      <c r="AJ148" s="29"/>
      <c r="AL148" s="41" t="s">
        <v>444</v>
      </c>
      <c r="AM148" s="41" t="s">
        <v>283</v>
      </c>
      <c r="AN148" s="40"/>
      <c r="AO148" s="40"/>
      <c r="AP148" s="40"/>
      <c r="AQ148" s="31"/>
      <c r="AR148" s="32"/>
      <c r="AS148" s="29"/>
      <c r="AU148" s="41" t="s">
        <v>444</v>
      </c>
      <c r="AV148" s="41" t="s">
        <v>283</v>
      </c>
      <c r="AW148" s="40"/>
      <c r="AX148" s="40"/>
      <c r="AY148" s="40"/>
      <c r="AZ148" s="31"/>
      <c r="BA148" s="32"/>
      <c r="BB148" s="29"/>
      <c r="BD148" s="41" t="s">
        <v>444</v>
      </c>
      <c r="BE148" s="41" t="s">
        <v>283</v>
      </c>
      <c r="BF148" s="40"/>
      <c r="BG148" s="40"/>
      <c r="BH148" s="40"/>
      <c r="BI148" s="31"/>
      <c r="BJ148" s="32"/>
      <c r="BK148" s="29"/>
    </row>
    <row r="149" spans="2:63" x14ac:dyDescent="0.25">
      <c r="B149" s="8" t="s">
        <v>449</v>
      </c>
      <c r="C149" s="25"/>
      <c r="D149" s="30"/>
      <c r="E149" s="30"/>
      <c r="F149" s="28">
        <f t="shared" ref="F149" si="111">SUM(F134:F148)</f>
        <v>3000</v>
      </c>
      <c r="G149" s="25"/>
      <c r="H149" s="26"/>
      <c r="I149" s="30"/>
      <c r="K149" s="8" t="s">
        <v>449</v>
      </c>
      <c r="L149" s="25"/>
      <c r="M149" s="30"/>
      <c r="N149" s="30"/>
      <c r="O149" s="28">
        <f t="shared" ref="O149" si="112">SUM(O134:O148)</f>
        <v>3000</v>
      </c>
      <c r="P149" s="25"/>
      <c r="Q149" s="26"/>
      <c r="R149" s="30"/>
      <c r="T149" s="8" t="s">
        <v>449</v>
      </c>
      <c r="U149" s="25"/>
      <c r="V149" s="30"/>
      <c r="W149" s="30"/>
      <c r="X149" s="28">
        <f t="shared" ref="X149" si="113">SUM(X134:X148)</f>
        <v>3000</v>
      </c>
      <c r="Y149" s="25"/>
      <c r="Z149" s="26"/>
      <c r="AA149" s="30"/>
      <c r="AC149" s="8" t="s">
        <v>449</v>
      </c>
      <c r="AD149" s="25"/>
      <c r="AE149" s="30"/>
      <c r="AF149" s="30"/>
      <c r="AG149" s="28">
        <f t="shared" ref="AG149" si="114">SUM(AG134:AG148)</f>
        <v>3000</v>
      </c>
      <c r="AH149" s="25"/>
      <c r="AI149" s="26"/>
      <c r="AJ149" s="30"/>
      <c r="AL149" s="8" t="s">
        <v>449</v>
      </c>
      <c r="AM149" s="25"/>
      <c r="AN149" s="30"/>
      <c r="AO149" s="30"/>
      <c r="AP149" s="28">
        <f t="shared" ref="AP149" si="115">SUM(AP134:AP148)</f>
        <v>3000</v>
      </c>
      <c r="AQ149" s="25"/>
      <c r="AR149" s="26"/>
      <c r="AS149" s="30"/>
      <c r="AU149" s="8" t="s">
        <v>449</v>
      </c>
      <c r="AV149" s="25"/>
      <c r="AW149" s="30"/>
      <c r="AX149" s="30"/>
      <c r="AY149" s="28">
        <f t="shared" ref="AY149" si="116">SUM(AY134:AY148)</f>
        <v>3000</v>
      </c>
      <c r="AZ149" s="25"/>
      <c r="BA149" s="26"/>
      <c r="BB149" s="30"/>
      <c r="BD149" s="8" t="s">
        <v>449</v>
      </c>
      <c r="BE149" s="25"/>
      <c r="BF149" s="30"/>
      <c r="BG149" s="30"/>
      <c r="BH149" s="28">
        <f t="shared" ref="BH149" si="117">SUM(BH134:BH148)</f>
        <v>3000</v>
      </c>
      <c r="BI149" s="25"/>
      <c r="BJ149" s="26"/>
      <c r="BK149" s="30"/>
    </row>
    <row r="151" spans="2:63" s="20" customFormat="1" ht="38.25" x14ac:dyDescent="0.25">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x14ac:dyDescent="0.25">
      <c r="B152" s="41" t="s">
        <v>444</v>
      </c>
      <c r="C152" s="41" t="s">
        <v>283</v>
      </c>
      <c r="D152" s="40">
        <v>180000</v>
      </c>
      <c r="E152" s="40">
        <v>100000</v>
      </c>
      <c r="F152" s="29"/>
      <c r="G152" s="31"/>
      <c r="H152" s="23">
        <v>0.05</v>
      </c>
      <c r="I152" s="75">
        <f>E152*H152</f>
        <v>5000</v>
      </c>
      <c r="K152" s="41" t="s">
        <v>444</v>
      </c>
      <c r="L152" s="41" t="s">
        <v>283</v>
      </c>
      <c r="M152" s="40">
        <v>180000</v>
      </c>
      <c r="N152" s="40">
        <v>100000</v>
      </c>
      <c r="O152" s="29"/>
      <c r="P152" s="31"/>
      <c r="Q152" s="23">
        <v>0.05</v>
      </c>
      <c r="R152" s="75">
        <f>N152*Q152</f>
        <v>5000</v>
      </c>
      <c r="T152" s="41" t="s">
        <v>444</v>
      </c>
      <c r="U152" s="41" t="s">
        <v>283</v>
      </c>
      <c r="V152" s="40">
        <v>180000</v>
      </c>
      <c r="W152" s="40">
        <v>100000</v>
      </c>
      <c r="X152" s="29"/>
      <c r="Y152" s="31"/>
      <c r="Z152" s="23">
        <v>0.05</v>
      </c>
      <c r="AA152" s="75">
        <f>W152*Z152</f>
        <v>5000</v>
      </c>
      <c r="AC152" s="41" t="s">
        <v>444</v>
      </c>
      <c r="AD152" s="41" t="s">
        <v>283</v>
      </c>
      <c r="AE152" s="40">
        <v>180000</v>
      </c>
      <c r="AF152" s="40">
        <v>100000</v>
      </c>
      <c r="AG152" s="29"/>
      <c r="AH152" s="31"/>
      <c r="AI152" s="23">
        <v>0.05</v>
      </c>
      <c r="AJ152" s="75">
        <f>AF152*AI152</f>
        <v>5000</v>
      </c>
      <c r="AL152" s="41" t="s">
        <v>444</v>
      </c>
      <c r="AM152" s="41" t="s">
        <v>283</v>
      </c>
      <c r="AN152" s="40">
        <v>180000</v>
      </c>
      <c r="AO152" s="40">
        <v>100000</v>
      </c>
      <c r="AP152" s="29"/>
      <c r="AQ152" s="31"/>
      <c r="AR152" s="23">
        <v>0.05</v>
      </c>
      <c r="AS152" s="75">
        <f>AO152*AR152</f>
        <v>5000</v>
      </c>
      <c r="AU152" s="41" t="s">
        <v>444</v>
      </c>
      <c r="AV152" s="41" t="s">
        <v>283</v>
      </c>
      <c r="AW152" s="40">
        <v>180000</v>
      </c>
      <c r="AX152" s="40">
        <v>100000</v>
      </c>
      <c r="AY152" s="29"/>
      <c r="AZ152" s="31"/>
      <c r="BA152" s="23">
        <v>0.05</v>
      </c>
      <c r="BB152" s="75">
        <f>AX152*BA152</f>
        <v>5000</v>
      </c>
      <c r="BD152" s="41" t="s">
        <v>444</v>
      </c>
      <c r="BE152" s="41" t="s">
        <v>283</v>
      </c>
      <c r="BF152" s="40">
        <v>180000</v>
      </c>
      <c r="BG152" s="40">
        <v>100000</v>
      </c>
      <c r="BH152" s="29"/>
      <c r="BI152" s="31"/>
      <c r="BJ152" s="23">
        <v>0.05</v>
      </c>
      <c r="BK152" s="75">
        <f>BG152*BJ152</f>
        <v>5000</v>
      </c>
    </row>
    <row r="153" spans="2:63" x14ac:dyDescent="0.25">
      <c r="B153" s="41" t="s">
        <v>444</v>
      </c>
      <c r="C153" s="41" t="s">
        <v>283</v>
      </c>
      <c r="D153" s="40"/>
      <c r="E153" s="40"/>
      <c r="F153" s="29"/>
      <c r="G153" s="31"/>
      <c r="H153" s="23">
        <v>0.05</v>
      </c>
      <c r="I153" s="75">
        <f t="shared" ref="I153:I166" si="125">E153*H153</f>
        <v>0</v>
      </c>
      <c r="K153" s="41" t="s">
        <v>444</v>
      </c>
      <c r="L153" s="41" t="s">
        <v>283</v>
      </c>
      <c r="M153" s="40"/>
      <c r="N153" s="40"/>
      <c r="O153" s="29"/>
      <c r="P153" s="31"/>
      <c r="Q153" s="23">
        <v>0.05</v>
      </c>
      <c r="R153" s="75">
        <f t="shared" ref="R153:R166" si="126">N153*Q153</f>
        <v>0</v>
      </c>
      <c r="T153" s="41" t="s">
        <v>444</v>
      </c>
      <c r="U153" s="41" t="s">
        <v>283</v>
      </c>
      <c r="V153" s="40"/>
      <c r="W153" s="40"/>
      <c r="X153" s="29"/>
      <c r="Y153" s="31"/>
      <c r="Z153" s="23">
        <v>0.05</v>
      </c>
      <c r="AA153" s="75">
        <f t="shared" ref="AA153:AA166" si="127">W153*Z153</f>
        <v>0</v>
      </c>
      <c r="AC153" s="41" t="s">
        <v>444</v>
      </c>
      <c r="AD153" s="41" t="s">
        <v>283</v>
      </c>
      <c r="AE153" s="40"/>
      <c r="AF153" s="40"/>
      <c r="AG153" s="29"/>
      <c r="AH153" s="31"/>
      <c r="AI153" s="23">
        <v>0.05</v>
      </c>
      <c r="AJ153" s="75">
        <f t="shared" ref="AJ153:AJ166" si="128">AF153*AI153</f>
        <v>0</v>
      </c>
      <c r="AL153" s="41" t="s">
        <v>444</v>
      </c>
      <c r="AM153" s="41" t="s">
        <v>283</v>
      </c>
      <c r="AN153" s="40"/>
      <c r="AO153" s="40"/>
      <c r="AP153" s="29"/>
      <c r="AQ153" s="31"/>
      <c r="AR153" s="23">
        <v>0.05</v>
      </c>
      <c r="AS153" s="75">
        <f t="shared" ref="AS153:AS166" si="129">AO153*AR153</f>
        <v>0</v>
      </c>
      <c r="AU153" s="41" t="s">
        <v>444</v>
      </c>
      <c r="AV153" s="41" t="s">
        <v>283</v>
      </c>
      <c r="AW153" s="40"/>
      <c r="AX153" s="40"/>
      <c r="AY153" s="29"/>
      <c r="AZ153" s="31"/>
      <c r="BA153" s="23">
        <v>0.05</v>
      </c>
      <c r="BB153" s="75">
        <f t="shared" ref="BB153:BB166" si="130">AX153*BA153</f>
        <v>0</v>
      </c>
      <c r="BD153" s="41" t="s">
        <v>444</v>
      </c>
      <c r="BE153" s="41" t="s">
        <v>283</v>
      </c>
      <c r="BF153" s="40"/>
      <c r="BG153" s="40"/>
      <c r="BH153" s="29"/>
      <c r="BI153" s="31"/>
      <c r="BJ153" s="23">
        <v>0.05</v>
      </c>
      <c r="BK153" s="75">
        <f t="shared" ref="BK153:BK166" si="131">BG153*BJ153</f>
        <v>0</v>
      </c>
    </row>
    <row r="154" spans="2:63" x14ac:dyDescent="0.25">
      <c r="B154" s="41" t="s">
        <v>444</v>
      </c>
      <c r="C154" s="41" t="s">
        <v>283</v>
      </c>
      <c r="D154" s="40"/>
      <c r="E154" s="40"/>
      <c r="F154" s="29"/>
      <c r="G154" s="31"/>
      <c r="H154" s="23">
        <v>0.05</v>
      </c>
      <c r="I154" s="75">
        <f t="shared" si="125"/>
        <v>0</v>
      </c>
      <c r="K154" s="41" t="s">
        <v>444</v>
      </c>
      <c r="L154" s="41" t="s">
        <v>283</v>
      </c>
      <c r="M154" s="40"/>
      <c r="N154" s="40"/>
      <c r="O154" s="29"/>
      <c r="P154" s="31"/>
      <c r="Q154" s="23">
        <v>0.05</v>
      </c>
      <c r="R154" s="75">
        <f t="shared" si="126"/>
        <v>0</v>
      </c>
      <c r="T154" s="41" t="s">
        <v>444</v>
      </c>
      <c r="U154" s="41" t="s">
        <v>283</v>
      </c>
      <c r="V154" s="40"/>
      <c r="W154" s="40"/>
      <c r="X154" s="29"/>
      <c r="Y154" s="31"/>
      <c r="Z154" s="23">
        <v>0.05</v>
      </c>
      <c r="AA154" s="75">
        <f t="shared" si="127"/>
        <v>0</v>
      </c>
      <c r="AC154" s="41" t="s">
        <v>444</v>
      </c>
      <c r="AD154" s="41" t="s">
        <v>283</v>
      </c>
      <c r="AE154" s="40"/>
      <c r="AF154" s="40"/>
      <c r="AG154" s="29"/>
      <c r="AH154" s="31"/>
      <c r="AI154" s="23">
        <v>0.05</v>
      </c>
      <c r="AJ154" s="75">
        <f t="shared" si="128"/>
        <v>0</v>
      </c>
      <c r="AL154" s="41" t="s">
        <v>444</v>
      </c>
      <c r="AM154" s="41" t="s">
        <v>283</v>
      </c>
      <c r="AN154" s="40"/>
      <c r="AO154" s="40"/>
      <c r="AP154" s="29"/>
      <c r="AQ154" s="31"/>
      <c r="AR154" s="23">
        <v>0.05</v>
      </c>
      <c r="AS154" s="75">
        <f t="shared" si="129"/>
        <v>0</v>
      </c>
      <c r="AU154" s="41" t="s">
        <v>444</v>
      </c>
      <c r="AV154" s="41" t="s">
        <v>283</v>
      </c>
      <c r="AW154" s="40"/>
      <c r="AX154" s="40"/>
      <c r="AY154" s="29"/>
      <c r="AZ154" s="31"/>
      <c r="BA154" s="23">
        <v>0.05</v>
      </c>
      <c r="BB154" s="75">
        <f t="shared" si="130"/>
        <v>0</v>
      </c>
      <c r="BD154" s="41" t="s">
        <v>444</v>
      </c>
      <c r="BE154" s="41" t="s">
        <v>283</v>
      </c>
      <c r="BF154" s="40"/>
      <c r="BG154" s="40"/>
      <c r="BH154" s="29"/>
      <c r="BI154" s="31"/>
      <c r="BJ154" s="23">
        <v>0.05</v>
      </c>
      <c r="BK154" s="75">
        <f t="shared" si="131"/>
        <v>0</v>
      </c>
    </row>
    <row r="155" spans="2:63" x14ac:dyDescent="0.25">
      <c r="B155" s="41" t="s">
        <v>444</v>
      </c>
      <c r="C155" s="41" t="s">
        <v>283</v>
      </c>
      <c r="D155" s="40"/>
      <c r="E155" s="40"/>
      <c r="F155" s="29"/>
      <c r="G155" s="31"/>
      <c r="H155" s="23">
        <v>0.05</v>
      </c>
      <c r="I155" s="75">
        <f t="shared" si="125"/>
        <v>0</v>
      </c>
      <c r="K155" s="41" t="s">
        <v>444</v>
      </c>
      <c r="L155" s="41" t="s">
        <v>283</v>
      </c>
      <c r="M155" s="40"/>
      <c r="N155" s="40"/>
      <c r="O155" s="29"/>
      <c r="P155" s="31"/>
      <c r="Q155" s="23">
        <v>0.05</v>
      </c>
      <c r="R155" s="75">
        <f t="shared" si="126"/>
        <v>0</v>
      </c>
      <c r="T155" s="41" t="s">
        <v>444</v>
      </c>
      <c r="U155" s="41" t="s">
        <v>283</v>
      </c>
      <c r="V155" s="40"/>
      <c r="W155" s="40"/>
      <c r="X155" s="29"/>
      <c r="Y155" s="31"/>
      <c r="Z155" s="23">
        <v>0.05</v>
      </c>
      <c r="AA155" s="75">
        <f t="shared" si="127"/>
        <v>0</v>
      </c>
      <c r="AC155" s="41" t="s">
        <v>444</v>
      </c>
      <c r="AD155" s="41" t="s">
        <v>283</v>
      </c>
      <c r="AE155" s="40"/>
      <c r="AF155" s="40"/>
      <c r="AG155" s="29"/>
      <c r="AH155" s="31"/>
      <c r="AI155" s="23">
        <v>0.05</v>
      </c>
      <c r="AJ155" s="75">
        <f t="shared" si="128"/>
        <v>0</v>
      </c>
      <c r="AL155" s="41" t="s">
        <v>444</v>
      </c>
      <c r="AM155" s="41" t="s">
        <v>283</v>
      </c>
      <c r="AN155" s="40"/>
      <c r="AO155" s="40"/>
      <c r="AP155" s="29"/>
      <c r="AQ155" s="31"/>
      <c r="AR155" s="23">
        <v>0.05</v>
      </c>
      <c r="AS155" s="75">
        <f t="shared" si="129"/>
        <v>0</v>
      </c>
      <c r="AU155" s="41" t="s">
        <v>444</v>
      </c>
      <c r="AV155" s="41" t="s">
        <v>283</v>
      </c>
      <c r="AW155" s="40"/>
      <c r="AX155" s="40"/>
      <c r="AY155" s="29"/>
      <c r="AZ155" s="31"/>
      <c r="BA155" s="23">
        <v>0.05</v>
      </c>
      <c r="BB155" s="75">
        <f t="shared" si="130"/>
        <v>0</v>
      </c>
      <c r="BD155" s="41" t="s">
        <v>444</v>
      </c>
      <c r="BE155" s="41" t="s">
        <v>283</v>
      </c>
      <c r="BF155" s="40"/>
      <c r="BG155" s="40"/>
      <c r="BH155" s="29"/>
      <c r="BI155" s="31"/>
      <c r="BJ155" s="23">
        <v>0.05</v>
      </c>
      <c r="BK155" s="75">
        <f t="shared" si="131"/>
        <v>0</v>
      </c>
    </row>
    <row r="156" spans="2:63" x14ac:dyDescent="0.25">
      <c r="B156" s="41" t="s">
        <v>444</v>
      </c>
      <c r="C156" s="41" t="s">
        <v>283</v>
      </c>
      <c r="D156" s="40"/>
      <c r="E156" s="40"/>
      <c r="F156" s="29"/>
      <c r="G156" s="31"/>
      <c r="H156" s="23">
        <v>0.05</v>
      </c>
      <c r="I156" s="75">
        <f t="shared" si="125"/>
        <v>0</v>
      </c>
      <c r="K156" s="41" t="s">
        <v>444</v>
      </c>
      <c r="L156" s="41" t="s">
        <v>283</v>
      </c>
      <c r="M156" s="40"/>
      <c r="N156" s="40"/>
      <c r="O156" s="29"/>
      <c r="P156" s="31"/>
      <c r="Q156" s="23">
        <v>0.05</v>
      </c>
      <c r="R156" s="75">
        <f t="shared" si="126"/>
        <v>0</v>
      </c>
      <c r="T156" s="41" t="s">
        <v>444</v>
      </c>
      <c r="U156" s="41" t="s">
        <v>283</v>
      </c>
      <c r="V156" s="40"/>
      <c r="W156" s="40"/>
      <c r="X156" s="29"/>
      <c r="Y156" s="31"/>
      <c r="Z156" s="23">
        <v>0.05</v>
      </c>
      <c r="AA156" s="75">
        <f t="shared" si="127"/>
        <v>0</v>
      </c>
      <c r="AC156" s="41" t="s">
        <v>444</v>
      </c>
      <c r="AD156" s="41" t="s">
        <v>283</v>
      </c>
      <c r="AE156" s="40"/>
      <c r="AF156" s="40"/>
      <c r="AG156" s="29"/>
      <c r="AH156" s="31"/>
      <c r="AI156" s="23">
        <v>0.05</v>
      </c>
      <c r="AJ156" s="75">
        <f t="shared" si="128"/>
        <v>0</v>
      </c>
      <c r="AL156" s="41" t="s">
        <v>444</v>
      </c>
      <c r="AM156" s="41" t="s">
        <v>283</v>
      </c>
      <c r="AN156" s="40"/>
      <c r="AO156" s="40"/>
      <c r="AP156" s="29"/>
      <c r="AQ156" s="31"/>
      <c r="AR156" s="23">
        <v>0.05</v>
      </c>
      <c r="AS156" s="75">
        <f t="shared" si="129"/>
        <v>0</v>
      </c>
      <c r="AU156" s="41" t="s">
        <v>444</v>
      </c>
      <c r="AV156" s="41" t="s">
        <v>283</v>
      </c>
      <c r="AW156" s="40"/>
      <c r="AX156" s="40"/>
      <c r="AY156" s="29"/>
      <c r="AZ156" s="31"/>
      <c r="BA156" s="23">
        <v>0.05</v>
      </c>
      <c r="BB156" s="75">
        <f t="shared" si="130"/>
        <v>0</v>
      </c>
      <c r="BD156" s="41" t="s">
        <v>444</v>
      </c>
      <c r="BE156" s="41" t="s">
        <v>283</v>
      </c>
      <c r="BF156" s="40"/>
      <c r="BG156" s="40"/>
      <c r="BH156" s="29"/>
      <c r="BI156" s="31"/>
      <c r="BJ156" s="23">
        <v>0.05</v>
      </c>
      <c r="BK156" s="75">
        <f t="shared" si="131"/>
        <v>0</v>
      </c>
    </row>
    <row r="157" spans="2:63" x14ac:dyDescent="0.25">
      <c r="B157" s="41" t="s">
        <v>444</v>
      </c>
      <c r="C157" s="41" t="s">
        <v>283</v>
      </c>
      <c r="D157" s="40"/>
      <c r="E157" s="40"/>
      <c r="F157" s="29"/>
      <c r="G157" s="31"/>
      <c r="H157" s="23">
        <v>0.05</v>
      </c>
      <c r="I157" s="75">
        <f t="shared" si="125"/>
        <v>0</v>
      </c>
      <c r="K157" s="41" t="s">
        <v>444</v>
      </c>
      <c r="L157" s="41" t="s">
        <v>283</v>
      </c>
      <c r="M157" s="40"/>
      <c r="N157" s="40"/>
      <c r="O157" s="29"/>
      <c r="P157" s="31"/>
      <c r="Q157" s="23">
        <v>0.05</v>
      </c>
      <c r="R157" s="75">
        <f t="shared" si="126"/>
        <v>0</v>
      </c>
      <c r="T157" s="41" t="s">
        <v>444</v>
      </c>
      <c r="U157" s="41" t="s">
        <v>283</v>
      </c>
      <c r="V157" s="40"/>
      <c r="W157" s="40"/>
      <c r="X157" s="29"/>
      <c r="Y157" s="31"/>
      <c r="Z157" s="23">
        <v>0.05</v>
      </c>
      <c r="AA157" s="75">
        <f t="shared" si="127"/>
        <v>0</v>
      </c>
      <c r="AC157" s="41" t="s">
        <v>444</v>
      </c>
      <c r="AD157" s="41" t="s">
        <v>283</v>
      </c>
      <c r="AE157" s="40"/>
      <c r="AF157" s="40"/>
      <c r="AG157" s="29"/>
      <c r="AH157" s="31"/>
      <c r="AI157" s="23">
        <v>0.05</v>
      </c>
      <c r="AJ157" s="75">
        <f t="shared" si="128"/>
        <v>0</v>
      </c>
      <c r="AL157" s="41" t="s">
        <v>444</v>
      </c>
      <c r="AM157" s="41" t="s">
        <v>283</v>
      </c>
      <c r="AN157" s="40"/>
      <c r="AO157" s="40"/>
      <c r="AP157" s="29"/>
      <c r="AQ157" s="31"/>
      <c r="AR157" s="23">
        <v>0.05</v>
      </c>
      <c r="AS157" s="75">
        <f t="shared" si="129"/>
        <v>0</v>
      </c>
      <c r="AU157" s="41" t="s">
        <v>444</v>
      </c>
      <c r="AV157" s="41" t="s">
        <v>283</v>
      </c>
      <c r="AW157" s="40"/>
      <c r="AX157" s="40"/>
      <c r="AY157" s="29"/>
      <c r="AZ157" s="31"/>
      <c r="BA157" s="23">
        <v>0.05</v>
      </c>
      <c r="BB157" s="75">
        <f t="shared" si="130"/>
        <v>0</v>
      </c>
      <c r="BD157" s="41" t="s">
        <v>444</v>
      </c>
      <c r="BE157" s="41" t="s">
        <v>283</v>
      </c>
      <c r="BF157" s="40"/>
      <c r="BG157" s="40"/>
      <c r="BH157" s="29"/>
      <c r="BI157" s="31"/>
      <c r="BJ157" s="23">
        <v>0.05</v>
      </c>
      <c r="BK157" s="75">
        <f t="shared" si="131"/>
        <v>0</v>
      </c>
    </row>
    <row r="158" spans="2:63" x14ac:dyDescent="0.25">
      <c r="B158" s="41" t="s">
        <v>444</v>
      </c>
      <c r="C158" s="41" t="s">
        <v>283</v>
      </c>
      <c r="D158" s="40"/>
      <c r="E158" s="40"/>
      <c r="F158" s="29"/>
      <c r="G158" s="31"/>
      <c r="H158" s="23">
        <v>0.05</v>
      </c>
      <c r="I158" s="75">
        <f t="shared" si="125"/>
        <v>0</v>
      </c>
      <c r="K158" s="41" t="s">
        <v>444</v>
      </c>
      <c r="L158" s="41" t="s">
        <v>283</v>
      </c>
      <c r="M158" s="40"/>
      <c r="N158" s="40"/>
      <c r="O158" s="29"/>
      <c r="P158" s="31"/>
      <c r="Q158" s="23">
        <v>0.05</v>
      </c>
      <c r="R158" s="75">
        <f t="shared" si="126"/>
        <v>0</v>
      </c>
      <c r="T158" s="41" t="s">
        <v>444</v>
      </c>
      <c r="U158" s="41" t="s">
        <v>283</v>
      </c>
      <c r="V158" s="40"/>
      <c r="W158" s="40"/>
      <c r="X158" s="29"/>
      <c r="Y158" s="31"/>
      <c r="Z158" s="23">
        <v>0.05</v>
      </c>
      <c r="AA158" s="75">
        <f t="shared" si="127"/>
        <v>0</v>
      </c>
      <c r="AC158" s="41" t="s">
        <v>444</v>
      </c>
      <c r="AD158" s="41" t="s">
        <v>283</v>
      </c>
      <c r="AE158" s="40"/>
      <c r="AF158" s="40"/>
      <c r="AG158" s="29"/>
      <c r="AH158" s="31"/>
      <c r="AI158" s="23">
        <v>0.05</v>
      </c>
      <c r="AJ158" s="75">
        <f t="shared" si="128"/>
        <v>0</v>
      </c>
      <c r="AL158" s="41" t="s">
        <v>444</v>
      </c>
      <c r="AM158" s="41" t="s">
        <v>283</v>
      </c>
      <c r="AN158" s="40"/>
      <c r="AO158" s="40"/>
      <c r="AP158" s="29"/>
      <c r="AQ158" s="31"/>
      <c r="AR158" s="23">
        <v>0.05</v>
      </c>
      <c r="AS158" s="75">
        <f t="shared" si="129"/>
        <v>0</v>
      </c>
      <c r="AU158" s="41" t="s">
        <v>444</v>
      </c>
      <c r="AV158" s="41" t="s">
        <v>283</v>
      </c>
      <c r="AW158" s="40"/>
      <c r="AX158" s="40"/>
      <c r="AY158" s="29"/>
      <c r="AZ158" s="31"/>
      <c r="BA158" s="23">
        <v>0.05</v>
      </c>
      <c r="BB158" s="75">
        <f t="shared" si="130"/>
        <v>0</v>
      </c>
      <c r="BD158" s="41" t="s">
        <v>444</v>
      </c>
      <c r="BE158" s="41" t="s">
        <v>283</v>
      </c>
      <c r="BF158" s="40"/>
      <c r="BG158" s="40"/>
      <c r="BH158" s="29"/>
      <c r="BI158" s="31"/>
      <c r="BJ158" s="23">
        <v>0.05</v>
      </c>
      <c r="BK158" s="75">
        <f t="shared" si="131"/>
        <v>0</v>
      </c>
    </row>
    <row r="159" spans="2:63" x14ac:dyDescent="0.25">
      <c r="B159" s="41" t="s">
        <v>444</v>
      </c>
      <c r="C159" s="41" t="s">
        <v>283</v>
      </c>
      <c r="D159" s="40"/>
      <c r="E159" s="40"/>
      <c r="F159" s="29"/>
      <c r="G159" s="31"/>
      <c r="H159" s="23">
        <v>0.05</v>
      </c>
      <c r="I159" s="75">
        <f t="shared" si="125"/>
        <v>0</v>
      </c>
      <c r="K159" s="41" t="s">
        <v>444</v>
      </c>
      <c r="L159" s="41" t="s">
        <v>283</v>
      </c>
      <c r="M159" s="40"/>
      <c r="N159" s="40"/>
      <c r="O159" s="29"/>
      <c r="P159" s="31"/>
      <c r="Q159" s="23">
        <v>0.05</v>
      </c>
      <c r="R159" s="75">
        <f t="shared" si="126"/>
        <v>0</v>
      </c>
      <c r="T159" s="41" t="s">
        <v>444</v>
      </c>
      <c r="U159" s="41" t="s">
        <v>283</v>
      </c>
      <c r="V159" s="40"/>
      <c r="W159" s="40"/>
      <c r="X159" s="29"/>
      <c r="Y159" s="31"/>
      <c r="Z159" s="23">
        <v>0.05</v>
      </c>
      <c r="AA159" s="75">
        <f t="shared" si="127"/>
        <v>0</v>
      </c>
      <c r="AC159" s="41" t="s">
        <v>444</v>
      </c>
      <c r="AD159" s="41" t="s">
        <v>283</v>
      </c>
      <c r="AE159" s="40"/>
      <c r="AF159" s="40"/>
      <c r="AG159" s="29"/>
      <c r="AH159" s="31"/>
      <c r="AI159" s="23">
        <v>0.05</v>
      </c>
      <c r="AJ159" s="75">
        <f t="shared" si="128"/>
        <v>0</v>
      </c>
      <c r="AL159" s="41" t="s">
        <v>444</v>
      </c>
      <c r="AM159" s="41" t="s">
        <v>283</v>
      </c>
      <c r="AN159" s="40"/>
      <c r="AO159" s="40"/>
      <c r="AP159" s="29"/>
      <c r="AQ159" s="31"/>
      <c r="AR159" s="23">
        <v>0.05</v>
      </c>
      <c r="AS159" s="75">
        <f t="shared" si="129"/>
        <v>0</v>
      </c>
      <c r="AU159" s="41" t="s">
        <v>444</v>
      </c>
      <c r="AV159" s="41" t="s">
        <v>283</v>
      </c>
      <c r="AW159" s="40"/>
      <c r="AX159" s="40"/>
      <c r="AY159" s="29"/>
      <c r="AZ159" s="31"/>
      <c r="BA159" s="23">
        <v>0.05</v>
      </c>
      <c r="BB159" s="75">
        <f t="shared" si="130"/>
        <v>0</v>
      </c>
      <c r="BD159" s="41" t="s">
        <v>444</v>
      </c>
      <c r="BE159" s="41" t="s">
        <v>283</v>
      </c>
      <c r="BF159" s="40"/>
      <c r="BG159" s="40"/>
      <c r="BH159" s="29"/>
      <c r="BI159" s="31"/>
      <c r="BJ159" s="23">
        <v>0.05</v>
      </c>
      <c r="BK159" s="75">
        <f t="shared" si="131"/>
        <v>0</v>
      </c>
    </row>
    <row r="160" spans="2:63" x14ac:dyDescent="0.25">
      <c r="B160" s="41" t="s">
        <v>444</v>
      </c>
      <c r="C160" s="41" t="s">
        <v>283</v>
      </c>
      <c r="D160" s="40"/>
      <c r="E160" s="40"/>
      <c r="F160" s="29"/>
      <c r="G160" s="31"/>
      <c r="H160" s="23">
        <v>0.05</v>
      </c>
      <c r="I160" s="75">
        <f t="shared" si="125"/>
        <v>0</v>
      </c>
      <c r="K160" s="41" t="s">
        <v>444</v>
      </c>
      <c r="L160" s="41" t="s">
        <v>283</v>
      </c>
      <c r="M160" s="40"/>
      <c r="N160" s="40"/>
      <c r="O160" s="29"/>
      <c r="P160" s="31"/>
      <c r="Q160" s="23">
        <v>0.05</v>
      </c>
      <c r="R160" s="75">
        <f t="shared" si="126"/>
        <v>0</v>
      </c>
      <c r="T160" s="41" t="s">
        <v>444</v>
      </c>
      <c r="U160" s="41" t="s">
        <v>283</v>
      </c>
      <c r="V160" s="40"/>
      <c r="W160" s="40"/>
      <c r="X160" s="29"/>
      <c r="Y160" s="31"/>
      <c r="Z160" s="23">
        <v>0.05</v>
      </c>
      <c r="AA160" s="75">
        <f t="shared" si="127"/>
        <v>0</v>
      </c>
      <c r="AC160" s="41" t="s">
        <v>444</v>
      </c>
      <c r="AD160" s="41" t="s">
        <v>283</v>
      </c>
      <c r="AE160" s="40"/>
      <c r="AF160" s="40"/>
      <c r="AG160" s="29"/>
      <c r="AH160" s="31"/>
      <c r="AI160" s="23">
        <v>0.05</v>
      </c>
      <c r="AJ160" s="75">
        <f t="shared" si="128"/>
        <v>0</v>
      </c>
      <c r="AL160" s="41" t="s">
        <v>444</v>
      </c>
      <c r="AM160" s="41" t="s">
        <v>283</v>
      </c>
      <c r="AN160" s="40"/>
      <c r="AO160" s="40"/>
      <c r="AP160" s="29"/>
      <c r="AQ160" s="31"/>
      <c r="AR160" s="23">
        <v>0.05</v>
      </c>
      <c r="AS160" s="75">
        <f t="shared" si="129"/>
        <v>0</v>
      </c>
      <c r="AU160" s="41" t="s">
        <v>444</v>
      </c>
      <c r="AV160" s="41" t="s">
        <v>283</v>
      </c>
      <c r="AW160" s="40"/>
      <c r="AX160" s="40"/>
      <c r="AY160" s="29"/>
      <c r="AZ160" s="31"/>
      <c r="BA160" s="23">
        <v>0.05</v>
      </c>
      <c r="BB160" s="75">
        <f t="shared" si="130"/>
        <v>0</v>
      </c>
      <c r="BD160" s="41" t="s">
        <v>444</v>
      </c>
      <c r="BE160" s="41" t="s">
        <v>283</v>
      </c>
      <c r="BF160" s="40"/>
      <c r="BG160" s="40"/>
      <c r="BH160" s="29"/>
      <c r="BI160" s="31"/>
      <c r="BJ160" s="23">
        <v>0.05</v>
      </c>
      <c r="BK160" s="75">
        <f t="shared" si="131"/>
        <v>0</v>
      </c>
    </row>
    <row r="161" spans="2:63" x14ac:dyDescent="0.25">
      <c r="B161" s="41" t="s">
        <v>444</v>
      </c>
      <c r="C161" s="41" t="s">
        <v>283</v>
      </c>
      <c r="D161" s="40"/>
      <c r="E161" s="40"/>
      <c r="F161" s="29"/>
      <c r="G161" s="31"/>
      <c r="H161" s="23">
        <v>0.05</v>
      </c>
      <c r="I161" s="75">
        <f t="shared" si="125"/>
        <v>0</v>
      </c>
      <c r="K161" s="41" t="s">
        <v>444</v>
      </c>
      <c r="L161" s="41" t="s">
        <v>283</v>
      </c>
      <c r="M161" s="40"/>
      <c r="N161" s="40"/>
      <c r="O161" s="29"/>
      <c r="P161" s="31"/>
      <c r="Q161" s="23">
        <v>0.05</v>
      </c>
      <c r="R161" s="75">
        <f t="shared" si="126"/>
        <v>0</v>
      </c>
      <c r="T161" s="41" t="s">
        <v>444</v>
      </c>
      <c r="U161" s="41" t="s">
        <v>283</v>
      </c>
      <c r="V161" s="40"/>
      <c r="W161" s="40"/>
      <c r="X161" s="29"/>
      <c r="Y161" s="31"/>
      <c r="Z161" s="23">
        <v>0.05</v>
      </c>
      <c r="AA161" s="75">
        <f t="shared" si="127"/>
        <v>0</v>
      </c>
      <c r="AC161" s="41" t="s">
        <v>444</v>
      </c>
      <c r="AD161" s="41" t="s">
        <v>283</v>
      </c>
      <c r="AE161" s="40"/>
      <c r="AF161" s="40"/>
      <c r="AG161" s="29"/>
      <c r="AH161" s="31"/>
      <c r="AI161" s="23">
        <v>0.05</v>
      </c>
      <c r="AJ161" s="75">
        <f t="shared" si="128"/>
        <v>0</v>
      </c>
      <c r="AL161" s="41" t="s">
        <v>444</v>
      </c>
      <c r="AM161" s="41" t="s">
        <v>283</v>
      </c>
      <c r="AN161" s="40"/>
      <c r="AO161" s="40"/>
      <c r="AP161" s="29"/>
      <c r="AQ161" s="31"/>
      <c r="AR161" s="23">
        <v>0.05</v>
      </c>
      <c r="AS161" s="75">
        <f t="shared" si="129"/>
        <v>0</v>
      </c>
      <c r="AU161" s="41" t="s">
        <v>444</v>
      </c>
      <c r="AV161" s="41" t="s">
        <v>283</v>
      </c>
      <c r="AW161" s="40"/>
      <c r="AX161" s="40"/>
      <c r="AY161" s="29"/>
      <c r="AZ161" s="31"/>
      <c r="BA161" s="23">
        <v>0.05</v>
      </c>
      <c r="BB161" s="75">
        <f t="shared" si="130"/>
        <v>0</v>
      </c>
      <c r="BD161" s="41" t="s">
        <v>444</v>
      </c>
      <c r="BE161" s="41" t="s">
        <v>283</v>
      </c>
      <c r="BF161" s="40"/>
      <c r="BG161" s="40"/>
      <c r="BH161" s="29"/>
      <c r="BI161" s="31"/>
      <c r="BJ161" s="23">
        <v>0.05</v>
      </c>
      <c r="BK161" s="75">
        <f t="shared" si="131"/>
        <v>0</v>
      </c>
    </row>
    <row r="162" spans="2:63" x14ac:dyDescent="0.25">
      <c r="B162" s="41" t="s">
        <v>444</v>
      </c>
      <c r="C162" s="41" t="s">
        <v>283</v>
      </c>
      <c r="D162" s="40"/>
      <c r="E162" s="40"/>
      <c r="F162" s="29"/>
      <c r="G162" s="31"/>
      <c r="H162" s="23">
        <v>0.05</v>
      </c>
      <c r="I162" s="75">
        <f t="shared" si="125"/>
        <v>0</v>
      </c>
      <c r="K162" s="41" t="s">
        <v>444</v>
      </c>
      <c r="L162" s="41" t="s">
        <v>283</v>
      </c>
      <c r="M162" s="40"/>
      <c r="N162" s="40"/>
      <c r="O162" s="29"/>
      <c r="P162" s="31"/>
      <c r="Q162" s="23">
        <v>0.05</v>
      </c>
      <c r="R162" s="75">
        <f t="shared" si="126"/>
        <v>0</v>
      </c>
      <c r="T162" s="41" t="s">
        <v>444</v>
      </c>
      <c r="U162" s="41" t="s">
        <v>283</v>
      </c>
      <c r="V162" s="40"/>
      <c r="W162" s="40"/>
      <c r="X162" s="29"/>
      <c r="Y162" s="31"/>
      <c r="Z162" s="23">
        <v>0.05</v>
      </c>
      <c r="AA162" s="75">
        <f t="shared" si="127"/>
        <v>0</v>
      </c>
      <c r="AC162" s="41" t="s">
        <v>444</v>
      </c>
      <c r="AD162" s="41" t="s">
        <v>283</v>
      </c>
      <c r="AE162" s="40"/>
      <c r="AF162" s="40"/>
      <c r="AG162" s="29"/>
      <c r="AH162" s="31"/>
      <c r="AI162" s="23">
        <v>0.05</v>
      </c>
      <c r="AJ162" s="75">
        <f t="shared" si="128"/>
        <v>0</v>
      </c>
      <c r="AL162" s="41" t="s">
        <v>444</v>
      </c>
      <c r="AM162" s="41" t="s">
        <v>283</v>
      </c>
      <c r="AN162" s="40"/>
      <c r="AO162" s="40"/>
      <c r="AP162" s="29"/>
      <c r="AQ162" s="31"/>
      <c r="AR162" s="23">
        <v>0.05</v>
      </c>
      <c r="AS162" s="75">
        <f t="shared" si="129"/>
        <v>0</v>
      </c>
      <c r="AU162" s="41" t="s">
        <v>444</v>
      </c>
      <c r="AV162" s="41" t="s">
        <v>283</v>
      </c>
      <c r="AW162" s="40"/>
      <c r="AX162" s="40"/>
      <c r="AY162" s="29"/>
      <c r="AZ162" s="31"/>
      <c r="BA162" s="23">
        <v>0.05</v>
      </c>
      <c r="BB162" s="75">
        <f t="shared" si="130"/>
        <v>0</v>
      </c>
      <c r="BD162" s="41" t="s">
        <v>444</v>
      </c>
      <c r="BE162" s="41" t="s">
        <v>283</v>
      </c>
      <c r="BF162" s="40"/>
      <c r="BG162" s="40"/>
      <c r="BH162" s="29"/>
      <c r="BI162" s="31"/>
      <c r="BJ162" s="23">
        <v>0.05</v>
      </c>
      <c r="BK162" s="75">
        <f t="shared" si="131"/>
        <v>0</v>
      </c>
    </row>
    <row r="163" spans="2:63" x14ac:dyDescent="0.25">
      <c r="B163" s="41" t="s">
        <v>444</v>
      </c>
      <c r="C163" s="41" t="s">
        <v>283</v>
      </c>
      <c r="D163" s="40"/>
      <c r="E163" s="40"/>
      <c r="F163" s="29"/>
      <c r="G163" s="31"/>
      <c r="H163" s="23">
        <v>0.05</v>
      </c>
      <c r="I163" s="75">
        <f t="shared" si="125"/>
        <v>0</v>
      </c>
      <c r="K163" s="41" t="s">
        <v>444</v>
      </c>
      <c r="L163" s="41" t="s">
        <v>283</v>
      </c>
      <c r="M163" s="40"/>
      <c r="N163" s="40"/>
      <c r="O163" s="29"/>
      <c r="P163" s="31"/>
      <c r="Q163" s="23">
        <v>0.05</v>
      </c>
      <c r="R163" s="75">
        <f t="shared" si="126"/>
        <v>0</v>
      </c>
      <c r="T163" s="41" t="s">
        <v>444</v>
      </c>
      <c r="U163" s="41" t="s">
        <v>283</v>
      </c>
      <c r="V163" s="40"/>
      <c r="W163" s="40"/>
      <c r="X163" s="29"/>
      <c r="Y163" s="31"/>
      <c r="Z163" s="23">
        <v>0.05</v>
      </c>
      <c r="AA163" s="75">
        <f t="shared" si="127"/>
        <v>0</v>
      </c>
      <c r="AC163" s="41" t="s">
        <v>444</v>
      </c>
      <c r="AD163" s="41" t="s">
        <v>283</v>
      </c>
      <c r="AE163" s="40"/>
      <c r="AF163" s="40"/>
      <c r="AG163" s="29"/>
      <c r="AH163" s="31"/>
      <c r="AI163" s="23">
        <v>0.05</v>
      </c>
      <c r="AJ163" s="75">
        <f t="shared" si="128"/>
        <v>0</v>
      </c>
      <c r="AL163" s="41" t="s">
        <v>444</v>
      </c>
      <c r="AM163" s="41" t="s">
        <v>283</v>
      </c>
      <c r="AN163" s="40"/>
      <c r="AO163" s="40"/>
      <c r="AP163" s="29"/>
      <c r="AQ163" s="31"/>
      <c r="AR163" s="23">
        <v>0.05</v>
      </c>
      <c r="AS163" s="75">
        <f t="shared" si="129"/>
        <v>0</v>
      </c>
      <c r="AU163" s="41" t="s">
        <v>444</v>
      </c>
      <c r="AV163" s="41" t="s">
        <v>283</v>
      </c>
      <c r="AW163" s="40"/>
      <c r="AX163" s="40"/>
      <c r="AY163" s="29"/>
      <c r="AZ163" s="31"/>
      <c r="BA163" s="23">
        <v>0.05</v>
      </c>
      <c r="BB163" s="75">
        <f t="shared" si="130"/>
        <v>0</v>
      </c>
      <c r="BD163" s="41" t="s">
        <v>444</v>
      </c>
      <c r="BE163" s="41" t="s">
        <v>283</v>
      </c>
      <c r="BF163" s="40"/>
      <c r="BG163" s="40"/>
      <c r="BH163" s="29"/>
      <c r="BI163" s="31"/>
      <c r="BJ163" s="23">
        <v>0.05</v>
      </c>
      <c r="BK163" s="75">
        <f t="shared" si="131"/>
        <v>0</v>
      </c>
    </row>
    <row r="164" spans="2:63" x14ac:dyDescent="0.25">
      <c r="B164" s="41" t="s">
        <v>444</v>
      </c>
      <c r="C164" s="41" t="s">
        <v>283</v>
      </c>
      <c r="D164" s="40"/>
      <c r="E164" s="40"/>
      <c r="F164" s="29"/>
      <c r="G164" s="31"/>
      <c r="H164" s="23">
        <v>0.05</v>
      </c>
      <c r="I164" s="75">
        <f t="shared" si="125"/>
        <v>0</v>
      </c>
      <c r="K164" s="41" t="s">
        <v>444</v>
      </c>
      <c r="L164" s="41" t="s">
        <v>283</v>
      </c>
      <c r="M164" s="40"/>
      <c r="N164" s="40"/>
      <c r="O164" s="29"/>
      <c r="P164" s="31"/>
      <c r="Q164" s="23">
        <v>0.05</v>
      </c>
      <c r="R164" s="75">
        <f t="shared" si="126"/>
        <v>0</v>
      </c>
      <c r="T164" s="41" t="s">
        <v>444</v>
      </c>
      <c r="U164" s="41" t="s">
        <v>283</v>
      </c>
      <c r="V164" s="40"/>
      <c r="W164" s="40"/>
      <c r="X164" s="29"/>
      <c r="Y164" s="31"/>
      <c r="Z164" s="23">
        <v>0.05</v>
      </c>
      <c r="AA164" s="75">
        <f t="shared" si="127"/>
        <v>0</v>
      </c>
      <c r="AC164" s="41" t="s">
        <v>444</v>
      </c>
      <c r="AD164" s="41" t="s">
        <v>283</v>
      </c>
      <c r="AE164" s="40"/>
      <c r="AF164" s="40"/>
      <c r="AG164" s="29"/>
      <c r="AH164" s="31"/>
      <c r="AI164" s="23">
        <v>0.05</v>
      </c>
      <c r="AJ164" s="75">
        <f t="shared" si="128"/>
        <v>0</v>
      </c>
      <c r="AL164" s="41" t="s">
        <v>444</v>
      </c>
      <c r="AM164" s="41" t="s">
        <v>283</v>
      </c>
      <c r="AN164" s="40"/>
      <c r="AO164" s="40"/>
      <c r="AP164" s="29"/>
      <c r="AQ164" s="31"/>
      <c r="AR164" s="23">
        <v>0.05</v>
      </c>
      <c r="AS164" s="75">
        <f t="shared" si="129"/>
        <v>0</v>
      </c>
      <c r="AU164" s="41" t="s">
        <v>444</v>
      </c>
      <c r="AV164" s="41" t="s">
        <v>283</v>
      </c>
      <c r="AW164" s="40"/>
      <c r="AX164" s="40"/>
      <c r="AY164" s="29"/>
      <c r="AZ164" s="31"/>
      <c r="BA164" s="23">
        <v>0.05</v>
      </c>
      <c r="BB164" s="75">
        <f t="shared" si="130"/>
        <v>0</v>
      </c>
      <c r="BD164" s="41" t="s">
        <v>444</v>
      </c>
      <c r="BE164" s="41" t="s">
        <v>283</v>
      </c>
      <c r="BF164" s="40"/>
      <c r="BG164" s="40"/>
      <c r="BH164" s="29"/>
      <c r="BI164" s="31"/>
      <c r="BJ164" s="23">
        <v>0.05</v>
      </c>
      <c r="BK164" s="75">
        <f t="shared" si="131"/>
        <v>0</v>
      </c>
    </row>
    <row r="165" spans="2:63" x14ac:dyDescent="0.25">
      <c r="B165" s="41" t="s">
        <v>444</v>
      </c>
      <c r="C165" s="41" t="s">
        <v>283</v>
      </c>
      <c r="D165" s="40"/>
      <c r="E165" s="40"/>
      <c r="F165" s="29"/>
      <c r="G165" s="31"/>
      <c r="H165" s="23">
        <v>0.05</v>
      </c>
      <c r="I165" s="75">
        <f t="shared" si="125"/>
        <v>0</v>
      </c>
      <c r="K165" s="41" t="s">
        <v>444</v>
      </c>
      <c r="L165" s="41" t="s">
        <v>283</v>
      </c>
      <c r="M165" s="40"/>
      <c r="N165" s="40"/>
      <c r="O165" s="29"/>
      <c r="P165" s="31"/>
      <c r="Q165" s="23">
        <v>0.05</v>
      </c>
      <c r="R165" s="75">
        <f t="shared" si="126"/>
        <v>0</v>
      </c>
      <c r="T165" s="41" t="s">
        <v>444</v>
      </c>
      <c r="U165" s="41" t="s">
        <v>283</v>
      </c>
      <c r="V165" s="40"/>
      <c r="W165" s="40"/>
      <c r="X165" s="29"/>
      <c r="Y165" s="31"/>
      <c r="Z165" s="23">
        <v>0.05</v>
      </c>
      <c r="AA165" s="75">
        <f t="shared" si="127"/>
        <v>0</v>
      </c>
      <c r="AC165" s="41" t="s">
        <v>444</v>
      </c>
      <c r="AD165" s="41" t="s">
        <v>283</v>
      </c>
      <c r="AE165" s="40"/>
      <c r="AF165" s="40"/>
      <c r="AG165" s="29"/>
      <c r="AH165" s="31"/>
      <c r="AI165" s="23">
        <v>0.05</v>
      </c>
      <c r="AJ165" s="75">
        <f t="shared" si="128"/>
        <v>0</v>
      </c>
      <c r="AL165" s="41" t="s">
        <v>444</v>
      </c>
      <c r="AM165" s="41" t="s">
        <v>283</v>
      </c>
      <c r="AN165" s="40"/>
      <c r="AO165" s="40"/>
      <c r="AP165" s="29"/>
      <c r="AQ165" s="31"/>
      <c r="AR165" s="23">
        <v>0.05</v>
      </c>
      <c r="AS165" s="75">
        <f t="shared" si="129"/>
        <v>0</v>
      </c>
      <c r="AU165" s="41" t="s">
        <v>444</v>
      </c>
      <c r="AV165" s="41" t="s">
        <v>283</v>
      </c>
      <c r="AW165" s="40"/>
      <c r="AX165" s="40"/>
      <c r="AY165" s="29"/>
      <c r="AZ165" s="31"/>
      <c r="BA165" s="23">
        <v>0.05</v>
      </c>
      <c r="BB165" s="75">
        <f t="shared" si="130"/>
        <v>0</v>
      </c>
      <c r="BD165" s="41" t="s">
        <v>444</v>
      </c>
      <c r="BE165" s="41" t="s">
        <v>283</v>
      </c>
      <c r="BF165" s="40"/>
      <c r="BG165" s="40"/>
      <c r="BH165" s="29"/>
      <c r="BI165" s="31"/>
      <c r="BJ165" s="23">
        <v>0.05</v>
      </c>
      <c r="BK165" s="75">
        <f t="shared" si="131"/>
        <v>0</v>
      </c>
    </row>
    <row r="166" spans="2:63" x14ac:dyDescent="0.25">
      <c r="B166" s="41" t="s">
        <v>444</v>
      </c>
      <c r="C166" s="41" t="s">
        <v>283</v>
      </c>
      <c r="D166" s="40"/>
      <c r="E166" s="40"/>
      <c r="F166" s="29"/>
      <c r="G166" s="31"/>
      <c r="H166" s="23">
        <v>0.05</v>
      </c>
      <c r="I166" s="75">
        <f t="shared" si="125"/>
        <v>0</v>
      </c>
      <c r="K166" s="41" t="s">
        <v>444</v>
      </c>
      <c r="L166" s="41" t="s">
        <v>283</v>
      </c>
      <c r="M166" s="40"/>
      <c r="N166" s="40"/>
      <c r="O166" s="29"/>
      <c r="P166" s="31"/>
      <c r="Q166" s="23">
        <v>0.05</v>
      </c>
      <c r="R166" s="75">
        <f t="shared" si="126"/>
        <v>0</v>
      </c>
      <c r="T166" s="41" t="s">
        <v>444</v>
      </c>
      <c r="U166" s="41" t="s">
        <v>283</v>
      </c>
      <c r="V166" s="40"/>
      <c r="W166" s="40"/>
      <c r="X166" s="29"/>
      <c r="Y166" s="31"/>
      <c r="Z166" s="23">
        <v>0.05</v>
      </c>
      <c r="AA166" s="75">
        <f t="shared" si="127"/>
        <v>0</v>
      </c>
      <c r="AC166" s="41" t="s">
        <v>444</v>
      </c>
      <c r="AD166" s="41" t="s">
        <v>283</v>
      </c>
      <c r="AE166" s="40"/>
      <c r="AF166" s="40"/>
      <c r="AG166" s="29"/>
      <c r="AH166" s="31"/>
      <c r="AI166" s="23">
        <v>0.05</v>
      </c>
      <c r="AJ166" s="75">
        <f t="shared" si="128"/>
        <v>0</v>
      </c>
      <c r="AL166" s="41" t="s">
        <v>444</v>
      </c>
      <c r="AM166" s="41" t="s">
        <v>283</v>
      </c>
      <c r="AN166" s="40"/>
      <c r="AO166" s="40"/>
      <c r="AP166" s="29"/>
      <c r="AQ166" s="31"/>
      <c r="AR166" s="23">
        <v>0.05</v>
      </c>
      <c r="AS166" s="75">
        <f t="shared" si="129"/>
        <v>0</v>
      </c>
      <c r="AU166" s="41" t="s">
        <v>444</v>
      </c>
      <c r="AV166" s="41" t="s">
        <v>283</v>
      </c>
      <c r="AW166" s="40"/>
      <c r="AX166" s="40"/>
      <c r="AY166" s="29"/>
      <c r="AZ166" s="31"/>
      <c r="BA166" s="23">
        <v>0.05</v>
      </c>
      <c r="BB166" s="75">
        <f t="shared" si="130"/>
        <v>0</v>
      </c>
      <c r="BD166" s="41" t="s">
        <v>444</v>
      </c>
      <c r="BE166" s="41" t="s">
        <v>283</v>
      </c>
      <c r="BF166" s="40"/>
      <c r="BG166" s="40"/>
      <c r="BH166" s="29"/>
      <c r="BI166" s="31"/>
      <c r="BJ166" s="23">
        <v>0.05</v>
      </c>
      <c r="BK166" s="75">
        <f t="shared" si="131"/>
        <v>0</v>
      </c>
    </row>
    <row r="167" spans="2:63" s="24" customFormat="1" x14ac:dyDescent="0.25">
      <c r="B167" s="8" t="s">
        <v>450</v>
      </c>
      <c r="C167" s="25"/>
      <c r="D167" s="30"/>
      <c r="E167" s="30">
        <f>SUM(E152:E166)</f>
        <v>100000</v>
      </c>
      <c r="F167" s="30"/>
      <c r="G167" s="25"/>
      <c r="H167" s="26"/>
      <c r="I167" s="28">
        <f>SUM(I152:I166)</f>
        <v>5000</v>
      </c>
      <c r="K167" s="8" t="s">
        <v>450</v>
      </c>
      <c r="L167" s="25"/>
      <c r="M167" s="30"/>
      <c r="N167" s="30">
        <f>SUM(N152:N166)</f>
        <v>100000</v>
      </c>
      <c r="O167" s="30"/>
      <c r="P167" s="25"/>
      <c r="Q167" s="26"/>
      <c r="R167" s="28">
        <f>SUM(R152:R166)</f>
        <v>5000</v>
      </c>
      <c r="T167" s="8" t="s">
        <v>450</v>
      </c>
      <c r="U167" s="25"/>
      <c r="V167" s="30"/>
      <c r="W167" s="30">
        <f>SUM(W152:W166)</f>
        <v>100000</v>
      </c>
      <c r="X167" s="30"/>
      <c r="Y167" s="25"/>
      <c r="Z167" s="26"/>
      <c r="AA167" s="28">
        <f>SUM(AA152:AA166)</f>
        <v>5000</v>
      </c>
      <c r="AC167" s="8" t="s">
        <v>450</v>
      </c>
      <c r="AD167" s="25"/>
      <c r="AE167" s="30"/>
      <c r="AF167" s="30">
        <f>SUM(AF152:AF166)</f>
        <v>100000</v>
      </c>
      <c r="AG167" s="30"/>
      <c r="AH167" s="25"/>
      <c r="AI167" s="26"/>
      <c r="AJ167" s="28">
        <f>SUM(AJ152:AJ166)</f>
        <v>5000</v>
      </c>
      <c r="AL167" s="8" t="s">
        <v>450</v>
      </c>
      <c r="AM167" s="25"/>
      <c r="AN167" s="30"/>
      <c r="AO167" s="30">
        <f>SUM(AO152:AO166)</f>
        <v>100000</v>
      </c>
      <c r="AP167" s="30"/>
      <c r="AQ167" s="25"/>
      <c r="AR167" s="26"/>
      <c r="AS167" s="28">
        <f>SUM(AS152:AS166)</f>
        <v>5000</v>
      </c>
      <c r="AU167" s="8" t="s">
        <v>450</v>
      </c>
      <c r="AV167" s="25"/>
      <c r="AW167" s="30"/>
      <c r="AX167" s="30">
        <f>SUM(AX152:AX166)</f>
        <v>100000</v>
      </c>
      <c r="AY167" s="30"/>
      <c r="AZ167" s="25"/>
      <c r="BA167" s="26"/>
      <c r="BB167" s="28">
        <f>SUM(BB152:BB166)</f>
        <v>5000</v>
      </c>
      <c r="BD167" s="8" t="s">
        <v>450</v>
      </c>
      <c r="BE167" s="25"/>
      <c r="BF167" s="30"/>
      <c r="BG167" s="30">
        <f>SUM(BG152:BG166)</f>
        <v>100000</v>
      </c>
      <c r="BH167" s="30"/>
      <c r="BI167" s="25"/>
      <c r="BJ167" s="26"/>
      <c r="BK167" s="28">
        <f>SUM(BK152:BK166)</f>
        <v>5000</v>
      </c>
    </row>
    <row r="169" spans="2:63" s="20" customFormat="1" ht="38.25" x14ac:dyDescent="0.25">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x14ac:dyDescent="0.25">
      <c r="B170" s="41" t="s">
        <v>444</v>
      </c>
      <c r="C170" s="41" t="s">
        <v>283</v>
      </c>
      <c r="D170" s="40">
        <v>60000</v>
      </c>
      <c r="E170" s="40">
        <v>30000</v>
      </c>
      <c r="F170" s="40">
        <v>1500</v>
      </c>
      <c r="G170" s="31"/>
      <c r="H170" s="32"/>
      <c r="I170" s="29"/>
      <c r="K170" s="41" t="s">
        <v>444</v>
      </c>
      <c r="L170" s="41" t="s">
        <v>283</v>
      </c>
      <c r="M170" s="40">
        <v>60000</v>
      </c>
      <c r="N170" s="40">
        <v>30000</v>
      </c>
      <c r="O170" s="40">
        <v>1500</v>
      </c>
      <c r="P170" s="31"/>
      <c r="Q170" s="32"/>
      <c r="R170" s="29"/>
      <c r="T170" s="41" t="s">
        <v>444</v>
      </c>
      <c r="U170" s="41" t="s">
        <v>283</v>
      </c>
      <c r="V170" s="40">
        <v>60000</v>
      </c>
      <c r="W170" s="40">
        <v>30000</v>
      </c>
      <c r="X170" s="40">
        <v>1500</v>
      </c>
      <c r="Y170" s="31"/>
      <c r="Z170" s="32"/>
      <c r="AA170" s="29"/>
      <c r="AC170" s="41" t="s">
        <v>444</v>
      </c>
      <c r="AD170" s="41" t="s">
        <v>283</v>
      </c>
      <c r="AE170" s="40">
        <v>60000</v>
      </c>
      <c r="AF170" s="40">
        <v>30000</v>
      </c>
      <c r="AG170" s="40">
        <v>1500</v>
      </c>
      <c r="AH170" s="31"/>
      <c r="AI170" s="32"/>
      <c r="AJ170" s="29"/>
      <c r="AL170" s="41" t="s">
        <v>444</v>
      </c>
      <c r="AM170" s="41" t="s">
        <v>283</v>
      </c>
      <c r="AN170" s="40">
        <v>60000</v>
      </c>
      <c r="AO170" s="40">
        <v>30000</v>
      </c>
      <c r="AP170" s="40">
        <v>1500</v>
      </c>
      <c r="AQ170" s="31"/>
      <c r="AR170" s="32"/>
      <c r="AS170" s="29"/>
      <c r="AU170" s="41" t="s">
        <v>444</v>
      </c>
      <c r="AV170" s="41" t="s">
        <v>283</v>
      </c>
      <c r="AW170" s="40">
        <v>60000</v>
      </c>
      <c r="AX170" s="40">
        <v>30000</v>
      </c>
      <c r="AY170" s="40">
        <v>1500</v>
      </c>
      <c r="AZ170" s="31"/>
      <c r="BA170" s="32"/>
      <c r="BB170" s="29"/>
      <c r="BD170" s="41" t="s">
        <v>444</v>
      </c>
      <c r="BE170" s="41" t="s">
        <v>283</v>
      </c>
      <c r="BF170" s="40">
        <v>60000</v>
      </c>
      <c r="BG170" s="40">
        <v>30000</v>
      </c>
      <c r="BH170" s="40">
        <v>1500</v>
      </c>
      <c r="BI170" s="31"/>
      <c r="BJ170" s="32"/>
      <c r="BK170" s="29"/>
    </row>
    <row r="171" spans="2:63" x14ac:dyDescent="0.25">
      <c r="B171" s="41" t="s">
        <v>444</v>
      </c>
      <c r="C171" s="41" t="s">
        <v>283</v>
      </c>
      <c r="D171" s="40"/>
      <c r="E171" s="40"/>
      <c r="F171" s="40"/>
      <c r="G171" s="31"/>
      <c r="H171" s="32"/>
      <c r="I171" s="29"/>
      <c r="K171" s="41" t="s">
        <v>444</v>
      </c>
      <c r="L171" s="41" t="s">
        <v>283</v>
      </c>
      <c r="M171" s="40"/>
      <c r="N171" s="40"/>
      <c r="O171" s="40"/>
      <c r="P171" s="31"/>
      <c r="Q171" s="32"/>
      <c r="R171" s="29"/>
      <c r="T171" s="41" t="s">
        <v>444</v>
      </c>
      <c r="U171" s="41" t="s">
        <v>283</v>
      </c>
      <c r="V171" s="40"/>
      <c r="W171" s="40"/>
      <c r="X171" s="40"/>
      <c r="Y171" s="31"/>
      <c r="Z171" s="32"/>
      <c r="AA171" s="29"/>
      <c r="AC171" s="41" t="s">
        <v>444</v>
      </c>
      <c r="AD171" s="41" t="s">
        <v>283</v>
      </c>
      <c r="AE171" s="40"/>
      <c r="AF171" s="40"/>
      <c r="AG171" s="40"/>
      <c r="AH171" s="31"/>
      <c r="AI171" s="32"/>
      <c r="AJ171" s="29"/>
      <c r="AL171" s="41" t="s">
        <v>444</v>
      </c>
      <c r="AM171" s="41" t="s">
        <v>283</v>
      </c>
      <c r="AN171" s="40"/>
      <c r="AO171" s="40"/>
      <c r="AP171" s="40"/>
      <c r="AQ171" s="31"/>
      <c r="AR171" s="32"/>
      <c r="AS171" s="29"/>
      <c r="AU171" s="41" t="s">
        <v>444</v>
      </c>
      <c r="AV171" s="41" t="s">
        <v>283</v>
      </c>
      <c r="AW171" s="40"/>
      <c r="AX171" s="40"/>
      <c r="AY171" s="40"/>
      <c r="AZ171" s="31"/>
      <c r="BA171" s="32"/>
      <c r="BB171" s="29"/>
      <c r="BD171" s="41" t="s">
        <v>444</v>
      </c>
      <c r="BE171" s="41" t="s">
        <v>283</v>
      </c>
      <c r="BF171" s="40"/>
      <c r="BG171" s="40"/>
      <c r="BH171" s="40"/>
      <c r="BI171" s="31"/>
      <c r="BJ171" s="32"/>
      <c r="BK171" s="29"/>
    </row>
    <row r="172" spans="2:63" x14ac:dyDescent="0.25">
      <c r="B172" s="41" t="s">
        <v>444</v>
      </c>
      <c r="C172" s="41" t="s">
        <v>283</v>
      </c>
      <c r="D172" s="40"/>
      <c r="E172" s="40"/>
      <c r="F172" s="40"/>
      <c r="G172" s="31"/>
      <c r="H172" s="32"/>
      <c r="I172" s="29"/>
      <c r="K172" s="41" t="s">
        <v>444</v>
      </c>
      <c r="L172" s="41" t="s">
        <v>283</v>
      </c>
      <c r="M172" s="40"/>
      <c r="N172" s="40"/>
      <c r="O172" s="40"/>
      <c r="P172" s="31"/>
      <c r="Q172" s="32"/>
      <c r="R172" s="29"/>
      <c r="T172" s="41" t="s">
        <v>444</v>
      </c>
      <c r="U172" s="41" t="s">
        <v>283</v>
      </c>
      <c r="V172" s="40"/>
      <c r="W172" s="40"/>
      <c r="X172" s="40"/>
      <c r="Y172" s="31"/>
      <c r="Z172" s="32"/>
      <c r="AA172" s="29"/>
      <c r="AC172" s="41" t="s">
        <v>444</v>
      </c>
      <c r="AD172" s="41" t="s">
        <v>283</v>
      </c>
      <c r="AE172" s="40"/>
      <c r="AF172" s="40"/>
      <c r="AG172" s="40"/>
      <c r="AH172" s="31"/>
      <c r="AI172" s="32"/>
      <c r="AJ172" s="29"/>
      <c r="AL172" s="41" t="s">
        <v>444</v>
      </c>
      <c r="AM172" s="41" t="s">
        <v>283</v>
      </c>
      <c r="AN172" s="40"/>
      <c r="AO172" s="40"/>
      <c r="AP172" s="40"/>
      <c r="AQ172" s="31"/>
      <c r="AR172" s="32"/>
      <c r="AS172" s="29"/>
      <c r="AU172" s="41" t="s">
        <v>444</v>
      </c>
      <c r="AV172" s="41" t="s">
        <v>283</v>
      </c>
      <c r="AW172" s="40"/>
      <c r="AX172" s="40"/>
      <c r="AY172" s="40"/>
      <c r="AZ172" s="31"/>
      <c r="BA172" s="32"/>
      <c r="BB172" s="29"/>
      <c r="BD172" s="41" t="s">
        <v>444</v>
      </c>
      <c r="BE172" s="41" t="s">
        <v>283</v>
      </c>
      <c r="BF172" s="40"/>
      <c r="BG172" s="40"/>
      <c r="BH172" s="40"/>
      <c r="BI172" s="31"/>
      <c r="BJ172" s="32"/>
      <c r="BK172" s="29"/>
    </row>
    <row r="173" spans="2:63" x14ac:dyDescent="0.25">
      <c r="B173" s="41" t="s">
        <v>444</v>
      </c>
      <c r="C173" s="41" t="s">
        <v>283</v>
      </c>
      <c r="D173" s="40"/>
      <c r="E173" s="40"/>
      <c r="F173" s="40"/>
      <c r="G173" s="31"/>
      <c r="H173" s="32"/>
      <c r="I173" s="29"/>
      <c r="K173" s="41" t="s">
        <v>444</v>
      </c>
      <c r="L173" s="41" t="s">
        <v>283</v>
      </c>
      <c r="M173" s="40"/>
      <c r="N173" s="40"/>
      <c r="O173" s="40"/>
      <c r="P173" s="31"/>
      <c r="Q173" s="32"/>
      <c r="R173" s="29"/>
      <c r="T173" s="41" t="s">
        <v>444</v>
      </c>
      <c r="U173" s="41" t="s">
        <v>283</v>
      </c>
      <c r="V173" s="40"/>
      <c r="W173" s="40"/>
      <c r="X173" s="40"/>
      <c r="Y173" s="31"/>
      <c r="Z173" s="32"/>
      <c r="AA173" s="29"/>
      <c r="AC173" s="41" t="s">
        <v>444</v>
      </c>
      <c r="AD173" s="41" t="s">
        <v>283</v>
      </c>
      <c r="AE173" s="40"/>
      <c r="AF173" s="40"/>
      <c r="AG173" s="40"/>
      <c r="AH173" s="31"/>
      <c r="AI173" s="32"/>
      <c r="AJ173" s="29"/>
      <c r="AL173" s="41" t="s">
        <v>444</v>
      </c>
      <c r="AM173" s="41" t="s">
        <v>283</v>
      </c>
      <c r="AN173" s="40"/>
      <c r="AO173" s="40"/>
      <c r="AP173" s="40"/>
      <c r="AQ173" s="31"/>
      <c r="AR173" s="32"/>
      <c r="AS173" s="29"/>
      <c r="AU173" s="41" t="s">
        <v>444</v>
      </c>
      <c r="AV173" s="41" t="s">
        <v>283</v>
      </c>
      <c r="AW173" s="40"/>
      <c r="AX173" s="40"/>
      <c r="AY173" s="40"/>
      <c r="AZ173" s="31"/>
      <c r="BA173" s="32"/>
      <c r="BB173" s="29"/>
      <c r="BD173" s="41" t="s">
        <v>444</v>
      </c>
      <c r="BE173" s="41" t="s">
        <v>283</v>
      </c>
      <c r="BF173" s="40"/>
      <c r="BG173" s="40"/>
      <c r="BH173" s="40"/>
      <c r="BI173" s="31"/>
      <c r="BJ173" s="32"/>
      <c r="BK173" s="29"/>
    </row>
    <row r="174" spans="2:63" x14ac:dyDescent="0.25">
      <c r="B174" s="41" t="s">
        <v>444</v>
      </c>
      <c r="C174" s="41" t="s">
        <v>283</v>
      </c>
      <c r="D174" s="40"/>
      <c r="E174" s="40"/>
      <c r="F174" s="40"/>
      <c r="G174" s="31"/>
      <c r="H174" s="32"/>
      <c r="I174" s="29"/>
      <c r="K174" s="41" t="s">
        <v>444</v>
      </c>
      <c r="L174" s="41" t="s">
        <v>283</v>
      </c>
      <c r="M174" s="40"/>
      <c r="N174" s="40"/>
      <c r="O174" s="40"/>
      <c r="P174" s="31"/>
      <c r="Q174" s="32"/>
      <c r="R174" s="29"/>
      <c r="T174" s="41" t="s">
        <v>444</v>
      </c>
      <c r="U174" s="41" t="s">
        <v>283</v>
      </c>
      <c r="V174" s="40"/>
      <c r="W174" s="40"/>
      <c r="X174" s="40"/>
      <c r="Y174" s="31"/>
      <c r="Z174" s="32"/>
      <c r="AA174" s="29"/>
      <c r="AC174" s="41" t="s">
        <v>444</v>
      </c>
      <c r="AD174" s="41" t="s">
        <v>283</v>
      </c>
      <c r="AE174" s="40"/>
      <c r="AF174" s="40"/>
      <c r="AG174" s="40"/>
      <c r="AH174" s="31"/>
      <c r="AI174" s="32"/>
      <c r="AJ174" s="29"/>
      <c r="AL174" s="41" t="s">
        <v>444</v>
      </c>
      <c r="AM174" s="41" t="s">
        <v>283</v>
      </c>
      <c r="AN174" s="40"/>
      <c r="AO174" s="40"/>
      <c r="AP174" s="40"/>
      <c r="AQ174" s="31"/>
      <c r="AR174" s="32"/>
      <c r="AS174" s="29"/>
      <c r="AU174" s="41" t="s">
        <v>444</v>
      </c>
      <c r="AV174" s="41" t="s">
        <v>283</v>
      </c>
      <c r="AW174" s="40"/>
      <c r="AX174" s="40"/>
      <c r="AY174" s="40"/>
      <c r="AZ174" s="31"/>
      <c r="BA174" s="32"/>
      <c r="BB174" s="29"/>
      <c r="BD174" s="41" t="s">
        <v>444</v>
      </c>
      <c r="BE174" s="41" t="s">
        <v>283</v>
      </c>
      <c r="BF174" s="40"/>
      <c r="BG174" s="40"/>
      <c r="BH174" s="40"/>
      <c r="BI174" s="31"/>
      <c r="BJ174" s="32"/>
      <c r="BK174" s="29"/>
    </row>
    <row r="175" spans="2:63" x14ac:dyDescent="0.25">
      <c r="B175" s="41" t="s">
        <v>444</v>
      </c>
      <c r="C175" s="41" t="s">
        <v>283</v>
      </c>
      <c r="D175" s="40"/>
      <c r="E175" s="40"/>
      <c r="F175" s="40"/>
      <c r="G175" s="31"/>
      <c r="H175" s="32"/>
      <c r="I175" s="29"/>
      <c r="K175" s="41" t="s">
        <v>444</v>
      </c>
      <c r="L175" s="41" t="s">
        <v>283</v>
      </c>
      <c r="M175" s="40"/>
      <c r="N175" s="40"/>
      <c r="O175" s="40"/>
      <c r="P175" s="31"/>
      <c r="Q175" s="32"/>
      <c r="R175" s="29"/>
      <c r="T175" s="41" t="s">
        <v>444</v>
      </c>
      <c r="U175" s="41" t="s">
        <v>283</v>
      </c>
      <c r="V175" s="40"/>
      <c r="W175" s="40"/>
      <c r="X175" s="40"/>
      <c r="Y175" s="31"/>
      <c r="Z175" s="32"/>
      <c r="AA175" s="29"/>
      <c r="AC175" s="41" t="s">
        <v>444</v>
      </c>
      <c r="AD175" s="41" t="s">
        <v>283</v>
      </c>
      <c r="AE175" s="40"/>
      <c r="AF175" s="40"/>
      <c r="AG175" s="40"/>
      <c r="AH175" s="31"/>
      <c r="AI175" s="32"/>
      <c r="AJ175" s="29"/>
      <c r="AL175" s="41" t="s">
        <v>444</v>
      </c>
      <c r="AM175" s="41" t="s">
        <v>283</v>
      </c>
      <c r="AN175" s="40"/>
      <c r="AO175" s="40"/>
      <c r="AP175" s="40"/>
      <c r="AQ175" s="31"/>
      <c r="AR175" s="32"/>
      <c r="AS175" s="29"/>
      <c r="AU175" s="41" t="s">
        <v>444</v>
      </c>
      <c r="AV175" s="41" t="s">
        <v>283</v>
      </c>
      <c r="AW175" s="40"/>
      <c r="AX175" s="40"/>
      <c r="AY175" s="40"/>
      <c r="AZ175" s="31"/>
      <c r="BA175" s="32"/>
      <c r="BB175" s="29"/>
      <c r="BD175" s="41" t="s">
        <v>444</v>
      </c>
      <c r="BE175" s="41" t="s">
        <v>283</v>
      </c>
      <c r="BF175" s="40"/>
      <c r="BG175" s="40"/>
      <c r="BH175" s="40"/>
      <c r="BI175" s="31"/>
      <c r="BJ175" s="32"/>
      <c r="BK175" s="29"/>
    </row>
    <row r="176" spans="2:63" x14ac:dyDescent="0.25">
      <c r="B176" s="41" t="s">
        <v>444</v>
      </c>
      <c r="C176" s="41" t="s">
        <v>283</v>
      </c>
      <c r="D176" s="40"/>
      <c r="E176" s="40"/>
      <c r="F176" s="40"/>
      <c r="G176" s="31"/>
      <c r="H176" s="32"/>
      <c r="I176" s="29"/>
      <c r="K176" s="41" t="s">
        <v>444</v>
      </c>
      <c r="L176" s="41" t="s">
        <v>283</v>
      </c>
      <c r="M176" s="40"/>
      <c r="N176" s="40"/>
      <c r="O176" s="40"/>
      <c r="P176" s="31"/>
      <c r="Q176" s="32"/>
      <c r="R176" s="29"/>
      <c r="T176" s="41" t="s">
        <v>444</v>
      </c>
      <c r="U176" s="41" t="s">
        <v>283</v>
      </c>
      <c r="V176" s="40"/>
      <c r="W176" s="40"/>
      <c r="X176" s="40"/>
      <c r="Y176" s="31"/>
      <c r="Z176" s="32"/>
      <c r="AA176" s="29"/>
      <c r="AC176" s="41" t="s">
        <v>444</v>
      </c>
      <c r="AD176" s="41" t="s">
        <v>283</v>
      </c>
      <c r="AE176" s="40"/>
      <c r="AF176" s="40"/>
      <c r="AG176" s="40"/>
      <c r="AH176" s="31"/>
      <c r="AI176" s="32"/>
      <c r="AJ176" s="29"/>
      <c r="AL176" s="41" t="s">
        <v>444</v>
      </c>
      <c r="AM176" s="41" t="s">
        <v>283</v>
      </c>
      <c r="AN176" s="40"/>
      <c r="AO176" s="40"/>
      <c r="AP176" s="40"/>
      <c r="AQ176" s="31"/>
      <c r="AR176" s="32"/>
      <c r="AS176" s="29"/>
      <c r="AU176" s="41" t="s">
        <v>444</v>
      </c>
      <c r="AV176" s="41" t="s">
        <v>283</v>
      </c>
      <c r="AW176" s="40"/>
      <c r="AX176" s="40"/>
      <c r="AY176" s="40"/>
      <c r="AZ176" s="31"/>
      <c r="BA176" s="32"/>
      <c r="BB176" s="29"/>
      <c r="BD176" s="41" t="s">
        <v>444</v>
      </c>
      <c r="BE176" s="41" t="s">
        <v>283</v>
      </c>
      <c r="BF176" s="40"/>
      <c r="BG176" s="40"/>
      <c r="BH176" s="40"/>
      <c r="BI176" s="31"/>
      <c r="BJ176" s="32"/>
      <c r="BK176" s="29"/>
    </row>
    <row r="177" spans="2:63" x14ac:dyDescent="0.25">
      <c r="B177" s="41" t="s">
        <v>444</v>
      </c>
      <c r="C177" s="41" t="s">
        <v>283</v>
      </c>
      <c r="D177" s="40"/>
      <c r="E177" s="40"/>
      <c r="F177" s="40"/>
      <c r="G177" s="31"/>
      <c r="H177" s="32"/>
      <c r="I177" s="29"/>
      <c r="K177" s="41" t="s">
        <v>444</v>
      </c>
      <c r="L177" s="41" t="s">
        <v>283</v>
      </c>
      <c r="M177" s="40"/>
      <c r="N177" s="40"/>
      <c r="O177" s="40"/>
      <c r="P177" s="31"/>
      <c r="Q177" s="32"/>
      <c r="R177" s="29"/>
      <c r="T177" s="41" t="s">
        <v>444</v>
      </c>
      <c r="U177" s="41" t="s">
        <v>283</v>
      </c>
      <c r="V177" s="40"/>
      <c r="W177" s="40"/>
      <c r="X177" s="40"/>
      <c r="Y177" s="31"/>
      <c r="Z177" s="32"/>
      <c r="AA177" s="29"/>
      <c r="AC177" s="41" t="s">
        <v>444</v>
      </c>
      <c r="AD177" s="41" t="s">
        <v>283</v>
      </c>
      <c r="AE177" s="40"/>
      <c r="AF177" s="40"/>
      <c r="AG177" s="40"/>
      <c r="AH177" s="31"/>
      <c r="AI177" s="32"/>
      <c r="AJ177" s="29"/>
      <c r="AL177" s="41" t="s">
        <v>444</v>
      </c>
      <c r="AM177" s="41" t="s">
        <v>283</v>
      </c>
      <c r="AN177" s="40"/>
      <c r="AO177" s="40"/>
      <c r="AP177" s="40"/>
      <c r="AQ177" s="31"/>
      <c r="AR177" s="32"/>
      <c r="AS177" s="29"/>
      <c r="AU177" s="41" t="s">
        <v>444</v>
      </c>
      <c r="AV177" s="41" t="s">
        <v>283</v>
      </c>
      <c r="AW177" s="40"/>
      <c r="AX177" s="40"/>
      <c r="AY177" s="40"/>
      <c r="AZ177" s="31"/>
      <c r="BA177" s="32"/>
      <c r="BB177" s="29"/>
      <c r="BD177" s="41" t="s">
        <v>444</v>
      </c>
      <c r="BE177" s="41" t="s">
        <v>283</v>
      </c>
      <c r="BF177" s="40"/>
      <c r="BG177" s="40"/>
      <c r="BH177" s="40"/>
      <c r="BI177" s="31"/>
      <c r="BJ177" s="32"/>
      <c r="BK177" s="29"/>
    </row>
    <row r="178" spans="2:63" x14ac:dyDescent="0.25">
      <c r="B178" s="41" t="s">
        <v>444</v>
      </c>
      <c r="C178" s="41" t="s">
        <v>283</v>
      </c>
      <c r="D178" s="40"/>
      <c r="E178" s="40"/>
      <c r="F178" s="40"/>
      <c r="G178" s="31"/>
      <c r="H178" s="32"/>
      <c r="I178" s="29"/>
      <c r="K178" s="41" t="s">
        <v>444</v>
      </c>
      <c r="L178" s="41" t="s">
        <v>283</v>
      </c>
      <c r="M178" s="40"/>
      <c r="N178" s="40"/>
      <c r="O178" s="40"/>
      <c r="P178" s="31"/>
      <c r="Q178" s="32"/>
      <c r="R178" s="29"/>
      <c r="T178" s="41" t="s">
        <v>444</v>
      </c>
      <c r="U178" s="41" t="s">
        <v>283</v>
      </c>
      <c r="V178" s="40"/>
      <c r="W178" s="40"/>
      <c r="X178" s="40"/>
      <c r="Y178" s="31"/>
      <c r="Z178" s="32"/>
      <c r="AA178" s="29"/>
      <c r="AC178" s="41" t="s">
        <v>444</v>
      </c>
      <c r="AD178" s="41" t="s">
        <v>283</v>
      </c>
      <c r="AE178" s="40"/>
      <c r="AF178" s="40"/>
      <c r="AG178" s="40"/>
      <c r="AH178" s="31"/>
      <c r="AI178" s="32"/>
      <c r="AJ178" s="29"/>
      <c r="AL178" s="41" t="s">
        <v>444</v>
      </c>
      <c r="AM178" s="41" t="s">
        <v>283</v>
      </c>
      <c r="AN178" s="40"/>
      <c r="AO178" s="40"/>
      <c r="AP178" s="40"/>
      <c r="AQ178" s="31"/>
      <c r="AR178" s="32"/>
      <c r="AS178" s="29"/>
      <c r="AU178" s="41" t="s">
        <v>444</v>
      </c>
      <c r="AV178" s="41" t="s">
        <v>283</v>
      </c>
      <c r="AW178" s="40"/>
      <c r="AX178" s="40"/>
      <c r="AY178" s="40"/>
      <c r="AZ178" s="31"/>
      <c r="BA178" s="32"/>
      <c r="BB178" s="29"/>
      <c r="BD178" s="41" t="s">
        <v>444</v>
      </c>
      <c r="BE178" s="41" t="s">
        <v>283</v>
      </c>
      <c r="BF178" s="40"/>
      <c r="BG178" s="40"/>
      <c r="BH178" s="40"/>
      <c r="BI178" s="31"/>
      <c r="BJ178" s="32"/>
      <c r="BK178" s="29"/>
    </row>
    <row r="179" spans="2:63" x14ac:dyDescent="0.25">
      <c r="B179" s="41" t="s">
        <v>444</v>
      </c>
      <c r="C179" s="41" t="s">
        <v>283</v>
      </c>
      <c r="D179" s="40"/>
      <c r="E179" s="40"/>
      <c r="F179" s="40"/>
      <c r="G179" s="31"/>
      <c r="H179" s="32"/>
      <c r="I179" s="29"/>
      <c r="K179" s="41" t="s">
        <v>444</v>
      </c>
      <c r="L179" s="41" t="s">
        <v>283</v>
      </c>
      <c r="M179" s="40"/>
      <c r="N179" s="40"/>
      <c r="O179" s="40"/>
      <c r="P179" s="31"/>
      <c r="Q179" s="32"/>
      <c r="R179" s="29"/>
      <c r="T179" s="41" t="s">
        <v>444</v>
      </c>
      <c r="U179" s="41" t="s">
        <v>283</v>
      </c>
      <c r="V179" s="40"/>
      <c r="W179" s="40"/>
      <c r="X179" s="40"/>
      <c r="Y179" s="31"/>
      <c r="Z179" s="32"/>
      <c r="AA179" s="29"/>
      <c r="AC179" s="41" t="s">
        <v>444</v>
      </c>
      <c r="AD179" s="41" t="s">
        <v>283</v>
      </c>
      <c r="AE179" s="40"/>
      <c r="AF179" s="40"/>
      <c r="AG179" s="40"/>
      <c r="AH179" s="31"/>
      <c r="AI179" s="32"/>
      <c r="AJ179" s="29"/>
      <c r="AL179" s="41" t="s">
        <v>444</v>
      </c>
      <c r="AM179" s="41" t="s">
        <v>283</v>
      </c>
      <c r="AN179" s="40"/>
      <c r="AO179" s="40"/>
      <c r="AP179" s="40"/>
      <c r="AQ179" s="31"/>
      <c r="AR179" s="32"/>
      <c r="AS179" s="29"/>
      <c r="AU179" s="41" t="s">
        <v>444</v>
      </c>
      <c r="AV179" s="41" t="s">
        <v>283</v>
      </c>
      <c r="AW179" s="40"/>
      <c r="AX179" s="40"/>
      <c r="AY179" s="40"/>
      <c r="AZ179" s="31"/>
      <c r="BA179" s="32"/>
      <c r="BB179" s="29"/>
      <c r="BD179" s="41" t="s">
        <v>444</v>
      </c>
      <c r="BE179" s="41" t="s">
        <v>283</v>
      </c>
      <c r="BF179" s="40"/>
      <c r="BG179" s="40"/>
      <c r="BH179" s="40"/>
      <c r="BI179" s="31"/>
      <c r="BJ179" s="32"/>
      <c r="BK179" s="29"/>
    </row>
    <row r="180" spans="2:63" x14ac:dyDescent="0.25">
      <c r="B180" s="41" t="s">
        <v>444</v>
      </c>
      <c r="C180" s="41" t="s">
        <v>283</v>
      </c>
      <c r="D180" s="40"/>
      <c r="E180" s="40"/>
      <c r="F180" s="40"/>
      <c r="G180" s="31"/>
      <c r="H180" s="32"/>
      <c r="I180" s="29"/>
      <c r="K180" s="41" t="s">
        <v>444</v>
      </c>
      <c r="L180" s="41" t="s">
        <v>283</v>
      </c>
      <c r="M180" s="40"/>
      <c r="N180" s="40"/>
      <c r="O180" s="40"/>
      <c r="P180" s="31"/>
      <c r="Q180" s="32"/>
      <c r="R180" s="29"/>
      <c r="T180" s="41" t="s">
        <v>444</v>
      </c>
      <c r="U180" s="41" t="s">
        <v>283</v>
      </c>
      <c r="V180" s="40"/>
      <c r="W180" s="40"/>
      <c r="X180" s="40"/>
      <c r="Y180" s="31"/>
      <c r="Z180" s="32"/>
      <c r="AA180" s="29"/>
      <c r="AC180" s="41" t="s">
        <v>444</v>
      </c>
      <c r="AD180" s="41" t="s">
        <v>283</v>
      </c>
      <c r="AE180" s="40"/>
      <c r="AF180" s="40"/>
      <c r="AG180" s="40"/>
      <c r="AH180" s="31"/>
      <c r="AI180" s="32"/>
      <c r="AJ180" s="29"/>
      <c r="AL180" s="41" t="s">
        <v>444</v>
      </c>
      <c r="AM180" s="41" t="s">
        <v>283</v>
      </c>
      <c r="AN180" s="40"/>
      <c r="AO180" s="40"/>
      <c r="AP180" s="40"/>
      <c r="AQ180" s="31"/>
      <c r="AR180" s="32"/>
      <c r="AS180" s="29"/>
      <c r="AU180" s="41" t="s">
        <v>444</v>
      </c>
      <c r="AV180" s="41" t="s">
        <v>283</v>
      </c>
      <c r="AW180" s="40"/>
      <c r="AX180" s="40"/>
      <c r="AY180" s="40"/>
      <c r="AZ180" s="31"/>
      <c r="BA180" s="32"/>
      <c r="BB180" s="29"/>
      <c r="BD180" s="41" t="s">
        <v>444</v>
      </c>
      <c r="BE180" s="41" t="s">
        <v>283</v>
      </c>
      <c r="BF180" s="40"/>
      <c r="BG180" s="40"/>
      <c r="BH180" s="40"/>
      <c r="BI180" s="31"/>
      <c r="BJ180" s="32"/>
      <c r="BK180" s="29"/>
    </row>
    <row r="181" spans="2:63" x14ac:dyDescent="0.25">
      <c r="B181" s="41" t="s">
        <v>444</v>
      </c>
      <c r="C181" s="41" t="s">
        <v>283</v>
      </c>
      <c r="D181" s="40"/>
      <c r="E181" s="40"/>
      <c r="F181" s="40"/>
      <c r="G181" s="31"/>
      <c r="H181" s="32"/>
      <c r="I181" s="29"/>
      <c r="K181" s="41" t="s">
        <v>444</v>
      </c>
      <c r="L181" s="41" t="s">
        <v>283</v>
      </c>
      <c r="M181" s="40"/>
      <c r="N181" s="40"/>
      <c r="O181" s="40"/>
      <c r="P181" s="31"/>
      <c r="Q181" s="32"/>
      <c r="R181" s="29"/>
      <c r="T181" s="41" t="s">
        <v>444</v>
      </c>
      <c r="U181" s="41" t="s">
        <v>283</v>
      </c>
      <c r="V181" s="40"/>
      <c r="W181" s="40"/>
      <c r="X181" s="40"/>
      <c r="Y181" s="31"/>
      <c r="Z181" s="32"/>
      <c r="AA181" s="29"/>
      <c r="AC181" s="41" t="s">
        <v>444</v>
      </c>
      <c r="AD181" s="41" t="s">
        <v>283</v>
      </c>
      <c r="AE181" s="40"/>
      <c r="AF181" s="40"/>
      <c r="AG181" s="40"/>
      <c r="AH181" s="31"/>
      <c r="AI181" s="32"/>
      <c r="AJ181" s="29"/>
      <c r="AL181" s="41" t="s">
        <v>444</v>
      </c>
      <c r="AM181" s="41" t="s">
        <v>283</v>
      </c>
      <c r="AN181" s="40"/>
      <c r="AO181" s="40"/>
      <c r="AP181" s="40"/>
      <c r="AQ181" s="31"/>
      <c r="AR181" s="32"/>
      <c r="AS181" s="29"/>
      <c r="AU181" s="41" t="s">
        <v>444</v>
      </c>
      <c r="AV181" s="41" t="s">
        <v>283</v>
      </c>
      <c r="AW181" s="40"/>
      <c r="AX181" s="40"/>
      <c r="AY181" s="40"/>
      <c r="AZ181" s="31"/>
      <c r="BA181" s="32"/>
      <c r="BB181" s="29"/>
      <c r="BD181" s="41" t="s">
        <v>444</v>
      </c>
      <c r="BE181" s="41" t="s">
        <v>283</v>
      </c>
      <c r="BF181" s="40"/>
      <c r="BG181" s="40"/>
      <c r="BH181" s="40"/>
      <c r="BI181" s="31"/>
      <c r="BJ181" s="32"/>
      <c r="BK181" s="29"/>
    </row>
    <row r="182" spans="2:63" x14ac:dyDescent="0.25">
      <c r="B182" s="41" t="s">
        <v>444</v>
      </c>
      <c r="C182" s="41" t="s">
        <v>283</v>
      </c>
      <c r="D182" s="40"/>
      <c r="E182" s="40"/>
      <c r="F182" s="40"/>
      <c r="G182" s="31"/>
      <c r="H182" s="32"/>
      <c r="I182" s="29"/>
      <c r="K182" s="41" t="s">
        <v>444</v>
      </c>
      <c r="L182" s="41" t="s">
        <v>283</v>
      </c>
      <c r="M182" s="40"/>
      <c r="N182" s="40"/>
      <c r="O182" s="40"/>
      <c r="P182" s="31"/>
      <c r="Q182" s="32"/>
      <c r="R182" s="29"/>
      <c r="T182" s="41" t="s">
        <v>444</v>
      </c>
      <c r="U182" s="41" t="s">
        <v>283</v>
      </c>
      <c r="V182" s="40"/>
      <c r="W182" s="40"/>
      <c r="X182" s="40"/>
      <c r="Y182" s="31"/>
      <c r="Z182" s="32"/>
      <c r="AA182" s="29"/>
      <c r="AC182" s="41" t="s">
        <v>444</v>
      </c>
      <c r="AD182" s="41" t="s">
        <v>283</v>
      </c>
      <c r="AE182" s="40"/>
      <c r="AF182" s="40"/>
      <c r="AG182" s="40"/>
      <c r="AH182" s="31"/>
      <c r="AI182" s="32"/>
      <c r="AJ182" s="29"/>
      <c r="AL182" s="41" t="s">
        <v>444</v>
      </c>
      <c r="AM182" s="41" t="s">
        <v>283</v>
      </c>
      <c r="AN182" s="40"/>
      <c r="AO182" s="40"/>
      <c r="AP182" s="40"/>
      <c r="AQ182" s="31"/>
      <c r="AR182" s="32"/>
      <c r="AS182" s="29"/>
      <c r="AU182" s="41" t="s">
        <v>444</v>
      </c>
      <c r="AV182" s="41" t="s">
        <v>283</v>
      </c>
      <c r="AW182" s="40"/>
      <c r="AX182" s="40"/>
      <c r="AY182" s="40"/>
      <c r="AZ182" s="31"/>
      <c r="BA182" s="32"/>
      <c r="BB182" s="29"/>
      <c r="BD182" s="41" t="s">
        <v>444</v>
      </c>
      <c r="BE182" s="41" t="s">
        <v>283</v>
      </c>
      <c r="BF182" s="40"/>
      <c r="BG182" s="40"/>
      <c r="BH182" s="40"/>
      <c r="BI182" s="31"/>
      <c r="BJ182" s="32"/>
      <c r="BK182" s="29"/>
    </row>
    <row r="183" spans="2:63" x14ac:dyDescent="0.25">
      <c r="B183" s="41" t="s">
        <v>444</v>
      </c>
      <c r="C183" s="41" t="s">
        <v>283</v>
      </c>
      <c r="D183" s="40"/>
      <c r="E183" s="40"/>
      <c r="F183" s="40"/>
      <c r="G183" s="31"/>
      <c r="H183" s="32"/>
      <c r="I183" s="29"/>
      <c r="K183" s="41" t="s">
        <v>444</v>
      </c>
      <c r="L183" s="41" t="s">
        <v>283</v>
      </c>
      <c r="M183" s="40"/>
      <c r="N183" s="40"/>
      <c r="O183" s="40"/>
      <c r="P183" s="31"/>
      <c r="Q183" s="32"/>
      <c r="R183" s="29"/>
      <c r="T183" s="41" t="s">
        <v>444</v>
      </c>
      <c r="U183" s="41" t="s">
        <v>283</v>
      </c>
      <c r="V183" s="40"/>
      <c r="W183" s="40"/>
      <c r="X183" s="40"/>
      <c r="Y183" s="31"/>
      <c r="Z183" s="32"/>
      <c r="AA183" s="29"/>
      <c r="AC183" s="41" t="s">
        <v>444</v>
      </c>
      <c r="AD183" s="41" t="s">
        <v>283</v>
      </c>
      <c r="AE183" s="40"/>
      <c r="AF183" s="40"/>
      <c r="AG183" s="40"/>
      <c r="AH183" s="31"/>
      <c r="AI183" s="32"/>
      <c r="AJ183" s="29"/>
      <c r="AL183" s="41" t="s">
        <v>444</v>
      </c>
      <c r="AM183" s="41" t="s">
        <v>283</v>
      </c>
      <c r="AN183" s="40"/>
      <c r="AO183" s="40"/>
      <c r="AP183" s="40"/>
      <c r="AQ183" s="31"/>
      <c r="AR183" s="32"/>
      <c r="AS183" s="29"/>
      <c r="AU183" s="41" t="s">
        <v>444</v>
      </c>
      <c r="AV183" s="41" t="s">
        <v>283</v>
      </c>
      <c r="AW183" s="40"/>
      <c r="AX183" s="40"/>
      <c r="AY183" s="40"/>
      <c r="AZ183" s="31"/>
      <c r="BA183" s="32"/>
      <c r="BB183" s="29"/>
      <c r="BD183" s="41" t="s">
        <v>444</v>
      </c>
      <c r="BE183" s="41" t="s">
        <v>283</v>
      </c>
      <c r="BF183" s="40"/>
      <c r="BG183" s="40"/>
      <c r="BH183" s="40"/>
      <c r="BI183" s="31"/>
      <c r="BJ183" s="32"/>
      <c r="BK183" s="29"/>
    </row>
    <row r="184" spans="2:63" x14ac:dyDescent="0.25">
      <c r="B184" s="41" t="s">
        <v>444</v>
      </c>
      <c r="C184" s="41" t="s">
        <v>283</v>
      </c>
      <c r="D184" s="40"/>
      <c r="E184" s="40"/>
      <c r="F184" s="40"/>
      <c r="G184" s="31"/>
      <c r="H184" s="32"/>
      <c r="I184" s="29"/>
      <c r="K184" s="41" t="s">
        <v>444</v>
      </c>
      <c r="L184" s="41" t="s">
        <v>283</v>
      </c>
      <c r="M184" s="40"/>
      <c r="N184" s="40"/>
      <c r="O184" s="40"/>
      <c r="P184" s="31"/>
      <c r="Q184" s="32"/>
      <c r="R184" s="29"/>
      <c r="T184" s="41" t="s">
        <v>444</v>
      </c>
      <c r="U184" s="41" t="s">
        <v>283</v>
      </c>
      <c r="V184" s="40"/>
      <c r="W184" s="40"/>
      <c r="X184" s="40"/>
      <c r="Y184" s="31"/>
      <c r="Z184" s="32"/>
      <c r="AA184" s="29"/>
      <c r="AC184" s="41" t="s">
        <v>444</v>
      </c>
      <c r="AD184" s="41" t="s">
        <v>283</v>
      </c>
      <c r="AE184" s="40"/>
      <c r="AF184" s="40"/>
      <c r="AG184" s="40"/>
      <c r="AH184" s="31"/>
      <c r="AI184" s="32"/>
      <c r="AJ184" s="29"/>
      <c r="AL184" s="41" t="s">
        <v>444</v>
      </c>
      <c r="AM184" s="41" t="s">
        <v>283</v>
      </c>
      <c r="AN184" s="40"/>
      <c r="AO184" s="40"/>
      <c r="AP184" s="40"/>
      <c r="AQ184" s="31"/>
      <c r="AR184" s="32"/>
      <c r="AS184" s="29"/>
      <c r="AU184" s="41" t="s">
        <v>444</v>
      </c>
      <c r="AV184" s="41" t="s">
        <v>283</v>
      </c>
      <c r="AW184" s="40"/>
      <c r="AX184" s="40"/>
      <c r="AY184" s="40"/>
      <c r="AZ184" s="31"/>
      <c r="BA184" s="32"/>
      <c r="BB184" s="29"/>
      <c r="BD184" s="41" t="s">
        <v>444</v>
      </c>
      <c r="BE184" s="41" t="s">
        <v>283</v>
      </c>
      <c r="BF184" s="40"/>
      <c r="BG184" s="40"/>
      <c r="BH184" s="40"/>
      <c r="BI184" s="31"/>
      <c r="BJ184" s="32"/>
      <c r="BK184" s="29"/>
    </row>
    <row r="185" spans="2:63" s="24" customFormat="1" x14ac:dyDescent="0.25">
      <c r="B185" s="8" t="s">
        <v>448</v>
      </c>
      <c r="C185" s="25"/>
      <c r="D185" s="30"/>
      <c r="E185" s="30"/>
      <c r="F185" s="28">
        <f t="shared" ref="F185" si="139">SUM(F170:F184)</f>
        <v>1500</v>
      </c>
      <c r="G185" s="25"/>
      <c r="H185" s="26"/>
      <c r="I185" s="30"/>
      <c r="K185" s="8" t="s">
        <v>448</v>
      </c>
      <c r="L185" s="25"/>
      <c r="M185" s="30"/>
      <c r="N185" s="30"/>
      <c r="O185" s="28">
        <f t="shared" ref="O185" si="140">SUM(O170:O184)</f>
        <v>1500</v>
      </c>
      <c r="P185" s="25"/>
      <c r="Q185" s="26"/>
      <c r="R185" s="30"/>
      <c r="T185" s="8" t="s">
        <v>448</v>
      </c>
      <c r="U185" s="25"/>
      <c r="V185" s="30"/>
      <c r="W185" s="30"/>
      <c r="X185" s="28">
        <f t="shared" ref="X185" si="141">SUM(X170:X184)</f>
        <v>1500</v>
      </c>
      <c r="Y185" s="25"/>
      <c r="Z185" s="26"/>
      <c r="AA185" s="30"/>
      <c r="AC185" s="8" t="s">
        <v>448</v>
      </c>
      <c r="AD185" s="25"/>
      <c r="AE185" s="30"/>
      <c r="AF185" s="30"/>
      <c r="AG185" s="28">
        <f t="shared" ref="AG185" si="142">SUM(AG170:AG184)</f>
        <v>1500</v>
      </c>
      <c r="AH185" s="25"/>
      <c r="AI185" s="26"/>
      <c r="AJ185" s="30"/>
      <c r="AL185" s="8" t="s">
        <v>448</v>
      </c>
      <c r="AM185" s="25"/>
      <c r="AN185" s="30"/>
      <c r="AO185" s="30"/>
      <c r="AP185" s="28">
        <f t="shared" ref="AP185" si="143">SUM(AP170:AP184)</f>
        <v>1500</v>
      </c>
      <c r="AQ185" s="25"/>
      <c r="AR185" s="26"/>
      <c r="AS185" s="30"/>
      <c r="AU185" s="8" t="s">
        <v>448</v>
      </c>
      <c r="AV185" s="25"/>
      <c r="AW185" s="30"/>
      <c r="AX185" s="30"/>
      <c r="AY185" s="28">
        <f t="shared" ref="AY185" si="144">SUM(AY170:AY184)</f>
        <v>1500</v>
      </c>
      <c r="AZ185" s="25"/>
      <c r="BA185" s="26"/>
      <c r="BB185" s="30"/>
      <c r="BD185" s="8" t="s">
        <v>448</v>
      </c>
      <c r="BE185" s="25"/>
      <c r="BF185" s="30"/>
      <c r="BG185" s="30"/>
      <c r="BH185" s="28">
        <f t="shared" ref="BH185" si="145">SUM(BH170:BH184)</f>
        <v>1500</v>
      </c>
      <c r="BI185" s="25"/>
      <c r="BJ185" s="26"/>
      <c r="BK185" s="30"/>
    </row>
    <row r="187" spans="2:63" s="20" customFormat="1" ht="38.25" x14ac:dyDescent="0.25">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x14ac:dyDescent="0.25">
      <c r="B188" s="41" t="s">
        <v>444</v>
      </c>
      <c r="C188" s="41" t="s">
        <v>283</v>
      </c>
      <c r="D188" s="40">
        <v>100000</v>
      </c>
      <c r="E188" s="40">
        <v>50000</v>
      </c>
      <c r="F188" s="29"/>
      <c r="G188" s="22">
        <v>0.08</v>
      </c>
      <c r="H188" s="23">
        <v>0.82</v>
      </c>
      <c r="I188" s="75">
        <f>D188*G188*H188</f>
        <v>6560</v>
      </c>
      <c r="K188" s="41" t="s">
        <v>444</v>
      </c>
      <c r="L188" s="41" t="s">
        <v>283</v>
      </c>
      <c r="M188" s="40">
        <v>100000</v>
      </c>
      <c r="N188" s="40">
        <v>50000</v>
      </c>
      <c r="O188" s="29"/>
      <c r="P188" s="22">
        <v>0.08</v>
      </c>
      <c r="Q188" s="23">
        <v>0.82</v>
      </c>
      <c r="R188" s="75">
        <f>M188*P188*Q188</f>
        <v>6560</v>
      </c>
      <c r="T188" s="41" t="s">
        <v>444</v>
      </c>
      <c r="U188" s="41" t="s">
        <v>283</v>
      </c>
      <c r="V188" s="40">
        <v>100000</v>
      </c>
      <c r="W188" s="40">
        <v>50000</v>
      </c>
      <c r="X188" s="29"/>
      <c r="Y188" s="22">
        <v>0.08</v>
      </c>
      <c r="Z188" s="23">
        <v>0.82</v>
      </c>
      <c r="AA188" s="75">
        <f>V188*Y188*Z188</f>
        <v>6560</v>
      </c>
      <c r="AC188" s="41" t="s">
        <v>444</v>
      </c>
      <c r="AD188" s="41" t="s">
        <v>283</v>
      </c>
      <c r="AE188" s="40">
        <v>100000</v>
      </c>
      <c r="AF188" s="40">
        <v>50000</v>
      </c>
      <c r="AG188" s="29"/>
      <c r="AH188" s="22">
        <v>0.08</v>
      </c>
      <c r="AI188" s="23">
        <v>0.82</v>
      </c>
      <c r="AJ188" s="75">
        <f>AE188*AH188*AI188</f>
        <v>6560</v>
      </c>
      <c r="AL188" s="41" t="s">
        <v>444</v>
      </c>
      <c r="AM188" s="41" t="s">
        <v>283</v>
      </c>
      <c r="AN188" s="40">
        <v>100000</v>
      </c>
      <c r="AO188" s="40">
        <v>50000</v>
      </c>
      <c r="AP188" s="29"/>
      <c r="AQ188" s="22">
        <v>0.08</v>
      </c>
      <c r="AR188" s="23">
        <v>0.82</v>
      </c>
      <c r="AS188" s="75">
        <f>AN188*AQ188*AR188</f>
        <v>6560</v>
      </c>
      <c r="AU188" s="41" t="s">
        <v>444</v>
      </c>
      <c r="AV188" s="41" t="s">
        <v>283</v>
      </c>
      <c r="AW188" s="40">
        <v>100000</v>
      </c>
      <c r="AX188" s="40">
        <v>50000</v>
      </c>
      <c r="AY188" s="29"/>
      <c r="AZ188" s="22">
        <v>0.08</v>
      </c>
      <c r="BA188" s="23">
        <v>0.82</v>
      </c>
      <c r="BB188" s="75">
        <f>AW188*AZ188*BA188</f>
        <v>6560</v>
      </c>
      <c r="BD188" s="41" t="s">
        <v>444</v>
      </c>
      <c r="BE188" s="41" t="s">
        <v>283</v>
      </c>
      <c r="BF188" s="40">
        <v>100000</v>
      </c>
      <c r="BG188" s="40">
        <v>50000</v>
      </c>
      <c r="BH188" s="29"/>
      <c r="BI188" s="22">
        <v>0.08</v>
      </c>
      <c r="BJ188" s="23">
        <v>0.82</v>
      </c>
      <c r="BK188" s="75">
        <f>BF188*BI188*BJ188</f>
        <v>6560</v>
      </c>
    </row>
    <row r="189" spans="2:63" x14ac:dyDescent="0.25">
      <c r="B189" s="41" t="s">
        <v>444</v>
      </c>
      <c r="C189" s="41" t="s">
        <v>283</v>
      </c>
      <c r="D189" s="40"/>
      <c r="E189" s="40"/>
      <c r="F189" s="29"/>
      <c r="G189" s="22"/>
      <c r="H189" s="23">
        <v>0.82</v>
      </c>
      <c r="I189" s="75">
        <f t="shared" ref="I189:I202" si="153">D189*G189*H189</f>
        <v>0</v>
      </c>
      <c r="K189" s="41" t="s">
        <v>444</v>
      </c>
      <c r="L189" s="41" t="s">
        <v>283</v>
      </c>
      <c r="M189" s="40"/>
      <c r="N189" s="40"/>
      <c r="O189" s="29"/>
      <c r="P189" s="22"/>
      <c r="Q189" s="23">
        <v>0.82</v>
      </c>
      <c r="R189" s="75">
        <f t="shared" ref="R189:R202" si="154">M189*P189*Q189</f>
        <v>0</v>
      </c>
      <c r="T189" s="41" t="s">
        <v>444</v>
      </c>
      <c r="U189" s="41" t="s">
        <v>283</v>
      </c>
      <c r="V189" s="40"/>
      <c r="W189" s="40"/>
      <c r="X189" s="29"/>
      <c r="Y189" s="22"/>
      <c r="Z189" s="23">
        <v>0.82</v>
      </c>
      <c r="AA189" s="75">
        <f t="shared" ref="AA189:AA202" si="155">V189*Y189*Z189</f>
        <v>0</v>
      </c>
      <c r="AC189" s="41" t="s">
        <v>444</v>
      </c>
      <c r="AD189" s="41" t="s">
        <v>283</v>
      </c>
      <c r="AE189" s="40"/>
      <c r="AF189" s="40"/>
      <c r="AG189" s="29"/>
      <c r="AH189" s="22"/>
      <c r="AI189" s="23">
        <v>0.82</v>
      </c>
      <c r="AJ189" s="75">
        <f t="shared" ref="AJ189:AJ202" si="156">AE189*AH189*AI189</f>
        <v>0</v>
      </c>
      <c r="AL189" s="41" t="s">
        <v>444</v>
      </c>
      <c r="AM189" s="41" t="s">
        <v>283</v>
      </c>
      <c r="AN189" s="40"/>
      <c r="AO189" s="40"/>
      <c r="AP189" s="29"/>
      <c r="AQ189" s="22"/>
      <c r="AR189" s="23">
        <v>0.82</v>
      </c>
      <c r="AS189" s="75">
        <f t="shared" ref="AS189:AS202" si="157">AN189*AQ189*AR189</f>
        <v>0</v>
      </c>
      <c r="AU189" s="41" t="s">
        <v>444</v>
      </c>
      <c r="AV189" s="41" t="s">
        <v>283</v>
      </c>
      <c r="AW189" s="40"/>
      <c r="AX189" s="40"/>
      <c r="AY189" s="29"/>
      <c r="AZ189" s="22"/>
      <c r="BA189" s="23">
        <v>0.82</v>
      </c>
      <c r="BB189" s="75">
        <f t="shared" ref="BB189:BB202" si="158">AW189*AZ189*BA189</f>
        <v>0</v>
      </c>
      <c r="BD189" s="41" t="s">
        <v>444</v>
      </c>
      <c r="BE189" s="41" t="s">
        <v>283</v>
      </c>
      <c r="BF189" s="40"/>
      <c r="BG189" s="40"/>
      <c r="BH189" s="29"/>
      <c r="BI189" s="22"/>
      <c r="BJ189" s="23">
        <v>0.82</v>
      </c>
      <c r="BK189" s="75">
        <f t="shared" ref="BK189:BK202" si="159">BF189*BI189*BJ189</f>
        <v>0</v>
      </c>
    </row>
    <row r="190" spans="2:63" x14ac:dyDescent="0.25">
      <c r="B190" s="41" t="s">
        <v>444</v>
      </c>
      <c r="C190" s="41" t="s">
        <v>283</v>
      </c>
      <c r="D190" s="40"/>
      <c r="E190" s="40"/>
      <c r="F190" s="29"/>
      <c r="G190" s="22"/>
      <c r="H190" s="23">
        <v>0.82</v>
      </c>
      <c r="I190" s="75">
        <f t="shared" si="153"/>
        <v>0</v>
      </c>
      <c r="K190" s="41" t="s">
        <v>444</v>
      </c>
      <c r="L190" s="41" t="s">
        <v>283</v>
      </c>
      <c r="M190" s="40"/>
      <c r="N190" s="40"/>
      <c r="O190" s="29"/>
      <c r="P190" s="22"/>
      <c r="Q190" s="23">
        <v>0.82</v>
      </c>
      <c r="R190" s="75">
        <f t="shared" si="154"/>
        <v>0</v>
      </c>
      <c r="T190" s="41" t="s">
        <v>444</v>
      </c>
      <c r="U190" s="41" t="s">
        <v>283</v>
      </c>
      <c r="V190" s="40"/>
      <c r="W190" s="40"/>
      <c r="X190" s="29"/>
      <c r="Y190" s="22"/>
      <c r="Z190" s="23">
        <v>0.82</v>
      </c>
      <c r="AA190" s="75">
        <f t="shared" si="155"/>
        <v>0</v>
      </c>
      <c r="AC190" s="41" t="s">
        <v>444</v>
      </c>
      <c r="AD190" s="41" t="s">
        <v>283</v>
      </c>
      <c r="AE190" s="40"/>
      <c r="AF190" s="40"/>
      <c r="AG190" s="29"/>
      <c r="AH190" s="22"/>
      <c r="AI190" s="23">
        <v>0.82</v>
      </c>
      <c r="AJ190" s="75">
        <f t="shared" si="156"/>
        <v>0</v>
      </c>
      <c r="AL190" s="41" t="s">
        <v>444</v>
      </c>
      <c r="AM190" s="41" t="s">
        <v>283</v>
      </c>
      <c r="AN190" s="40"/>
      <c r="AO190" s="40"/>
      <c r="AP190" s="29"/>
      <c r="AQ190" s="22"/>
      <c r="AR190" s="23">
        <v>0.82</v>
      </c>
      <c r="AS190" s="75">
        <f t="shared" si="157"/>
        <v>0</v>
      </c>
      <c r="AU190" s="41" t="s">
        <v>444</v>
      </c>
      <c r="AV190" s="41" t="s">
        <v>283</v>
      </c>
      <c r="AW190" s="40"/>
      <c r="AX190" s="40"/>
      <c r="AY190" s="29"/>
      <c r="AZ190" s="22"/>
      <c r="BA190" s="23">
        <v>0.82</v>
      </c>
      <c r="BB190" s="75">
        <f t="shared" si="158"/>
        <v>0</v>
      </c>
      <c r="BD190" s="41" t="s">
        <v>444</v>
      </c>
      <c r="BE190" s="41" t="s">
        <v>283</v>
      </c>
      <c r="BF190" s="40"/>
      <c r="BG190" s="40"/>
      <c r="BH190" s="29"/>
      <c r="BI190" s="22"/>
      <c r="BJ190" s="23">
        <v>0.82</v>
      </c>
      <c r="BK190" s="75">
        <f t="shared" si="159"/>
        <v>0</v>
      </c>
    </row>
    <row r="191" spans="2:63" x14ac:dyDescent="0.25">
      <c r="B191" s="41" t="s">
        <v>444</v>
      </c>
      <c r="C191" s="41" t="s">
        <v>283</v>
      </c>
      <c r="D191" s="40"/>
      <c r="E191" s="40"/>
      <c r="F191" s="29"/>
      <c r="G191" s="22"/>
      <c r="H191" s="23">
        <v>0.82</v>
      </c>
      <c r="I191" s="75">
        <f t="shared" si="153"/>
        <v>0</v>
      </c>
      <c r="K191" s="41" t="s">
        <v>444</v>
      </c>
      <c r="L191" s="41" t="s">
        <v>283</v>
      </c>
      <c r="M191" s="40"/>
      <c r="N191" s="40"/>
      <c r="O191" s="29"/>
      <c r="P191" s="22"/>
      <c r="Q191" s="23">
        <v>0.82</v>
      </c>
      <c r="R191" s="75">
        <f t="shared" si="154"/>
        <v>0</v>
      </c>
      <c r="T191" s="41" t="s">
        <v>444</v>
      </c>
      <c r="U191" s="41" t="s">
        <v>283</v>
      </c>
      <c r="V191" s="40"/>
      <c r="W191" s="40"/>
      <c r="X191" s="29"/>
      <c r="Y191" s="22"/>
      <c r="Z191" s="23">
        <v>0.82</v>
      </c>
      <c r="AA191" s="75">
        <f t="shared" si="155"/>
        <v>0</v>
      </c>
      <c r="AC191" s="41" t="s">
        <v>444</v>
      </c>
      <c r="AD191" s="41" t="s">
        <v>283</v>
      </c>
      <c r="AE191" s="40"/>
      <c r="AF191" s="40"/>
      <c r="AG191" s="29"/>
      <c r="AH191" s="22"/>
      <c r="AI191" s="23">
        <v>0.82</v>
      </c>
      <c r="AJ191" s="75">
        <f t="shared" si="156"/>
        <v>0</v>
      </c>
      <c r="AL191" s="41" t="s">
        <v>444</v>
      </c>
      <c r="AM191" s="41" t="s">
        <v>283</v>
      </c>
      <c r="AN191" s="40"/>
      <c r="AO191" s="40"/>
      <c r="AP191" s="29"/>
      <c r="AQ191" s="22"/>
      <c r="AR191" s="23">
        <v>0.82</v>
      </c>
      <c r="AS191" s="75">
        <f t="shared" si="157"/>
        <v>0</v>
      </c>
      <c r="AU191" s="41" t="s">
        <v>444</v>
      </c>
      <c r="AV191" s="41" t="s">
        <v>283</v>
      </c>
      <c r="AW191" s="40"/>
      <c r="AX191" s="40"/>
      <c r="AY191" s="29"/>
      <c r="AZ191" s="22"/>
      <c r="BA191" s="23">
        <v>0.82</v>
      </c>
      <c r="BB191" s="75">
        <f t="shared" si="158"/>
        <v>0</v>
      </c>
      <c r="BD191" s="41" t="s">
        <v>444</v>
      </c>
      <c r="BE191" s="41" t="s">
        <v>283</v>
      </c>
      <c r="BF191" s="40"/>
      <c r="BG191" s="40"/>
      <c r="BH191" s="29"/>
      <c r="BI191" s="22"/>
      <c r="BJ191" s="23">
        <v>0.82</v>
      </c>
      <c r="BK191" s="75">
        <f t="shared" si="159"/>
        <v>0</v>
      </c>
    </row>
    <row r="192" spans="2:63" x14ac:dyDescent="0.25">
      <c r="B192" s="41" t="s">
        <v>444</v>
      </c>
      <c r="C192" s="41" t="s">
        <v>283</v>
      </c>
      <c r="D192" s="40"/>
      <c r="E192" s="40"/>
      <c r="F192" s="29"/>
      <c r="G192" s="22"/>
      <c r="H192" s="23">
        <v>0.82</v>
      </c>
      <c r="I192" s="75">
        <f t="shared" si="153"/>
        <v>0</v>
      </c>
      <c r="K192" s="41" t="s">
        <v>444</v>
      </c>
      <c r="L192" s="41" t="s">
        <v>283</v>
      </c>
      <c r="M192" s="40"/>
      <c r="N192" s="40"/>
      <c r="O192" s="29"/>
      <c r="P192" s="22"/>
      <c r="Q192" s="23">
        <v>0.82</v>
      </c>
      <c r="R192" s="75">
        <f t="shared" si="154"/>
        <v>0</v>
      </c>
      <c r="T192" s="41" t="s">
        <v>444</v>
      </c>
      <c r="U192" s="41" t="s">
        <v>283</v>
      </c>
      <c r="V192" s="40"/>
      <c r="W192" s="40"/>
      <c r="X192" s="29"/>
      <c r="Y192" s="22"/>
      <c r="Z192" s="23">
        <v>0.82</v>
      </c>
      <c r="AA192" s="75">
        <f t="shared" si="155"/>
        <v>0</v>
      </c>
      <c r="AC192" s="41" t="s">
        <v>444</v>
      </c>
      <c r="AD192" s="41" t="s">
        <v>283</v>
      </c>
      <c r="AE192" s="40"/>
      <c r="AF192" s="40"/>
      <c r="AG192" s="29"/>
      <c r="AH192" s="22"/>
      <c r="AI192" s="23">
        <v>0.82</v>
      </c>
      <c r="AJ192" s="75">
        <f t="shared" si="156"/>
        <v>0</v>
      </c>
      <c r="AL192" s="41" t="s">
        <v>444</v>
      </c>
      <c r="AM192" s="41" t="s">
        <v>283</v>
      </c>
      <c r="AN192" s="40"/>
      <c r="AO192" s="40"/>
      <c r="AP192" s="29"/>
      <c r="AQ192" s="22"/>
      <c r="AR192" s="23">
        <v>0.82</v>
      </c>
      <c r="AS192" s="75">
        <f t="shared" si="157"/>
        <v>0</v>
      </c>
      <c r="AU192" s="41" t="s">
        <v>444</v>
      </c>
      <c r="AV192" s="41" t="s">
        <v>283</v>
      </c>
      <c r="AW192" s="40"/>
      <c r="AX192" s="40"/>
      <c r="AY192" s="29"/>
      <c r="AZ192" s="22"/>
      <c r="BA192" s="23">
        <v>0.82</v>
      </c>
      <c r="BB192" s="75">
        <f t="shared" si="158"/>
        <v>0</v>
      </c>
      <c r="BD192" s="41" t="s">
        <v>444</v>
      </c>
      <c r="BE192" s="41" t="s">
        <v>283</v>
      </c>
      <c r="BF192" s="40"/>
      <c r="BG192" s="40"/>
      <c r="BH192" s="29"/>
      <c r="BI192" s="22"/>
      <c r="BJ192" s="23">
        <v>0.82</v>
      </c>
      <c r="BK192" s="75">
        <f t="shared" si="159"/>
        <v>0</v>
      </c>
    </row>
    <row r="193" spans="2:63" x14ac:dyDescent="0.25">
      <c r="B193" s="41" t="s">
        <v>444</v>
      </c>
      <c r="C193" s="41" t="s">
        <v>283</v>
      </c>
      <c r="D193" s="40"/>
      <c r="E193" s="40"/>
      <c r="F193" s="29"/>
      <c r="G193" s="22"/>
      <c r="H193" s="23">
        <v>0.82</v>
      </c>
      <c r="I193" s="75">
        <f t="shared" si="153"/>
        <v>0</v>
      </c>
      <c r="K193" s="41" t="s">
        <v>444</v>
      </c>
      <c r="L193" s="41" t="s">
        <v>283</v>
      </c>
      <c r="M193" s="40"/>
      <c r="N193" s="40"/>
      <c r="O193" s="29"/>
      <c r="P193" s="22"/>
      <c r="Q193" s="23">
        <v>0.82</v>
      </c>
      <c r="R193" s="75">
        <f t="shared" si="154"/>
        <v>0</v>
      </c>
      <c r="T193" s="41" t="s">
        <v>444</v>
      </c>
      <c r="U193" s="41" t="s">
        <v>283</v>
      </c>
      <c r="V193" s="40"/>
      <c r="W193" s="40"/>
      <c r="X193" s="29"/>
      <c r="Y193" s="22"/>
      <c r="Z193" s="23">
        <v>0.82</v>
      </c>
      <c r="AA193" s="75">
        <f t="shared" si="155"/>
        <v>0</v>
      </c>
      <c r="AC193" s="41" t="s">
        <v>444</v>
      </c>
      <c r="AD193" s="41" t="s">
        <v>283</v>
      </c>
      <c r="AE193" s="40"/>
      <c r="AF193" s="40"/>
      <c r="AG193" s="29"/>
      <c r="AH193" s="22"/>
      <c r="AI193" s="23">
        <v>0.82</v>
      </c>
      <c r="AJ193" s="75">
        <f t="shared" si="156"/>
        <v>0</v>
      </c>
      <c r="AL193" s="41" t="s">
        <v>444</v>
      </c>
      <c r="AM193" s="41" t="s">
        <v>283</v>
      </c>
      <c r="AN193" s="40"/>
      <c r="AO193" s="40"/>
      <c r="AP193" s="29"/>
      <c r="AQ193" s="22"/>
      <c r="AR193" s="23">
        <v>0.82</v>
      </c>
      <c r="AS193" s="75">
        <f t="shared" si="157"/>
        <v>0</v>
      </c>
      <c r="AU193" s="41" t="s">
        <v>444</v>
      </c>
      <c r="AV193" s="41" t="s">
        <v>283</v>
      </c>
      <c r="AW193" s="40"/>
      <c r="AX193" s="40"/>
      <c r="AY193" s="29"/>
      <c r="AZ193" s="22"/>
      <c r="BA193" s="23">
        <v>0.82</v>
      </c>
      <c r="BB193" s="75">
        <f t="shared" si="158"/>
        <v>0</v>
      </c>
      <c r="BD193" s="41" t="s">
        <v>444</v>
      </c>
      <c r="BE193" s="41" t="s">
        <v>283</v>
      </c>
      <c r="BF193" s="40"/>
      <c r="BG193" s="40"/>
      <c r="BH193" s="29"/>
      <c r="BI193" s="22"/>
      <c r="BJ193" s="23">
        <v>0.82</v>
      </c>
      <c r="BK193" s="75">
        <f t="shared" si="159"/>
        <v>0</v>
      </c>
    </row>
    <row r="194" spans="2:63" x14ac:dyDescent="0.25">
      <c r="B194" s="41" t="s">
        <v>444</v>
      </c>
      <c r="C194" s="41" t="s">
        <v>283</v>
      </c>
      <c r="D194" s="40"/>
      <c r="E194" s="40"/>
      <c r="F194" s="29"/>
      <c r="G194" s="22"/>
      <c r="H194" s="23">
        <v>0.82</v>
      </c>
      <c r="I194" s="75">
        <f t="shared" si="153"/>
        <v>0</v>
      </c>
      <c r="K194" s="41" t="s">
        <v>444</v>
      </c>
      <c r="L194" s="41" t="s">
        <v>283</v>
      </c>
      <c r="M194" s="40"/>
      <c r="N194" s="40"/>
      <c r="O194" s="29"/>
      <c r="P194" s="22"/>
      <c r="Q194" s="23">
        <v>0.82</v>
      </c>
      <c r="R194" s="75">
        <f t="shared" si="154"/>
        <v>0</v>
      </c>
      <c r="T194" s="41" t="s">
        <v>444</v>
      </c>
      <c r="U194" s="41" t="s">
        <v>283</v>
      </c>
      <c r="V194" s="40"/>
      <c r="W194" s="40"/>
      <c r="X194" s="29"/>
      <c r="Y194" s="22"/>
      <c r="Z194" s="23">
        <v>0.82</v>
      </c>
      <c r="AA194" s="75">
        <f t="shared" si="155"/>
        <v>0</v>
      </c>
      <c r="AC194" s="41" t="s">
        <v>444</v>
      </c>
      <c r="AD194" s="41" t="s">
        <v>283</v>
      </c>
      <c r="AE194" s="40"/>
      <c r="AF194" s="40"/>
      <c r="AG194" s="29"/>
      <c r="AH194" s="22"/>
      <c r="AI194" s="23">
        <v>0.82</v>
      </c>
      <c r="AJ194" s="75">
        <f t="shared" si="156"/>
        <v>0</v>
      </c>
      <c r="AL194" s="41" t="s">
        <v>444</v>
      </c>
      <c r="AM194" s="41" t="s">
        <v>283</v>
      </c>
      <c r="AN194" s="40"/>
      <c r="AO194" s="40"/>
      <c r="AP194" s="29"/>
      <c r="AQ194" s="22"/>
      <c r="AR194" s="23">
        <v>0.82</v>
      </c>
      <c r="AS194" s="75">
        <f t="shared" si="157"/>
        <v>0</v>
      </c>
      <c r="AU194" s="41" t="s">
        <v>444</v>
      </c>
      <c r="AV194" s="41" t="s">
        <v>283</v>
      </c>
      <c r="AW194" s="40"/>
      <c r="AX194" s="40"/>
      <c r="AY194" s="29"/>
      <c r="AZ194" s="22"/>
      <c r="BA194" s="23">
        <v>0.82</v>
      </c>
      <c r="BB194" s="75">
        <f t="shared" si="158"/>
        <v>0</v>
      </c>
      <c r="BD194" s="41" t="s">
        <v>444</v>
      </c>
      <c r="BE194" s="41" t="s">
        <v>283</v>
      </c>
      <c r="BF194" s="40"/>
      <c r="BG194" s="40"/>
      <c r="BH194" s="29"/>
      <c r="BI194" s="22"/>
      <c r="BJ194" s="23">
        <v>0.82</v>
      </c>
      <c r="BK194" s="75">
        <f t="shared" si="159"/>
        <v>0</v>
      </c>
    </row>
    <row r="195" spans="2:63" x14ac:dyDescent="0.25">
      <c r="B195" s="41" t="s">
        <v>444</v>
      </c>
      <c r="C195" s="41" t="s">
        <v>283</v>
      </c>
      <c r="D195" s="40"/>
      <c r="E195" s="40"/>
      <c r="F195" s="29"/>
      <c r="G195" s="22"/>
      <c r="H195" s="23">
        <v>0.82</v>
      </c>
      <c r="I195" s="75">
        <f t="shared" si="153"/>
        <v>0</v>
      </c>
      <c r="K195" s="41" t="s">
        <v>444</v>
      </c>
      <c r="L195" s="41" t="s">
        <v>283</v>
      </c>
      <c r="M195" s="40"/>
      <c r="N195" s="40"/>
      <c r="O195" s="29"/>
      <c r="P195" s="22"/>
      <c r="Q195" s="23">
        <v>0.82</v>
      </c>
      <c r="R195" s="75">
        <f t="shared" si="154"/>
        <v>0</v>
      </c>
      <c r="T195" s="41" t="s">
        <v>444</v>
      </c>
      <c r="U195" s="41" t="s">
        <v>283</v>
      </c>
      <c r="V195" s="40"/>
      <c r="W195" s="40"/>
      <c r="X195" s="29"/>
      <c r="Y195" s="22"/>
      <c r="Z195" s="23">
        <v>0.82</v>
      </c>
      <c r="AA195" s="75">
        <f t="shared" si="155"/>
        <v>0</v>
      </c>
      <c r="AC195" s="41" t="s">
        <v>444</v>
      </c>
      <c r="AD195" s="41" t="s">
        <v>283</v>
      </c>
      <c r="AE195" s="40"/>
      <c r="AF195" s="40"/>
      <c r="AG195" s="29"/>
      <c r="AH195" s="22"/>
      <c r="AI195" s="23">
        <v>0.82</v>
      </c>
      <c r="AJ195" s="75">
        <f t="shared" si="156"/>
        <v>0</v>
      </c>
      <c r="AL195" s="41" t="s">
        <v>444</v>
      </c>
      <c r="AM195" s="41" t="s">
        <v>283</v>
      </c>
      <c r="AN195" s="40"/>
      <c r="AO195" s="40"/>
      <c r="AP195" s="29"/>
      <c r="AQ195" s="22"/>
      <c r="AR195" s="23">
        <v>0.82</v>
      </c>
      <c r="AS195" s="75">
        <f t="shared" si="157"/>
        <v>0</v>
      </c>
      <c r="AU195" s="41" t="s">
        <v>444</v>
      </c>
      <c r="AV195" s="41" t="s">
        <v>283</v>
      </c>
      <c r="AW195" s="40"/>
      <c r="AX195" s="40"/>
      <c r="AY195" s="29"/>
      <c r="AZ195" s="22"/>
      <c r="BA195" s="23">
        <v>0.82</v>
      </c>
      <c r="BB195" s="75">
        <f t="shared" si="158"/>
        <v>0</v>
      </c>
      <c r="BD195" s="41" t="s">
        <v>444</v>
      </c>
      <c r="BE195" s="41" t="s">
        <v>283</v>
      </c>
      <c r="BF195" s="40"/>
      <c r="BG195" s="40"/>
      <c r="BH195" s="29"/>
      <c r="BI195" s="22"/>
      <c r="BJ195" s="23">
        <v>0.82</v>
      </c>
      <c r="BK195" s="75">
        <f t="shared" si="159"/>
        <v>0</v>
      </c>
    </row>
    <row r="196" spans="2:63" x14ac:dyDescent="0.25">
      <c r="B196" s="41" t="s">
        <v>444</v>
      </c>
      <c r="C196" s="41" t="s">
        <v>283</v>
      </c>
      <c r="D196" s="40"/>
      <c r="E196" s="40"/>
      <c r="F196" s="29"/>
      <c r="G196" s="22"/>
      <c r="H196" s="23">
        <v>0.82</v>
      </c>
      <c r="I196" s="75">
        <f t="shared" si="153"/>
        <v>0</v>
      </c>
      <c r="K196" s="41" t="s">
        <v>444</v>
      </c>
      <c r="L196" s="41" t="s">
        <v>283</v>
      </c>
      <c r="M196" s="40"/>
      <c r="N196" s="40"/>
      <c r="O196" s="29"/>
      <c r="P196" s="22"/>
      <c r="Q196" s="23">
        <v>0.82</v>
      </c>
      <c r="R196" s="75">
        <f t="shared" si="154"/>
        <v>0</v>
      </c>
      <c r="T196" s="41" t="s">
        <v>444</v>
      </c>
      <c r="U196" s="41" t="s">
        <v>283</v>
      </c>
      <c r="V196" s="40"/>
      <c r="W196" s="40"/>
      <c r="X196" s="29"/>
      <c r="Y196" s="22"/>
      <c r="Z196" s="23">
        <v>0.82</v>
      </c>
      <c r="AA196" s="75">
        <f t="shared" si="155"/>
        <v>0</v>
      </c>
      <c r="AC196" s="41" t="s">
        <v>444</v>
      </c>
      <c r="AD196" s="41" t="s">
        <v>283</v>
      </c>
      <c r="AE196" s="40"/>
      <c r="AF196" s="40"/>
      <c r="AG196" s="29"/>
      <c r="AH196" s="22"/>
      <c r="AI196" s="23">
        <v>0.82</v>
      </c>
      <c r="AJ196" s="75">
        <f t="shared" si="156"/>
        <v>0</v>
      </c>
      <c r="AL196" s="41" t="s">
        <v>444</v>
      </c>
      <c r="AM196" s="41" t="s">
        <v>283</v>
      </c>
      <c r="AN196" s="40"/>
      <c r="AO196" s="40"/>
      <c r="AP196" s="29"/>
      <c r="AQ196" s="22"/>
      <c r="AR196" s="23">
        <v>0.82</v>
      </c>
      <c r="AS196" s="75">
        <f t="shared" si="157"/>
        <v>0</v>
      </c>
      <c r="AU196" s="41" t="s">
        <v>444</v>
      </c>
      <c r="AV196" s="41" t="s">
        <v>283</v>
      </c>
      <c r="AW196" s="40"/>
      <c r="AX196" s="40"/>
      <c r="AY196" s="29"/>
      <c r="AZ196" s="22"/>
      <c r="BA196" s="23">
        <v>0.82</v>
      </c>
      <c r="BB196" s="75">
        <f t="shared" si="158"/>
        <v>0</v>
      </c>
      <c r="BD196" s="41" t="s">
        <v>444</v>
      </c>
      <c r="BE196" s="41" t="s">
        <v>283</v>
      </c>
      <c r="BF196" s="40"/>
      <c r="BG196" s="40"/>
      <c r="BH196" s="29"/>
      <c r="BI196" s="22"/>
      <c r="BJ196" s="23">
        <v>0.82</v>
      </c>
      <c r="BK196" s="75">
        <f t="shared" si="159"/>
        <v>0</v>
      </c>
    </row>
    <row r="197" spans="2:63" x14ac:dyDescent="0.25">
      <c r="B197" s="41" t="s">
        <v>444</v>
      </c>
      <c r="C197" s="41" t="s">
        <v>283</v>
      </c>
      <c r="D197" s="40"/>
      <c r="E197" s="40"/>
      <c r="F197" s="29"/>
      <c r="G197" s="22"/>
      <c r="H197" s="23">
        <v>0.82</v>
      </c>
      <c r="I197" s="75">
        <f t="shared" si="153"/>
        <v>0</v>
      </c>
      <c r="K197" s="41" t="s">
        <v>444</v>
      </c>
      <c r="L197" s="41" t="s">
        <v>283</v>
      </c>
      <c r="M197" s="40"/>
      <c r="N197" s="40"/>
      <c r="O197" s="29"/>
      <c r="P197" s="22"/>
      <c r="Q197" s="23">
        <v>0.82</v>
      </c>
      <c r="R197" s="75">
        <f t="shared" si="154"/>
        <v>0</v>
      </c>
      <c r="T197" s="41" t="s">
        <v>444</v>
      </c>
      <c r="U197" s="41" t="s">
        <v>283</v>
      </c>
      <c r="V197" s="40"/>
      <c r="W197" s="40"/>
      <c r="X197" s="29"/>
      <c r="Y197" s="22"/>
      <c r="Z197" s="23">
        <v>0.82</v>
      </c>
      <c r="AA197" s="75">
        <f t="shared" si="155"/>
        <v>0</v>
      </c>
      <c r="AC197" s="41" t="s">
        <v>444</v>
      </c>
      <c r="AD197" s="41" t="s">
        <v>283</v>
      </c>
      <c r="AE197" s="40"/>
      <c r="AF197" s="40"/>
      <c r="AG197" s="29"/>
      <c r="AH197" s="22"/>
      <c r="AI197" s="23">
        <v>0.82</v>
      </c>
      <c r="AJ197" s="75">
        <f t="shared" si="156"/>
        <v>0</v>
      </c>
      <c r="AL197" s="41" t="s">
        <v>444</v>
      </c>
      <c r="AM197" s="41" t="s">
        <v>283</v>
      </c>
      <c r="AN197" s="40"/>
      <c r="AO197" s="40"/>
      <c r="AP197" s="29"/>
      <c r="AQ197" s="22"/>
      <c r="AR197" s="23">
        <v>0.82</v>
      </c>
      <c r="AS197" s="75">
        <f t="shared" si="157"/>
        <v>0</v>
      </c>
      <c r="AU197" s="41" t="s">
        <v>444</v>
      </c>
      <c r="AV197" s="41" t="s">
        <v>283</v>
      </c>
      <c r="AW197" s="40"/>
      <c r="AX197" s="40"/>
      <c r="AY197" s="29"/>
      <c r="AZ197" s="22"/>
      <c r="BA197" s="23">
        <v>0.82</v>
      </c>
      <c r="BB197" s="75">
        <f t="shared" si="158"/>
        <v>0</v>
      </c>
      <c r="BD197" s="41" t="s">
        <v>444</v>
      </c>
      <c r="BE197" s="41" t="s">
        <v>283</v>
      </c>
      <c r="BF197" s="40"/>
      <c r="BG197" s="40"/>
      <c r="BH197" s="29"/>
      <c r="BI197" s="22"/>
      <c r="BJ197" s="23">
        <v>0.82</v>
      </c>
      <c r="BK197" s="75">
        <f t="shared" si="159"/>
        <v>0</v>
      </c>
    </row>
    <row r="198" spans="2:63" x14ac:dyDescent="0.25">
      <c r="B198" s="41" t="s">
        <v>444</v>
      </c>
      <c r="C198" s="41" t="s">
        <v>283</v>
      </c>
      <c r="D198" s="40"/>
      <c r="E198" s="40"/>
      <c r="F198" s="29"/>
      <c r="G198" s="22"/>
      <c r="H198" s="23">
        <v>0.82</v>
      </c>
      <c r="I198" s="75">
        <f t="shared" si="153"/>
        <v>0</v>
      </c>
      <c r="K198" s="41" t="s">
        <v>444</v>
      </c>
      <c r="L198" s="41" t="s">
        <v>283</v>
      </c>
      <c r="M198" s="40"/>
      <c r="N198" s="40"/>
      <c r="O198" s="29"/>
      <c r="P198" s="22"/>
      <c r="Q198" s="23">
        <v>0.82</v>
      </c>
      <c r="R198" s="75">
        <f t="shared" si="154"/>
        <v>0</v>
      </c>
      <c r="T198" s="41" t="s">
        <v>444</v>
      </c>
      <c r="U198" s="41" t="s">
        <v>283</v>
      </c>
      <c r="V198" s="40"/>
      <c r="W198" s="40"/>
      <c r="X198" s="29"/>
      <c r="Y198" s="22"/>
      <c r="Z198" s="23">
        <v>0.82</v>
      </c>
      <c r="AA198" s="75">
        <f t="shared" si="155"/>
        <v>0</v>
      </c>
      <c r="AC198" s="41" t="s">
        <v>444</v>
      </c>
      <c r="AD198" s="41" t="s">
        <v>283</v>
      </c>
      <c r="AE198" s="40"/>
      <c r="AF198" s="40"/>
      <c r="AG198" s="29"/>
      <c r="AH198" s="22"/>
      <c r="AI198" s="23">
        <v>0.82</v>
      </c>
      <c r="AJ198" s="75">
        <f t="shared" si="156"/>
        <v>0</v>
      </c>
      <c r="AL198" s="41" t="s">
        <v>444</v>
      </c>
      <c r="AM198" s="41" t="s">
        <v>283</v>
      </c>
      <c r="AN198" s="40"/>
      <c r="AO198" s="40"/>
      <c r="AP198" s="29"/>
      <c r="AQ198" s="22"/>
      <c r="AR198" s="23">
        <v>0.82</v>
      </c>
      <c r="AS198" s="75">
        <f t="shared" si="157"/>
        <v>0</v>
      </c>
      <c r="AU198" s="41" t="s">
        <v>444</v>
      </c>
      <c r="AV198" s="41" t="s">
        <v>283</v>
      </c>
      <c r="AW198" s="40"/>
      <c r="AX198" s="40"/>
      <c r="AY198" s="29"/>
      <c r="AZ198" s="22"/>
      <c r="BA198" s="23">
        <v>0.82</v>
      </c>
      <c r="BB198" s="75">
        <f t="shared" si="158"/>
        <v>0</v>
      </c>
      <c r="BD198" s="41" t="s">
        <v>444</v>
      </c>
      <c r="BE198" s="41" t="s">
        <v>283</v>
      </c>
      <c r="BF198" s="40"/>
      <c r="BG198" s="40"/>
      <c r="BH198" s="29"/>
      <c r="BI198" s="22"/>
      <c r="BJ198" s="23">
        <v>0.82</v>
      </c>
      <c r="BK198" s="75">
        <f t="shared" si="159"/>
        <v>0</v>
      </c>
    </row>
    <row r="199" spans="2:63" x14ac:dyDescent="0.25">
      <c r="B199" s="41" t="s">
        <v>444</v>
      </c>
      <c r="C199" s="41" t="s">
        <v>283</v>
      </c>
      <c r="D199" s="40"/>
      <c r="E199" s="40"/>
      <c r="F199" s="29"/>
      <c r="G199" s="22"/>
      <c r="H199" s="23">
        <v>0.82</v>
      </c>
      <c r="I199" s="75">
        <f t="shared" si="153"/>
        <v>0</v>
      </c>
      <c r="K199" s="41" t="s">
        <v>444</v>
      </c>
      <c r="L199" s="41" t="s">
        <v>283</v>
      </c>
      <c r="M199" s="40"/>
      <c r="N199" s="40"/>
      <c r="O199" s="29"/>
      <c r="P199" s="22"/>
      <c r="Q199" s="23">
        <v>0.82</v>
      </c>
      <c r="R199" s="75">
        <f t="shared" si="154"/>
        <v>0</v>
      </c>
      <c r="T199" s="41" t="s">
        <v>444</v>
      </c>
      <c r="U199" s="41" t="s">
        <v>283</v>
      </c>
      <c r="V199" s="40"/>
      <c r="W199" s="40"/>
      <c r="X199" s="29"/>
      <c r="Y199" s="22"/>
      <c r="Z199" s="23">
        <v>0.82</v>
      </c>
      <c r="AA199" s="75">
        <f t="shared" si="155"/>
        <v>0</v>
      </c>
      <c r="AC199" s="41" t="s">
        <v>444</v>
      </c>
      <c r="AD199" s="41" t="s">
        <v>283</v>
      </c>
      <c r="AE199" s="40"/>
      <c r="AF199" s="40"/>
      <c r="AG199" s="29"/>
      <c r="AH199" s="22"/>
      <c r="AI199" s="23">
        <v>0.82</v>
      </c>
      <c r="AJ199" s="75">
        <f t="shared" si="156"/>
        <v>0</v>
      </c>
      <c r="AL199" s="41" t="s">
        <v>444</v>
      </c>
      <c r="AM199" s="41" t="s">
        <v>283</v>
      </c>
      <c r="AN199" s="40"/>
      <c r="AO199" s="40"/>
      <c r="AP199" s="29"/>
      <c r="AQ199" s="22"/>
      <c r="AR199" s="23">
        <v>0.82</v>
      </c>
      <c r="AS199" s="75">
        <f t="shared" si="157"/>
        <v>0</v>
      </c>
      <c r="AU199" s="41" t="s">
        <v>444</v>
      </c>
      <c r="AV199" s="41" t="s">
        <v>283</v>
      </c>
      <c r="AW199" s="40"/>
      <c r="AX199" s="40"/>
      <c r="AY199" s="29"/>
      <c r="AZ199" s="22"/>
      <c r="BA199" s="23">
        <v>0.82</v>
      </c>
      <c r="BB199" s="75">
        <f t="shared" si="158"/>
        <v>0</v>
      </c>
      <c r="BD199" s="41" t="s">
        <v>444</v>
      </c>
      <c r="BE199" s="41" t="s">
        <v>283</v>
      </c>
      <c r="BF199" s="40"/>
      <c r="BG199" s="40"/>
      <c r="BH199" s="29"/>
      <c r="BI199" s="22"/>
      <c r="BJ199" s="23">
        <v>0.82</v>
      </c>
      <c r="BK199" s="75">
        <f t="shared" si="159"/>
        <v>0</v>
      </c>
    </row>
    <row r="200" spans="2:63" x14ac:dyDescent="0.25">
      <c r="B200" s="41" t="s">
        <v>444</v>
      </c>
      <c r="C200" s="41" t="s">
        <v>283</v>
      </c>
      <c r="D200" s="40"/>
      <c r="E200" s="40"/>
      <c r="F200" s="29"/>
      <c r="G200" s="22"/>
      <c r="H200" s="23">
        <v>0.82</v>
      </c>
      <c r="I200" s="75">
        <f t="shared" si="153"/>
        <v>0</v>
      </c>
      <c r="K200" s="41" t="s">
        <v>444</v>
      </c>
      <c r="L200" s="41" t="s">
        <v>283</v>
      </c>
      <c r="M200" s="40"/>
      <c r="N200" s="40"/>
      <c r="O200" s="29"/>
      <c r="P200" s="22"/>
      <c r="Q200" s="23">
        <v>0.82</v>
      </c>
      <c r="R200" s="75">
        <f t="shared" si="154"/>
        <v>0</v>
      </c>
      <c r="T200" s="41" t="s">
        <v>444</v>
      </c>
      <c r="U200" s="41" t="s">
        <v>283</v>
      </c>
      <c r="V200" s="40"/>
      <c r="W200" s="40"/>
      <c r="X200" s="29"/>
      <c r="Y200" s="22"/>
      <c r="Z200" s="23">
        <v>0.82</v>
      </c>
      <c r="AA200" s="75">
        <f t="shared" si="155"/>
        <v>0</v>
      </c>
      <c r="AC200" s="41" t="s">
        <v>444</v>
      </c>
      <c r="AD200" s="41" t="s">
        <v>283</v>
      </c>
      <c r="AE200" s="40"/>
      <c r="AF200" s="40"/>
      <c r="AG200" s="29"/>
      <c r="AH200" s="22"/>
      <c r="AI200" s="23">
        <v>0.82</v>
      </c>
      <c r="AJ200" s="75">
        <f t="shared" si="156"/>
        <v>0</v>
      </c>
      <c r="AL200" s="41" t="s">
        <v>444</v>
      </c>
      <c r="AM200" s="41" t="s">
        <v>283</v>
      </c>
      <c r="AN200" s="40"/>
      <c r="AO200" s="40"/>
      <c r="AP200" s="29"/>
      <c r="AQ200" s="22"/>
      <c r="AR200" s="23">
        <v>0.82</v>
      </c>
      <c r="AS200" s="75">
        <f t="shared" si="157"/>
        <v>0</v>
      </c>
      <c r="AU200" s="41" t="s">
        <v>444</v>
      </c>
      <c r="AV200" s="41" t="s">
        <v>283</v>
      </c>
      <c r="AW200" s="40"/>
      <c r="AX200" s="40"/>
      <c r="AY200" s="29"/>
      <c r="AZ200" s="22"/>
      <c r="BA200" s="23">
        <v>0.82</v>
      </c>
      <c r="BB200" s="75">
        <f t="shared" si="158"/>
        <v>0</v>
      </c>
      <c r="BD200" s="41" t="s">
        <v>444</v>
      </c>
      <c r="BE200" s="41" t="s">
        <v>283</v>
      </c>
      <c r="BF200" s="40"/>
      <c r="BG200" s="40"/>
      <c r="BH200" s="29"/>
      <c r="BI200" s="22"/>
      <c r="BJ200" s="23">
        <v>0.82</v>
      </c>
      <c r="BK200" s="75">
        <f t="shared" si="159"/>
        <v>0</v>
      </c>
    </row>
    <row r="201" spans="2:63" x14ac:dyDescent="0.25">
      <c r="B201" s="41" t="s">
        <v>444</v>
      </c>
      <c r="C201" s="41" t="s">
        <v>283</v>
      </c>
      <c r="D201" s="40"/>
      <c r="E201" s="40"/>
      <c r="F201" s="29"/>
      <c r="G201" s="22"/>
      <c r="H201" s="23">
        <v>0.82</v>
      </c>
      <c r="I201" s="75">
        <f t="shared" si="153"/>
        <v>0</v>
      </c>
      <c r="K201" s="41" t="s">
        <v>444</v>
      </c>
      <c r="L201" s="41" t="s">
        <v>283</v>
      </c>
      <c r="M201" s="40"/>
      <c r="N201" s="40"/>
      <c r="O201" s="29"/>
      <c r="P201" s="22"/>
      <c r="Q201" s="23">
        <v>0.82</v>
      </c>
      <c r="R201" s="75">
        <f t="shared" si="154"/>
        <v>0</v>
      </c>
      <c r="T201" s="41" t="s">
        <v>444</v>
      </c>
      <c r="U201" s="41" t="s">
        <v>283</v>
      </c>
      <c r="V201" s="40"/>
      <c r="W201" s="40"/>
      <c r="X201" s="29"/>
      <c r="Y201" s="22"/>
      <c r="Z201" s="23">
        <v>0.82</v>
      </c>
      <c r="AA201" s="75">
        <f t="shared" si="155"/>
        <v>0</v>
      </c>
      <c r="AC201" s="41" t="s">
        <v>444</v>
      </c>
      <c r="AD201" s="41" t="s">
        <v>283</v>
      </c>
      <c r="AE201" s="40"/>
      <c r="AF201" s="40"/>
      <c r="AG201" s="29"/>
      <c r="AH201" s="22"/>
      <c r="AI201" s="23">
        <v>0.82</v>
      </c>
      <c r="AJ201" s="75">
        <f t="shared" si="156"/>
        <v>0</v>
      </c>
      <c r="AL201" s="41" t="s">
        <v>444</v>
      </c>
      <c r="AM201" s="41" t="s">
        <v>283</v>
      </c>
      <c r="AN201" s="40"/>
      <c r="AO201" s="40"/>
      <c r="AP201" s="29"/>
      <c r="AQ201" s="22"/>
      <c r="AR201" s="23">
        <v>0.82</v>
      </c>
      <c r="AS201" s="75">
        <f t="shared" si="157"/>
        <v>0</v>
      </c>
      <c r="AU201" s="41" t="s">
        <v>444</v>
      </c>
      <c r="AV201" s="41" t="s">
        <v>283</v>
      </c>
      <c r="AW201" s="40"/>
      <c r="AX201" s="40"/>
      <c r="AY201" s="29"/>
      <c r="AZ201" s="22"/>
      <c r="BA201" s="23">
        <v>0.82</v>
      </c>
      <c r="BB201" s="75">
        <f t="shared" si="158"/>
        <v>0</v>
      </c>
      <c r="BD201" s="41" t="s">
        <v>444</v>
      </c>
      <c r="BE201" s="41" t="s">
        <v>283</v>
      </c>
      <c r="BF201" s="40"/>
      <c r="BG201" s="40"/>
      <c r="BH201" s="29"/>
      <c r="BI201" s="22"/>
      <c r="BJ201" s="23">
        <v>0.82</v>
      </c>
      <c r="BK201" s="75">
        <f t="shared" si="159"/>
        <v>0</v>
      </c>
    </row>
    <row r="202" spans="2:63" x14ac:dyDescent="0.25">
      <c r="B202" s="41" t="s">
        <v>444</v>
      </c>
      <c r="C202" s="41" t="s">
        <v>283</v>
      </c>
      <c r="D202" s="40"/>
      <c r="E202" s="40"/>
      <c r="F202" s="29"/>
      <c r="G202" s="22"/>
      <c r="H202" s="23">
        <v>0.82</v>
      </c>
      <c r="I202" s="75">
        <f t="shared" si="153"/>
        <v>0</v>
      </c>
      <c r="K202" s="41" t="s">
        <v>444</v>
      </c>
      <c r="L202" s="41" t="s">
        <v>283</v>
      </c>
      <c r="M202" s="40"/>
      <c r="N202" s="40"/>
      <c r="O202" s="29"/>
      <c r="P202" s="22"/>
      <c r="Q202" s="23">
        <v>0.82</v>
      </c>
      <c r="R202" s="75">
        <f t="shared" si="154"/>
        <v>0</v>
      </c>
      <c r="T202" s="41" t="s">
        <v>444</v>
      </c>
      <c r="U202" s="41" t="s">
        <v>283</v>
      </c>
      <c r="V202" s="40"/>
      <c r="W202" s="40"/>
      <c r="X202" s="29"/>
      <c r="Y202" s="22"/>
      <c r="Z202" s="23">
        <v>0.82</v>
      </c>
      <c r="AA202" s="75">
        <f t="shared" si="155"/>
        <v>0</v>
      </c>
      <c r="AC202" s="41" t="s">
        <v>444</v>
      </c>
      <c r="AD202" s="41" t="s">
        <v>283</v>
      </c>
      <c r="AE202" s="40"/>
      <c r="AF202" s="40"/>
      <c r="AG202" s="29"/>
      <c r="AH202" s="22"/>
      <c r="AI202" s="23">
        <v>0.82</v>
      </c>
      <c r="AJ202" s="75">
        <f t="shared" si="156"/>
        <v>0</v>
      </c>
      <c r="AL202" s="41" t="s">
        <v>444</v>
      </c>
      <c r="AM202" s="41" t="s">
        <v>283</v>
      </c>
      <c r="AN202" s="40"/>
      <c r="AO202" s="40"/>
      <c r="AP202" s="29"/>
      <c r="AQ202" s="22"/>
      <c r="AR202" s="23">
        <v>0.82</v>
      </c>
      <c r="AS202" s="75">
        <f t="shared" si="157"/>
        <v>0</v>
      </c>
      <c r="AU202" s="41" t="s">
        <v>444</v>
      </c>
      <c r="AV202" s="41" t="s">
        <v>283</v>
      </c>
      <c r="AW202" s="40"/>
      <c r="AX202" s="40"/>
      <c r="AY202" s="29"/>
      <c r="AZ202" s="22"/>
      <c r="BA202" s="23">
        <v>0.82</v>
      </c>
      <c r="BB202" s="75">
        <f t="shared" si="158"/>
        <v>0</v>
      </c>
      <c r="BD202" s="41" t="s">
        <v>444</v>
      </c>
      <c r="BE202" s="41" t="s">
        <v>283</v>
      </c>
      <c r="BF202" s="40"/>
      <c r="BG202" s="40"/>
      <c r="BH202" s="29"/>
      <c r="BI202" s="22"/>
      <c r="BJ202" s="23">
        <v>0.82</v>
      </c>
      <c r="BK202" s="75">
        <f t="shared" si="159"/>
        <v>0</v>
      </c>
    </row>
    <row r="203" spans="2:63" s="24" customFormat="1" x14ac:dyDescent="0.25">
      <c r="B203" s="8" t="s">
        <v>446</v>
      </c>
      <c r="C203" s="25"/>
      <c r="D203" s="28">
        <f>SUM(D188:D202)</f>
        <v>100000</v>
      </c>
      <c r="E203" s="28">
        <f>SUM(E188:E202)</f>
        <v>50000</v>
      </c>
      <c r="F203" s="30"/>
      <c r="G203" s="25"/>
      <c r="H203" s="26"/>
      <c r="I203" s="28">
        <f>SUM(I188:I202)</f>
        <v>6560</v>
      </c>
      <c r="K203" s="8" t="s">
        <v>446</v>
      </c>
      <c r="L203" s="25"/>
      <c r="M203" s="28">
        <f>SUM(M188:M202)</f>
        <v>100000</v>
      </c>
      <c r="N203" s="28">
        <f>SUM(N188:N202)</f>
        <v>50000</v>
      </c>
      <c r="O203" s="30"/>
      <c r="P203" s="25"/>
      <c r="Q203" s="26"/>
      <c r="R203" s="28">
        <f>SUM(R188:R202)</f>
        <v>6560</v>
      </c>
      <c r="T203" s="8" t="s">
        <v>446</v>
      </c>
      <c r="U203" s="25"/>
      <c r="V203" s="28">
        <f>SUM(V188:V202)</f>
        <v>100000</v>
      </c>
      <c r="W203" s="28">
        <f>SUM(W188:W202)</f>
        <v>50000</v>
      </c>
      <c r="X203" s="30"/>
      <c r="Y203" s="25"/>
      <c r="Z203" s="26"/>
      <c r="AA203" s="28">
        <f>SUM(AA188:AA202)</f>
        <v>6560</v>
      </c>
      <c r="AC203" s="8" t="s">
        <v>446</v>
      </c>
      <c r="AD203" s="25"/>
      <c r="AE203" s="28">
        <f>SUM(AE188:AE202)</f>
        <v>100000</v>
      </c>
      <c r="AF203" s="28">
        <f>SUM(AF188:AF202)</f>
        <v>50000</v>
      </c>
      <c r="AG203" s="30"/>
      <c r="AH203" s="25"/>
      <c r="AI203" s="26"/>
      <c r="AJ203" s="28">
        <f>SUM(AJ188:AJ202)</f>
        <v>6560</v>
      </c>
      <c r="AL203" s="8" t="s">
        <v>446</v>
      </c>
      <c r="AM203" s="25"/>
      <c r="AN203" s="28">
        <f>SUM(AN188:AN202)</f>
        <v>100000</v>
      </c>
      <c r="AO203" s="28">
        <f>SUM(AO188:AO202)</f>
        <v>50000</v>
      </c>
      <c r="AP203" s="30"/>
      <c r="AQ203" s="25"/>
      <c r="AR203" s="26"/>
      <c r="AS203" s="28">
        <f>SUM(AS188:AS202)</f>
        <v>6560</v>
      </c>
      <c r="AU203" s="8" t="s">
        <v>446</v>
      </c>
      <c r="AV203" s="25"/>
      <c r="AW203" s="28">
        <f>SUM(AW188:AW202)</f>
        <v>100000</v>
      </c>
      <c r="AX203" s="28">
        <f>SUM(AX188:AX202)</f>
        <v>50000</v>
      </c>
      <c r="AY203" s="30"/>
      <c r="AZ203" s="25"/>
      <c r="BA203" s="26"/>
      <c r="BB203" s="28">
        <f>SUM(BB188:BB202)</f>
        <v>6560</v>
      </c>
      <c r="BD203" s="8" t="s">
        <v>446</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399</v>
      </c>
      <c r="C2" s="1"/>
      <c r="D2" s="1"/>
      <c r="E2" s="1"/>
      <c r="F2" s="1"/>
      <c r="G2" s="1"/>
      <c r="H2" s="1"/>
      <c r="I2" s="1"/>
      <c r="J2" s="1"/>
      <c r="S2" s="1"/>
    </row>
    <row r="3" spans="2:19" x14ac:dyDescent="0.2">
      <c r="B3" s="1"/>
      <c r="C3" s="1"/>
      <c r="D3" s="1"/>
      <c r="E3" s="1"/>
      <c r="F3" s="1"/>
      <c r="G3" s="1"/>
      <c r="H3" s="1"/>
      <c r="I3" s="1"/>
      <c r="J3" s="1"/>
    </row>
    <row r="4" spans="2:19" x14ac:dyDescent="0.2">
      <c r="B4" s="17" t="s">
        <v>401</v>
      </c>
      <c r="C4" s="17" t="s">
        <v>402</v>
      </c>
      <c r="D4" s="17" t="s">
        <v>403</v>
      </c>
      <c r="E4" s="17" t="s">
        <v>404</v>
      </c>
      <c r="F4" s="17" t="s">
        <v>405</v>
      </c>
      <c r="G4" s="17" t="s">
        <v>406</v>
      </c>
      <c r="H4" s="17" t="s">
        <v>407</v>
      </c>
      <c r="I4" s="17" t="s">
        <v>408</v>
      </c>
      <c r="J4" s="58" t="s">
        <v>107</v>
      </c>
    </row>
    <row r="5" spans="2:19" x14ac:dyDescent="0.2">
      <c r="B5" s="18" t="s">
        <v>409</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410</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349</v>
      </c>
      <c r="C7" s="62">
        <f>H41</f>
        <v>0</v>
      </c>
      <c r="D7" s="62">
        <f>R41</f>
        <v>0</v>
      </c>
      <c r="E7" s="62">
        <f>AB41</f>
        <v>0</v>
      </c>
      <c r="F7" s="62">
        <f>AK41</f>
        <v>0</v>
      </c>
      <c r="G7" s="62">
        <f>AT41</f>
        <v>0</v>
      </c>
      <c r="H7" s="62">
        <f>BC41</f>
        <v>0</v>
      </c>
      <c r="I7" s="62">
        <f>BL41</f>
        <v>0</v>
      </c>
      <c r="J7" s="57">
        <f>SUM(C7:I7)</f>
        <v>0</v>
      </c>
    </row>
    <row r="8" spans="2:19" x14ac:dyDescent="0.2">
      <c r="B8" s="59" t="s">
        <v>351</v>
      </c>
      <c r="C8" s="62">
        <f>G41</f>
        <v>0</v>
      </c>
      <c r="D8" s="62">
        <f>Q41</f>
        <v>0</v>
      </c>
      <c r="E8" s="62">
        <f>AA41</f>
        <v>0</v>
      </c>
      <c r="F8" s="62">
        <f>AJ41</f>
        <v>0</v>
      </c>
      <c r="G8" s="62">
        <f>AS41</f>
        <v>0</v>
      </c>
      <c r="H8" s="62">
        <f>BB41</f>
        <v>0</v>
      </c>
      <c r="I8" s="62">
        <f>BK41</f>
        <v>0</v>
      </c>
      <c r="J8" s="57">
        <f>SUM(C8:I8)</f>
        <v>0</v>
      </c>
    </row>
    <row r="9" spans="2:19" x14ac:dyDescent="0.2">
      <c r="B9" s="18" t="s">
        <v>411</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401</v>
      </c>
      <c r="C11" s="17" t="s">
        <v>402</v>
      </c>
      <c r="D11" s="17" t="s">
        <v>403</v>
      </c>
      <c r="E11" s="17" t="s">
        <v>404</v>
      </c>
      <c r="F11" s="17" t="s">
        <v>405</v>
      </c>
      <c r="G11" s="17" t="s">
        <v>406</v>
      </c>
      <c r="H11" s="17" t="s">
        <v>407</v>
      </c>
      <c r="I11" s="17" t="s">
        <v>408</v>
      </c>
      <c r="J11" s="58" t="s">
        <v>107</v>
      </c>
    </row>
    <row r="12" spans="2:19" x14ac:dyDescent="0.2">
      <c r="B12" s="18" t="s">
        <v>412</v>
      </c>
      <c r="C12" s="213"/>
      <c r="D12" s="213"/>
      <c r="E12" s="60"/>
      <c r="F12" s="60"/>
      <c r="G12" s="60"/>
      <c r="H12" s="60"/>
      <c r="I12" s="60"/>
      <c r="J12" s="57">
        <f t="shared" ref="J12:J26" si="3">SUM(C12:I12)</f>
        <v>0</v>
      </c>
      <c r="L12" s="2" t="s">
        <v>413</v>
      </c>
    </row>
    <row r="13" spans="2:19" x14ac:dyDescent="0.2">
      <c r="B13" s="18" t="s">
        <v>414</v>
      </c>
      <c r="C13" s="60"/>
      <c r="D13" s="60"/>
      <c r="E13" s="60"/>
      <c r="F13" s="60"/>
      <c r="G13" s="60"/>
      <c r="H13" s="60"/>
      <c r="I13" s="60"/>
      <c r="J13" s="57">
        <f t="shared" si="3"/>
        <v>0</v>
      </c>
    </row>
    <row r="14" spans="2:19" x14ac:dyDescent="0.2">
      <c r="B14" s="18" t="s">
        <v>415</v>
      </c>
      <c r="C14" s="60"/>
      <c r="D14" s="60"/>
      <c r="E14" s="60"/>
      <c r="F14" s="60"/>
      <c r="G14" s="60"/>
      <c r="H14" s="60"/>
      <c r="I14" s="60"/>
      <c r="J14" s="57">
        <f t="shared" si="3"/>
        <v>0</v>
      </c>
    </row>
    <row r="15" spans="2:19" x14ac:dyDescent="0.2">
      <c r="B15" s="18" t="s">
        <v>416</v>
      </c>
      <c r="C15" s="60"/>
      <c r="D15" s="60"/>
      <c r="E15" s="60"/>
      <c r="F15" s="60"/>
      <c r="G15" s="60"/>
      <c r="H15" s="60"/>
      <c r="I15" s="60"/>
      <c r="J15" s="57">
        <f t="shared" si="3"/>
        <v>0</v>
      </c>
    </row>
    <row r="16" spans="2:19" x14ac:dyDescent="0.2">
      <c r="B16" s="18" t="s">
        <v>417</v>
      </c>
      <c r="C16" s="60"/>
      <c r="D16" s="60"/>
      <c r="E16" s="60"/>
      <c r="F16" s="60"/>
      <c r="G16" s="60"/>
      <c r="H16" s="60"/>
      <c r="I16" s="60"/>
      <c r="J16" s="57">
        <f t="shared" si="3"/>
        <v>0</v>
      </c>
    </row>
    <row r="17" spans="1:65" x14ac:dyDescent="0.2">
      <c r="B17" s="18" t="s">
        <v>418</v>
      </c>
      <c r="C17" s="60"/>
      <c r="D17" s="60"/>
      <c r="E17" s="60"/>
      <c r="F17" s="60"/>
      <c r="G17" s="60"/>
      <c r="H17" s="60"/>
      <c r="I17" s="60"/>
      <c r="J17" s="57">
        <f t="shared" si="3"/>
        <v>0</v>
      </c>
      <c r="M17" s="171" t="s">
        <v>419</v>
      </c>
      <c r="T17" s="2" t="s">
        <v>420</v>
      </c>
    </row>
    <row r="18" spans="1:65" x14ac:dyDescent="0.2">
      <c r="B18" s="18" t="s">
        <v>421</v>
      </c>
      <c r="C18" s="60"/>
      <c r="D18" s="60"/>
      <c r="E18" s="60"/>
      <c r="F18" s="60"/>
      <c r="G18" s="60"/>
      <c r="H18" s="60"/>
      <c r="I18" s="60"/>
      <c r="J18" s="57">
        <f t="shared" si="3"/>
        <v>0</v>
      </c>
      <c r="M18" s="171" t="s">
        <v>422</v>
      </c>
      <c r="T18" s="2" t="s">
        <v>423</v>
      </c>
    </row>
    <row r="19" spans="1:65" x14ac:dyDescent="0.2">
      <c r="B19" s="18" t="s">
        <v>424</v>
      </c>
      <c r="C19" s="60"/>
      <c r="D19" s="60"/>
      <c r="E19" s="60"/>
      <c r="F19" s="60"/>
      <c r="G19" s="60"/>
      <c r="H19" s="60"/>
      <c r="I19" s="60"/>
      <c r="J19" s="57">
        <f t="shared" si="3"/>
        <v>0</v>
      </c>
      <c r="T19" s="2" t="s">
        <v>425</v>
      </c>
    </row>
    <row r="20" spans="1:65" x14ac:dyDescent="0.2">
      <c r="B20" s="18" t="s">
        <v>426</v>
      </c>
      <c r="C20" s="60"/>
      <c r="D20" s="60"/>
      <c r="E20" s="60"/>
      <c r="F20" s="60"/>
      <c r="G20" s="60"/>
      <c r="H20" s="60"/>
      <c r="I20" s="60"/>
      <c r="J20" s="57">
        <f t="shared" si="3"/>
        <v>0</v>
      </c>
      <c r="T20" s="2" t="s">
        <v>420</v>
      </c>
    </row>
    <row r="21" spans="1:65" x14ac:dyDescent="0.2">
      <c r="B21" s="18" t="s">
        <v>427</v>
      </c>
      <c r="C21" s="60"/>
      <c r="D21" s="60"/>
      <c r="E21" s="60"/>
      <c r="F21" s="60"/>
      <c r="G21" s="60"/>
      <c r="H21" s="60"/>
      <c r="I21" s="60"/>
      <c r="J21" s="57">
        <f t="shared" si="3"/>
        <v>0</v>
      </c>
    </row>
    <row r="22" spans="1:65" x14ac:dyDescent="0.2">
      <c r="B22" s="18" t="s">
        <v>428</v>
      </c>
      <c r="C22" s="60"/>
      <c r="D22" s="60"/>
      <c r="E22" s="60"/>
      <c r="F22" s="60"/>
      <c r="G22" s="60"/>
      <c r="H22" s="60"/>
      <c r="I22" s="60"/>
      <c r="J22" s="57">
        <f t="shared" si="3"/>
        <v>0</v>
      </c>
    </row>
    <row r="23" spans="1:65" x14ac:dyDescent="0.2">
      <c r="B23" s="18" t="s">
        <v>429</v>
      </c>
      <c r="C23" s="60"/>
      <c r="D23" s="60"/>
      <c r="E23" s="60"/>
      <c r="F23" s="60"/>
      <c r="G23" s="60"/>
      <c r="H23" s="60"/>
      <c r="I23" s="60"/>
      <c r="J23" s="57">
        <f t="shared" si="3"/>
        <v>0</v>
      </c>
    </row>
    <row r="24" spans="1:65" x14ac:dyDescent="0.2">
      <c r="B24" s="18" t="s">
        <v>430</v>
      </c>
      <c r="C24" s="60"/>
      <c r="D24" s="60"/>
      <c r="E24" s="60"/>
      <c r="F24" s="60"/>
      <c r="G24" s="60"/>
      <c r="H24" s="60"/>
      <c r="I24" s="60"/>
      <c r="J24" s="57">
        <f t="shared" si="3"/>
        <v>0</v>
      </c>
    </row>
    <row r="25" spans="1:65" x14ac:dyDescent="0.2">
      <c r="B25" s="18" t="s">
        <v>431</v>
      </c>
      <c r="C25" s="60"/>
      <c r="D25" s="60"/>
      <c r="E25" s="60"/>
      <c r="F25" s="60"/>
      <c r="G25" s="60"/>
      <c r="H25" s="60"/>
      <c r="I25" s="60"/>
      <c r="J25" s="57">
        <f t="shared" si="3"/>
        <v>0</v>
      </c>
    </row>
    <row r="26" spans="1:65" x14ac:dyDescent="0.2">
      <c r="B26" s="18" t="s">
        <v>432</v>
      </c>
      <c r="C26" s="60"/>
      <c r="D26" s="60"/>
      <c r="E26" s="60"/>
      <c r="F26" s="60"/>
      <c r="G26" s="60"/>
      <c r="H26" s="60"/>
      <c r="I26" s="60"/>
      <c r="J26" s="57">
        <f t="shared" si="3"/>
        <v>0</v>
      </c>
    </row>
    <row r="27" spans="1:65" x14ac:dyDescent="0.2">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875" t="s">
        <v>433</v>
      </c>
      <c r="C29" s="875"/>
      <c r="D29" s="875"/>
      <c r="E29" s="875"/>
      <c r="F29" s="875"/>
      <c r="G29" s="875"/>
      <c r="H29" s="875"/>
      <c r="I29" s="875"/>
      <c r="J29" s="875"/>
      <c r="L29" s="875" t="s">
        <v>434</v>
      </c>
      <c r="M29" s="875"/>
      <c r="N29" s="875"/>
      <c r="O29" s="875"/>
      <c r="P29" s="875"/>
      <c r="Q29" s="875"/>
      <c r="R29" s="875"/>
      <c r="S29" s="875"/>
      <c r="T29" s="875"/>
      <c r="V29" s="875" t="s">
        <v>435</v>
      </c>
      <c r="W29" s="875"/>
      <c r="X29" s="875"/>
      <c r="Y29" s="875"/>
      <c r="Z29" s="875"/>
      <c r="AA29" s="875"/>
      <c r="AB29" s="875"/>
      <c r="AC29" s="875"/>
      <c r="AE29" s="875" t="s">
        <v>436</v>
      </c>
      <c r="AF29" s="875"/>
      <c r="AG29" s="875"/>
      <c r="AH29" s="875"/>
      <c r="AI29" s="875"/>
      <c r="AJ29" s="875"/>
      <c r="AK29" s="875"/>
      <c r="AL29" s="875"/>
      <c r="AN29" s="875" t="s">
        <v>437</v>
      </c>
      <c r="AO29" s="875"/>
      <c r="AP29" s="875"/>
      <c r="AQ29" s="875"/>
      <c r="AR29" s="875"/>
      <c r="AS29" s="875"/>
      <c r="AT29" s="875"/>
      <c r="AU29" s="875"/>
      <c r="AW29" s="875" t="s">
        <v>438</v>
      </c>
      <c r="AX29" s="875"/>
      <c r="AY29" s="875"/>
      <c r="AZ29" s="875"/>
      <c r="BA29" s="875"/>
      <c r="BB29" s="875"/>
      <c r="BC29" s="875"/>
      <c r="BD29" s="875"/>
      <c r="BF29" s="875" t="s">
        <v>439</v>
      </c>
      <c r="BG29" s="875"/>
      <c r="BH29" s="875"/>
      <c r="BI29" s="875"/>
      <c r="BJ29" s="875"/>
      <c r="BK29" s="875"/>
      <c r="BL29" s="875"/>
      <c r="BM29" s="875"/>
    </row>
    <row r="31" spans="1:65" s="20" customFormat="1" ht="54" customHeight="1" x14ac:dyDescent="0.25">
      <c r="B31" s="3" t="s">
        <v>6</v>
      </c>
      <c r="C31" s="3" t="s">
        <v>293</v>
      </c>
      <c r="D31" s="36" t="s">
        <v>296</v>
      </c>
      <c r="E31" s="36" t="s">
        <v>300</v>
      </c>
      <c r="F31" s="37" t="s">
        <v>367</v>
      </c>
      <c r="G31" s="3" t="s">
        <v>368</v>
      </c>
      <c r="H31" s="3" t="s">
        <v>369</v>
      </c>
      <c r="I31" s="38" t="s">
        <v>370</v>
      </c>
      <c r="J31" s="172" t="s">
        <v>380</v>
      </c>
      <c r="L31" s="3" t="s">
        <v>6</v>
      </c>
      <c r="M31" s="3" t="s">
        <v>293</v>
      </c>
      <c r="N31" s="36" t="s">
        <v>296</v>
      </c>
      <c r="O31" s="36" t="s">
        <v>300</v>
      </c>
      <c r="P31" s="37" t="s">
        <v>367</v>
      </c>
      <c r="Q31" s="3" t="s">
        <v>368</v>
      </c>
      <c r="R31" s="3" t="s">
        <v>369</v>
      </c>
      <c r="S31" s="38" t="s">
        <v>370</v>
      </c>
      <c r="T31" s="172" t="s">
        <v>380</v>
      </c>
      <c r="V31" s="3" t="s">
        <v>6</v>
      </c>
      <c r="W31" s="3" t="s">
        <v>293</v>
      </c>
      <c r="X31" s="36" t="s">
        <v>296</v>
      </c>
      <c r="Y31" s="36" t="s">
        <v>300</v>
      </c>
      <c r="Z31" s="37" t="s">
        <v>367</v>
      </c>
      <c r="AA31" s="3" t="s">
        <v>368</v>
      </c>
      <c r="AB31" s="3" t="s">
        <v>369</v>
      </c>
      <c r="AC31" s="38" t="s">
        <v>370</v>
      </c>
      <c r="AE31" s="3" t="s">
        <v>6</v>
      </c>
      <c r="AF31" s="3" t="s">
        <v>293</v>
      </c>
      <c r="AG31" s="36" t="s">
        <v>296</v>
      </c>
      <c r="AH31" s="36" t="s">
        <v>300</v>
      </c>
      <c r="AI31" s="37" t="s">
        <v>367</v>
      </c>
      <c r="AJ31" s="3" t="s">
        <v>368</v>
      </c>
      <c r="AK31" s="3" t="s">
        <v>369</v>
      </c>
      <c r="AL31" s="38" t="s">
        <v>370</v>
      </c>
      <c r="AN31" s="3" t="s">
        <v>6</v>
      </c>
      <c r="AO31" s="3" t="s">
        <v>293</v>
      </c>
      <c r="AP31" s="36" t="s">
        <v>296</v>
      </c>
      <c r="AQ31" s="36" t="s">
        <v>300</v>
      </c>
      <c r="AR31" s="37" t="s">
        <v>367</v>
      </c>
      <c r="AS31" s="3" t="s">
        <v>368</v>
      </c>
      <c r="AT31" s="3" t="s">
        <v>369</v>
      </c>
      <c r="AU31" s="38" t="s">
        <v>370</v>
      </c>
      <c r="AW31" s="3" t="s">
        <v>6</v>
      </c>
      <c r="AX31" s="3" t="s">
        <v>293</v>
      </c>
      <c r="AY31" s="36" t="s">
        <v>296</v>
      </c>
      <c r="AZ31" s="36" t="s">
        <v>300</v>
      </c>
      <c r="BA31" s="37" t="s">
        <v>367</v>
      </c>
      <c r="BB31" s="3" t="s">
        <v>368</v>
      </c>
      <c r="BC31" s="3" t="s">
        <v>369</v>
      </c>
      <c r="BD31" s="38" t="s">
        <v>370</v>
      </c>
      <c r="BF31" s="3" t="s">
        <v>6</v>
      </c>
      <c r="BG31" s="3" t="s">
        <v>293</v>
      </c>
      <c r="BH31" s="36" t="s">
        <v>296</v>
      </c>
      <c r="BI31" s="36" t="s">
        <v>300</v>
      </c>
      <c r="BJ31" s="37" t="s">
        <v>367</v>
      </c>
      <c r="BK31" s="3" t="s">
        <v>368</v>
      </c>
      <c r="BL31" s="3" t="s">
        <v>369</v>
      </c>
      <c r="BM31" s="38" t="s">
        <v>370</v>
      </c>
    </row>
    <row r="32" spans="1:65" ht="25.5" customHeight="1" x14ac:dyDescent="0.25">
      <c r="A32" s="2">
        <f>COUNT(D44:D58)</f>
        <v>0</v>
      </c>
      <c r="B32" s="5" t="str">
        <f>B43</f>
        <v>Facility (Overdraft)</v>
      </c>
      <c r="C32" s="7" t="s">
        <v>296</v>
      </c>
      <c r="D32" s="79">
        <f>D59</f>
        <v>0</v>
      </c>
      <c r="E32" s="79">
        <f>E59</f>
        <v>0</v>
      </c>
      <c r="F32" s="79">
        <f>F59</f>
        <v>0</v>
      </c>
      <c r="G32" s="79">
        <f>I59</f>
        <v>0</v>
      </c>
      <c r="H32" s="79">
        <f>F32*12</f>
        <v>0</v>
      </c>
      <c r="I32" s="34">
        <f>SUM(G32:H32)</f>
        <v>0</v>
      </c>
      <c r="J32" s="171"/>
      <c r="L32" s="5" t="str">
        <f>L43</f>
        <v>Facility (Overdraft)</v>
      </c>
      <c r="M32" s="7" t="s">
        <v>296</v>
      </c>
      <c r="N32" s="79">
        <f>N59</f>
        <v>0</v>
      </c>
      <c r="O32" s="79">
        <f>O59</f>
        <v>0</v>
      </c>
      <c r="P32" s="79">
        <f>P59</f>
        <v>0</v>
      </c>
      <c r="Q32" s="79">
        <f>S59</f>
        <v>0</v>
      </c>
      <c r="R32" s="79">
        <f>P32*12</f>
        <v>0</v>
      </c>
      <c r="S32" s="34">
        <f>SUM(Q32:R32)</f>
        <v>0</v>
      </c>
      <c r="T32" s="171"/>
      <c r="V32" s="5" t="str">
        <f>V43</f>
        <v>Facility (Overdraft)</v>
      </c>
      <c r="W32" s="7" t="s">
        <v>296</v>
      </c>
      <c r="X32" s="79">
        <f>X59</f>
        <v>0</v>
      </c>
      <c r="Y32" s="79">
        <f>Y59</f>
        <v>0</v>
      </c>
      <c r="Z32" s="79">
        <f>Z59</f>
        <v>0</v>
      </c>
      <c r="AA32" s="79">
        <f>AC59</f>
        <v>0</v>
      </c>
      <c r="AB32" s="79">
        <f>Z32*12</f>
        <v>0</v>
      </c>
      <c r="AC32" s="34">
        <f>SUM(AA32:AB32)</f>
        <v>0</v>
      </c>
      <c r="AE32" s="5" t="str">
        <f>AE43</f>
        <v>Facility (Overdraft)</v>
      </c>
      <c r="AF32" s="7" t="s">
        <v>296</v>
      </c>
      <c r="AG32" s="79">
        <f>AG59</f>
        <v>0</v>
      </c>
      <c r="AH32" s="79">
        <f>AH59</f>
        <v>0</v>
      </c>
      <c r="AI32" s="79">
        <f>AI59</f>
        <v>0</v>
      </c>
      <c r="AJ32" s="79">
        <f>AL59</f>
        <v>0</v>
      </c>
      <c r="AK32" s="79">
        <f>AI32*12</f>
        <v>0</v>
      </c>
      <c r="AL32" s="34">
        <f>SUM(AJ32:AK32)</f>
        <v>0</v>
      </c>
      <c r="AN32" s="5" t="str">
        <f>AN43</f>
        <v>Facility (Overdraft)</v>
      </c>
      <c r="AO32" s="7" t="s">
        <v>296</v>
      </c>
      <c r="AP32" s="79">
        <f>AP59</f>
        <v>0</v>
      </c>
      <c r="AQ32" s="79">
        <f>AQ59</f>
        <v>0</v>
      </c>
      <c r="AR32" s="79">
        <f>AR59</f>
        <v>0</v>
      </c>
      <c r="AS32" s="79">
        <f>AU59</f>
        <v>0</v>
      </c>
      <c r="AT32" s="79">
        <f>AR32*12</f>
        <v>0</v>
      </c>
      <c r="AU32" s="34">
        <f>SUM(AS32:AT32)</f>
        <v>0</v>
      </c>
      <c r="AW32" s="5" t="str">
        <f>AW43</f>
        <v>Facility (Overdraft)</v>
      </c>
      <c r="AX32" s="7" t="s">
        <v>296</v>
      </c>
      <c r="AY32" s="79">
        <f>AY59</f>
        <v>0</v>
      </c>
      <c r="AZ32" s="79">
        <f>AZ59</f>
        <v>0</v>
      </c>
      <c r="BA32" s="79">
        <f>BA59</f>
        <v>0</v>
      </c>
      <c r="BB32" s="79">
        <f>BD59</f>
        <v>0</v>
      </c>
      <c r="BC32" s="79">
        <f>BA32*12</f>
        <v>0</v>
      </c>
      <c r="BD32" s="34">
        <f>SUM(BB32:BC32)</f>
        <v>0</v>
      </c>
      <c r="BF32" s="5" t="str">
        <f>BF43</f>
        <v>Facility (Overdraft)</v>
      </c>
      <c r="BG32" s="7" t="s">
        <v>296</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440</v>
      </c>
      <c r="D33" s="79">
        <f>D77</f>
        <v>0</v>
      </c>
      <c r="E33" s="79">
        <f>E77</f>
        <v>0</v>
      </c>
      <c r="F33" s="79">
        <f>F77</f>
        <v>0</v>
      </c>
      <c r="G33" s="79">
        <f>I77</f>
        <v>0</v>
      </c>
      <c r="H33" s="79">
        <f t="shared" ref="H33:H40" si="5">F33*12</f>
        <v>0</v>
      </c>
      <c r="I33" s="34">
        <f t="shared" ref="I33:I40" si="6">SUM(G33:H33)</f>
        <v>0</v>
      </c>
      <c r="J33" s="171"/>
      <c r="L33" s="5" t="str">
        <f>L61</f>
        <v>Facility (Overdraft with Reduction/ Sinking Fund)</v>
      </c>
      <c r="M33" s="7" t="s">
        <v>440</v>
      </c>
      <c r="N33" s="79">
        <f>N77</f>
        <v>0</v>
      </c>
      <c r="O33" s="79">
        <f>O77</f>
        <v>0</v>
      </c>
      <c r="P33" s="79">
        <f>P77</f>
        <v>0</v>
      </c>
      <c r="Q33" s="79">
        <f>S77</f>
        <v>0</v>
      </c>
      <c r="R33" s="79">
        <f t="shared" ref="R33:R40" si="7">P33*12</f>
        <v>0</v>
      </c>
      <c r="S33" s="34">
        <f t="shared" ref="S33:S40" si="8">SUM(Q33:R33)</f>
        <v>0</v>
      </c>
      <c r="T33" s="171"/>
      <c r="V33" s="5" t="str">
        <f>V61</f>
        <v>Facility (Overdraft with Reduction/ Sinking Fund)</v>
      </c>
      <c r="W33" s="7" t="s">
        <v>440</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440</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440</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440</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440</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296</v>
      </c>
      <c r="D34" s="79">
        <f>D95</f>
        <v>0</v>
      </c>
      <c r="E34" s="79">
        <f>E95</f>
        <v>0</v>
      </c>
      <c r="F34" s="79">
        <f>F95</f>
        <v>0</v>
      </c>
      <c r="G34" s="79">
        <f>I95</f>
        <v>0</v>
      </c>
      <c r="H34" s="79">
        <f t="shared" si="5"/>
        <v>0</v>
      </c>
      <c r="I34" s="34">
        <f t="shared" si="6"/>
        <v>0</v>
      </c>
      <c r="J34" s="171"/>
      <c r="L34" s="5" t="str">
        <f>L79</f>
        <v>Facility (Trade Receivable)</v>
      </c>
      <c r="M34" s="7" t="s">
        <v>296</v>
      </c>
      <c r="N34" s="79">
        <f>N95</f>
        <v>0</v>
      </c>
      <c r="O34" s="79">
        <f>O95</f>
        <v>0</v>
      </c>
      <c r="P34" s="79">
        <f>P95</f>
        <v>0</v>
      </c>
      <c r="Q34" s="79">
        <f>S95</f>
        <v>0</v>
      </c>
      <c r="R34" s="79">
        <f t="shared" si="7"/>
        <v>0</v>
      </c>
      <c r="S34" s="34">
        <f t="shared" si="8"/>
        <v>0</v>
      </c>
      <c r="T34" s="171"/>
      <c r="V34" s="5" t="str">
        <f>V79</f>
        <v>Facility (Trade Receivable)</v>
      </c>
      <c r="W34" s="7" t="s">
        <v>296</v>
      </c>
      <c r="X34" s="79">
        <f>X95</f>
        <v>0</v>
      </c>
      <c r="Y34" s="79">
        <f>Y95</f>
        <v>0</v>
      </c>
      <c r="Z34" s="79">
        <f>Z95</f>
        <v>0</v>
      </c>
      <c r="AA34" s="79">
        <f>AC95</f>
        <v>0</v>
      </c>
      <c r="AB34" s="79">
        <f t="shared" si="9"/>
        <v>0</v>
      </c>
      <c r="AC34" s="34">
        <f t="shared" si="10"/>
        <v>0</v>
      </c>
      <c r="AE34" s="5" t="str">
        <f>AE79</f>
        <v>Facility (Trade Receivable)</v>
      </c>
      <c r="AF34" s="7" t="s">
        <v>296</v>
      </c>
      <c r="AG34" s="79">
        <f>AG95</f>
        <v>0</v>
      </c>
      <c r="AH34" s="79">
        <f>AH95</f>
        <v>0</v>
      </c>
      <c r="AI34" s="79">
        <f>AI95</f>
        <v>0</v>
      </c>
      <c r="AJ34" s="79">
        <f>AL95</f>
        <v>0</v>
      </c>
      <c r="AK34" s="79">
        <f t="shared" si="11"/>
        <v>0</v>
      </c>
      <c r="AL34" s="34">
        <f t="shared" si="12"/>
        <v>0</v>
      </c>
      <c r="AN34" s="5" t="str">
        <f>AN79</f>
        <v>Facility (Trade Receivable)</v>
      </c>
      <c r="AO34" s="7" t="s">
        <v>296</v>
      </c>
      <c r="AP34" s="79">
        <f>AP95</f>
        <v>0</v>
      </c>
      <c r="AQ34" s="79">
        <f>AQ95</f>
        <v>0</v>
      </c>
      <c r="AR34" s="79">
        <f>AR95</f>
        <v>0</v>
      </c>
      <c r="AS34" s="79">
        <f>AU95</f>
        <v>0</v>
      </c>
      <c r="AT34" s="79">
        <f t="shared" si="13"/>
        <v>0</v>
      </c>
      <c r="AU34" s="34">
        <f t="shared" si="14"/>
        <v>0</v>
      </c>
      <c r="AW34" s="5" t="str">
        <f>AW79</f>
        <v>Facility (Trade Receivable)</v>
      </c>
      <c r="AX34" s="7" t="s">
        <v>296</v>
      </c>
      <c r="AY34" s="79">
        <f>AY95</f>
        <v>0</v>
      </c>
      <c r="AZ34" s="79">
        <f>AZ95</f>
        <v>0</v>
      </c>
      <c r="BA34" s="79">
        <f>BA95</f>
        <v>0</v>
      </c>
      <c r="BB34" s="79">
        <f>BD95</f>
        <v>0</v>
      </c>
      <c r="BC34" s="79">
        <f t="shared" si="15"/>
        <v>0</v>
      </c>
      <c r="BD34" s="34">
        <f t="shared" si="16"/>
        <v>0</v>
      </c>
      <c r="BF34" s="5" t="str">
        <f>BF79</f>
        <v>Facility (Trade Receivable)</v>
      </c>
      <c r="BG34" s="7" t="s">
        <v>296</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296</v>
      </c>
      <c r="D35" s="79">
        <f>D113</f>
        <v>0</v>
      </c>
      <c r="E35" s="79">
        <f>E113</f>
        <v>0</v>
      </c>
      <c r="F35" s="79">
        <f>F113</f>
        <v>0</v>
      </c>
      <c r="G35" s="79">
        <f>I113</f>
        <v>0</v>
      </c>
      <c r="H35" s="79">
        <f t="shared" si="5"/>
        <v>0</v>
      </c>
      <c r="I35" s="34">
        <f t="shared" si="6"/>
        <v>0</v>
      </c>
      <c r="J35" s="171"/>
      <c r="L35" s="5" t="str">
        <f>L97</f>
        <v>Facility (BA)</v>
      </c>
      <c r="M35" s="7" t="s">
        <v>296</v>
      </c>
      <c r="N35" s="79">
        <f>N113</f>
        <v>0</v>
      </c>
      <c r="O35" s="79">
        <f>O113</f>
        <v>0</v>
      </c>
      <c r="P35" s="79">
        <f>P113</f>
        <v>0</v>
      </c>
      <c r="Q35" s="79">
        <f>S113</f>
        <v>0</v>
      </c>
      <c r="R35" s="79">
        <f t="shared" si="7"/>
        <v>0</v>
      </c>
      <c r="S35" s="34">
        <f t="shared" si="8"/>
        <v>0</v>
      </c>
      <c r="T35" s="171"/>
      <c r="V35" s="5" t="str">
        <f>V97</f>
        <v>Facility (BA)</v>
      </c>
      <c r="W35" s="7" t="s">
        <v>296</v>
      </c>
      <c r="X35" s="79">
        <f>X113</f>
        <v>0</v>
      </c>
      <c r="Y35" s="79">
        <f>Y113</f>
        <v>0</v>
      </c>
      <c r="Z35" s="79">
        <f>Z113</f>
        <v>0</v>
      </c>
      <c r="AA35" s="79">
        <f>AC113</f>
        <v>0</v>
      </c>
      <c r="AB35" s="79">
        <f t="shared" si="9"/>
        <v>0</v>
      </c>
      <c r="AC35" s="34">
        <f t="shared" si="10"/>
        <v>0</v>
      </c>
      <c r="AE35" s="5" t="str">
        <f>AE97</f>
        <v>Facility (BA)</v>
      </c>
      <c r="AF35" s="7" t="s">
        <v>296</v>
      </c>
      <c r="AG35" s="79">
        <f>AG113</f>
        <v>0</v>
      </c>
      <c r="AH35" s="79">
        <f>AH113</f>
        <v>0</v>
      </c>
      <c r="AI35" s="79">
        <f>AI113</f>
        <v>0</v>
      </c>
      <c r="AJ35" s="79">
        <f>AL113</f>
        <v>0</v>
      </c>
      <c r="AK35" s="79">
        <f t="shared" si="11"/>
        <v>0</v>
      </c>
      <c r="AL35" s="34">
        <f t="shared" si="12"/>
        <v>0</v>
      </c>
      <c r="AN35" s="5" t="str">
        <f>AN97</f>
        <v>Facility (BA)</v>
      </c>
      <c r="AO35" s="7" t="s">
        <v>296</v>
      </c>
      <c r="AP35" s="79">
        <f>AP113</f>
        <v>0</v>
      </c>
      <c r="AQ35" s="79">
        <f>AQ113</f>
        <v>0</v>
      </c>
      <c r="AR35" s="79">
        <f>AR113</f>
        <v>0</v>
      </c>
      <c r="AS35" s="79">
        <f>AU113</f>
        <v>0</v>
      </c>
      <c r="AT35" s="79">
        <f t="shared" si="13"/>
        <v>0</v>
      </c>
      <c r="AU35" s="34">
        <f t="shared" si="14"/>
        <v>0</v>
      </c>
      <c r="AW35" s="5" t="str">
        <f>AW97</f>
        <v>Facility (BA)</v>
      </c>
      <c r="AX35" s="7" t="s">
        <v>296</v>
      </c>
      <c r="AY35" s="79">
        <f>AY113</f>
        <v>0</v>
      </c>
      <c r="AZ35" s="79">
        <f>AZ113</f>
        <v>0</v>
      </c>
      <c r="BA35" s="79">
        <f>BA113</f>
        <v>0</v>
      </c>
      <c r="BB35" s="79">
        <f>BD113</f>
        <v>0</v>
      </c>
      <c r="BC35" s="79">
        <f t="shared" si="15"/>
        <v>0</v>
      </c>
      <c r="BD35" s="34">
        <f t="shared" si="16"/>
        <v>0</v>
      </c>
      <c r="BF35" s="5" t="str">
        <f>BF97</f>
        <v>Facility (BA)</v>
      </c>
      <c r="BG35" s="7" t="s">
        <v>296</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440</v>
      </c>
      <c r="D36" s="79">
        <f>D131</f>
        <v>0</v>
      </c>
      <c r="E36" s="79">
        <f>E131</f>
        <v>0</v>
      </c>
      <c r="F36" s="79">
        <f>F131</f>
        <v>0</v>
      </c>
      <c r="G36" s="79">
        <f>I131</f>
        <v>0</v>
      </c>
      <c r="H36" s="79">
        <f t="shared" si="5"/>
        <v>0</v>
      </c>
      <c r="I36" s="34">
        <f t="shared" si="6"/>
        <v>0</v>
      </c>
      <c r="J36" s="171"/>
      <c r="L36" s="5" t="str">
        <f>L115</f>
        <v>Facility (Term-loan)</v>
      </c>
      <c r="M36" s="7" t="s">
        <v>440</v>
      </c>
      <c r="N36" s="79">
        <f>N131</f>
        <v>0</v>
      </c>
      <c r="O36" s="79">
        <f>O131</f>
        <v>0</v>
      </c>
      <c r="P36" s="79">
        <f>P131</f>
        <v>0</v>
      </c>
      <c r="Q36" s="79">
        <f>S131</f>
        <v>0</v>
      </c>
      <c r="R36" s="79">
        <f t="shared" si="7"/>
        <v>0</v>
      </c>
      <c r="S36" s="34">
        <f t="shared" si="8"/>
        <v>0</v>
      </c>
      <c r="T36" s="223"/>
      <c r="V36" s="5" t="str">
        <f>V115</f>
        <v>Facility (Term-loan)</v>
      </c>
      <c r="W36" s="7" t="s">
        <v>440</v>
      </c>
      <c r="X36" s="79">
        <f>X131</f>
        <v>0</v>
      </c>
      <c r="Y36" s="79">
        <f>Y131</f>
        <v>0</v>
      </c>
      <c r="Z36" s="79">
        <f>Z131</f>
        <v>0</v>
      </c>
      <c r="AA36" s="79">
        <f>AC131</f>
        <v>0</v>
      </c>
      <c r="AB36" s="79">
        <f t="shared" si="9"/>
        <v>0</v>
      </c>
      <c r="AC36" s="34">
        <f t="shared" si="10"/>
        <v>0</v>
      </c>
      <c r="AE36" s="5" t="str">
        <f>AE115</f>
        <v>Facility (Term-loan)</v>
      </c>
      <c r="AF36" s="7" t="s">
        <v>440</v>
      </c>
      <c r="AG36" s="79">
        <f>AG131</f>
        <v>0</v>
      </c>
      <c r="AH36" s="79">
        <f>AH131</f>
        <v>0</v>
      </c>
      <c r="AI36" s="79">
        <f>AI131</f>
        <v>0</v>
      </c>
      <c r="AJ36" s="79">
        <f>AL131</f>
        <v>0</v>
      </c>
      <c r="AK36" s="79">
        <f t="shared" si="11"/>
        <v>0</v>
      </c>
      <c r="AL36" s="34">
        <f t="shared" si="12"/>
        <v>0</v>
      </c>
      <c r="AN36" s="5" t="str">
        <f>AN115</f>
        <v>Facility (Term-loan)</v>
      </c>
      <c r="AO36" s="7" t="s">
        <v>440</v>
      </c>
      <c r="AP36" s="79">
        <f>AP131</f>
        <v>0</v>
      </c>
      <c r="AQ36" s="79">
        <f>AQ131</f>
        <v>0</v>
      </c>
      <c r="AR36" s="79">
        <f>AR131</f>
        <v>0</v>
      </c>
      <c r="AS36" s="79">
        <f>AU131</f>
        <v>0</v>
      </c>
      <c r="AT36" s="79">
        <f t="shared" si="13"/>
        <v>0</v>
      </c>
      <c r="AU36" s="34">
        <f t="shared" si="14"/>
        <v>0</v>
      </c>
      <c r="AW36" s="5" t="str">
        <f>AW115</f>
        <v>Facility (Term-loan)</v>
      </c>
      <c r="AX36" s="7" t="s">
        <v>440</v>
      </c>
      <c r="AY36" s="79">
        <f>AY131</f>
        <v>0</v>
      </c>
      <c r="AZ36" s="79">
        <f>AZ131</f>
        <v>0</v>
      </c>
      <c r="BA36" s="79">
        <f>BA131</f>
        <v>0</v>
      </c>
      <c r="BB36" s="79">
        <f>BD131</f>
        <v>0</v>
      </c>
      <c r="BC36" s="79">
        <f t="shared" si="15"/>
        <v>0</v>
      </c>
      <c r="BD36" s="34">
        <f t="shared" si="16"/>
        <v>0</v>
      </c>
      <c r="BF36" s="5" t="str">
        <f>BF115</f>
        <v>Facility (Term-loan)</v>
      </c>
      <c r="BG36" s="7" t="s">
        <v>440</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440</v>
      </c>
      <c r="D37" s="79">
        <f>D149</f>
        <v>0</v>
      </c>
      <c r="E37" s="79">
        <f>E149</f>
        <v>0</v>
      </c>
      <c r="F37" s="79">
        <f>F149</f>
        <v>0</v>
      </c>
      <c r="G37" s="79">
        <f>I149</f>
        <v>0</v>
      </c>
      <c r="H37" s="79">
        <f t="shared" si="5"/>
        <v>0</v>
      </c>
      <c r="I37" s="34">
        <f t="shared" si="6"/>
        <v>0</v>
      </c>
      <c r="J37" s="171"/>
      <c r="L37" s="5" t="str">
        <f>L133</f>
        <v>Facility (Hire Purchase / Leasing)</v>
      </c>
      <c r="M37" s="7" t="s">
        <v>440</v>
      </c>
      <c r="N37" s="79">
        <f>N149</f>
        <v>0</v>
      </c>
      <c r="O37" s="79">
        <f>O149</f>
        <v>0</v>
      </c>
      <c r="P37" s="79">
        <f>P149</f>
        <v>0</v>
      </c>
      <c r="Q37" s="79">
        <f>S149</f>
        <v>0</v>
      </c>
      <c r="R37" s="79">
        <f t="shared" si="7"/>
        <v>0</v>
      </c>
      <c r="S37" s="34">
        <f t="shared" si="8"/>
        <v>0</v>
      </c>
      <c r="T37" s="171"/>
      <c r="V37" s="5" t="str">
        <f>V133</f>
        <v>Facility (Hire Purchase / Leasing)</v>
      </c>
      <c r="W37" s="7" t="s">
        <v>440</v>
      </c>
      <c r="X37" s="79">
        <f>X149</f>
        <v>0</v>
      </c>
      <c r="Y37" s="79">
        <f>Y149</f>
        <v>0</v>
      </c>
      <c r="Z37" s="79">
        <f>Z149</f>
        <v>0</v>
      </c>
      <c r="AA37" s="79">
        <f>AC149</f>
        <v>0</v>
      </c>
      <c r="AB37" s="79">
        <f t="shared" si="9"/>
        <v>0</v>
      </c>
      <c r="AC37" s="34">
        <f t="shared" si="10"/>
        <v>0</v>
      </c>
      <c r="AE37" s="5" t="str">
        <f>AE133</f>
        <v>Facility (Hire Purchase / Leasing)</v>
      </c>
      <c r="AF37" s="7" t="s">
        <v>440</v>
      </c>
      <c r="AG37" s="79">
        <f>AG149</f>
        <v>0</v>
      </c>
      <c r="AH37" s="79">
        <f>AH149</f>
        <v>0</v>
      </c>
      <c r="AI37" s="79">
        <f>AI149</f>
        <v>0</v>
      </c>
      <c r="AJ37" s="79">
        <f>AL149</f>
        <v>0</v>
      </c>
      <c r="AK37" s="79">
        <f t="shared" si="11"/>
        <v>0</v>
      </c>
      <c r="AL37" s="34">
        <f t="shared" si="12"/>
        <v>0</v>
      </c>
      <c r="AN37" s="5" t="str">
        <f>AN133</f>
        <v>Facility (Hire Purchase / Leasing)</v>
      </c>
      <c r="AO37" s="7" t="s">
        <v>440</v>
      </c>
      <c r="AP37" s="79">
        <f>AP149</f>
        <v>0</v>
      </c>
      <c r="AQ37" s="79">
        <f>AQ149</f>
        <v>0</v>
      </c>
      <c r="AR37" s="79">
        <f>AR149</f>
        <v>0</v>
      </c>
      <c r="AS37" s="79">
        <f>AU149</f>
        <v>0</v>
      </c>
      <c r="AT37" s="79">
        <f t="shared" si="13"/>
        <v>0</v>
      </c>
      <c r="AU37" s="34">
        <f t="shared" si="14"/>
        <v>0</v>
      </c>
      <c r="AW37" s="5" t="str">
        <f>AW133</f>
        <v>Facility (Hire Purchase / Leasing)</v>
      </c>
      <c r="AX37" s="7" t="s">
        <v>440</v>
      </c>
      <c r="AY37" s="79">
        <f>AY149</f>
        <v>0</v>
      </c>
      <c r="AZ37" s="79">
        <f>AZ149</f>
        <v>0</v>
      </c>
      <c r="BA37" s="79">
        <f>BA149</f>
        <v>0</v>
      </c>
      <c r="BB37" s="79">
        <f>BD149</f>
        <v>0</v>
      </c>
      <c r="BC37" s="79">
        <f t="shared" si="15"/>
        <v>0</v>
      </c>
      <c r="BD37" s="34">
        <f t="shared" si="16"/>
        <v>0</v>
      </c>
      <c r="BF37" s="5" t="str">
        <f>BF133</f>
        <v>Facility (Hire Purchase / Leasing)</v>
      </c>
      <c r="BG37" s="7" t="s">
        <v>440</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300</v>
      </c>
      <c r="D38" s="79">
        <f>D167</f>
        <v>0</v>
      </c>
      <c r="E38" s="79">
        <f>E167</f>
        <v>0</v>
      </c>
      <c r="F38" s="79">
        <f>F167</f>
        <v>0</v>
      </c>
      <c r="G38" s="212">
        <f>I167*12</f>
        <v>0</v>
      </c>
      <c r="H38" s="79">
        <f t="shared" si="5"/>
        <v>0</v>
      </c>
      <c r="I38" s="34">
        <f t="shared" si="6"/>
        <v>0</v>
      </c>
      <c r="J38" s="171"/>
      <c r="L38" s="5" t="str">
        <f>L151</f>
        <v>Facility (Credit Card)</v>
      </c>
      <c r="M38" s="7" t="s">
        <v>300</v>
      </c>
      <c r="N38" s="79">
        <f>N167</f>
        <v>0</v>
      </c>
      <c r="O38" s="79">
        <f>O167</f>
        <v>0</v>
      </c>
      <c r="P38" s="79">
        <f>P167</f>
        <v>0</v>
      </c>
      <c r="Q38" s="212">
        <f>S167*12</f>
        <v>0</v>
      </c>
      <c r="R38" s="79">
        <f t="shared" si="7"/>
        <v>0</v>
      </c>
      <c r="S38" s="34">
        <f t="shared" si="8"/>
        <v>0</v>
      </c>
      <c r="T38" s="171"/>
      <c r="V38" s="5" t="str">
        <f>V151</f>
        <v>Facility (Credit Card)</v>
      </c>
      <c r="W38" s="7" t="s">
        <v>300</v>
      </c>
      <c r="X38" s="79">
        <f>X167</f>
        <v>0</v>
      </c>
      <c r="Y38" s="79">
        <f>Y167</f>
        <v>0</v>
      </c>
      <c r="Z38" s="79">
        <f>Z167</f>
        <v>0</v>
      </c>
      <c r="AA38" s="79">
        <f>AC167</f>
        <v>0</v>
      </c>
      <c r="AB38" s="79">
        <f t="shared" si="9"/>
        <v>0</v>
      </c>
      <c r="AC38" s="34">
        <f t="shared" si="10"/>
        <v>0</v>
      </c>
      <c r="AE38" s="5" t="str">
        <f>AE151</f>
        <v>Facility (Credit Card)</v>
      </c>
      <c r="AF38" s="7" t="s">
        <v>300</v>
      </c>
      <c r="AG38" s="79">
        <f>AG167</f>
        <v>0</v>
      </c>
      <c r="AH38" s="79">
        <f>AH167</f>
        <v>0</v>
      </c>
      <c r="AI38" s="79">
        <f>AI167</f>
        <v>0</v>
      </c>
      <c r="AJ38" s="79">
        <f>AL167</f>
        <v>0</v>
      </c>
      <c r="AK38" s="79">
        <f t="shared" si="11"/>
        <v>0</v>
      </c>
      <c r="AL38" s="34">
        <f t="shared" si="12"/>
        <v>0</v>
      </c>
      <c r="AN38" s="5" t="str">
        <f>AN151</f>
        <v>Facility (Credit Card)</v>
      </c>
      <c r="AO38" s="7" t="s">
        <v>300</v>
      </c>
      <c r="AP38" s="79">
        <f>AP167</f>
        <v>0</v>
      </c>
      <c r="AQ38" s="79">
        <f>AQ167</f>
        <v>0</v>
      </c>
      <c r="AR38" s="79">
        <f>AR167</f>
        <v>0</v>
      </c>
      <c r="AS38" s="79">
        <f>AU167</f>
        <v>0</v>
      </c>
      <c r="AT38" s="79">
        <f t="shared" si="13"/>
        <v>0</v>
      </c>
      <c r="AU38" s="34">
        <f t="shared" si="14"/>
        <v>0</v>
      </c>
      <c r="AW38" s="5" t="str">
        <f>AW151</f>
        <v>Facility (Credit Card)</v>
      </c>
      <c r="AX38" s="7" t="s">
        <v>300</v>
      </c>
      <c r="AY38" s="79">
        <f>AY167</f>
        <v>0</v>
      </c>
      <c r="AZ38" s="79">
        <f>AZ167</f>
        <v>0</v>
      </c>
      <c r="BA38" s="79">
        <f>BA167</f>
        <v>0</v>
      </c>
      <c r="BB38" s="79">
        <f>BD167</f>
        <v>0</v>
      </c>
      <c r="BC38" s="79">
        <f t="shared" si="15"/>
        <v>0</v>
      </c>
      <c r="BD38" s="34">
        <f t="shared" si="16"/>
        <v>0</v>
      </c>
      <c r="BF38" s="5" t="str">
        <f>BF151</f>
        <v>Facility (Credit Card)</v>
      </c>
      <c r="BG38" s="7" t="s">
        <v>300</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441</v>
      </c>
      <c r="D39" s="79">
        <f>D185</f>
        <v>0</v>
      </c>
      <c r="E39" s="79">
        <f t="shared" ref="E39:F39" si="19">E185</f>
        <v>0</v>
      </c>
      <c r="F39" s="79">
        <f t="shared" si="19"/>
        <v>0</v>
      </c>
      <c r="G39" s="79">
        <f>I185</f>
        <v>0</v>
      </c>
      <c r="H39" s="79">
        <f t="shared" si="5"/>
        <v>0</v>
      </c>
      <c r="I39" s="34">
        <f t="shared" si="6"/>
        <v>0</v>
      </c>
      <c r="J39" s="171"/>
      <c r="L39" s="5" t="s">
        <v>442</v>
      </c>
      <c r="M39" s="7" t="s">
        <v>441</v>
      </c>
      <c r="N39" s="79">
        <f>N185</f>
        <v>0</v>
      </c>
      <c r="O39" s="79">
        <f t="shared" ref="O39:P39" si="20">O185</f>
        <v>0</v>
      </c>
      <c r="P39" s="79">
        <f t="shared" si="20"/>
        <v>0</v>
      </c>
      <c r="Q39" s="79">
        <f>S185</f>
        <v>0</v>
      </c>
      <c r="R39" s="79">
        <f t="shared" si="7"/>
        <v>0</v>
      </c>
      <c r="S39" s="34">
        <f t="shared" si="8"/>
        <v>0</v>
      </c>
      <c r="T39" s="171"/>
      <c r="V39" s="5" t="s">
        <v>442</v>
      </c>
      <c r="W39" s="7" t="s">
        <v>441</v>
      </c>
      <c r="X39" s="79">
        <f>X185</f>
        <v>0</v>
      </c>
      <c r="Y39" s="79">
        <f t="shared" ref="Y39:Z39" si="21">Y185</f>
        <v>0</v>
      </c>
      <c r="Z39" s="79">
        <f t="shared" si="21"/>
        <v>0</v>
      </c>
      <c r="AA39" s="79">
        <f>AC185</f>
        <v>0</v>
      </c>
      <c r="AB39" s="79">
        <f t="shared" si="9"/>
        <v>0</v>
      </c>
      <c r="AC39" s="34">
        <f t="shared" si="10"/>
        <v>0</v>
      </c>
      <c r="AE39" s="5" t="s">
        <v>442</v>
      </c>
      <c r="AF39" s="7" t="s">
        <v>441</v>
      </c>
      <c r="AG39" s="79">
        <f>AG185</f>
        <v>0</v>
      </c>
      <c r="AH39" s="79">
        <f t="shared" ref="AH39:AI39" si="22">AH185</f>
        <v>0</v>
      </c>
      <c r="AI39" s="79">
        <f t="shared" si="22"/>
        <v>0</v>
      </c>
      <c r="AJ39" s="79">
        <f>AL185</f>
        <v>0</v>
      </c>
      <c r="AK39" s="79">
        <f t="shared" si="11"/>
        <v>0</v>
      </c>
      <c r="AL39" s="34">
        <f t="shared" si="12"/>
        <v>0</v>
      </c>
      <c r="AN39" s="5" t="s">
        <v>442</v>
      </c>
      <c r="AO39" s="7" t="s">
        <v>441</v>
      </c>
      <c r="AP39" s="79">
        <f>AP185</f>
        <v>0</v>
      </c>
      <c r="AQ39" s="79">
        <f t="shared" ref="AQ39:AR39" si="23">AQ185</f>
        <v>0</v>
      </c>
      <c r="AR39" s="79">
        <f t="shared" si="23"/>
        <v>0</v>
      </c>
      <c r="AS39" s="79">
        <f>AU185</f>
        <v>0</v>
      </c>
      <c r="AT39" s="79">
        <f t="shared" si="13"/>
        <v>0</v>
      </c>
      <c r="AU39" s="34">
        <f t="shared" si="14"/>
        <v>0</v>
      </c>
      <c r="AW39" s="5" t="s">
        <v>442</v>
      </c>
      <c r="AX39" s="7" t="s">
        <v>441</v>
      </c>
      <c r="AY39" s="79">
        <f>AY185</f>
        <v>0</v>
      </c>
      <c r="AZ39" s="79">
        <f t="shared" ref="AZ39:BA39" si="24">AZ185</f>
        <v>0</v>
      </c>
      <c r="BA39" s="79">
        <f t="shared" si="24"/>
        <v>0</v>
      </c>
      <c r="BB39" s="79">
        <f>BD185</f>
        <v>0</v>
      </c>
      <c r="BC39" s="79">
        <f t="shared" si="15"/>
        <v>0</v>
      </c>
      <c r="BD39" s="34">
        <f t="shared" si="16"/>
        <v>0</v>
      </c>
      <c r="BF39" s="5" t="s">
        <v>442</v>
      </c>
      <c r="BG39" s="7" t="s">
        <v>441</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296</v>
      </c>
      <c r="D40" s="79">
        <f>D203</f>
        <v>0</v>
      </c>
      <c r="E40" s="79">
        <f t="shared" ref="E40:F40" si="26">E203</f>
        <v>0</v>
      </c>
      <c r="F40" s="79">
        <f t="shared" si="26"/>
        <v>0</v>
      </c>
      <c r="G40" s="79">
        <f>I203</f>
        <v>0</v>
      </c>
      <c r="H40" s="79">
        <f t="shared" si="5"/>
        <v>0</v>
      </c>
      <c r="I40" s="34">
        <f t="shared" si="6"/>
        <v>0</v>
      </c>
      <c r="J40" s="171"/>
      <c r="L40" s="5" t="s">
        <v>442</v>
      </c>
      <c r="M40" s="7" t="s">
        <v>296</v>
      </c>
      <c r="N40" s="79">
        <f>N203</f>
        <v>0</v>
      </c>
      <c r="O40" s="79">
        <f t="shared" ref="O40:P40" si="27">O203</f>
        <v>0</v>
      </c>
      <c r="P40" s="79">
        <f t="shared" si="27"/>
        <v>0</v>
      </c>
      <c r="Q40" s="79">
        <f>S203</f>
        <v>0</v>
      </c>
      <c r="R40" s="79">
        <f t="shared" si="7"/>
        <v>0</v>
      </c>
      <c r="S40" s="34">
        <f t="shared" si="8"/>
        <v>0</v>
      </c>
      <c r="T40" s="171"/>
      <c r="V40" s="5" t="s">
        <v>442</v>
      </c>
      <c r="W40" s="7" t="s">
        <v>296</v>
      </c>
      <c r="X40" s="79">
        <f>X203</f>
        <v>0</v>
      </c>
      <c r="Y40" s="79">
        <f t="shared" ref="Y40:Z40" si="28">Y203</f>
        <v>0</v>
      </c>
      <c r="Z40" s="79">
        <f t="shared" si="28"/>
        <v>0</v>
      </c>
      <c r="AA40" s="79">
        <f>AC203</f>
        <v>0</v>
      </c>
      <c r="AB40" s="79">
        <f t="shared" si="9"/>
        <v>0</v>
      </c>
      <c r="AC40" s="34">
        <f t="shared" si="10"/>
        <v>0</v>
      </c>
      <c r="AE40" s="5" t="s">
        <v>442</v>
      </c>
      <c r="AF40" s="7" t="s">
        <v>296</v>
      </c>
      <c r="AG40" s="79">
        <f>AG203</f>
        <v>0</v>
      </c>
      <c r="AH40" s="79">
        <f t="shared" ref="AH40:AI40" si="29">AH203</f>
        <v>0</v>
      </c>
      <c r="AI40" s="79">
        <f t="shared" si="29"/>
        <v>0</v>
      </c>
      <c r="AJ40" s="79">
        <f>AL203</f>
        <v>0</v>
      </c>
      <c r="AK40" s="79">
        <f t="shared" si="11"/>
        <v>0</v>
      </c>
      <c r="AL40" s="34">
        <f t="shared" si="12"/>
        <v>0</v>
      </c>
      <c r="AN40" s="5" t="s">
        <v>442</v>
      </c>
      <c r="AO40" s="7" t="s">
        <v>296</v>
      </c>
      <c r="AP40" s="79">
        <f>AP203</f>
        <v>0</v>
      </c>
      <c r="AQ40" s="79">
        <f t="shared" ref="AQ40:AR40" si="30">AQ203</f>
        <v>0</v>
      </c>
      <c r="AR40" s="79">
        <f t="shared" si="30"/>
        <v>0</v>
      </c>
      <c r="AS40" s="79">
        <f>AU203</f>
        <v>0</v>
      </c>
      <c r="AT40" s="79">
        <f t="shared" si="13"/>
        <v>0</v>
      </c>
      <c r="AU40" s="34">
        <f t="shared" si="14"/>
        <v>0</v>
      </c>
      <c r="AW40" s="5" t="s">
        <v>442</v>
      </c>
      <c r="AX40" s="7" t="s">
        <v>296</v>
      </c>
      <c r="AY40" s="79">
        <f>AY203</f>
        <v>0</v>
      </c>
      <c r="AZ40" s="79">
        <f t="shared" ref="AZ40:BA40" si="31">AZ203</f>
        <v>0</v>
      </c>
      <c r="BA40" s="79">
        <f t="shared" si="31"/>
        <v>0</v>
      </c>
      <c r="BB40" s="79">
        <f>BD203</f>
        <v>0</v>
      </c>
      <c r="BC40" s="79">
        <f t="shared" si="15"/>
        <v>0</v>
      </c>
      <c r="BD40" s="34">
        <f t="shared" si="16"/>
        <v>0</v>
      </c>
      <c r="BF40" s="5" t="s">
        <v>442</v>
      </c>
      <c r="BG40" s="7" t="s">
        <v>296</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443</v>
      </c>
      <c r="C41" s="33"/>
      <c r="D41" s="35">
        <f>SUM(D32:D40)</f>
        <v>0</v>
      </c>
      <c r="E41" s="35">
        <f t="shared" ref="E41:I41" si="33">SUM(E32:E40)</f>
        <v>0</v>
      </c>
      <c r="F41" s="35">
        <f t="shared" si="33"/>
        <v>0</v>
      </c>
      <c r="G41" s="35">
        <f t="shared" si="33"/>
        <v>0</v>
      </c>
      <c r="H41" s="35">
        <f t="shared" si="33"/>
        <v>0</v>
      </c>
      <c r="I41" s="35">
        <f t="shared" si="33"/>
        <v>0</v>
      </c>
      <c r="J41" s="211"/>
      <c r="L41" s="39" t="s">
        <v>443</v>
      </c>
      <c r="M41" s="33"/>
      <c r="N41" s="35">
        <f>SUM(N32:N40)</f>
        <v>0</v>
      </c>
      <c r="O41" s="35">
        <f t="shared" ref="O41:S41" si="34">SUM(O32:O40)</f>
        <v>0</v>
      </c>
      <c r="P41" s="35">
        <f t="shared" si="34"/>
        <v>0</v>
      </c>
      <c r="Q41" s="35">
        <f t="shared" si="34"/>
        <v>0</v>
      </c>
      <c r="R41" s="35">
        <f t="shared" si="34"/>
        <v>0</v>
      </c>
      <c r="S41" s="35">
        <f t="shared" si="34"/>
        <v>0</v>
      </c>
      <c r="T41" s="211"/>
      <c r="V41" s="39" t="s">
        <v>443</v>
      </c>
      <c r="W41" s="33"/>
      <c r="X41" s="35">
        <f>SUM(X32:X40)</f>
        <v>0</v>
      </c>
      <c r="Y41" s="35">
        <f t="shared" ref="Y41:AC41" si="35">SUM(Y32:Y40)</f>
        <v>0</v>
      </c>
      <c r="Z41" s="35">
        <f t="shared" si="35"/>
        <v>0</v>
      </c>
      <c r="AA41" s="35">
        <f t="shared" si="35"/>
        <v>0</v>
      </c>
      <c r="AB41" s="35">
        <f t="shared" si="35"/>
        <v>0</v>
      </c>
      <c r="AC41" s="35">
        <f t="shared" si="35"/>
        <v>0</v>
      </c>
      <c r="AE41" s="39" t="s">
        <v>443</v>
      </c>
      <c r="AF41" s="33"/>
      <c r="AG41" s="35">
        <f>SUM(AG32:AG40)</f>
        <v>0</v>
      </c>
      <c r="AH41" s="35">
        <f t="shared" ref="AH41:AL41" si="36">SUM(AH32:AH40)</f>
        <v>0</v>
      </c>
      <c r="AI41" s="35">
        <f t="shared" si="36"/>
        <v>0</v>
      </c>
      <c r="AJ41" s="35">
        <f t="shared" si="36"/>
        <v>0</v>
      </c>
      <c r="AK41" s="35">
        <f t="shared" si="36"/>
        <v>0</v>
      </c>
      <c r="AL41" s="35">
        <f t="shared" si="36"/>
        <v>0</v>
      </c>
      <c r="AN41" s="39" t="s">
        <v>443</v>
      </c>
      <c r="AO41" s="33"/>
      <c r="AP41" s="35">
        <f>SUM(AP32:AP40)</f>
        <v>0</v>
      </c>
      <c r="AQ41" s="35">
        <f t="shared" ref="AQ41:AU41" si="37">SUM(AQ32:AQ40)</f>
        <v>0</v>
      </c>
      <c r="AR41" s="35">
        <f t="shared" si="37"/>
        <v>0</v>
      </c>
      <c r="AS41" s="35">
        <f t="shared" si="37"/>
        <v>0</v>
      </c>
      <c r="AT41" s="35">
        <f t="shared" si="37"/>
        <v>0</v>
      </c>
      <c r="AU41" s="35">
        <f t="shared" si="37"/>
        <v>0</v>
      </c>
      <c r="AW41" s="39" t="s">
        <v>443</v>
      </c>
      <c r="AX41" s="33"/>
      <c r="AY41" s="35">
        <f>SUM(AY32:AY40)</f>
        <v>0</v>
      </c>
      <c r="AZ41" s="35">
        <f t="shared" ref="AZ41:BD41" si="38">SUM(AZ32:AZ40)</f>
        <v>0</v>
      </c>
      <c r="BA41" s="35">
        <f t="shared" si="38"/>
        <v>0</v>
      </c>
      <c r="BB41" s="35">
        <f t="shared" si="38"/>
        <v>0</v>
      </c>
      <c r="BC41" s="35">
        <f t="shared" si="38"/>
        <v>0</v>
      </c>
      <c r="BD41" s="35">
        <f t="shared" si="38"/>
        <v>0</v>
      </c>
      <c r="BF41" s="39" t="s">
        <v>443</v>
      </c>
      <c r="BG41" s="33"/>
      <c r="BH41" s="35">
        <f>SUM(BH32:BH40)</f>
        <v>0</v>
      </c>
      <c r="BI41" s="35">
        <f t="shared" ref="BI41:BM41" si="39">SUM(BI32:BI40)</f>
        <v>0</v>
      </c>
      <c r="BJ41" s="35">
        <f t="shared" si="39"/>
        <v>0</v>
      </c>
      <c r="BK41" s="35">
        <f t="shared" si="39"/>
        <v>0</v>
      </c>
      <c r="BL41" s="35">
        <f t="shared" si="39"/>
        <v>0</v>
      </c>
      <c r="BM41" s="35">
        <f t="shared" si="39"/>
        <v>0</v>
      </c>
    </row>
    <row r="43" spans="1:65" s="20" customFormat="1" ht="38.25" x14ac:dyDescent="0.25">
      <c r="B43" s="27" t="s">
        <v>9</v>
      </c>
      <c r="C43" s="3" t="s">
        <v>86</v>
      </c>
      <c r="D43" s="3" t="s">
        <v>374</v>
      </c>
      <c r="E43" s="3" t="s">
        <v>375</v>
      </c>
      <c r="F43" s="3" t="s">
        <v>376</v>
      </c>
      <c r="G43" s="3" t="s">
        <v>377</v>
      </c>
      <c r="H43" s="3" t="s">
        <v>378</v>
      </c>
      <c r="I43" s="3" t="s">
        <v>379</v>
      </c>
      <c r="J43" s="172" t="s">
        <v>380</v>
      </c>
      <c r="L43" s="27" t="s">
        <v>9</v>
      </c>
      <c r="M43" s="3" t="s">
        <v>86</v>
      </c>
      <c r="N43" s="3" t="s">
        <v>374</v>
      </c>
      <c r="O43" s="3" t="s">
        <v>375</v>
      </c>
      <c r="P43" s="3" t="s">
        <v>376</v>
      </c>
      <c r="Q43" s="3" t="s">
        <v>377</v>
      </c>
      <c r="R43" s="3" t="s">
        <v>378</v>
      </c>
      <c r="S43" s="3" t="s">
        <v>379</v>
      </c>
      <c r="T43" s="172" t="s">
        <v>380</v>
      </c>
      <c r="V43" s="27" t="s">
        <v>9</v>
      </c>
      <c r="W43" s="3" t="s">
        <v>86</v>
      </c>
      <c r="X43" s="3" t="s">
        <v>374</v>
      </c>
      <c r="Y43" s="3" t="s">
        <v>375</v>
      </c>
      <c r="Z43" s="3" t="s">
        <v>376</v>
      </c>
      <c r="AA43" s="3" t="s">
        <v>377</v>
      </c>
      <c r="AB43" s="3" t="s">
        <v>378</v>
      </c>
      <c r="AC43" s="3" t="s">
        <v>379</v>
      </c>
      <c r="AE43" s="27" t="s">
        <v>9</v>
      </c>
      <c r="AF43" s="3" t="s">
        <v>86</v>
      </c>
      <c r="AG43" s="3" t="s">
        <v>374</v>
      </c>
      <c r="AH43" s="3" t="s">
        <v>375</v>
      </c>
      <c r="AI43" s="3" t="s">
        <v>376</v>
      </c>
      <c r="AJ43" s="3" t="s">
        <v>377</v>
      </c>
      <c r="AK43" s="3" t="s">
        <v>378</v>
      </c>
      <c r="AL43" s="3" t="s">
        <v>379</v>
      </c>
      <c r="AN43" s="27" t="s">
        <v>9</v>
      </c>
      <c r="AO43" s="3" t="s">
        <v>86</v>
      </c>
      <c r="AP43" s="3" t="s">
        <v>374</v>
      </c>
      <c r="AQ43" s="3" t="s">
        <v>375</v>
      </c>
      <c r="AR43" s="3" t="s">
        <v>376</v>
      </c>
      <c r="AS43" s="3" t="s">
        <v>377</v>
      </c>
      <c r="AT43" s="3" t="s">
        <v>378</v>
      </c>
      <c r="AU43" s="3" t="s">
        <v>379</v>
      </c>
      <c r="AW43" s="27" t="s">
        <v>9</v>
      </c>
      <c r="AX43" s="3" t="s">
        <v>86</v>
      </c>
      <c r="AY43" s="3" t="s">
        <v>374</v>
      </c>
      <c r="AZ43" s="3" t="s">
        <v>375</v>
      </c>
      <c r="BA43" s="3" t="s">
        <v>376</v>
      </c>
      <c r="BB43" s="3" t="s">
        <v>377</v>
      </c>
      <c r="BC43" s="3" t="s">
        <v>378</v>
      </c>
      <c r="BD43" s="3" t="s">
        <v>379</v>
      </c>
      <c r="BF43" s="27" t="s">
        <v>9</v>
      </c>
      <c r="BG43" s="3" t="s">
        <v>86</v>
      </c>
      <c r="BH43" s="3" t="s">
        <v>374</v>
      </c>
      <c r="BI43" s="3" t="s">
        <v>375</v>
      </c>
      <c r="BJ43" s="3" t="s">
        <v>376</v>
      </c>
      <c r="BK43" s="3" t="s">
        <v>377</v>
      </c>
      <c r="BL43" s="3" t="s">
        <v>378</v>
      </c>
      <c r="BM43" s="3" t="s">
        <v>379</v>
      </c>
    </row>
    <row r="44" spans="1:65" x14ac:dyDescent="0.25">
      <c r="B44" s="41" t="s">
        <v>444</v>
      </c>
      <c r="C44" s="41" t="s">
        <v>283</v>
      </c>
      <c r="D44" s="40"/>
      <c r="E44" s="40"/>
      <c r="F44" s="29"/>
      <c r="G44" s="22"/>
      <c r="H44" s="23">
        <v>0.75</v>
      </c>
      <c r="I44" s="75">
        <f>D44*G44*H44</f>
        <v>0</v>
      </c>
      <c r="J44" s="171"/>
      <c r="L44" s="41" t="s">
        <v>444</v>
      </c>
      <c r="M44" s="41" t="s">
        <v>283</v>
      </c>
      <c r="N44" s="40"/>
      <c r="O44" s="40"/>
      <c r="P44" s="29"/>
      <c r="Q44" s="22"/>
      <c r="R44" s="23">
        <v>0.75</v>
      </c>
      <c r="S44" s="6">
        <f>N44*Q44*R44</f>
        <v>0</v>
      </c>
      <c r="T44" s="171"/>
      <c r="V44" s="41" t="s">
        <v>444</v>
      </c>
      <c r="W44" s="41" t="s">
        <v>283</v>
      </c>
      <c r="X44" s="40"/>
      <c r="Y44" s="40"/>
      <c r="Z44" s="29"/>
      <c r="AA44" s="22">
        <v>0.08</v>
      </c>
      <c r="AB44" s="23">
        <v>0.75</v>
      </c>
      <c r="AC44" s="6">
        <f>X44*AA44*AB44</f>
        <v>0</v>
      </c>
      <c r="AE44" s="41" t="s">
        <v>444</v>
      </c>
      <c r="AF44" s="41" t="s">
        <v>283</v>
      </c>
      <c r="AG44" s="40"/>
      <c r="AH44" s="40"/>
      <c r="AI44" s="29"/>
      <c r="AJ44" s="22">
        <v>0.08</v>
      </c>
      <c r="AK44" s="23">
        <v>0.75</v>
      </c>
      <c r="AL44" s="6">
        <f>AG44*AJ44*AK44</f>
        <v>0</v>
      </c>
      <c r="AN44" s="41" t="s">
        <v>444</v>
      </c>
      <c r="AO44" s="41" t="s">
        <v>283</v>
      </c>
      <c r="AP44" s="40"/>
      <c r="AQ44" s="40"/>
      <c r="AR44" s="29"/>
      <c r="AS44" s="22">
        <v>0.08</v>
      </c>
      <c r="AT44" s="23">
        <v>0.75</v>
      </c>
      <c r="AU44" s="6">
        <f>AP44*AS44*AT44</f>
        <v>0</v>
      </c>
      <c r="AW44" s="41" t="s">
        <v>444</v>
      </c>
      <c r="AX44" s="41" t="s">
        <v>283</v>
      </c>
      <c r="AY44" s="40"/>
      <c r="AZ44" s="40"/>
      <c r="BA44" s="29"/>
      <c r="BB44" s="22">
        <v>0.08</v>
      </c>
      <c r="BC44" s="23">
        <v>0.75</v>
      </c>
      <c r="BD44" s="6">
        <f>AY44*BB44*BC44</f>
        <v>0</v>
      </c>
      <c r="BF44" s="41" t="s">
        <v>444</v>
      </c>
      <c r="BG44" s="41" t="s">
        <v>283</v>
      </c>
      <c r="BH44" s="40"/>
      <c r="BI44" s="40"/>
      <c r="BJ44" s="29"/>
      <c r="BK44" s="22">
        <v>0.08</v>
      </c>
      <c r="BL44" s="23">
        <v>0.75</v>
      </c>
      <c r="BM44" s="6">
        <f>BH44*BK44*BL44</f>
        <v>0</v>
      </c>
    </row>
    <row r="45" spans="1:65" x14ac:dyDescent="0.25">
      <c r="B45" s="41" t="s">
        <v>444</v>
      </c>
      <c r="C45" s="41" t="s">
        <v>283</v>
      </c>
      <c r="D45" s="40"/>
      <c r="E45" s="40"/>
      <c r="F45" s="29"/>
      <c r="G45" s="22"/>
      <c r="H45" s="23">
        <v>0.75</v>
      </c>
      <c r="I45" s="75">
        <f t="shared" ref="I45:I58" si="40">D45*G45*H45</f>
        <v>0</v>
      </c>
      <c r="J45" s="171"/>
      <c r="L45" s="41" t="s">
        <v>444</v>
      </c>
      <c r="M45" s="41" t="s">
        <v>283</v>
      </c>
      <c r="N45" s="40"/>
      <c r="O45" s="40"/>
      <c r="P45" s="29"/>
      <c r="Q45" s="22"/>
      <c r="R45" s="23">
        <v>0.75</v>
      </c>
      <c r="S45" s="6">
        <f t="shared" ref="S45:S58" si="41">N45*Q45*R45</f>
        <v>0</v>
      </c>
      <c r="T45" s="171"/>
      <c r="V45" s="41" t="s">
        <v>444</v>
      </c>
      <c r="W45" s="41" t="s">
        <v>283</v>
      </c>
      <c r="X45" s="40"/>
      <c r="Y45" s="40"/>
      <c r="Z45" s="29"/>
      <c r="AA45" s="22"/>
      <c r="AB45" s="23">
        <v>0.75</v>
      </c>
      <c r="AC45" s="6">
        <f t="shared" ref="AC45:AC58" si="42">X45*AA45*AB45</f>
        <v>0</v>
      </c>
      <c r="AE45" s="41" t="s">
        <v>444</v>
      </c>
      <c r="AF45" s="41" t="s">
        <v>283</v>
      </c>
      <c r="AG45" s="40"/>
      <c r="AH45" s="40"/>
      <c r="AI45" s="29"/>
      <c r="AJ45" s="22"/>
      <c r="AK45" s="23">
        <v>0.75</v>
      </c>
      <c r="AL45" s="6">
        <f t="shared" ref="AL45:AL58" si="43">AG45*AJ45*AK45</f>
        <v>0</v>
      </c>
      <c r="AN45" s="41" t="s">
        <v>444</v>
      </c>
      <c r="AO45" s="41" t="s">
        <v>283</v>
      </c>
      <c r="AP45" s="40"/>
      <c r="AQ45" s="40"/>
      <c r="AR45" s="29"/>
      <c r="AS45" s="22"/>
      <c r="AT45" s="23">
        <v>0.75</v>
      </c>
      <c r="AU45" s="6">
        <f t="shared" ref="AU45:AU58" si="44">AP45*AS45*AT45</f>
        <v>0</v>
      </c>
      <c r="AW45" s="41" t="s">
        <v>444</v>
      </c>
      <c r="AX45" s="41" t="s">
        <v>283</v>
      </c>
      <c r="AY45" s="40"/>
      <c r="AZ45" s="40"/>
      <c r="BA45" s="29"/>
      <c r="BB45" s="22"/>
      <c r="BC45" s="23">
        <v>0.75</v>
      </c>
      <c r="BD45" s="6">
        <f t="shared" ref="BD45:BD58" si="45">AY45*BB45*BC45</f>
        <v>0</v>
      </c>
      <c r="BF45" s="41" t="s">
        <v>444</v>
      </c>
      <c r="BG45" s="41" t="s">
        <v>283</v>
      </c>
      <c r="BH45" s="40"/>
      <c r="BI45" s="40"/>
      <c r="BJ45" s="29"/>
      <c r="BK45" s="22"/>
      <c r="BL45" s="23">
        <v>0.75</v>
      </c>
      <c r="BM45" s="6">
        <f t="shared" ref="BM45:BM58" si="46">BH45*BK45*BL45</f>
        <v>0</v>
      </c>
    </row>
    <row r="46" spans="1:65" x14ac:dyDescent="0.25">
      <c r="B46" s="41" t="s">
        <v>444</v>
      </c>
      <c r="C46" s="41" t="s">
        <v>283</v>
      </c>
      <c r="D46" s="40"/>
      <c r="E46" s="40"/>
      <c r="F46" s="29"/>
      <c r="G46" s="22"/>
      <c r="H46" s="23">
        <v>0.75</v>
      </c>
      <c r="I46" s="75">
        <f t="shared" si="40"/>
        <v>0</v>
      </c>
      <c r="J46" s="171"/>
      <c r="L46" s="41" t="s">
        <v>444</v>
      </c>
      <c r="M46" s="41" t="s">
        <v>283</v>
      </c>
      <c r="N46" s="40"/>
      <c r="O46" s="40"/>
      <c r="P46" s="29"/>
      <c r="Q46" s="22"/>
      <c r="R46" s="23">
        <v>0.75</v>
      </c>
      <c r="S46" s="6">
        <f t="shared" si="41"/>
        <v>0</v>
      </c>
      <c r="T46" s="171"/>
      <c r="V46" s="41" t="s">
        <v>444</v>
      </c>
      <c r="W46" s="41" t="s">
        <v>283</v>
      </c>
      <c r="X46" s="40"/>
      <c r="Y46" s="40"/>
      <c r="Z46" s="29"/>
      <c r="AA46" s="22"/>
      <c r="AB46" s="23">
        <v>0.75</v>
      </c>
      <c r="AC46" s="6">
        <f t="shared" si="42"/>
        <v>0</v>
      </c>
      <c r="AE46" s="41" t="s">
        <v>444</v>
      </c>
      <c r="AF46" s="41" t="s">
        <v>283</v>
      </c>
      <c r="AG46" s="40"/>
      <c r="AH46" s="40"/>
      <c r="AI46" s="29"/>
      <c r="AJ46" s="22"/>
      <c r="AK46" s="23">
        <v>0.75</v>
      </c>
      <c r="AL46" s="6">
        <f t="shared" si="43"/>
        <v>0</v>
      </c>
      <c r="AN46" s="41" t="s">
        <v>444</v>
      </c>
      <c r="AO46" s="41" t="s">
        <v>283</v>
      </c>
      <c r="AP46" s="40"/>
      <c r="AQ46" s="40"/>
      <c r="AR46" s="29"/>
      <c r="AS46" s="22"/>
      <c r="AT46" s="23">
        <v>0.75</v>
      </c>
      <c r="AU46" s="6">
        <f t="shared" si="44"/>
        <v>0</v>
      </c>
      <c r="AW46" s="41" t="s">
        <v>444</v>
      </c>
      <c r="AX46" s="41" t="s">
        <v>283</v>
      </c>
      <c r="AY46" s="40"/>
      <c r="AZ46" s="40"/>
      <c r="BA46" s="29"/>
      <c r="BB46" s="22"/>
      <c r="BC46" s="23">
        <v>0.75</v>
      </c>
      <c r="BD46" s="6">
        <f t="shared" si="45"/>
        <v>0</v>
      </c>
      <c r="BF46" s="41" t="s">
        <v>444</v>
      </c>
      <c r="BG46" s="41" t="s">
        <v>283</v>
      </c>
      <c r="BH46" s="40"/>
      <c r="BI46" s="40"/>
      <c r="BJ46" s="29"/>
      <c r="BK46" s="22"/>
      <c r="BL46" s="23">
        <v>0.75</v>
      </c>
      <c r="BM46" s="6">
        <f t="shared" si="46"/>
        <v>0</v>
      </c>
    </row>
    <row r="47" spans="1:65" x14ac:dyDescent="0.25">
      <c r="B47" s="41" t="s">
        <v>444</v>
      </c>
      <c r="C47" s="41" t="s">
        <v>283</v>
      </c>
      <c r="D47" s="40"/>
      <c r="E47" s="40"/>
      <c r="F47" s="29"/>
      <c r="G47" s="22"/>
      <c r="H47" s="23">
        <v>0.75</v>
      </c>
      <c r="I47" s="75">
        <f t="shared" si="40"/>
        <v>0</v>
      </c>
      <c r="J47" s="171"/>
      <c r="L47" s="41" t="s">
        <v>444</v>
      </c>
      <c r="M47" s="41" t="s">
        <v>283</v>
      </c>
      <c r="N47" s="40"/>
      <c r="O47" s="40"/>
      <c r="P47" s="29"/>
      <c r="Q47" s="22"/>
      <c r="R47" s="23">
        <v>0.75</v>
      </c>
      <c r="S47" s="6">
        <f t="shared" si="41"/>
        <v>0</v>
      </c>
      <c r="T47" s="171"/>
      <c r="V47" s="41" t="s">
        <v>444</v>
      </c>
      <c r="W47" s="41" t="s">
        <v>283</v>
      </c>
      <c r="X47" s="40"/>
      <c r="Y47" s="40"/>
      <c r="Z47" s="29"/>
      <c r="AA47" s="22"/>
      <c r="AB47" s="23">
        <v>0.75</v>
      </c>
      <c r="AC47" s="6">
        <f t="shared" si="42"/>
        <v>0</v>
      </c>
      <c r="AE47" s="41" t="s">
        <v>444</v>
      </c>
      <c r="AF47" s="41" t="s">
        <v>283</v>
      </c>
      <c r="AG47" s="40"/>
      <c r="AH47" s="40"/>
      <c r="AI47" s="29"/>
      <c r="AJ47" s="22"/>
      <c r="AK47" s="23">
        <v>0.75</v>
      </c>
      <c r="AL47" s="6">
        <f t="shared" si="43"/>
        <v>0</v>
      </c>
      <c r="AN47" s="41" t="s">
        <v>444</v>
      </c>
      <c r="AO47" s="41" t="s">
        <v>283</v>
      </c>
      <c r="AP47" s="40"/>
      <c r="AQ47" s="40"/>
      <c r="AR47" s="29"/>
      <c r="AS47" s="22"/>
      <c r="AT47" s="23">
        <v>0.75</v>
      </c>
      <c r="AU47" s="6">
        <f t="shared" si="44"/>
        <v>0</v>
      </c>
      <c r="AW47" s="41" t="s">
        <v>444</v>
      </c>
      <c r="AX47" s="41" t="s">
        <v>283</v>
      </c>
      <c r="AY47" s="40"/>
      <c r="AZ47" s="40"/>
      <c r="BA47" s="29"/>
      <c r="BB47" s="22"/>
      <c r="BC47" s="23">
        <v>0.75</v>
      </c>
      <c r="BD47" s="6">
        <f t="shared" si="45"/>
        <v>0</v>
      </c>
      <c r="BF47" s="41" t="s">
        <v>444</v>
      </c>
      <c r="BG47" s="41" t="s">
        <v>283</v>
      </c>
      <c r="BH47" s="40"/>
      <c r="BI47" s="40"/>
      <c r="BJ47" s="29"/>
      <c r="BK47" s="22"/>
      <c r="BL47" s="23">
        <v>0.75</v>
      </c>
      <c r="BM47" s="6">
        <f t="shared" si="46"/>
        <v>0</v>
      </c>
    </row>
    <row r="48" spans="1:65" x14ac:dyDescent="0.25">
      <c r="B48" s="41" t="s">
        <v>444</v>
      </c>
      <c r="C48" s="41" t="s">
        <v>283</v>
      </c>
      <c r="D48" s="40"/>
      <c r="E48" s="40"/>
      <c r="F48" s="29"/>
      <c r="G48" s="22"/>
      <c r="H48" s="23">
        <v>0.75</v>
      </c>
      <c r="I48" s="75">
        <f t="shared" si="40"/>
        <v>0</v>
      </c>
      <c r="J48" s="171"/>
      <c r="L48" s="41" t="s">
        <v>444</v>
      </c>
      <c r="M48" s="41" t="s">
        <v>283</v>
      </c>
      <c r="N48" s="40"/>
      <c r="O48" s="40"/>
      <c r="P48" s="29"/>
      <c r="Q48" s="22"/>
      <c r="R48" s="23">
        <v>0.75</v>
      </c>
      <c r="S48" s="6">
        <f t="shared" si="41"/>
        <v>0</v>
      </c>
      <c r="T48" s="171"/>
      <c r="V48" s="41" t="s">
        <v>444</v>
      </c>
      <c r="W48" s="41" t="s">
        <v>283</v>
      </c>
      <c r="X48" s="40"/>
      <c r="Y48" s="40"/>
      <c r="Z48" s="29"/>
      <c r="AA48" s="22"/>
      <c r="AB48" s="23">
        <v>0.75</v>
      </c>
      <c r="AC48" s="6">
        <f t="shared" si="42"/>
        <v>0</v>
      </c>
      <c r="AE48" s="41" t="s">
        <v>444</v>
      </c>
      <c r="AF48" s="41" t="s">
        <v>283</v>
      </c>
      <c r="AG48" s="40"/>
      <c r="AH48" s="40"/>
      <c r="AI48" s="29"/>
      <c r="AJ48" s="22"/>
      <c r="AK48" s="23">
        <v>0.75</v>
      </c>
      <c r="AL48" s="6">
        <f t="shared" si="43"/>
        <v>0</v>
      </c>
      <c r="AN48" s="41" t="s">
        <v>444</v>
      </c>
      <c r="AO48" s="41" t="s">
        <v>283</v>
      </c>
      <c r="AP48" s="40"/>
      <c r="AQ48" s="40"/>
      <c r="AR48" s="29"/>
      <c r="AS48" s="22"/>
      <c r="AT48" s="23">
        <v>0.75</v>
      </c>
      <c r="AU48" s="6">
        <f t="shared" si="44"/>
        <v>0</v>
      </c>
      <c r="AW48" s="41" t="s">
        <v>444</v>
      </c>
      <c r="AX48" s="41" t="s">
        <v>283</v>
      </c>
      <c r="AY48" s="40"/>
      <c r="AZ48" s="40"/>
      <c r="BA48" s="29"/>
      <c r="BB48" s="22"/>
      <c r="BC48" s="23">
        <v>0.75</v>
      </c>
      <c r="BD48" s="6">
        <f t="shared" si="45"/>
        <v>0</v>
      </c>
      <c r="BF48" s="41" t="s">
        <v>444</v>
      </c>
      <c r="BG48" s="41" t="s">
        <v>283</v>
      </c>
      <c r="BH48" s="40"/>
      <c r="BI48" s="40"/>
      <c r="BJ48" s="29"/>
      <c r="BK48" s="22"/>
      <c r="BL48" s="23">
        <v>0.75</v>
      </c>
      <c r="BM48" s="6">
        <f t="shared" si="46"/>
        <v>0</v>
      </c>
    </row>
    <row r="49" spans="2:65" x14ac:dyDescent="0.25">
      <c r="B49" s="41" t="s">
        <v>444</v>
      </c>
      <c r="C49" s="41" t="s">
        <v>283</v>
      </c>
      <c r="D49" s="40"/>
      <c r="E49" s="40"/>
      <c r="F49" s="29"/>
      <c r="G49" s="22"/>
      <c r="H49" s="23">
        <v>0.75</v>
      </c>
      <c r="I49" s="75">
        <f t="shared" si="40"/>
        <v>0</v>
      </c>
      <c r="J49" s="171"/>
      <c r="L49" s="41" t="s">
        <v>444</v>
      </c>
      <c r="M49" s="41" t="s">
        <v>283</v>
      </c>
      <c r="N49" s="40"/>
      <c r="O49" s="40"/>
      <c r="P49" s="29"/>
      <c r="Q49" s="22"/>
      <c r="R49" s="23">
        <v>0.75</v>
      </c>
      <c r="S49" s="6">
        <f t="shared" si="41"/>
        <v>0</v>
      </c>
      <c r="T49" s="171"/>
      <c r="V49" s="41" t="s">
        <v>444</v>
      </c>
      <c r="W49" s="41" t="s">
        <v>283</v>
      </c>
      <c r="X49" s="40"/>
      <c r="Y49" s="40"/>
      <c r="Z49" s="29"/>
      <c r="AA49" s="22"/>
      <c r="AB49" s="23">
        <v>0.75</v>
      </c>
      <c r="AC49" s="6">
        <f t="shared" si="42"/>
        <v>0</v>
      </c>
      <c r="AE49" s="41" t="s">
        <v>444</v>
      </c>
      <c r="AF49" s="41" t="s">
        <v>283</v>
      </c>
      <c r="AG49" s="40"/>
      <c r="AH49" s="40"/>
      <c r="AI49" s="29"/>
      <c r="AJ49" s="22"/>
      <c r="AK49" s="23">
        <v>0.75</v>
      </c>
      <c r="AL49" s="6">
        <f t="shared" si="43"/>
        <v>0</v>
      </c>
      <c r="AN49" s="41" t="s">
        <v>444</v>
      </c>
      <c r="AO49" s="41" t="s">
        <v>283</v>
      </c>
      <c r="AP49" s="40"/>
      <c r="AQ49" s="40"/>
      <c r="AR49" s="29"/>
      <c r="AS49" s="22"/>
      <c r="AT49" s="23">
        <v>0.75</v>
      </c>
      <c r="AU49" s="6">
        <f t="shared" si="44"/>
        <v>0</v>
      </c>
      <c r="AW49" s="41" t="s">
        <v>444</v>
      </c>
      <c r="AX49" s="41" t="s">
        <v>283</v>
      </c>
      <c r="AY49" s="40"/>
      <c r="AZ49" s="40"/>
      <c r="BA49" s="29"/>
      <c r="BB49" s="22"/>
      <c r="BC49" s="23">
        <v>0.75</v>
      </c>
      <c r="BD49" s="6">
        <f t="shared" si="45"/>
        <v>0</v>
      </c>
      <c r="BF49" s="41" t="s">
        <v>444</v>
      </c>
      <c r="BG49" s="41" t="s">
        <v>283</v>
      </c>
      <c r="BH49" s="40"/>
      <c r="BI49" s="40"/>
      <c r="BJ49" s="29"/>
      <c r="BK49" s="22"/>
      <c r="BL49" s="23">
        <v>0.75</v>
      </c>
      <c r="BM49" s="6">
        <f t="shared" si="46"/>
        <v>0</v>
      </c>
    </row>
    <row r="50" spans="2:65" x14ac:dyDescent="0.25">
      <c r="B50" s="41" t="s">
        <v>444</v>
      </c>
      <c r="C50" s="41" t="s">
        <v>283</v>
      </c>
      <c r="D50" s="40"/>
      <c r="E50" s="40"/>
      <c r="F50" s="29"/>
      <c r="G50" s="22"/>
      <c r="H50" s="23">
        <v>0.75</v>
      </c>
      <c r="I50" s="75">
        <f t="shared" si="40"/>
        <v>0</v>
      </c>
      <c r="J50" s="171"/>
      <c r="L50" s="41" t="s">
        <v>444</v>
      </c>
      <c r="M50" s="41" t="s">
        <v>283</v>
      </c>
      <c r="N50" s="40"/>
      <c r="O50" s="40"/>
      <c r="P50" s="29"/>
      <c r="Q50" s="22"/>
      <c r="R50" s="23">
        <v>0.75</v>
      </c>
      <c r="S50" s="6">
        <f t="shared" si="41"/>
        <v>0</v>
      </c>
      <c r="T50" s="171"/>
      <c r="V50" s="41" t="s">
        <v>444</v>
      </c>
      <c r="W50" s="41" t="s">
        <v>283</v>
      </c>
      <c r="X50" s="40"/>
      <c r="Y50" s="40"/>
      <c r="Z50" s="29"/>
      <c r="AA50" s="22"/>
      <c r="AB50" s="23">
        <v>0.75</v>
      </c>
      <c r="AC50" s="6">
        <f t="shared" si="42"/>
        <v>0</v>
      </c>
      <c r="AE50" s="41" t="s">
        <v>444</v>
      </c>
      <c r="AF50" s="41" t="s">
        <v>283</v>
      </c>
      <c r="AG50" s="40"/>
      <c r="AH50" s="40"/>
      <c r="AI50" s="29"/>
      <c r="AJ50" s="22"/>
      <c r="AK50" s="23">
        <v>0.75</v>
      </c>
      <c r="AL50" s="6">
        <f t="shared" si="43"/>
        <v>0</v>
      </c>
      <c r="AN50" s="41" t="s">
        <v>444</v>
      </c>
      <c r="AO50" s="41" t="s">
        <v>283</v>
      </c>
      <c r="AP50" s="40"/>
      <c r="AQ50" s="40"/>
      <c r="AR50" s="29"/>
      <c r="AS50" s="22"/>
      <c r="AT50" s="23">
        <v>0.75</v>
      </c>
      <c r="AU50" s="6">
        <f t="shared" si="44"/>
        <v>0</v>
      </c>
      <c r="AW50" s="41" t="s">
        <v>444</v>
      </c>
      <c r="AX50" s="41" t="s">
        <v>283</v>
      </c>
      <c r="AY50" s="40"/>
      <c r="AZ50" s="40"/>
      <c r="BA50" s="29"/>
      <c r="BB50" s="22"/>
      <c r="BC50" s="23">
        <v>0.75</v>
      </c>
      <c r="BD50" s="6">
        <f t="shared" si="45"/>
        <v>0</v>
      </c>
      <c r="BF50" s="41" t="s">
        <v>444</v>
      </c>
      <c r="BG50" s="41" t="s">
        <v>283</v>
      </c>
      <c r="BH50" s="40"/>
      <c r="BI50" s="40"/>
      <c r="BJ50" s="29"/>
      <c r="BK50" s="22"/>
      <c r="BL50" s="23">
        <v>0.75</v>
      </c>
      <c r="BM50" s="6">
        <f t="shared" si="46"/>
        <v>0</v>
      </c>
    </row>
    <row r="51" spans="2:65" outlineLevel="1" x14ac:dyDescent="0.25">
      <c r="B51" s="41" t="s">
        <v>444</v>
      </c>
      <c r="C51" s="41" t="s">
        <v>283</v>
      </c>
      <c r="D51" s="40"/>
      <c r="E51" s="40"/>
      <c r="F51" s="29"/>
      <c r="G51" s="22"/>
      <c r="H51" s="23">
        <v>0.75</v>
      </c>
      <c r="I51" s="75">
        <f t="shared" si="40"/>
        <v>0</v>
      </c>
      <c r="J51" s="171"/>
      <c r="L51" s="41" t="s">
        <v>444</v>
      </c>
      <c r="M51" s="41" t="s">
        <v>283</v>
      </c>
      <c r="N51" s="40"/>
      <c r="O51" s="40"/>
      <c r="P51" s="29"/>
      <c r="Q51" s="22"/>
      <c r="R51" s="23">
        <v>0.75</v>
      </c>
      <c r="S51" s="6">
        <f t="shared" si="41"/>
        <v>0</v>
      </c>
      <c r="T51" s="171"/>
      <c r="V51" s="41" t="s">
        <v>444</v>
      </c>
      <c r="W51" s="41" t="s">
        <v>283</v>
      </c>
      <c r="X51" s="40"/>
      <c r="Y51" s="40"/>
      <c r="Z51" s="29"/>
      <c r="AA51" s="22"/>
      <c r="AB51" s="23">
        <v>0.75</v>
      </c>
      <c r="AC51" s="6">
        <f t="shared" si="42"/>
        <v>0</v>
      </c>
      <c r="AE51" s="41" t="s">
        <v>444</v>
      </c>
      <c r="AF51" s="41" t="s">
        <v>283</v>
      </c>
      <c r="AG51" s="40"/>
      <c r="AH51" s="40"/>
      <c r="AI51" s="29"/>
      <c r="AJ51" s="22"/>
      <c r="AK51" s="23">
        <v>0.75</v>
      </c>
      <c r="AL51" s="6">
        <f t="shared" si="43"/>
        <v>0</v>
      </c>
      <c r="AN51" s="41" t="s">
        <v>444</v>
      </c>
      <c r="AO51" s="41" t="s">
        <v>283</v>
      </c>
      <c r="AP51" s="40"/>
      <c r="AQ51" s="40"/>
      <c r="AR51" s="29"/>
      <c r="AS51" s="22"/>
      <c r="AT51" s="23">
        <v>0.75</v>
      </c>
      <c r="AU51" s="6">
        <f t="shared" si="44"/>
        <v>0</v>
      </c>
      <c r="AW51" s="41" t="s">
        <v>444</v>
      </c>
      <c r="AX51" s="41" t="s">
        <v>283</v>
      </c>
      <c r="AY51" s="40"/>
      <c r="AZ51" s="40"/>
      <c r="BA51" s="29"/>
      <c r="BB51" s="22"/>
      <c r="BC51" s="23">
        <v>0.75</v>
      </c>
      <c r="BD51" s="6">
        <f t="shared" si="45"/>
        <v>0</v>
      </c>
      <c r="BF51" s="41" t="s">
        <v>444</v>
      </c>
      <c r="BG51" s="41" t="s">
        <v>283</v>
      </c>
      <c r="BH51" s="40"/>
      <c r="BI51" s="40"/>
      <c r="BJ51" s="29"/>
      <c r="BK51" s="22"/>
      <c r="BL51" s="23">
        <v>0.75</v>
      </c>
      <c r="BM51" s="6">
        <f t="shared" si="46"/>
        <v>0</v>
      </c>
    </row>
    <row r="52" spans="2:65" outlineLevel="1" x14ac:dyDescent="0.25">
      <c r="B52" s="41" t="s">
        <v>444</v>
      </c>
      <c r="C52" s="41" t="s">
        <v>283</v>
      </c>
      <c r="D52" s="40"/>
      <c r="E52" s="40"/>
      <c r="F52" s="29"/>
      <c r="G52" s="22"/>
      <c r="H52" s="23">
        <v>0.75</v>
      </c>
      <c r="I52" s="75">
        <f t="shared" si="40"/>
        <v>0</v>
      </c>
      <c r="J52" s="171"/>
      <c r="L52" s="41" t="s">
        <v>444</v>
      </c>
      <c r="M52" s="41" t="s">
        <v>283</v>
      </c>
      <c r="N52" s="40"/>
      <c r="O52" s="40"/>
      <c r="P52" s="29"/>
      <c r="Q52" s="22"/>
      <c r="R52" s="23">
        <v>0.75</v>
      </c>
      <c r="S52" s="6">
        <f t="shared" si="41"/>
        <v>0</v>
      </c>
      <c r="T52" s="171"/>
      <c r="V52" s="41" t="s">
        <v>444</v>
      </c>
      <c r="W52" s="41" t="s">
        <v>283</v>
      </c>
      <c r="X52" s="40"/>
      <c r="Y52" s="40"/>
      <c r="Z52" s="29"/>
      <c r="AA52" s="22"/>
      <c r="AB52" s="23">
        <v>0.75</v>
      </c>
      <c r="AC52" s="6">
        <f t="shared" si="42"/>
        <v>0</v>
      </c>
      <c r="AE52" s="41" t="s">
        <v>444</v>
      </c>
      <c r="AF52" s="41" t="s">
        <v>283</v>
      </c>
      <c r="AG52" s="40"/>
      <c r="AH52" s="40"/>
      <c r="AI52" s="29"/>
      <c r="AJ52" s="22"/>
      <c r="AK52" s="23">
        <v>0.75</v>
      </c>
      <c r="AL52" s="6">
        <f t="shared" si="43"/>
        <v>0</v>
      </c>
      <c r="AN52" s="41" t="s">
        <v>444</v>
      </c>
      <c r="AO52" s="41" t="s">
        <v>283</v>
      </c>
      <c r="AP52" s="40"/>
      <c r="AQ52" s="40"/>
      <c r="AR52" s="29"/>
      <c r="AS52" s="22"/>
      <c r="AT52" s="23">
        <v>0.75</v>
      </c>
      <c r="AU52" s="6">
        <f t="shared" si="44"/>
        <v>0</v>
      </c>
      <c r="AW52" s="41" t="s">
        <v>444</v>
      </c>
      <c r="AX52" s="41" t="s">
        <v>283</v>
      </c>
      <c r="AY52" s="40"/>
      <c r="AZ52" s="40"/>
      <c r="BA52" s="29"/>
      <c r="BB52" s="22"/>
      <c r="BC52" s="23">
        <v>0.75</v>
      </c>
      <c r="BD52" s="6">
        <f t="shared" si="45"/>
        <v>0</v>
      </c>
      <c r="BF52" s="41" t="s">
        <v>444</v>
      </c>
      <c r="BG52" s="41" t="s">
        <v>283</v>
      </c>
      <c r="BH52" s="40"/>
      <c r="BI52" s="40"/>
      <c r="BJ52" s="29"/>
      <c r="BK52" s="22"/>
      <c r="BL52" s="23">
        <v>0.75</v>
      </c>
      <c r="BM52" s="6">
        <f t="shared" si="46"/>
        <v>0</v>
      </c>
    </row>
    <row r="53" spans="2:65" outlineLevel="1" x14ac:dyDescent="0.25">
      <c r="B53" s="41" t="s">
        <v>444</v>
      </c>
      <c r="C53" s="41" t="s">
        <v>283</v>
      </c>
      <c r="D53" s="40"/>
      <c r="E53" s="40"/>
      <c r="F53" s="29"/>
      <c r="G53" s="22"/>
      <c r="H53" s="23">
        <v>0.75</v>
      </c>
      <c r="I53" s="75">
        <f t="shared" si="40"/>
        <v>0</v>
      </c>
      <c r="J53" s="171"/>
      <c r="L53" s="41" t="s">
        <v>444</v>
      </c>
      <c r="M53" s="41" t="s">
        <v>283</v>
      </c>
      <c r="N53" s="40"/>
      <c r="O53" s="40"/>
      <c r="P53" s="29"/>
      <c r="Q53" s="22"/>
      <c r="R53" s="23">
        <v>0.75</v>
      </c>
      <c r="S53" s="6">
        <f t="shared" si="41"/>
        <v>0</v>
      </c>
      <c r="T53" s="171"/>
      <c r="V53" s="41" t="s">
        <v>444</v>
      </c>
      <c r="W53" s="41" t="s">
        <v>283</v>
      </c>
      <c r="X53" s="40"/>
      <c r="Y53" s="40"/>
      <c r="Z53" s="29"/>
      <c r="AA53" s="22"/>
      <c r="AB53" s="23">
        <v>0.75</v>
      </c>
      <c r="AC53" s="6">
        <f t="shared" si="42"/>
        <v>0</v>
      </c>
      <c r="AE53" s="41" t="s">
        <v>444</v>
      </c>
      <c r="AF53" s="41" t="s">
        <v>283</v>
      </c>
      <c r="AG53" s="40"/>
      <c r="AH53" s="40"/>
      <c r="AI53" s="29"/>
      <c r="AJ53" s="22"/>
      <c r="AK53" s="23">
        <v>0.75</v>
      </c>
      <c r="AL53" s="6">
        <f t="shared" si="43"/>
        <v>0</v>
      </c>
      <c r="AN53" s="41" t="s">
        <v>444</v>
      </c>
      <c r="AO53" s="41" t="s">
        <v>283</v>
      </c>
      <c r="AP53" s="40"/>
      <c r="AQ53" s="40"/>
      <c r="AR53" s="29"/>
      <c r="AS53" s="22"/>
      <c r="AT53" s="23">
        <v>0.75</v>
      </c>
      <c r="AU53" s="6">
        <f t="shared" si="44"/>
        <v>0</v>
      </c>
      <c r="AW53" s="41" t="s">
        <v>444</v>
      </c>
      <c r="AX53" s="41" t="s">
        <v>283</v>
      </c>
      <c r="AY53" s="40"/>
      <c r="AZ53" s="40"/>
      <c r="BA53" s="29"/>
      <c r="BB53" s="22"/>
      <c r="BC53" s="23">
        <v>0.75</v>
      </c>
      <c r="BD53" s="6">
        <f t="shared" si="45"/>
        <v>0</v>
      </c>
      <c r="BF53" s="41" t="s">
        <v>444</v>
      </c>
      <c r="BG53" s="41" t="s">
        <v>283</v>
      </c>
      <c r="BH53" s="40"/>
      <c r="BI53" s="40"/>
      <c r="BJ53" s="29"/>
      <c r="BK53" s="22"/>
      <c r="BL53" s="23">
        <v>0.75</v>
      </c>
      <c r="BM53" s="6">
        <f t="shared" si="46"/>
        <v>0</v>
      </c>
    </row>
    <row r="54" spans="2:65" outlineLevel="1" x14ac:dyDescent="0.25">
      <c r="B54" s="41" t="s">
        <v>444</v>
      </c>
      <c r="C54" s="41" t="s">
        <v>283</v>
      </c>
      <c r="D54" s="40"/>
      <c r="E54" s="40"/>
      <c r="F54" s="29"/>
      <c r="G54" s="22"/>
      <c r="H54" s="23">
        <v>0.75</v>
      </c>
      <c r="I54" s="75">
        <f t="shared" si="40"/>
        <v>0</v>
      </c>
      <c r="J54" s="171"/>
      <c r="L54" s="41" t="s">
        <v>444</v>
      </c>
      <c r="M54" s="41" t="s">
        <v>283</v>
      </c>
      <c r="N54" s="40"/>
      <c r="O54" s="40"/>
      <c r="P54" s="29"/>
      <c r="Q54" s="22"/>
      <c r="R54" s="23">
        <v>0.75</v>
      </c>
      <c r="S54" s="6">
        <f t="shared" si="41"/>
        <v>0</v>
      </c>
      <c r="T54" s="171"/>
      <c r="V54" s="41" t="s">
        <v>444</v>
      </c>
      <c r="W54" s="41" t="s">
        <v>283</v>
      </c>
      <c r="X54" s="40"/>
      <c r="Y54" s="40"/>
      <c r="Z54" s="29"/>
      <c r="AA54" s="22"/>
      <c r="AB54" s="23">
        <v>0.75</v>
      </c>
      <c r="AC54" s="6">
        <f t="shared" si="42"/>
        <v>0</v>
      </c>
      <c r="AE54" s="41" t="s">
        <v>444</v>
      </c>
      <c r="AF54" s="41" t="s">
        <v>283</v>
      </c>
      <c r="AG54" s="40"/>
      <c r="AH54" s="40"/>
      <c r="AI54" s="29"/>
      <c r="AJ54" s="22"/>
      <c r="AK54" s="23">
        <v>0.75</v>
      </c>
      <c r="AL54" s="6">
        <f t="shared" si="43"/>
        <v>0</v>
      </c>
      <c r="AN54" s="41" t="s">
        <v>444</v>
      </c>
      <c r="AO54" s="41" t="s">
        <v>283</v>
      </c>
      <c r="AP54" s="40"/>
      <c r="AQ54" s="40"/>
      <c r="AR54" s="29"/>
      <c r="AS54" s="22"/>
      <c r="AT54" s="23">
        <v>0.75</v>
      </c>
      <c r="AU54" s="6">
        <f t="shared" si="44"/>
        <v>0</v>
      </c>
      <c r="AW54" s="41" t="s">
        <v>444</v>
      </c>
      <c r="AX54" s="41" t="s">
        <v>283</v>
      </c>
      <c r="AY54" s="40"/>
      <c r="AZ54" s="40"/>
      <c r="BA54" s="29"/>
      <c r="BB54" s="22"/>
      <c r="BC54" s="23">
        <v>0.75</v>
      </c>
      <c r="BD54" s="6">
        <f t="shared" si="45"/>
        <v>0</v>
      </c>
      <c r="BF54" s="41" t="s">
        <v>444</v>
      </c>
      <c r="BG54" s="41" t="s">
        <v>283</v>
      </c>
      <c r="BH54" s="40"/>
      <c r="BI54" s="40"/>
      <c r="BJ54" s="29"/>
      <c r="BK54" s="22"/>
      <c r="BL54" s="23">
        <v>0.75</v>
      </c>
      <c r="BM54" s="6">
        <f t="shared" si="46"/>
        <v>0</v>
      </c>
    </row>
    <row r="55" spans="2:65" outlineLevel="1" x14ac:dyDescent="0.25">
      <c r="B55" s="41" t="s">
        <v>444</v>
      </c>
      <c r="C55" s="41" t="s">
        <v>283</v>
      </c>
      <c r="D55" s="40"/>
      <c r="E55" s="40"/>
      <c r="F55" s="29"/>
      <c r="G55" s="22"/>
      <c r="H55" s="23">
        <v>0.75</v>
      </c>
      <c r="I55" s="75">
        <f t="shared" si="40"/>
        <v>0</v>
      </c>
      <c r="J55" s="171"/>
      <c r="L55" s="41" t="s">
        <v>444</v>
      </c>
      <c r="M55" s="41" t="s">
        <v>283</v>
      </c>
      <c r="N55" s="40"/>
      <c r="O55" s="40"/>
      <c r="P55" s="29"/>
      <c r="Q55" s="22"/>
      <c r="R55" s="23">
        <v>0.75</v>
      </c>
      <c r="S55" s="6">
        <f t="shared" si="41"/>
        <v>0</v>
      </c>
      <c r="T55" s="171"/>
      <c r="V55" s="41" t="s">
        <v>444</v>
      </c>
      <c r="W55" s="41" t="s">
        <v>283</v>
      </c>
      <c r="X55" s="40"/>
      <c r="Y55" s="40"/>
      <c r="Z55" s="29"/>
      <c r="AA55" s="22"/>
      <c r="AB55" s="23">
        <v>0.75</v>
      </c>
      <c r="AC55" s="6">
        <f t="shared" si="42"/>
        <v>0</v>
      </c>
      <c r="AE55" s="41" t="s">
        <v>444</v>
      </c>
      <c r="AF55" s="41" t="s">
        <v>283</v>
      </c>
      <c r="AG55" s="40"/>
      <c r="AH55" s="40"/>
      <c r="AI55" s="29"/>
      <c r="AJ55" s="22"/>
      <c r="AK55" s="23">
        <v>0.75</v>
      </c>
      <c r="AL55" s="6">
        <f t="shared" si="43"/>
        <v>0</v>
      </c>
      <c r="AN55" s="41" t="s">
        <v>444</v>
      </c>
      <c r="AO55" s="41" t="s">
        <v>283</v>
      </c>
      <c r="AP55" s="40"/>
      <c r="AQ55" s="40"/>
      <c r="AR55" s="29"/>
      <c r="AS55" s="22"/>
      <c r="AT55" s="23">
        <v>0.75</v>
      </c>
      <c r="AU55" s="6">
        <f t="shared" si="44"/>
        <v>0</v>
      </c>
      <c r="AW55" s="41" t="s">
        <v>444</v>
      </c>
      <c r="AX55" s="41" t="s">
        <v>283</v>
      </c>
      <c r="AY55" s="40"/>
      <c r="AZ55" s="40"/>
      <c r="BA55" s="29"/>
      <c r="BB55" s="22"/>
      <c r="BC55" s="23">
        <v>0.75</v>
      </c>
      <c r="BD55" s="6">
        <f t="shared" si="45"/>
        <v>0</v>
      </c>
      <c r="BF55" s="41" t="s">
        <v>444</v>
      </c>
      <c r="BG55" s="41" t="s">
        <v>283</v>
      </c>
      <c r="BH55" s="40"/>
      <c r="BI55" s="40"/>
      <c r="BJ55" s="29"/>
      <c r="BK55" s="22"/>
      <c r="BL55" s="23">
        <v>0.75</v>
      </c>
      <c r="BM55" s="6">
        <f t="shared" si="46"/>
        <v>0</v>
      </c>
    </row>
    <row r="56" spans="2:65" outlineLevel="1" x14ac:dyDescent="0.25">
      <c r="B56" s="41" t="s">
        <v>444</v>
      </c>
      <c r="C56" s="41" t="s">
        <v>283</v>
      </c>
      <c r="D56" s="40"/>
      <c r="E56" s="40"/>
      <c r="F56" s="29"/>
      <c r="G56" s="22"/>
      <c r="H56" s="23">
        <v>0.75</v>
      </c>
      <c r="I56" s="75">
        <f t="shared" si="40"/>
        <v>0</v>
      </c>
      <c r="J56" s="171"/>
      <c r="L56" s="41" t="s">
        <v>444</v>
      </c>
      <c r="M56" s="41" t="s">
        <v>283</v>
      </c>
      <c r="N56" s="40"/>
      <c r="O56" s="40"/>
      <c r="P56" s="29"/>
      <c r="Q56" s="22"/>
      <c r="R56" s="23">
        <v>0.75</v>
      </c>
      <c r="S56" s="6">
        <f t="shared" si="41"/>
        <v>0</v>
      </c>
      <c r="T56" s="171"/>
      <c r="V56" s="41" t="s">
        <v>444</v>
      </c>
      <c r="W56" s="41" t="s">
        <v>283</v>
      </c>
      <c r="X56" s="40"/>
      <c r="Y56" s="40"/>
      <c r="Z56" s="29"/>
      <c r="AA56" s="22"/>
      <c r="AB56" s="23">
        <v>0.75</v>
      </c>
      <c r="AC56" s="6">
        <f t="shared" si="42"/>
        <v>0</v>
      </c>
      <c r="AE56" s="41" t="s">
        <v>444</v>
      </c>
      <c r="AF56" s="41" t="s">
        <v>283</v>
      </c>
      <c r="AG56" s="40"/>
      <c r="AH56" s="40"/>
      <c r="AI56" s="29"/>
      <c r="AJ56" s="22"/>
      <c r="AK56" s="23">
        <v>0.75</v>
      </c>
      <c r="AL56" s="6">
        <f t="shared" si="43"/>
        <v>0</v>
      </c>
      <c r="AN56" s="41" t="s">
        <v>444</v>
      </c>
      <c r="AO56" s="41" t="s">
        <v>283</v>
      </c>
      <c r="AP56" s="40"/>
      <c r="AQ56" s="40"/>
      <c r="AR56" s="29"/>
      <c r="AS56" s="22"/>
      <c r="AT56" s="23">
        <v>0.75</v>
      </c>
      <c r="AU56" s="6">
        <f t="shared" si="44"/>
        <v>0</v>
      </c>
      <c r="AW56" s="41" t="s">
        <v>444</v>
      </c>
      <c r="AX56" s="41" t="s">
        <v>283</v>
      </c>
      <c r="AY56" s="40"/>
      <c r="AZ56" s="40"/>
      <c r="BA56" s="29"/>
      <c r="BB56" s="22"/>
      <c r="BC56" s="23">
        <v>0.75</v>
      </c>
      <c r="BD56" s="6">
        <f t="shared" si="45"/>
        <v>0</v>
      </c>
      <c r="BF56" s="41" t="s">
        <v>444</v>
      </c>
      <c r="BG56" s="41" t="s">
        <v>283</v>
      </c>
      <c r="BH56" s="40"/>
      <c r="BI56" s="40"/>
      <c r="BJ56" s="29"/>
      <c r="BK56" s="22"/>
      <c r="BL56" s="23">
        <v>0.75</v>
      </c>
      <c r="BM56" s="6">
        <f t="shared" si="46"/>
        <v>0</v>
      </c>
    </row>
    <row r="57" spans="2:65" outlineLevel="1" x14ac:dyDescent="0.25">
      <c r="B57" s="41" t="s">
        <v>444</v>
      </c>
      <c r="C57" s="41" t="s">
        <v>283</v>
      </c>
      <c r="D57" s="40"/>
      <c r="E57" s="40"/>
      <c r="F57" s="29"/>
      <c r="G57" s="22"/>
      <c r="H57" s="23">
        <v>0.75</v>
      </c>
      <c r="I57" s="75">
        <f t="shared" si="40"/>
        <v>0</v>
      </c>
      <c r="J57" s="171"/>
      <c r="L57" s="41" t="s">
        <v>444</v>
      </c>
      <c r="M57" s="41" t="s">
        <v>283</v>
      </c>
      <c r="N57" s="40"/>
      <c r="O57" s="40"/>
      <c r="P57" s="29"/>
      <c r="Q57" s="22"/>
      <c r="R57" s="23">
        <v>0.75</v>
      </c>
      <c r="S57" s="6">
        <f t="shared" si="41"/>
        <v>0</v>
      </c>
      <c r="T57" s="171"/>
      <c r="V57" s="41" t="s">
        <v>444</v>
      </c>
      <c r="W57" s="41" t="s">
        <v>283</v>
      </c>
      <c r="X57" s="40"/>
      <c r="Y57" s="40"/>
      <c r="Z57" s="29"/>
      <c r="AA57" s="22"/>
      <c r="AB57" s="23">
        <v>0.75</v>
      </c>
      <c r="AC57" s="6">
        <f t="shared" si="42"/>
        <v>0</v>
      </c>
      <c r="AE57" s="41" t="s">
        <v>444</v>
      </c>
      <c r="AF57" s="41" t="s">
        <v>283</v>
      </c>
      <c r="AG57" s="40"/>
      <c r="AH57" s="40"/>
      <c r="AI57" s="29"/>
      <c r="AJ57" s="22"/>
      <c r="AK57" s="23">
        <v>0.75</v>
      </c>
      <c r="AL57" s="6">
        <f t="shared" si="43"/>
        <v>0</v>
      </c>
      <c r="AN57" s="41" t="s">
        <v>444</v>
      </c>
      <c r="AO57" s="41" t="s">
        <v>283</v>
      </c>
      <c r="AP57" s="40"/>
      <c r="AQ57" s="40"/>
      <c r="AR57" s="29"/>
      <c r="AS57" s="22"/>
      <c r="AT57" s="23">
        <v>0.75</v>
      </c>
      <c r="AU57" s="6">
        <f t="shared" si="44"/>
        <v>0</v>
      </c>
      <c r="AW57" s="41" t="s">
        <v>444</v>
      </c>
      <c r="AX57" s="41" t="s">
        <v>283</v>
      </c>
      <c r="AY57" s="40"/>
      <c r="AZ57" s="40"/>
      <c r="BA57" s="29"/>
      <c r="BB57" s="22"/>
      <c r="BC57" s="23">
        <v>0.75</v>
      </c>
      <c r="BD57" s="6">
        <f t="shared" si="45"/>
        <v>0</v>
      </c>
      <c r="BF57" s="41" t="s">
        <v>444</v>
      </c>
      <c r="BG57" s="41" t="s">
        <v>283</v>
      </c>
      <c r="BH57" s="40"/>
      <c r="BI57" s="40"/>
      <c r="BJ57" s="29"/>
      <c r="BK57" s="22"/>
      <c r="BL57" s="23">
        <v>0.75</v>
      </c>
      <c r="BM57" s="6">
        <f t="shared" si="46"/>
        <v>0</v>
      </c>
    </row>
    <row r="58" spans="2:65" outlineLevel="1" x14ac:dyDescent="0.25">
      <c r="B58" s="41" t="s">
        <v>444</v>
      </c>
      <c r="C58" s="41" t="s">
        <v>283</v>
      </c>
      <c r="D58" s="40"/>
      <c r="E58" s="40"/>
      <c r="F58" s="29"/>
      <c r="G58" s="22"/>
      <c r="H58" s="23">
        <v>0.75</v>
      </c>
      <c r="I58" s="75">
        <f t="shared" si="40"/>
        <v>0</v>
      </c>
      <c r="J58" s="171"/>
      <c r="L58" s="41" t="s">
        <v>444</v>
      </c>
      <c r="M58" s="41" t="s">
        <v>283</v>
      </c>
      <c r="N58" s="40"/>
      <c r="O58" s="40"/>
      <c r="P58" s="29"/>
      <c r="Q58" s="22"/>
      <c r="R58" s="23">
        <v>0.75</v>
      </c>
      <c r="S58" s="6">
        <f t="shared" si="41"/>
        <v>0</v>
      </c>
      <c r="T58" s="171"/>
      <c r="V58" s="41" t="s">
        <v>444</v>
      </c>
      <c r="W58" s="41" t="s">
        <v>283</v>
      </c>
      <c r="X58" s="40"/>
      <c r="Y58" s="40"/>
      <c r="Z58" s="29"/>
      <c r="AA58" s="22"/>
      <c r="AB58" s="23">
        <v>0.75</v>
      </c>
      <c r="AC58" s="6">
        <f t="shared" si="42"/>
        <v>0</v>
      </c>
      <c r="AE58" s="41" t="s">
        <v>444</v>
      </c>
      <c r="AF58" s="41" t="s">
        <v>283</v>
      </c>
      <c r="AG58" s="40"/>
      <c r="AH58" s="40"/>
      <c r="AI58" s="29"/>
      <c r="AJ58" s="22"/>
      <c r="AK58" s="23">
        <v>0.75</v>
      </c>
      <c r="AL58" s="6">
        <f t="shared" si="43"/>
        <v>0</v>
      </c>
      <c r="AN58" s="41" t="s">
        <v>444</v>
      </c>
      <c r="AO58" s="41" t="s">
        <v>283</v>
      </c>
      <c r="AP58" s="40"/>
      <c r="AQ58" s="40"/>
      <c r="AR58" s="29"/>
      <c r="AS58" s="22"/>
      <c r="AT58" s="23">
        <v>0.75</v>
      </c>
      <c r="AU58" s="6">
        <f t="shared" si="44"/>
        <v>0</v>
      </c>
      <c r="AW58" s="41" t="s">
        <v>444</v>
      </c>
      <c r="AX58" s="41" t="s">
        <v>283</v>
      </c>
      <c r="AY58" s="40"/>
      <c r="AZ58" s="40"/>
      <c r="BA58" s="29"/>
      <c r="BB58" s="22"/>
      <c r="BC58" s="23">
        <v>0.75</v>
      </c>
      <c r="BD58" s="6">
        <f t="shared" si="45"/>
        <v>0</v>
      </c>
      <c r="BF58" s="41" t="s">
        <v>444</v>
      </c>
      <c r="BG58" s="41" t="s">
        <v>283</v>
      </c>
      <c r="BH58" s="40"/>
      <c r="BI58" s="40"/>
      <c r="BJ58" s="29"/>
      <c r="BK58" s="22"/>
      <c r="BL58" s="23">
        <v>0.75</v>
      </c>
      <c r="BM58" s="6">
        <f t="shared" si="46"/>
        <v>0</v>
      </c>
    </row>
    <row r="59" spans="2:65" s="24" customFormat="1" x14ac:dyDescent="0.25">
      <c r="B59" s="8" t="s">
        <v>315</v>
      </c>
      <c r="C59" s="25"/>
      <c r="D59" s="28">
        <f>SUM(D44:D58)</f>
        <v>0</v>
      </c>
      <c r="E59" s="28">
        <f>SUM(E44:E58)</f>
        <v>0</v>
      </c>
      <c r="F59" s="30"/>
      <c r="G59" s="25"/>
      <c r="H59" s="26"/>
      <c r="I59" s="28">
        <f>SUM(I44:I58)</f>
        <v>0</v>
      </c>
      <c r="J59" s="170"/>
      <c r="L59" s="8" t="s">
        <v>315</v>
      </c>
      <c r="M59" s="25"/>
      <c r="N59" s="28">
        <f>SUM(N44:N58)</f>
        <v>0</v>
      </c>
      <c r="O59" s="28">
        <f>SUM(O44:O58)</f>
        <v>0</v>
      </c>
      <c r="P59" s="30"/>
      <c r="Q59" s="25"/>
      <c r="R59" s="26"/>
      <c r="S59" s="28">
        <f>SUM(S44:S58)</f>
        <v>0</v>
      </c>
      <c r="T59" s="170"/>
      <c r="V59" s="8" t="s">
        <v>315</v>
      </c>
      <c r="W59" s="25"/>
      <c r="X59" s="28">
        <f>SUM(X44:X58)</f>
        <v>0</v>
      </c>
      <c r="Y59" s="28">
        <f>SUM(Y44:Y58)</f>
        <v>0</v>
      </c>
      <c r="Z59" s="30"/>
      <c r="AA59" s="25"/>
      <c r="AB59" s="26"/>
      <c r="AC59" s="28">
        <f>SUM(AC44:AC58)</f>
        <v>0</v>
      </c>
      <c r="AE59" s="8" t="s">
        <v>315</v>
      </c>
      <c r="AF59" s="25"/>
      <c r="AG59" s="28">
        <f>SUM(AG44:AG58)</f>
        <v>0</v>
      </c>
      <c r="AH59" s="28">
        <f>SUM(AH44:AH58)</f>
        <v>0</v>
      </c>
      <c r="AI59" s="30"/>
      <c r="AJ59" s="25"/>
      <c r="AK59" s="26"/>
      <c r="AL59" s="28">
        <f>SUM(AL44:AL58)</f>
        <v>0</v>
      </c>
      <c r="AN59" s="8" t="s">
        <v>315</v>
      </c>
      <c r="AO59" s="25"/>
      <c r="AP59" s="28">
        <f>SUM(AP44:AP58)</f>
        <v>0</v>
      </c>
      <c r="AQ59" s="28">
        <f>SUM(AQ44:AQ58)</f>
        <v>0</v>
      </c>
      <c r="AR59" s="30"/>
      <c r="AS59" s="25"/>
      <c r="AT59" s="26"/>
      <c r="AU59" s="28">
        <f>SUM(AU44:AU58)</f>
        <v>0</v>
      </c>
      <c r="AW59" s="8" t="s">
        <v>315</v>
      </c>
      <c r="AX59" s="25"/>
      <c r="AY59" s="28">
        <f>SUM(AY44:AY58)</f>
        <v>0</v>
      </c>
      <c r="AZ59" s="28">
        <f>SUM(AZ44:AZ58)</f>
        <v>0</v>
      </c>
      <c r="BA59" s="30"/>
      <c r="BB59" s="25"/>
      <c r="BC59" s="26"/>
      <c r="BD59" s="28">
        <f>SUM(BD44:BD58)</f>
        <v>0</v>
      </c>
      <c r="BF59" s="8" t="s">
        <v>315</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2" t="s">
        <v>380</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2" t="s">
        <v>380</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x14ac:dyDescent="0.25">
      <c r="B62" s="41" t="s">
        <v>444</v>
      </c>
      <c r="C62" s="41" t="s">
        <v>283</v>
      </c>
      <c r="D62" s="40"/>
      <c r="E62" s="40"/>
      <c r="F62" s="40"/>
      <c r="G62" s="31"/>
      <c r="H62" s="32"/>
      <c r="I62" s="29"/>
      <c r="J62" s="171"/>
      <c r="L62" s="41" t="s">
        <v>444</v>
      </c>
      <c r="M62" s="41" t="s">
        <v>283</v>
      </c>
      <c r="N62" s="40"/>
      <c r="O62" s="40"/>
      <c r="P62" s="40"/>
      <c r="Q62" s="31"/>
      <c r="R62" s="32"/>
      <c r="S62" s="29"/>
      <c r="T62" s="171"/>
      <c r="V62" s="41" t="s">
        <v>444</v>
      </c>
      <c r="W62" s="41" t="s">
        <v>283</v>
      </c>
      <c r="X62" s="40"/>
      <c r="Y62" s="40"/>
      <c r="Z62" s="40"/>
      <c r="AA62" s="31"/>
      <c r="AB62" s="32"/>
      <c r="AC62" s="29"/>
      <c r="AE62" s="41" t="s">
        <v>444</v>
      </c>
      <c r="AF62" s="41" t="s">
        <v>283</v>
      </c>
      <c r="AG62" s="40"/>
      <c r="AH62" s="40"/>
      <c r="AI62" s="40"/>
      <c r="AJ62" s="31"/>
      <c r="AK62" s="32"/>
      <c r="AL62" s="29"/>
      <c r="AN62" s="41" t="s">
        <v>444</v>
      </c>
      <c r="AO62" s="41" t="s">
        <v>283</v>
      </c>
      <c r="AP62" s="40"/>
      <c r="AQ62" s="40"/>
      <c r="AR62" s="40"/>
      <c r="AS62" s="31"/>
      <c r="AT62" s="32"/>
      <c r="AU62" s="29"/>
      <c r="AW62" s="41" t="s">
        <v>444</v>
      </c>
      <c r="AX62" s="41" t="s">
        <v>283</v>
      </c>
      <c r="AY62" s="40"/>
      <c r="AZ62" s="40"/>
      <c r="BA62" s="40"/>
      <c r="BB62" s="31"/>
      <c r="BC62" s="32"/>
      <c r="BD62" s="29"/>
      <c r="BF62" s="41" t="s">
        <v>444</v>
      </c>
      <c r="BG62" s="41" t="s">
        <v>283</v>
      </c>
      <c r="BH62" s="40"/>
      <c r="BI62" s="40"/>
      <c r="BJ62" s="40"/>
      <c r="BK62" s="31"/>
      <c r="BL62" s="32"/>
      <c r="BM62" s="29"/>
    </row>
    <row r="63" spans="2:65" x14ac:dyDescent="0.25">
      <c r="B63" s="41" t="s">
        <v>444</v>
      </c>
      <c r="C63" s="41" t="s">
        <v>283</v>
      </c>
      <c r="D63" s="40"/>
      <c r="E63" s="40"/>
      <c r="F63" s="40"/>
      <c r="G63" s="31"/>
      <c r="H63" s="32"/>
      <c r="I63" s="29"/>
      <c r="J63" s="171"/>
      <c r="L63" s="41" t="s">
        <v>444</v>
      </c>
      <c r="M63" s="41" t="s">
        <v>283</v>
      </c>
      <c r="N63" s="40"/>
      <c r="O63" s="40"/>
      <c r="P63" s="40"/>
      <c r="Q63" s="31"/>
      <c r="R63" s="32"/>
      <c r="S63" s="29"/>
      <c r="T63" s="171"/>
      <c r="V63" s="41" t="s">
        <v>444</v>
      </c>
      <c r="W63" s="41" t="s">
        <v>283</v>
      </c>
      <c r="X63" s="40"/>
      <c r="Y63" s="40"/>
      <c r="Z63" s="40"/>
      <c r="AA63" s="31"/>
      <c r="AB63" s="32"/>
      <c r="AC63" s="29"/>
      <c r="AE63" s="41" t="s">
        <v>444</v>
      </c>
      <c r="AF63" s="41" t="s">
        <v>283</v>
      </c>
      <c r="AG63" s="40"/>
      <c r="AH63" s="40"/>
      <c r="AI63" s="40"/>
      <c r="AJ63" s="31"/>
      <c r="AK63" s="32"/>
      <c r="AL63" s="29"/>
      <c r="AN63" s="41" t="s">
        <v>444</v>
      </c>
      <c r="AO63" s="41" t="s">
        <v>283</v>
      </c>
      <c r="AP63" s="40"/>
      <c r="AQ63" s="40"/>
      <c r="AR63" s="40"/>
      <c r="AS63" s="31"/>
      <c r="AT63" s="32"/>
      <c r="AU63" s="29"/>
      <c r="AW63" s="41" t="s">
        <v>444</v>
      </c>
      <c r="AX63" s="41" t="s">
        <v>283</v>
      </c>
      <c r="AY63" s="40"/>
      <c r="AZ63" s="40"/>
      <c r="BA63" s="40"/>
      <c r="BB63" s="31"/>
      <c r="BC63" s="32"/>
      <c r="BD63" s="29"/>
      <c r="BF63" s="41" t="s">
        <v>444</v>
      </c>
      <c r="BG63" s="41" t="s">
        <v>283</v>
      </c>
      <c r="BH63" s="40"/>
      <c r="BI63" s="40"/>
      <c r="BJ63" s="40"/>
      <c r="BK63" s="31"/>
      <c r="BL63" s="32"/>
      <c r="BM63" s="29"/>
    </row>
    <row r="64" spans="2:65" x14ac:dyDescent="0.25">
      <c r="B64" s="41" t="s">
        <v>444</v>
      </c>
      <c r="C64" s="41" t="s">
        <v>283</v>
      </c>
      <c r="D64" s="40"/>
      <c r="E64" s="40"/>
      <c r="F64" s="40"/>
      <c r="G64" s="31"/>
      <c r="H64" s="32"/>
      <c r="I64" s="29"/>
      <c r="J64" s="171"/>
      <c r="L64" s="41" t="s">
        <v>444</v>
      </c>
      <c r="M64" s="41" t="s">
        <v>283</v>
      </c>
      <c r="N64" s="40"/>
      <c r="O64" s="40"/>
      <c r="P64" s="40"/>
      <c r="Q64" s="31"/>
      <c r="R64" s="32"/>
      <c r="S64" s="29"/>
      <c r="T64" s="171"/>
      <c r="V64" s="41" t="s">
        <v>444</v>
      </c>
      <c r="W64" s="41" t="s">
        <v>283</v>
      </c>
      <c r="X64" s="40"/>
      <c r="Y64" s="40"/>
      <c r="Z64" s="40"/>
      <c r="AA64" s="31"/>
      <c r="AB64" s="32"/>
      <c r="AC64" s="29"/>
      <c r="AE64" s="41" t="s">
        <v>444</v>
      </c>
      <c r="AF64" s="41" t="s">
        <v>283</v>
      </c>
      <c r="AG64" s="40"/>
      <c r="AH64" s="40"/>
      <c r="AI64" s="40"/>
      <c r="AJ64" s="31"/>
      <c r="AK64" s="32"/>
      <c r="AL64" s="29"/>
      <c r="AN64" s="41" t="s">
        <v>444</v>
      </c>
      <c r="AO64" s="41" t="s">
        <v>283</v>
      </c>
      <c r="AP64" s="40"/>
      <c r="AQ64" s="40"/>
      <c r="AR64" s="40"/>
      <c r="AS64" s="31"/>
      <c r="AT64" s="32"/>
      <c r="AU64" s="29"/>
      <c r="AW64" s="41" t="s">
        <v>444</v>
      </c>
      <c r="AX64" s="41" t="s">
        <v>283</v>
      </c>
      <c r="AY64" s="40"/>
      <c r="AZ64" s="40"/>
      <c r="BA64" s="40"/>
      <c r="BB64" s="31"/>
      <c r="BC64" s="32"/>
      <c r="BD64" s="29"/>
      <c r="BF64" s="41" t="s">
        <v>444</v>
      </c>
      <c r="BG64" s="41" t="s">
        <v>283</v>
      </c>
      <c r="BH64" s="40"/>
      <c r="BI64" s="40"/>
      <c r="BJ64" s="40"/>
      <c r="BK64" s="31"/>
      <c r="BL64" s="32"/>
      <c r="BM64" s="29"/>
    </row>
    <row r="65" spans="2:65" x14ac:dyDescent="0.25">
      <c r="B65" s="41" t="s">
        <v>444</v>
      </c>
      <c r="C65" s="41" t="s">
        <v>283</v>
      </c>
      <c r="D65" s="40"/>
      <c r="E65" s="40"/>
      <c r="F65" s="40"/>
      <c r="G65" s="31"/>
      <c r="H65" s="32"/>
      <c r="I65" s="29"/>
      <c r="J65" s="171"/>
      <c r="L65" s="41" t="s">
        <v>444</v>
      </c>
      <c r="M65" s="41" t="s">
        <v>283</v>
      </c>
      <c r="N65" s="40"/>
      <c r="O65" s="40"/>
      <c r="P65" s="40"/>
      <c r="Q65" s="31"/>
      <c r="R65" s="32"/>
      <c r="S65" s="29"/>
      <c r="T65" s="171"/>
      <c r="V65" s="41" t="s">
        <v>444</v>
      </c>
      <c r="W65" s="41" t="s">
        <v>283</v>
      </c>
      <c r="X65" s="40"/>
      <c r="Y65" s="40"/>
      <c r="Z65" s="40"/>
      <c r="AA65" s="31"/>
      <c r="AB65" s="32"/>
      <c r="AC65" s="29"/>
      <c r="AE65" s="41" t="s">
        <v>444</v>
      </c>
      <c r="AF65" s="41" t="s">
        <v>283</v>
      </c>
      <c r="AG65" s="40"/>
      <c r="AH65" s="40"/>
      <c r="AI65" s="40"/>
      <c r="AJ65" s="31"/>
      <c r="AK65" s="32"/>
      <c r="AL65" s="29"/>
      <c r="AN65" s="41" t="s">
        <v>444</v>
      </c>
      <c r="AO65" s="41" t="s">
        <v>283</v>
      </c>
      <c r="AP65" s="40"/>
      <c r="AQ65" s="40"/>
      <c r="AR65" s="40"/>
      <c r="AS65" s="31"/>
      <c r="AT65" s="32"/>
      <c r="AU65" s="29"/>
      <c r="AW65" s="41" t="s">
        <v>444</v>
      </c>
      <c r="AX65" s="41" t="s">
        <v>283</v>
      </c>
      <c r="AY65" s="40"/>
      <c r="AZ65" s="40"/>
      <c r="BA65" s="40"/>
      <c r="BB65" s="31"/>
      <c r="BC65" s="32"/>
      <c r="BD65" s="29"/>
      <c r="BF65" s="41" t="s">
        <v>444</v>
      </c>
      <c r="BG65" s="41" t="s">
        <v>283</v>
      </c>
      <c r="BH65" s="40"/>
      <c r="BI65" s="40"/>
      <c r="BJ65" s="40"/>
      <c r="BK65" s="31"/>
      <c r="BL65" s="32"/>
      <c r="BM65" s="29"/>
    </row>
    <row r="66" spans="2:65" x14ac:dyDescent="0.25">
      <c r="B66" s="41" t="s">
        <v>444</v>
      </c>
      <c r="C66" s="41" t="s">
        <v>283</v>
      </c>
      <c r="D66" s="40"/>
      <c r="E66" s="40"/>
      <c r="F66" s="40"/>
      <c r="G66" s="31"/>
      <c r="H66" s="32"/>
      <c r="I66" s="29"/>
      <c r="J66" s="171"/>
      <c r="L66" s="41" t="s">
        <v>444</v>
      </c>
      <c r="M66" s="41" t="s">
        <v>283</v>
      </c>
      <c r="N66" s="40"/>
      <c r="O66" s="40"/>
      <c r="P66" s="40"/>
      <c r="Q66" s="31"/>
      <c r="R66" s="32"/>
      <c r="S66" s="29"/>
      <c r="T66" s="171"/>
      <c r="V66" s="41" t="s">
        <v>444</v>
      </c>
      <c r="W66" s="41" t="s">
        <v>283</v>
      </c>
      <c r="X66" s="40"/>
      <c r="Y66" s="40"/>
      <c r="Z66" s="40"/>
      <c r="AA66" s="31"/>
      <c r="AB66" s="32"/>
      <c r="AC66" s="29"/>
      <c r="AE66" s="41" t="s">
        <v>444</v>
      </c>
      <c r="AF66" s="41" t="s">
        <v>283</v>
      </c>
      <c r="AG66" s="40"/>
      <c r="AH66" s="40"/>
      <c r="AI66" s="40"/>
      <c r="AJ66" s="31"/>
      <c r="AK66" s="32"/>
      <c r="AL66" s="29"/>
      <c r="AN66" s="41" t="s">
        <v>444</v>
      </c>
      <c r="AO66" s="41" t="s">
        <v>283</v>
      </c>
      <c r="AP66" s="40"/>
      <c r="AQ66" s="40"/>
      <c r="AR66" s="40"/>
      <c r="AS66" s="31"/>
      <c r="AT66" s="32"/>
      <c r="AU66" s="29"/>
      <c r="AW66" s="41" t="s">
        <v>444</v>
      </c>
      <c r="AX66" s="41" t="s">
        <v>283</v>
      </c>
      <c r="AY66" s="40"/>
      <c r="AZ66" s="40"/>
      <c r="BA66" s="40"/>
      <c r="BB66" s="31"/>
      <c r="BC66" s="32"/>
      <c r="BD66" s="29"/>
      <c r="BF66" s="41" t="s">
        <v>444</v>
      </c>
      <c r="BG66" s="41" t="s">
        <v>283</v>
      </c>
      <c r="BH66" s="40"/>
      <c r="BI66" s="40"/>
      <c r="BJ66" s="40"/>
      <c r="BK66" s="31"/>
      <c r="BL66" s="32"/>
      <c r="BM66" s="29"/>
    </row>
    <row r="67" spans="2:65" x14ac:dyDescent="0.25">
      <c r="B67" s="41" t="s">
        <v>444</v>
      </c>
      <c r="C67" s="41" t="s">
        <v>283</v>
      </c>
      <c r="D67" s="40"/>
      <c r="E67" s="40"/>
      <c r="F67" s="40"/>
      <c r="G67" s="31"/>
      <c r="H67" s="32"/>
      <c r="I67" s="29"/>
      <c r="J67" s="171"/>
      <c r="L67" s="41" t="s">
        <v>444</v>
      </c>
      <c r="M67" s="41" t="s">
        <v>283</v>
      </c>
      <c r="N67" s="40"/>
      <c r="O67" s="40"/>
      <c r="P67" s="40"/>
      <c r="Q67" s="31"/>
      <c r="R67" s="32"/>
      <c r="S67" s="29"/>
      <c r="T67" s="171"/>
      <c r="V67" s="41" t="s">
        <v>444</v>
      </c>
      <c r="W67" s="41" t="s">
        <v>283</v>
      </c>
      <c r="X67" s="40"/>
      <c r="Y67" s="40"/>
      <c r="Z67" s="40"/>
      <c r="AA67" s="31"/>
      <c r="AB67" s="32"/>
      <c r="AC67" s="29"/>
      <c r="AE67" s="41" t="s">
        <v>444</v>
      </c>
      <c r="AF67" s="41" t="s">
        <v>283</v>
      </c>
      <c r="AG67" s="40"/>
      <c r="AH67" s="40"/>
      <c r="AI67" s="40"/>
      <c r="AJ67" s="31"/>
      <c r="AK67" s="32"/>
      <c r="AL67" s="29"/>
      <c r="AN67" s="41" t="s">
        <v>444</v>
      </c>
      <c r="AO67" s="41" t="s">
        <v>283</v>
      </c>
      <c r="AP67" s="40"/>
      <c r="AQ67" s="40"/>
      <c r="AR67" s="40"/>
      <c r="AS67" s="31"/>
      <c r="AT67" s="32"/>
      <c r="AU67" s="29"/>
      <c r="AW67" s="41" t="s">
        <v>444</v>
      </c>
      <c r="AX67" s="41" t="s">
        <v>283</v>
      </c>
      <c r="AY67" s="40"/>
      <c r="AZ67" s="40"/>
      <c r="BA67" s="40"/>
      <c r="BB67" s="31"/>
      <c r="BC67" s="32"/>
      <c r="BD67" s="29"/>
      <c r="BF67" s="41" t="s">
        <v>444</v>
      </c>
      <c r="BG67" s="41" t="s">
        <v>283</v>
      </c>
      <c r="BH67" s="40"/>
      <c r="BI67" s="40"/>
      <c r="BJ67" s="40"/>
      <c r="BK67" s="31"/>
      <c r="BL67" s="32"/>
      <c r="BM67" s="29"/>
    </row>
    <row r="68" spans="2:65" x14ac:dyDescent="0.25">
      <c r="B68" s="41" t="s">
        <v>444</v>
      </c>
      <c r="C68" s="41" t="s">
        <v>283</v>
      </c>
      <c r="D68" s="40"/>
      <c r="E68" s="40"/>
      <c r="F68" s="40"/>
      <c r="G68" s="31"/>
      <c r="H68" s="32"/>
      <c r="I68" s="29"/>
      <c r="J68" s="171"/>
      <c r="L68" s="41" t="s">
        <v>444</v>
      </c>
      <c r="M68" s="41" t="s">
        <v>283</v>
      </c>
      <c r="N68" s="40"/>
      <c r="O68" s="40"/>
      <c r="P68" s="40"/>
      <c r="Q68" s="31"/>
      <c r="R68" s="32"/>
      <c r="S68" s="29"/>
      <c r="T68" s="171"/>
      <c r="V68" s="41" t="s">
        <v>444</v>
      </c>
      <c r="W68" s="41" t="s">
        <v>283</v>
      </c>
      <c r="X68" s="40"/>
      <c r="Y68" s="40"/>
      <c r="Z68" s="40"/>
      <c r="AA68" s="31"/>
      <c r="AB68" s="32"/>
      <c r="AC68" s="29"/>
      <c r="AE68" s="41" t="s">
        <v>444</v>
      </c>
      <c r="AF68" s="41" t="s">
        <v>283</v>
      </c>
      <c r="AG68" s="40"/>
      <c r="AH68" s="40"/>
      <c r="AI68" s="40"/>
      <c r="AJ68" s="31"/>
      <c r="AK68" s="32"/>
      <c r="AL68" s="29"/>
      <c r="AN68" s="41" t="s">
        <v>444</v>
      </c>
      <c r="AO68" s="41" t="s">
        <v>283</v>
      </c>
      <c r="AP68" s="40"/>
      <c r="AQ68" s="40"/>
      <c r="AR68" s="40"/>
      <c r="AS68" s="31"/>
      <c r="AT68" s="32"/>
      <c r="AU68" s="29"/>
      <c r="AW68" s="41" t="s">
        <v>444</v>
      </c>
      <c r="AX68" s="41" t="s">
        <v>283</v>
      </c>
      <c r="AY68" s="40"/>
      <c r="AZ68" s="40"/>
      <c r="BA68" s="40"/>
      <c r="BB68" s="31"/>
      <c r="BC68" s="32"/>
      <c r="BD68" s="29"/>
      <c r="BF68" s="41" t="s">
        <v>444</v>
      </c>
      <c r="BG68" s="41" t="s">
        <v>283</v>
      </c>
      <c r="BH68" s="40"/>
      <c r="BI68" s="40"/>
      <c r="BJ68" s="40"/>
      <c r="BK68" s="31"/>
      <c r="BL68" s="32"/>
      <c r="BM68" s="29"/>
    </row>
    <row r="69" spans="2:65" outlineLevel="1" x14ac:dyDescent="0.25">
      <c r="B69" s="41" t="s">
        <v>444</v>
      </c>
      <c r="C69" s="41" t="s">
        <v>283</v>
      </c>
      <c r="D69" s="40"/>
      <c r="E69" s="40"/>
      <c r="F69" s="40"/>
      <c r="G69" s="31"/>
      <c r="H69" s="32"/>
      <c r="I69" s="29"/>
      <c r="J69" s="171"/>
      <c r="L69" s="41" t="s">
        <v>444</v>
      </c>
      <c r="M69" s="41" t="s">
        <v>283</v>
      </c>
      <c r="N69" s="40"/>
      <c r="O69" s="40"/>
      <c r="P69" s="40"/>
      <c r="Q69" s="31"/>
      <c r="R69" s="32"/>
      <c r="S69" s="29"/>
      <c r="T69" s="171"/>
      <c r="V69" s="41" t="s">
        <v>444</v>
      </c>
      <c r="W69" s="41" t="s">
        <v>283</v>
      </c>
      <c r="X69" s="40"/>
      <c r="Y69" s="40"/>
      <c r="Z69" s="40"/>
      <c r="AA69" s="31"/>
      <c r="AB69" s="32"/>
      <c r="AC69" s="29"/>
      <c r="AE69" s="41" t="s">
        <v>444</v>
      </c>
      <c r="AF69" s="41" t="s">
        <v>283</v>
      </c>
      <c r="AG69" s="40"/>
      <c r="AH69" s="40"/>
      <c r="AI69" s="40"/>
      <c r="AJ69" s="31"/>
      <c r="AK69" s="32"/>
      <c r="AL69" s="29"/>
      <c r="AN69" s="41" t="s">
        <v>444</v>
      </c>
      <c r="AO69" s="41" t="s">
        <v>283</v>
      </c>
      <c r="AP69" s="40"/>
      <c r="AQ69" s="40"/>
      <c r="AR69" s="40"/>
      <c r="AS69" s="31"/>
      <c r="AT69" s="32"/>
      <c r="AU69" s="29"/>
      <c r="AW69" s="41" t="s">
        <v>444</v>
      </c>
      <c r="AX69" s="41" t="s">
        <v>283</v>
      </c>
      <c r="AY69" s="40"/>
      <c r="AZ69" s="40"/>
      <c r="BA69" s="40"/>
      <c r="BB69" s="31"/>
      <c r="BC69" s="32"/>
      <c r="BD69" s="29"/>
      <c r="BF69" s="41" t="s">
        <v>444</v>
      </c>
      <c r="BG69" s="41" t="s">
        <v>283</v>
      </c>
      <c r="BH69" s="40"/>
      <c r="BI69" s="40"/>
      <c r="BJ69" s="40"/>
      <c r="BK69" s="31"/>
      <c r="BL69" s="32"/>
      <c r="BM69" s="29"/>
    </row>
    <row r="70" spans="2:65" outlineLevel="1" x14ac:dyDescent="0.25">
      <c r="B70" s="41" t="s">
        <v>444</v>
      </c>
      <c r="C70" s="41" t="s">
        <v>283</v>
      </c>
      <c r="D70" s="40"/>
      <c r="E70" s="40"/>
      <c r="F70" s="40"/>
      <c r="G70" s="31"/>
      <c r="H70" s="32"/>
      <c r="I70" s="29"/>
      <c r="J70" s="171"/>
      <c r="L70" s="41" t="s">
        <v>444</v>
      </c>
      <c r="M70" s="41" t="s">
        <v>283</v>
      </c>
      <c r="N70" s="40"/>
      <c r="O70" s="40"/>
      <c r="P70" s="40"/>
      <c r="Q70" s="31"/>
      <c r="R70" s="32"/>
      <c r="S70" s="29"/>
      <c r="T70" s="171"/>
      <c r="V70" s="41" t="s">
        <v>444</v>
      </c>
      <c r="W70" s="41" t="s">
        <v>283</v>
      </c>
      <c r="X70" s="40"/>
      <c r="Y70" s="40"/>
      <c r="Z70" s="40"/>
      <c r="AA70" s="31"/>
      <c r="AB70" s="32"/>
      <c r="AC70" s="29"/>
      <c r="AE70" s="41" t="s">
        <v>444</v>
      </c>
      <c r="AF70" s="41" t="s">
        <v>283</v>
      </c>
      <c r="AG70" s="40"/>
      <c r="AH70" s="40"/>
      <c r="AI70" s="40"/>
      <c r="AJ70" s="31"/>
      <c r="AK70" s="32"/>
      <c r="AL70" s="29"/>
      <c r="AN70" s="41" t="s">
        <v>444</v>
      </c>
      <c r="AO70" s="41" t="s">
        <v>283</v>
      </c>
      <c r="AP70" s="40"/>
      <c r="AQ70" s="40"/>
      <c r="AR70" s="40"/>
      <c r="AS70" s="31"/>
      <c r="AT70" s="32"/>
      <c r="AU70" s="29"/>
      <c r="AW70" s="41" t="s">
        <v>444</v>
      </c>
      <c r="AX70" s="41" t="s">
        <v>283</v>
      </c>
      <c r="AY70" s="40"/>
      <c r="AZ70" s="40"/>
      <c r="BA70" s="40"/>
      <c r="BB70" s="31"/>
      <c r="BC70" s="32"/>
      <c r="BD70" s="29"/>
      <c r="BF70" s="41" t="s">
        <v>444</v>
      </c>
      <c r="BG70" s="41" t="s">
        <v>283</v>
      </c>
      <c r="BH70" s="40"/>
      <c r="BI70" s="40"/>
      <c r="BJ70" s="40"/>
      <c r="BK70" s="31"/>
      <c r="BL70" s="32"/>
      <c r="BM70" s="29"/>
    </row>
    <row r="71" spans="2:65" outlineLevel="1" x14ac:dyDescent="0.25">
      <c r="B71" s="41" t="s">
        <v>444</v>
      </c>
      <c r="C71" s="41" t="s">
        <v>283</v>
      </c>
      <c r="D71" s="40"/>
      <c r="E71" s="40"/>
      <c r="F71" s="40"/>
      <c r="G71" s="31"/>
      <c r="H71" s="32"/>
      <c r="I71" s="29"/>
      <c r="J71" s="171"/>
      <c r="L71" s="41" t="s">
        <v>444</v>
      </c>
      <c r="M71" s="41" t="s">
        <v>283</v>
      </c>
      <c r="N71" s="40"/>
      <c r="O71" s="40"/>
      <c r="P71" s="40"/>
      <c r="Q71" s="31"/>
      <c r="R71" s="32"/>
      <c r="S71" s="29"/>
      <c r="T71" s="171"/>
      <c r="V71" s="41" t="s">
        <v>444</v>
      </c>
      <c r="W71" s="41" t="s">
        <v>283</v>
      </c>
      <c r="X71" s="40"/>
      <c r="Y71" s="40"/>
      <c r="Z71" s="40"/>
      <c r="AA71" s="31"/>
      <c r="AB71" s="32"/>
      <c r="AC71" s="29"/>
      <c r="AE71" s="41" t="s">
        <v>444</v>
      </c>
      <c r="AF71" s="41" t="s">
        <v>283</v>
      </c>
      <c r="AG71" s="40"/>
      <c r="AH71" s="40"/>
      <c r="AI71" s="40"/>
      <c r="AJ71" s="31"/>
      <c r="AK71" s="32"/>
      <c r="AL71" s="29"/>
      <c r="AN71" s="41" t="s">
        <v>444</v>
      </c>
      <c r="AO71" s="41" t="s">
        <v>283</v>
      </c>
      <c r="AP71" s="40"/>
      <c r="AQ71" s="40"/>
      <c r="AR71" s="40"/>
      <c r="AS71" s="31"/>
      <c r="AT71" s="32"/>
      <c r="AU71" s="29"/>
      <c r="AW71" s="41" t="s">
        <v>444</v>
      </c>
      <c r="AX71" s="41" t="s">
        <v>283</v>
      </c>
      <c r="AY71" s="40"/>
      <c r="AZ71" s="40"/>
      <c r="BA71" s="40"/>
      <c r="BB71" s="31"/>
      <c r="BC71" s="32"/>
      <c r="BD71" s="29"/>
      <c r="BF71" s="41" t="s">
        <v>444</v>
      </c>
      <c r="BG71" s="41" t="s">
        <v>283</v>
      </c>
      <c r="BH71" s="40"/>
      <c r="BI71" s="40"/>
      <c r="BJ71" s="40"/>
      <c r="BK71" s="31"/>
      <c r="BL71" s="32"/>
      <c r="BM71" s="29"/>
    </row>
    <row r="72" spans="2:65" outlineLevel="1" x14ac:dyDescent="0.25">
      <c r="B72" s="41" t="s">
        <v>444</v>
      </c>
      <c r="C72" s="41" t="s">
        <v>283</v>
      </c>
      <c r="D72" s="40"/>
      <c r="E72" s="40"/>
      <c r="F72" s="40"/>
      <c r="G72" s="31"/>
      <c r="H72" s="32"/>
      <c r="I72" s="29"/>
      <c r="J72" s="171"/>
      <c r="L72" s="41" t="s">
        <v>444</v>
      </c>
      <c r="M72" s="41" t="s">
        <v>283</v>
      </c>
      <c r="N72" s="40"/>
      <c r="O72" s="40"/>
      <c r="P72" s="40"/>
      <c r="Q72" s="31"/>
      <c r="R72" s="32"/>
      <c r="S72" s="29"/>
      <c r="T72" s="171"/>
      <c r="V72" s="41" t="s">
        <v>444</v>
      </c>
      <c r="W72" s="41" t="s">
        <v>283</v>
      </c>
      <c r="X72" s="40"/>
      <c r="Y72" s="40"/>
      <c r="Z72" s="40"/>
      <c r="AA72" s="31"/>
      <c r="AB72" s="32"/>
      <c r="AC72" s="29"/>
      <c r="AE72" s="41" t="s">
        <v>444</v>
      </c>
      <c r="AF72" s="41" t="s">
        <v>283</v>
      </c>
      <c r="AG72" s="40"/>
      <c r="AH72" s="40"/>
      <c r="AI72" s="40"/>
      <c r="AJ72" s="31"/>
      <c r="AK72" s="32"/>
      <c r="AL72" s="29"/>
      <c r="AN72" s="41" t="s">
        <v>444</v>
      </c>
      <c r="AO72" s="41" t="s">
        <v>283</v>
      </c>
      <c r="AP72" s="40"/>
      <c r="AQ72" s="40"/>
      <c r="AR72" s="40"/>
      <c r="AS72" s="31"/>
      <c r="AT72" s="32"/>
      <c r="AU72" s="29"/>
      <c r="AW72" s="41" t="s">
        <v>444</v>
      </c>
      <c r="AX72" s="41" t="s">
        <v>283</v>
      </c>
      <c r="AY72" s="40"/>
      <c r="AZ72" s="40"/>
      <c r="BA72" s="40"/>
      <c r="BB72" s="31"/>
      <c r="BC72" s="32"/>
      <c r="BD72" s="29"/>
      <c r="BF72" s="41" t="s">
        <v>444</v>
      </c>
      <c r="BG72" s="41" t="s">
        <v>283</v>
      </c>
      <c r="BH72" s="40"/>
      <c r="BI72" s="40"/>
      <c r="BJ72" s="40"/>
      <c r="BK72" s="31"/>
      <c r="BL72" s="32"/>
      <c r="BM72" s="29"/>
    </row>
    <row r="73" spans="2:65" outlineLevel="1" x14ac:dyDescent="0.25">
      <c r="B73" s="41" t="s">
        <v>444</v>
      </c>
      <c r="C73" s="41" t="s">
        <v>283</v>
      </c>
      <c r="D73" s="40"/>
      <c r="E73" s="40"/>
      <c r="F73" s="40"/>
      <c r="G73" s="31"/>
      <c r="H73" s="32"/>
      <c r="I73" s="29"/>
      <c r="J73" s="171"/>
      <c r="L73" s="41" t="s">
        <v>444</v>
      </c>
      <c r="M73" s="41" t="s">
        <v>283</v>
      </c>
      <c r="N73" s="40"/>
      <c r="O73" s="40"/>
      <c r="P73" s="40"/>
      <c r="Q73" s="31"/>
      <c r="R73" s="32"/>
      <c r="S73" s="29"/>
      <c r="T73" s="171"/>
      <c r="V73" s="41" t="s">
        <v>444</v>
      </c>
      <c r="W73" s="41" t="s">
        <v>283</v>
      </c>
      <c r="X73" s="40"/>
      <c r="Y73" s="40"/>
      <c r="Z73" s="40"/>
      <c r="AA73" s="31"/>
      <c r="AB73" s="32"/>
      <c r="AC73" s="29"/>
      <c r="AE73" s="41" t="s">
        <v>444</v>
      </c>
      <c r="AF73" s="41" t="s">
        <v>283</v>
      </c>
      <c r="AG73" s="40"/>
      <c r="AH73" s="40"/>
      <c r="AI73" s="40"/>
      <c r="AJ73" s="31"/>
      <c r="AK73" s="32"/>
      <c r="AL73" s="29"/>
      <c r="AN73" s="41" t="s">
        <v>444</v>
      </c>
      <c r="AO73" s="41" t="s">
        <v>283</v>
      </c>
      <c r="AP73" s="40"/>
      <c r="AQ73" s="40"/>
      <c r="AR73" s="40"/>
      <c r="AS73" s="31"/>
      <c r="AT73" s="32"/>
      <c r="AU73" s="29"/>
      <c r="AW73" s="41" t="s">
        <v>444</v>
      </c>
      <c r="AX73" s="41" t="s">
        <v>283</v>
      </c>
      <c r="AY73" s="40"/>
      <c r="AZ73" s="40"/>
      <c r="BA73" s="40"/>
      <c r="BB73" s="31"/>
      <c r="BC73" s="32"/>
      <c r="BD73" s="29"/>
      <c r="BF73" s="41" t="s">
        <v>444</v>
      </c>
      <c r="BG73" s="41" t="s">
        <v>283</v>
      </c>
      <c r="BH73" s="40"/>
      <c r="BI73" s="40"/>
      <c r="BJ73" s="40"/>
      <c r="BK73" s="31"/>
      <c r="BL73" s="32"/>
      <c r="BM73" s="29"/>
    </row>
    <row r="74" spans="2:65" outlineLevel="1" x14ac:dyDescent="0.25">
      <c r="B74" s="41" t="s">
        <v>444</v>
      </c>
      <c r="C74" s="41" t="s">
        <v>283</v>
      </c>
      <c r="D74" s="40"/>
      <c r="E74" s="40"/>
      <c r="F74" s="40"/>
      <c r="G74" s="31"/>
      <c r="H74" s="32"/>
      <c r="I74" s="29"/>
      <c r="J74" s="171"/>
      <c r="L74" s="41" t="s">
        <v>444</v>
      </c>
      <c r="M74" s="41" t="s">
        <v>283</v>
      </c>
      <c r="N74" s="40"/>
      <c r="O74" s="40"/>
      <c r="P74" s="40"/>
      <c r="Q74" s="31"/>
      <c r="R74" s="32"/>
      <c r="S74" s="29"/>
      <c r="T74" s="171"/>
      <c r="V74" s="41" t="s">
        <v>444</v>
      </c>
      <c r="W74" s="41" t="s">
        <v>283</v>
      </c>
      <c r="X74" s="40"/>
      <c r="Y74" s="40"/>
      <c r="Z74" s="40"/>
      <c r="AA74" s="31"/>
      <c r="AB74" s="32"/>
      <c r="AC74" s="29"/>
      <c r="AE74" s="41" t="s">
        <v>444</v>
      </c>
      <c r="AF74" s="41" t="s">
        <v>283</v>
      </c>
      <c r="AG74" s="40"/>
      <c r="AH74" s="40"/>
      <c r="AI74" s="40"/>
      <c r="AJ74" s="31"/>
      <c r="AK74" s="32"/>
      <c r="AL74" s="29"/>
      <c r="AN74" s="41" t="s">
        <v>444</v>
      </c>
      <c r="AO74" s="41" t="s">
        <v>283</v>
      </c>
      <c r="AP74" s="40"/>
      <c r="AQ74" s="40"/>
      <c r="AR74" s="40"/>
      <c r="AS74" s="31"/>
      <c r="AT74" s="32"/>
      <c r="AU74" s="29"/>
      <c r="AW74" s="41" t="s">
        <v>444</v>
      </c>
      <c r="AX74" s="41" t="s">
        <v>283</v>
      </c>
      <c r="AY74" s="40"/>
      <c r="AZ74" s="40"/>
      <c r="BA74" s="40"/>
      <c r="BB74" s="31"/>
      <c r="BC74" s="32"/>
      <c r="BD74" s="29"/>
      <c r="BF74" s="41" t="s">
        <v>444</v>
      </c>
      <c r="BG74" s="41" t="s">
        <v>283</v>
      </c>
      <c r="BH74" s="40"/>
      <c r="BI74" s="40"/>
      <c r="BJ74" s="40"/>
      <c r="BK74" s="31"/>
      <c r="BL74" s="32"/>
      <c r="BM74" s="29"/>
    </row>
    <row r="75" spans="2:65" outlineLevel="1" x14ac:dyDescent="0.25">
      <c r="B75" s="41" t="s">
        <v>444</v>
      </c>
      <c r="C75" s="41" t="s">
        <v>283</v>
      </c>
      <c r="D75" s="40"/>
      <c r="E75" s="40"/>
      <c r="F75" s="40"/>
      <c r="G75" s="31"/>
      <c r="H75" s="32"/>
      <c r="I75" s="29"/>
      <c r="J75" s="171"/>
      <c r="L75" s="41" t="s">
        <v>444</v>
      </c>
      <c r="M75" s="41" t="s">
        <v>283</v>
      </c>
      <c r="N75" s="40"/>
      <c r="O75" s="40"/>
      <c r="P75" s="40"/>
      <c r="Q75" s="31"/>
      <c r="R75" s="32"/>
      <c r="S75" s="29"/>
      <c r="T75" s="171"/>
      <c r="V75" s="41" t="s">
        <v>444</v>
      </c>
      <c r="W75" s="41" t="s">
        <v>283</v>
      </c>
      <c r="X75" s="40"/>
      <c r="Y75" s="40"/>
      <c r="Z75" s="40"/>
      <c r="AA75" s="31"/>
      <c r="AB75" s="32"/>
      <c r="AC75" s="29"/>
      <c r="AE75" s="41" t="s">
        <v>444</v>
      </c>
      <c r="AF75" s="41" t="s">
        <v>283</v>
      </c>
      <c r="AG75" s="40"/>
      <c r="AH75" s="40"/>
      <c r="AI75" s="40"/>
      <c r="AJ75" s="31"/>
      <c r="AK75" s="32"/>
      <c r="AL75" s="29"/>
      <c r="AN75" s="41" t="s">
        <v>444</v>
      </c>
      <c r="AO75" s="41" t="s">
        <v>283</v>
      </c>
      <c r="AP75" s="40"/>
      <c r="AQ75" s="40"/>
      <c r="AR75" s="40"/>
      <c r="AS75" s="31"/>
      <c r="AT75" s="32"/>
      <c r="AU75" s="29"/>
      <c r="AW75" s="41" t="s">
        <v>444</v>
      </c>
      <c r="AX75" s="41" t="s">
        <v>283</v>
      </c>
      <c r="AY75" s="40"/>
      <c r="AZ75" s="40"/>
      <c r="BA75" s="40"/>
      <c r="BB75" s="31"/>
      <c r="BC75" s="32"/>
      <c r="BD75" s="29"/>
      <c r="BF75" s="41" t="s">
        <v>444</v>
      </c>
      <c r="BG75" s="41" t="s">
        <v>283</v>
      </c>
      <c r="BH75" s="40"/>
      <c r="BI75" s="40"/>
      <c r="BJ75" s="40"/>
      <c r="BK75" s="31"/>
      <c r="BL75" s="32"/>
      <c r="BM75" s="29"/>
    </row>
    <row r="76" spans="2:65" outlineLevel="1" x14ac:dyDescent="0.25">
      <c r="B76" s="41" t="s">
        <v>444</v>
      </c>
      <c r="C76" s="41" t="s">
        <v>283</v>
      </c>
      <c r="D76" s="40"/>
      <c r="E76" s="40"/>
      <c r="F76" s="40"/>
      <c r="G76" s="31"/>
      <c r="H76" s="32"/>
      <c r="I76" s="29"/>
      <c r="J76" s="171"/>
      <c r="L76" s="41" t="s">
        <v>444</v>
      </c>
      <c r="M76" s="41" t="s">
        <v>283</v>
      </c>
      <c r="N76" s="40"/>
      <c r="O76" s="40"/>
      <c r="P76" s="40"/>
      <c r="Q76" s="31"/>
      <c r="R76" s="32"/>
      <c r="S76" s="29"/>
      <c r="T76" s="171"/>
      <c r="V76" s="41" t="s">
        <v>444</v>
      </c>
      <c r="W76" s="41" t="s">
        <v>283</v>
      </c>
      <c r="X76" s="40"/>
      <c r="Y76" s="40"/>
      <c r="Z76" s="40"/>
      <c r="AA76" s="31"/>
      <c r="AB76" s="32"/>
      <c r="AC76" s="29"/>
      <c r="AE76" s="41" t="s">
        <v>444</v>
      </c>
      <c r="AF76" s="41" t="s">
        <v>283</v>
      </c>
      <c r="AG76" s="40"/>
      <c r="AH76" s="40"/>
      <c r="AI76" s="40"/>
      <c r="AJ76" s="31"/>
      <c r="AK76" s="32"/>
      <c r="AL76" s="29"/>
      <c r="AN76" s="41" t="s">
        <v>444</v>
      </c>
      <c r="AO76" s="41" t="s">
        <v>283</v>
      </c>
      <c r="AP76" s="40"/>
      <c r="AQ76" s="40"/>
      <c r="AR76" s="40"/>
      <c r="AS76" s="31"/>
      <c r="AT76" s="32"/>
      <c r="AU76" s="29"/>
      <c r="AW76" s="41" t="s">
        <v>444</v>
      </c>
      <c r="AX76" s="41" t="s">
        <v>283</v>
      </c>
      <c r="AY76" s="40"/>
      <c r="AZ76" s="40"/>
      <c r="BA76" s="40"/>
      <c r="BB76" s="31"/>
      <c r="BC76" s="32"/>
      <c r="BD76" s="29"/>
      <c r="BF76" s="41" t="s">
        <v>444</v>
      </c>
      <c r="BG76" s="41" t="s">
        <v>283</v>
      </c>
      <c r="BH76" s="40"/>
      <c r="BI76" s="40"/>
      <c r="BJ76" s="40"/>
      <c r="BK76" s="31"/>
      <c r="BL76" s="32"/>
      <c r="BM76" s="29"/>
    </row>
    <row r="77" spans="2:65" s="24" customFormat="1" x14ac:dyDescent="0.25">
      <c r="B77" s="8" t="s">
        <v>445</v>
      </c>
      <c r="C77" s="25"/>
      <c r="D77" s="28">
        <f t="shared" ref="D77:F77" si="54">SUM(D62:D76)</f>
        <v>0</v>
      </c>
      <c r="E77" s="28">
        <f t="shared" si="54"/>
        <v>0</v>
      </c>
      <c r="F77" s="28">
        <f t="shared" si="54"/>
        <v>0</v>
      </c>
      <c r="G77" s="25"/>
      <c r="H77" s="26"/>
      <c r="I77" s="30"/>
      <c r="J77" s="170"/>
      <c r="L77" s="8" t="s">
        <v>445</v>
      </c>
      <c r="M77" s="25"/>
      <c r="N77" s="28">
        <f t="shared" ref="N77:P77" si="55">SUM(N62:N76)</f>
        <v>0</v>
      </c>
      <c r="O77" s="28">
        <f t="shared" si="55"/>
        <v>0</v>
      </c>
      <c r="P77" s="28">
        <f t="shared" si="55"/>
        <v>0</v>
      </c>
      <c r="Q77" s="25"/>
      <c r="R77" s="26"/>
      <c r="S77" s="30"/>
      <c r="T77" s="170"/>
      <c r="V77" s="8" t="s">
        <v>445</v>
      </c>
      <c r="W77" s="25"/>
      <c r="X77" s="28">
        <f t="shared" ref="X77:Z77" si="56">SUM(X62:X76)</f>
        <v>0</v>
      </c>
      <c r="Y77" s="28">
        <f t="shared" si="56"/>
        <v>0</v>
      </c>
      <c r="Z77" s="28">
        <f t="shared" si="56"/>
        <v>0</v>
      </c>
      <c r="AA77" s="25"/>
      <c r="AB77" s="26"/>
      <c r="AC77" s="30"/>
      <c r="AE77" s="8" t="s">
        <v>445</v>
      </c>
      <c r="AF77" s="25"/>
      <c r="AG77" s="28">
        <f t="shared" ref="AG77:AI77" si="57">SUM(AG62:AG76)</f>
        <v>0</v>
      </c>
      <c r="AH77" s="28">
        <f t="shared" si="57"/>
        <v>0</v>
      </c>
      <c r="AI77" s="28">
        <f t="shared" si="57"/>
        <v>0</v>
      </c>
      <c r="AJ77" s="25"/>
      <c r="AK77" s="26"/>
      <c r="AL77" s="30"/>
      <c r="AN77" s="8" t="s">
        <v>445</v>
      </c>
      <c r="AO77" s="25"/>
      <c r="AP77" s="28">
        <f t="shared" ref="AP77:AR77" si="58">SUM(AP62:AP76)</f>
        <v>0</v>
      </c>
      <c r="AQ77" s="28">
        <f t="shared" si="58"/>
        <v>0</v>
      </c>
      <c r="AR77" s="28">
        <f t="shared" si="58"/>
        <v>0</v>
      </c>
      <c r="AS77" s="25"/>
      <c r="AT77" s="26"/>
      <c r="AU77" s="30"/>
      <c r="AW77" s="8" t="s">
        <v>445</v>
      </c>
      <c r="AX77" s="25"/>
      <c r="AY77" s="28">
        <f t="shared" ref="AY77:BA77" si="59">SUM(AY62:AY76)</f>
        <v>0</v>
      </c>
      <c r="AZ77" s="28">
        <f t="shared" si="59"/>
        <v>0</v>
      </c>
      <c r="BA77" s="28">
        <f t="shared" si="59"/>
        <v>0</v>
      </c>
      <c r="BB77" s="25"/>
      <c r="BC77" s="26"/>
      <c r="BD77" s="30"/>
      <c r="BF77" s="8" t="s">
        <v>445</v>
      </c>
      <c r="BG77" s="25"/>
      <c r="BH77" s="28">
        <f t="shared" ref="BH77:BJ77" si="60">SUM(BH62:BH76)</f>
        <v>0</v>
      </c>
      <c r="BI77" s="28">
        <f t="shared" si="60"/>
        <v>0</v>
      </c>
      <c r="BJ77" s="28">
        <f t="shared" si="60"/>
        <v>0</v>
      </c>
      <c r="BK77" s="25"/>
      <c r="BL77" s="26"/>
      <c r="BM77" s="30"/>
    </row>
    <row r="79" spans="2:65" s="20" customFormat="1" ht="38.25" x14ac:dyDescent="0.25">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2" t="s">
        <v>380</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2" t="s">
        <v>380</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x14ac:dyDescent="0.25">
      <c r="B80" s="41" t="s">
        <v>444</v>
      </c>
      <c r="C80" s="41" t="s">
        <v>283</v>
      </c>
      <c r="D80" s="40"/>
      <c r="E80" s="40"/>
      <c r="F80" s="29"/>
      <c r="G80" s="22"/>
      <c r="H80" s="23">
        <v>0.82</v>
      </c>
      <c r="I80" s="75">
        <f>D80*G80*H80</f>
        <v>0</v>
      </c>
      <c r="J80" s="171"/>
      <c r="L80" s="41" t="s">
        <v>444</v>
      </c>
      <c r="M80" s="41" t="s">
        <v>283</v>
      </c>
      <c r="N80" s="40"/>
      <c r="O80" s="40"/>
      <c r="P80" s="29"/>
      <c r="Q80" s="22"/>
      <c r="R80" s="23">
        <v>0.82</v>
      </c>
      <c r="S80" s="75">
        <f>N80*Q80*R80</f>
        <v>0</v>
      </c>
      <c r="T80" s="171"/>
      <c r="V80" s="41" t="s">
        <v>444</v>
      </c>
      <c r="W80" s="41" t="s">
        <v>283</v>
      </c>
      <c r="X80" s="40"/>
      <c r="Y80" s="40"/>
      <c r="Z80" s="29"/>
      <c r="AA80" s="22">
        <v>0.08</v>
      </c>
      <c r="AB80" s="23">
        <v>0.82</v>
      </c>
      <c r="AC80" s="75">
        <f>X80*AA80*AB80</f>
        <v>0</v>
      </c>
      <c r="AE80" s="41" t="s">
        <v>444</v>
      </c>
      <c r="AF80" s="41" t="s">
        <v>283</v>
      </c>
      <c r="AG80" s="40"/>
      <c r="AH80" s="40"/>
      <c r="AI80" s="29"/>
      <c r="AJ80" s="22">
        <v>0.08</v>
      </c>
      <c r="AK80" s="23">
        <v>0.82</v>
      </c>
      <c r="AL80" s="75">
        <f>AG80*AJ80*AK80</f>
        <v>0</v>
      </c>
      <c r="AN80" s="41" t="s">
        <v>444</v>
      </c>
      <c r="AO80" s="41" t="s">
        <v>283</v>
      </c>
      <c r="AP80" s="40"/>
      <c r="AQ80" s="40"/>
      <c r="AR80" s="29"/>
      <c r="AS80" s="22">
        <v>0.08</v>
      </c>
      <c r="AT80" s="23">
        <v>0.82</v>
      </c>
      <c r="AU80" s="75">
        <f>AP80*AS80*AT80</f>
        <v>0</v>
      </c>
      <c r="AW80" s="41" t="s">
        <v>444</v>
      </c>
      <c r="AX80" s="41" t="s">
        <v>283</v>
      </c>
      <c r="AY80" s="40"/>
      <c r="AZ80" s="40"/>
      <c r="BA80" s="29"/>
      <c r="BB80" s="22">
        <v>0.08</v>
      </c>
      <c r="BC80" s="23">
        <v>0.82</v>
      </c>
      <c r="BD80" s="75">
        <f>AY80*BB80*BC80</f>
        <v>0</v>
      </c>
      <c r="BF80" s="41" t="s">
        <v>444</v>
      </c>
      <c r="BG80" s="41" t="s">
        <v>283</v>
      </c>
      <c r="BH80" s="40"/>
      <c r="BI80" s="40"/>
      <c r="BJ80" s="29"/>
      <c r="BK80" s="22">
        <v>0.08</v>
      </c>
      <c r="BL80" s="23">
        <v>0.82</v>
      </c>
      <c r="BM80" s="75">
        <f>BH80*BK80*BL80</f>
        <v>0</v>
      </c>
    </row>
    <row r="81" spans="2:65" x14ac:dyDescent="0.25">
      <c r="B81" s="41" t="s">
        <v>444</v>
      </c>
      <c r="C81" s="41" t="s">
        <v>283</v>
      </c>
      <c r="D81" s="40"/>
      <c r="E81" s="40"/>
      <c r="F81" s="29"/>
      <c r="G81" s="22"/>
      <c r="H81" s="23">
        <v>0.82</v>
      </c>
      <c r="I81" s="75">
        <f t="shared" ref="I81:I94" si="68">D81*G81*H81</f>
        <v>0</v>
      </c>
      <c r="J81" s="171"/>
      <c r="L81" s="41" t="s">
        <v>444</v>
      </c>
      <c r="M81" s="41" t="s">
        <v>283</v>
      </c>
      <c r="N81" s="40"/>
      <c r="O81" s="40"/>
      <c r="P81" s="29"/>
      <c r="Q81" s="22"/>
      <c r="R81" s="23">
        <v>0.82</v>
      </c>
      <c r="S81" s="75">
        <f t="shared" ref="S81:S94" si="69">N81*Q81*R81</f>
        <v>0</v>
      </c>
      <c r="T81" s="171"/>
      <c r="V81" s="41" t="s">
        <v>444</v>
      </c>
      <c r="W81" s="41" t="s">
        <v>283</v>
      </c>
      <c r="X81" s="40"/>
      <c r="Y81" s="40"/>
      <c r="Z81" s="29"/>
      <c r="AA81" s="22"/>
      <c r="AB81" s="23">
        <v>0.82</v>
      </c>
      <c r="AC81" s="75">
        <f t="shared" ref="AC81:AC94" si="70">X81*AA81*AB81</f>
        <v>0</v>
      </c>
      <c r="AE81" s="41" t="s">
        <v>444</v>
      </c>
      <c r="AF81" s="41" t="s">
        <v>283</v>
      </c>
      <c r="AG81" s="40"/>
      <c r="AH81" s="40"/>
      <c r="AI81" s="29"/>
      <c r="AJ81" s="22"/>
      <c r="AK81" s="23">
        <v>0.82</v>
      </c>
      <c r="AL81" s="75">
        <f t="shared" ref="AL81:AL94" si="71">AG81*AJ81*AK81</f>
        <v>0</v>
      </c>
      <c r="AN81" s="41" t="s">
        <v>444</v>
      </c>
      <c r="AO81" s="41" t="s">
        <v>283</v>
      </c>
      <c r="AP81" s="40"/>
      <c r="AQ81" s="40"/>
      <c r="AR81" s="29"/>
      <c r="AS81" s="22"/>
      <c r="AT81" s="23">
        <v>0.82</v>
      </c>
      <c r="AU81" s="75">
        <f t="shared" ref="AU81:AU94" si="72">AP81*AS81*AT81</f>
        <v>0</v>
      </c>
      <c r="AW81" s="41" t="s">
        <v>444</v>
      </c>
      <c r="AX81" s="41" t="s">
        <v>283</v>
      </c>
      <c r="AY81" s="40"/>
      <c r="AZ81" s="40"/>
      <c r="BA81" s="29"/>
      <c r="BB81" s="22"/>
      <c r="BC81" s="23">
        <v>0.82</v>
      </c>
      <c r="BD81" s="75">
        <f t="shared" ref="BD81:BD94" si="73">AY81*BB81*BC81</f>
        <v>0</v>
      </c>
      <c r="BF81" s="41" t="s">
        <v>444</v>
      </c>
      <c r="BG81" s="41" t="s">
        <v>283</v>
      </c>
      <c r="BH81" s="40"/>
      <c r="BI81" s="40"/>
      <c r="BJ81" s="29"/>
      <c r="BK81" s="22"/>
      <c r="BL81" s="23">
        <v>0.82</v>
      </c>
      <c r="BM81" s="75">
        <f t="shared" ref="BM81:BM94" si="74">BH81*BK81*BL81</f>
        <v>0</v>
      </c>
    </row>
    <row r="82" spans="2:65" x14ac:dyDescent="0.25">
      <c r="B82" s="41" t="s">
        <v>444</v>
      </c>
      <c r="C82" s="41" t="s">
        <v>283</v>
      </c>
      <c r="D82" s="40"/>
      <c r="E82" s="40"/>
      <c r="F82" s="29"/>
      <c r="G82" s="22"/>
      <c r="H82" s="23">
        <v>0.82</v>
      </c>
      <c r="I82" s="75">
        <f t="shared" si="68"/>
        <v>0</v>
      </c>
      <c r="J82" s="171"/>
      <c r="L82" s="41" t="s">
        <v>444</v>
      </c>
      <c r="M82" s="41" t="s">
        <v>283</v>
      </c>
      <c r="N82" s="40"/>
      <c r="O82" s="40"/>
      <c r="P82" s="29"/>
      <c r="Q82" s="22"/>
      <c r="R82" s="23">
        <v>0.82</v>
      </c>
      <c r="S82" s="75">
        <f t="shared" si="69"/>
        <v>0</v>
      </c>
      <c r="T82" s="171"/>
      <c r="V82" s="41" t="s">
        <v>444</v>
      </c>
      <c r="W82" s="41" t="s">
        <v>283</v>
      </c>
      <c r="X82" s="40"/>
      <c r="Y82" s="40"/>
      <c r="Z82" s="29"/>
      <c r="AA82" s="22"/>
      <c r="AB82" s="23">
        <v>0.82</v>
      </c>
      <c r="AC82" s="75">
        <f t="shared" si="70"/>
        <v>0</v>
      </c>
      <c r="AE82" s="41" t="s">
        <v>444</v>
      </c>
      <c r="AF82" s="41" t="s">
        <v>283</v>
      </c>
      <c r="AG82" s="40"/>
      <c r="AH82" s="40"/>
      <c r="AI82" s="29"/>
      <c r="AJ82" s="22"/>
      <c r="AK82" s="23">
        <v>0.82</v>
      </c>
      <c r="AL82" s="75">
        <f t="shared" si="71"/>
        <v>0</v>
      </c>
      <c r="AN82" s="41" t="s">
        <v>444</v>
      </c>
      <c r="AO82" s="41" t="s">
        <v>283</v>
      </c>
      <c r="AP82" s="40"/>
      <c r="AQ82" s="40"/>
      <c r="AR82" s="29"/>
      <c r="AS82" s="22"/>
      <c r="AT82" s="23">
        <v>0.82</v>
      </c>
      <c r="AU82" s="75">
        <f t="shared" si="72"/>
        <v>0</v>
      </c>
      <c r="AW82" s="41" t="s">
        <v>444</v>
      </c>
      <c r="AX82" s="41" t="s">
        <v>283</v>
      </c>
      <c r="AY82" s="40"/>
      <c r="AZ82" s="40"/>
      <c r="BA82" s="29"/>
      <c r="BB82" s="22"/>
      <c r="BC82" s="23">
        <v>0.82</v>
      </c>
      <c r="BD82" s="75">
        <f t="shared" si="73"/>
        <v>0</v>
      </c>
      <c r="BF82" s="41" t="s">
        <v>444</v>
      </c>
      <c r="BG82" s="41" t="s">
        <v>283</v>
      </c>
      <c r="BH82" s="40"/>
      <c r="BI82" s="40"/>
      <c r="BJ82" s="29"/>
      <c r="BK82" s="22"/>
      <c r="BL82" s="23">
        <v>0.82</v>
      </c>
      <c r="BM82" s="75">
        <f t="shared" si="74"/>
        <v>0</v>
      </c>
    </row>
    <row r="83" spans="2:65" x14ac:dyDescent="0.25">
      <c r="B83" s="41" t="s">
        <v>444</v>
      </c>
      <c r="C83" s="41" t="s">
        <v>283</v>
      </c>
      <c r="D83" s="40"/>
      <c r="E83" s="40"/>
      <c r="F83" s="29"/>
      <c r="G83" s="22"/>
      <c r="H83" s="23">
        <v>0.82</v>
      </c>
      <c r="I83" s="75">
        <f t="shared" si="68"/>
        <v>0</v>
      </c>
      <c r="J83" s="171"/>
      <c r="L83" s="41" t="s">
        <v>444</v>
      </c>
      <c r="M83" s="41" t="s">
        <v>283</v>
      </c>
      <c r="N83" s="40"/>
      <c r="O83" s="40"/>
      <c r="P83" s="29"/>
      <c r="Q83" s="22"/>
      <c r="R83" s="23">
        <v>0.82</v>
      </c>
      <c r="S83" s="75">
        <f t="shared" si="69"/>
        <v>0</v>
      </c>
      <c r="T83" s="171"/>
      <c r="V83" s="41" t="s">
        <v>444</v>
      </c>
      <c r="W83" s="41" t="s">
        <v>283</v>
      </c>
      <c r="X83" s="40"/>
      <c r="Y83" s="40"/>
      <c r="Z83" s="29"/>
      <c r="AA83" s="22"/>
      <c r="AB83" s="23">
        <v>0.82</v>
      </c>
      <c r="AC83" s="75">
        <f t="shared" si="70"/>
        <v>0</v>
      </c>
      <c r="AE83" s="41" t="s">
        <v>444</v>
      </c>
      <c r="AF83" s="41" t="s">
        <v>283</v>
      </c>
      <c r="AG83" s="40"/>
      <c r="AH83" s="40"/>
      <c r="AI83" s="29"/>
      <c r="AJ83" s="22"/>
      <c r="AK83" s="23">
        <v>0.82</v>
      </c>
      <c r="AL83" s="75">
        <f t="shared" si="71"/>
        <v>0</v>
      </c>
      <c r="AN83" s="41" t="s">
        <v>444</v>
      </c>
      <c r="AO83" s="41" t="s">
        <v>283</v>
      </c>
      <c r="AP83" s="40"/>
      <c r="AQ83" s="40"/>
      <c r="AR83" s="29"/>
      <c r="AS83" s="22"/>
      <c r="AT83" s="23">
        <v>0.82</v>
      </c>
      <c r="AU83" s="75">
        <f t="shared" si="72"/>
        <v>0</v>
      </c>
      <c r="AW83" s="41" t="s">
        <v>444</v>
      </c>
      <c r="AX83" s="41" t="s">
        <v>283</v>
      </c>
      <c r="AY83" s="40"/>
      <c r="AZ83" s="40"/>
      <c r="BA83" s="29"/>
      <c r="BB83" s="22"/>
      <c r="BC83" s="23">
        <v>0.82</v>
      </c>
      <c r="BD83" s="75">
        <f t="shared" si="73"/>
        <v>0</v>
      </c>
      <c r="BF83" s="41" t="s">
        <v>444</v>
      </c>
      <c r="BG83" s="41" t="s">
        <v>283</v>
      </c>
      <c r="BH83" s="40"/>
      <c r="BI83" s="40"/>
      <c r="BJ83" s="29"/>
      <c r="BK83" s="22"/>
      <c r="BL83" s="23">
        <v>0.82</v>
      </c>
      <c r="BM83" s="75">
        <f t="shared" si="74"/>
        <v>0</v>
      </c>
    </row>
    <row r="84" spans="2:65" x14ac:dyDescent="0.25">
      <c r="B84" s="41" t="s">
        <v>444</v>
      </c>
      <c r="C84" s="41" t="s">
        <v>283</v>
      </c>
      <c r="D84" s="40"/>
      <c r="E84" s="40"/>
      <c r="F84" s="29"/>
      <c r="G84" s="22"/>
      <c r="H84" s="23">
        <v>0.82</v>
      </c>
      <c r="I84" s="75">
        <f t="shared" si="68"/>
        <v>0</v>
      </c>
      <c r="J84" s="171"/>
      <c r="L84" s="41" t="s">
        <v>444</v>
      </c>
      <c r="M84" s="41" t="s">
        <v>283</v>
      </c>
      <c r="N84" s="40"/>
      <c r="O84" s="40"/>
      <c r="P84" s="29"/>
      <c r="Q84" s="22"/>
      <c r="R84" s="23">
        <v>0.82</v>
      </c>
      <c r="S84" s="75">
        <f t="shared" si="69"/>
        <v>0</v>
      </c>
      <c r="T84" s="171"/>
      <c r="V84" s="41" t="s">
        <v>444</v>
      </c>
      <c r="W84" s="41" t="s">
        <v>283</v>
      </c>
      <c r="X84" s="40"/>
      <c r="Y84" s="40"/>
      <c r="Z84" s="29"/>
      <c r="AA84" s="22"/>
      <c r="AB84" s="23">
        <v>0.82</v>
      </c>
      <c r="AC84" s="75">
        <f t="shared" si="70"/>
        <v>0</v>
      </c>
      <c r="AE84" s="41" t="s">
        <v>444</v>
      </c>
      <c r="AF84" s="41" t="s">
        <v>283</v>
      </c>
      <c r="AG84" s="40"/>
      <c r="AH84" s="40"/>
      <c r="AI84" s="29"/>
      <c r="AJ84" s="22"/>
      <c r="AK84" s="23">
        <v>0.82</v>
      </c>
      <c r="AL84" s="75">
        <f t="shared" si="71"/>
        <v>0</v>
      </c>
      <c r="AN84" s="41" t="s">
        <v>444</v>
      </c>
      <c r="AO84" s="41" t="s">
        <v>283</v>
      </c>
      <c r="AP84" s="40"/>
      <c r="AQ84" s="40"/>
      <c r="AR84" s="29"/>
      <c r="AS84" s="22"/>
      <c r="AT84" s="23">
        <v>0.82</v>
      </c>
      <c r="AU84" s="75">
        <f t="shared" si="72"/>
        <v>0</v>
      </c>
      <c r="AW84" s="41" t="s">
        <v>444</v>
      </c>
      <c r="AX84" s="41" t="s">
        <v>283</v>
      </c>
      <c r="AY84" s="40"/>
      <c r="AZ84" s="40"/>
      <c r="BA84" s="29"/>
      <c r="BB84" s="22"/>
      <c r="BC84" s="23">
        <v>0.82</v>
      </c>
      <c r="BD84" s="75">
        <f t="shared" si="73"/>
        <v>0</v>
      </c>
      <c r="BF84" s="41" t="s">
        <v>444</v>
      </c>
      <c r="BG84" s="41" t="s">
        <v>283</v>
      </c>
      <c r="BH84" s="40"/>
      <c r="BI84" s="40"/>
      <c r="BJ84" s="29"/>
      <c r="BK84" s="22"/>
      <c r="BL84" s="23">
        <v>0.82</v>
      </c>
      <c r="BM84" s="75">
        <f t="shared" si="74"/>
        <v>0</v>
      </c>
    </row>
    <row r="85" spans="2:65" x14ac:dyDescent="0.25">
      <c r="B85" s="41" t="s">
        <v>444</v>
      </c>
      <c r="C85" s="41" t="s">
        <v>283</v>
      </c>
      <c r="D85" s="40"/>
      <c r="E85" s="40"/>
      <c r="F85" s="29"/>
      <c r="G85" s="22"/>
      <c r="H85" s="23">
        <v>0.82</v>
      </c>
      <c r="I85" s="75">
        <f t="shared" si="68"/>
        <v>0</v>
      </c>
      <c r="J85" s="171"/>
      <c r="L85" s="41" t="s">
        <v>444</v>
      </c>
      <c r="M85" s="41" t="s">
        <v>283</v>
      </c>
      <c r="N85" s="40"/>
      <c r="O85" s="40"/>
      <c r="P85" s="29"/>
      <c r="Q85" s="22"/>
      <c r="R85" s="23">
        <v>0.82</v>
      </c>
      <c r="S85" s="75">
        <f t="shared" si="69"/>
        <v>0</v>
      </c>
      <c r="T85" s="171"/>
      <c r="V85" s="41" t="s">
        <v>444</v>
      </c>
      <c r="W85" s="41" t="s">
        <v>283</v>
      </c>
      <c r="X85" s="40"/>
      <c r="Y85" s="40"/>
      <c r="Z85" s="29"/>
      <c r="AA85" s="22"/>
      <c r="AB85" s="23">
        <v>0.82</v>
      </c>
      <c r="AC85" s="75">
        <f t="shared" si="70"/>
        <v>0</v>
      </c>
      <c r="AE85" s="41" t="s">
        <v>444</v>
      </c>
      <c r="AF85" s="41" t="s">
        <v>283</v>
      </c>
      <c r="AG85" s="40"/>
      <c r="AH85" s="40"/>
      <c r="AI85" s="29"/>
      <c r="AJ85" s="22"/>
      <c r="AK85" s="23">
        <v>0.82</v>
      </c>
      <c r="AL85" s="75">
        <f t="shared" si="71"/>
        <v>0</v>
      </c>
      <c r="AN85" s="41" t="s">
        <v>444</v>
      </c>
      <c r="AO85" s="41" t="s">
        <v>283</v>
      </c>
      <c r="AP85" s="40"/>
      <c r="AQ85" s="40"/>
      <c r="AR85" s="29"/>
      <c r="AS85" s="22"/>
      <c r="AT85" s="23">
        <v>0.82</v>
      </c>
      <c r="AU85" s="75">
        <f t="shared" si="72"/>
        <v>0</v>
      </c>
      <c r="AW85" s="41" t="s">
        <v>444</v>
      </c>
      <c r="AX85" s="41" t="s">
        <v>283</v>
      </c>
      <c r="AY85" s="40"/>
      <c r="AZ85" s="40"/>
      <c r="BA85" s="29"/>
      <c r="BB85" s="22"/>
      <c r="BC85" s="23">
        <v>0.82</v>
      </c>
      <c r="BD85" s="75">
        <f t="shared" si="73"/>
        <v>0</v>
      </c>
      <c r="BF85" s="41" t="s">
        <v>444</v>
      </c>
      <c r="BG85" s="41" t="s">
        <v>283</v>
      </c>
      <c r="BH85" s="40"/>
      <c r="BI85" s="40"/>
      <c r="BJ85" s="29"/>
      <c r="BK85" s="22"/>
      <c r="BL85" s="23">
        <v>0.82</v>
      </c>
      <c r="BM85" s="75">
        <f t="shared" si="74"/>
        <v>0</v>
      </c>
    </row>
    <row r="86" spans="2:65" x14ac:dyDescent="0.25">
      <c r="B86" s="41" t="s">
        <v>444</v>
      </c>
      <c r="C86" s="41" t="s">
        <v>283</v>
      </c>
      <c r="D86" s="40"/>
      <c r="E86" s="40"/>
      <c r="F86" s="29"/>
      <c r="G86" s="22"/>
      <c r="H86" s="23">
        <v>0.82</v>
      </c>
      <c r="I86" s="75">
        <f t="shared" si="68"/>
        <v>0</v>
      </c>
      <c r="J86" s="171"/>
      <c r="L86" s="41" t="s">
        <v>444</v>
      </c>
      <c r="M86" s="41" t="s">
        <v>283</v>
      </c>
      <c r="N86" s="40"/>
      <c r="O86" s="40"/>
      <c r="P86" s="29"/>
      <c r="Q86" s="22"/>
      <c r="R86" s="23">
        <v>0.82</v>
      </c>
      <c r="S86" s="75">
        <f t="shared" si="69"/>
        <v>0</v>
      </c>
      <c r="T86" s="171"/>
      <c r="V86" s="41" t="s">
        <v>444</v>
      </c>
      <c r="W86" s="41" t="s">
        <v>283</v>
      </c>
      <c r="X86" s="40"/>
      <c r="Y86" s="40"/>
      <c r="Z86" s="29"/>
      <c r="AA86" s="22"/>
      <c r="AB86" s="23">
        <v>0.82</v>
      </c>
      <c r="AC86" s="75">
        <f t="shared" si="70"/>
        <v>0</v>
      </c>
      <c r="AE86" s="41" t="s">
        <v>444</v>
      </c>
      <c r="AF86" s="41" t="s">
        <v>283</v>
      </c>
      <c r="AG86" s="40"/>
      <c r="AH86" s="40"/>
      <c r="AI86" s="29"/>
      <c r="AJ86" s="22"/>
      <c r="AK86" s="23">
        <v>0.82</v>
      </c>
      <c r="AL86" s="75">
        <f t="shared" si="71"/>
        <v>0</v>
      </c>
      <c r="AN86" s="41" t="s">
        <v>444</v>
      </c>
      <c r="AO86" s="41" t="s">
        <v>283</v>
      </c>
      <c r="AP86" s="40"/>
      <c r="AQ86" s="40"/>
      <c r="AR86" s="29"/>
      <c r="AS86" s="22"/>
      <c r="AT86" s="23">
        <v>0.82</v>
      </c>
      <c r="AU86" s="75">
        <f t="shared" si="72"/>
        <v>0</v>
      </c>
      <c r="AW86" s="41" t="s">
        <v>444</v>
      </c>
      <c r="AX86" s="41" t="s">
        <v>283</v>
      </c>
      <c r="AY86" s="40"/>
      <c r="AZ86" s="40"/>
      <c r="BA86" s="29"/>
      <c r="BB86" s="22"/>
      <c r="BC86" s="23">
        <v>0.82</v>
      </c>
      <c r="BD86" s="75">
        <f t="shared" si="73"/>
        <v>0</v>
      </c>
      <c r="BF86" s="41" t="s">
        <v>444</v>
      </c>
      <c r="BG86" s="41" t="s">
        <v>283</v>
      </c>
      <c r="BH86" s="40"/>
      <c r="BI86" s="40"/>
      <c r="BJ86" s="29"/>
      <c r="BK86" s="22"/>
      <c r="BL86" s="23">
        <v>0.82</v>
      </c>
      <c r="BM86" s="75">
        <f t="shared" si="74"/>
        <v>0</v>
      </c>
    </row>
    <row r="87" spans="2:65" outlineLevel="1" x14ac:dyDescent="0.25">
      <c r="B87" s="41" t="s">
        <v>444</v>
      </c>
      <c r="C87" s="41" t="s">
        <v>283</v>
      </c>
      <c r="D87" s="40"/>
      <c r="E87" s="40"/>
      <c r="F87" s="29"/>
      <c r="G87" s="22"/>
      <c r="H87" s="23">
        <v>0.82</v>
      </c>
      <c r="I87" s="75">
        <f t="shared" si="68"/>
        <v>0</v>
      </c>
      <c r="J87" s="171"/>
      <c r="L87" s="41" t="s">
        <v>444</v>
      </c>
      <c r="M87" s="41" t="s">
        <v>283</v>
      </c>
      <c r="N87" s="40"/>
      <c r="O87" s="40"/>
      <c r="P87" s="29"/>
      <c r="Q87" s="22"/>
      <c r="R87" s="23">
        <v>0.82</v>
      </c>
      <c r="S87" s="75">
        <f t="shared" si="69"/>
        <v>0</v>
      </c>
      <c r="T87" s="171"/>
      <c r="V87" s="41" t="s">
        <v>444</v>
      </c>
      <c r="W87" s="41" t="s">
        <v>283</v>
      </c>
      <c r="X87" s="40"/>
      <c r="Y87" s="40"/>
      <c r="Z87" s="29"/>
      <c r="AA87" s="22"/>
      <c r="AB87" s="23">
        <v>0.82</v>
      </c>
      <c r="AC87" s="75">
        <f t="shared" si="70"/>
        <v>0</v>
      </c>
      <c r="AE87" s="41" t="s">
        <v>444</v>
      </c>
      <c r="AF87" s="41" t="s">
        <v>283</v>
      </c>
      <c r="AG87" s="40"/>
      <c r="AH87" s="40"/>
      <c r="AI87" s="29"/>
      <c r="AJ87" s="22"/>
      <c r="AK87" s="23">
        <v>0.82</v>
      </c>
      <c r="AL87" s="75">
        <f t="shared" si="71"/>
        <v>0</v>
      </c>
      <c r="AN87" s="41" t="s">
        <v>444</v>
      </c>
      <c r="AO87" s="41" t="s">
        <v>283</v>
      </c>
      <c r="AP87" s="40"/>
      <c r="AQ87" s="40"/>
      <c r="AR87" s="29"/>
      <c r="AS87" s="22"/>
      <c r="AT87" s="23">
        <v>0.82</v>
      </c>
      <c r="AU87" s="75">
        <f t="shared" si="72"/>
        <v>0</v>
      </c>
      <c r="AW87" s="41" t="s">
        <v>444</v>
      </c>
      <c r="AX87" s="41" t="s">
        <v>283</v>
      </c>
      <c r="AY87" s="40"/>
      <c r="AZ87" s="40"/>
      <c r="BA87" s="29"/>
      <c r="BB87" s="22"/>
      <c r="BC87" s="23">
        <v>0.82</v>
      </c>
      <c r="BD87" s="75">
        <f t="shared" si="73"/>
        <v>0</v>
      </c>
      <c r="BF87" s="41" t="s">
        <v>444</v>
      </c>
      <c r="BG87" s="41" t="s">
        <v>283</v>
      </c>
      <c r="BH87" s="40"/>
      <c r="BI87" s="40"/>
      <c r="BJ87" s="29"/>
      <c r="BK87" s="22"/>
      <c r="BL87" s="23">
        <v>0.82</v>
      </c>
      <c r="BM87" s="75">
        <f t="shared" si="74"/>
        <v>0</v>
      </c>
    </row>
    <row r="88" spans="2:65" outlineLevel="1" x14ac:dyDescent="0.25">
      <c r="B88" s="41" t="s">
        <v>444</v>
      </c>
      <c r="C88" s="41" t="s">
        <v>283</v>
      </c>
      <c r="D88" s="40"/>
      <c r="E88" s="40"/>
      <c r="F88" s="29"/>
      <c r="G88" s="22"/>
      <c r="H88" s="23">
        <v>0.82</v>
      </c>
      <c r="I88" s="75">
        <f t="shared" si="68"/>
        <v>0</v>
      </c>
      <c r="J88" s="171"/>
      <c r="L88" s="41" t="s">
        <v>444</v>
      </c>
      <c r="M88" s="41" t="s">
        <v>283</v>
      </c>
      <c r="N88" s="40"/>
      <c r="O88" s="40"/>
      <c r="P88" s="29"/>
      <c r="Q88" s="22"/>
      <c r="R88" s="23">
        <v>0.82</v>
      </c>
      <c r="S88" s="75">
        <f t="shared" si="69"/>
        <v>0</v>
      </c>
      <c r="T88" s="171"/>
      <c r="V88" s="41" t="s">
        <v>444</v>
      </c>
      <c r="W88" s="41" t="s">
        <v>283</v>
      </c>
      <c r="X88" s="40"/>
      <c r="Y88" s="40"/>
      <c r="Z88" s="29"/>
      <c r="AA88" s="22"/>
      <c r="AB88" s="23">
        <v>0.82</v>
      </c>
      <c r="AC88" s="75">
        <f t="shared" si="70"/>
        <v>0</v>
      </c>
      <c r="AE88" s="41" t="s">
        <v>444</v>
      </c>
      <c r="AF88" s="41" t="s">
        <v>283</v>
      </c>
      <c r="AG88" s="40"/>
      <c r="AH88" s="40"/>
      <c r="AI88" s="29"/>
      <c r="AJ88" s="22"/>
      <c r="AK88" s="23">
        <v>0.82</v>
      </c>
      <c r="AL88" s="75">
        <f t="shared" si="71"/>
        <v>0</v>
      </c>
      <c r="AN88" s="41" t="s">
        <v>444</v>
      </c>
      <c r="AO88" s="41" t="s">
        <v>283</v>
      </c>
      <c r="AP88" s="40"/>
      <c r="AQ88" s="40"/>
      <c r="AR88" s="29"/>
      <c r="AS88" s="22"/>
      <c r="AT88" s="23">
        <v>0.82</v>
      </c>
      <c r="AU88" s="75">
        <f t="shared" si="72"/>
        <v>0</v>
      </c>
      <c r="AW88" s="41" t="s">
        <v>444</v>
      </c>
      <c r="AX88" s="41" t="s">
        <v>283</v>
      </c>
      <c r="AY88" s="40"/>
      <c r="AZ88" s="40"/>
      <c r="BA88" s="29"/>
      <c r="BB88" s="22"/>
      <c r="BC88" s="23">
        <v>0.82</v>
      </c>
      <c r="BD88" s="75">
        <f t="shared" si="73"/>
        <v>0</v>
      </c>
      <c r="BF88" s="41" t="s">
        <v>444</v>
      </c>
      <c r="BG88" s="41" t="s">
        <v>283</v>
      </c>
      <c r="BH88" s="40"/>
      <c r="BI88" s="40"/>
      <c r="BJ88" s="29"/>
      <c r="BK88" s="22"/>
      <c r="BL88" s="23">
        <v>0.82</v>
      </c>
      <c r="BM88" s="75">
        <f t="shared" si="74"/>
        <v>0</v>
      </c>
    </row>
    <row r="89" spans="2:65" outlineLevel="1" x14ac:dyDescent="0.25">
      <c r="B89" s="41" t="s">
        <v>444</v>
      </c>
      <c r="C89" s="41" t="s">
        <v>283</v>
      </c>
      <c r="D89" s="40"/>
      <c r="E89" s="40"/>
      <c r="F89" s="29"/>
      <c r="G89" s="22"/>
      <c r="H89" s="23">
        <v>0.82</v>
      </c>
      <c r="I89" s="75">
        <f t="shared" si="68"/>
        <v>0</v>
      </c>
      <c r="J89" s="171"/>
      <c r="L89" s="41" t="s">
        <v>444</v>
      </c>
      <c r="M89" s="41" t="s">
        <v>283</v>
      </c>
      <c r="N89" s="40"/>
      <c r="O89" s="40"/>
      <c r="P89" s="29"/>
      <c r="Q89" s="22"/>
      <c r="R89" s="23">
        <v>0.82</v>
      </c>
      <c r="S89" s="75">
        <f t="shared" si="69"/>
        <v>0</v>
      </c>
      <c r="T89" s="171"/>
      <c r="V89" s="41" t="s">
        <v>444</v>
      </c>
      <c r="W89" s="41" t="s">
        <v>283</v>
      </c>
      <c r="X89" s="40"/>
      <c r="Y89" s="40"/>
      <c r="Z89" s="29"/>
      <c r="AA89" s="22"/>
      <c r="AB89" s="23">
        <v>0.82</v>
      </c>
      <c r="AC89" s="75">
        <f t="shared" si="70"/>
        <v>0</v>
      </c>
      <c r="AE89" s="41" t="s">
        <v>444</v>
      </c>
      <c r="AF89" s="41" t="s">
        <v>283</v>
      </c>
      <c r="AG89" s="40"/>
      <c r="AH89" s="40"/>
      <c r="AI89" s="29"/>
      <c r="AJ89" s="22"/>
      <c r="AK89" s="23">
        <v>0.82</v>
      </c>
      <c r="AL89" s="75">
        <f t="shared" si="71"/>
        <v>0</v>
      </c>
      <c r="AN89" s="41" t="s">
        <v>444</v>
      </c>
      <c r="AO89" s="41" t="s">
        <v>283</v>
      </c>
      <c r="AP89" s="40"/>
      <c r="AQ89" s="40"/>
      <c r="AR89" s="29"/>
      <c r="AS89" s="22"/>
      <c r="AT89" s="23">
        <v>0.82</v>
      </c>
      <c r="AU89" s="75">
        <f t="shared" si="72"/>
        <v>0</v>
      </c>
      <c r="AW89" s="41" t="s">
        <v>444</v>
      </c>
      <c r="AX89" s="41" t="s">
        <v>283</v>
      </c>
      <c r="AY89" s="40"/>
      <c r="AZ89" s="40"/>
      <c r="BA89" s="29"/>
      <c r="BB89" s="22"/>
      <c r="BC89" s="23">
        <v>0.82</v>
      </c>
      <c r="BD89" s="75">
        <f t="shared" si="73"/>
        <v>0</v>
      </c>
      <c r="BF89" s="41" t="s">
        <v>444</v>
      </c>
      <c r="BG89" s="41" t="s">
        <v>283</v>
      </c>
      <c r="BH89" s="40"/>
      <c r="BI89" s="40"/>
      <c r="BJ89" s="29"/>
      <c r="BK89" s="22"/>
      <c r="BL89" s="23">
        <v>0.82</v>
      </c>
      <c r="BM89" s="75">
        <f t="shared" si="74"/>
        <v>0</v>
      </c>
    </row>
    <row r="90" spans="2:65" outlineLevel="1" x14ac:dyDescent="0.25">
      <c r="B90" s="41" t="s">
        <v>444</v>
      </c>
      <c r="C90" s="41" t="s">
        <v>283</v>
      </c>
      <c r="D90" s="40"/>
      <c r="E90" s="40"/>
      <c r="F90" s="29"/>
      <c r="G90" s="22"/>
      <c r="H90" s="23">
        <v>0.82</v>
      </c>
      <c r="I90" s="75">
        <f t="shared" si="68"/>
        <v>0</v>
      </c>
      <c r="J90" s="171"/>
      <c r="L90" s="41" t="s">
        <v>444</v>
      </c>
      <c r="M90" s="41" t="s">
        <v>283</v>
      </c>
      <c r="N90" s="40"/>
      <c r="O90" s="40"/>
      <c r="P90" s="29"/>
      <c r="Q90" s="22"/>
      <c r="R90" s="23">
        <v>0.82</v>
      </c>
      <c r="S90" s="75">
        <f t="shared" si="69"/>
        <v>0</v>
      </c>
      <c r="T90" s="171"/>
      <c r="V90" s="41" t="s">
        <v>444</v>
      </c>
      <c r="W90" s="41" t="s">
        <v>283</v>
      </c>
      <c r="X90" s="40"/>
      <c r="Y90" s="40"/>
      <c r="Z90" s="29"/>
      <c r="AA90" s="22"/>
      <c r="AB90" s="23">
        <v>0.82</v>
      </c>
      <c r="AC90" s="75">
        <f t="shared" si="70"/>
        <v>0</v>
      </c>
      <c r="AE90" s="41" t="s">
        <v>444</v>
      </c>
      <c r="AF90" s="41" t="s">
        <v>283</v>
      </c>
      <c r="AG90" s="40"/>
      <c r="AH90" s="40"/>
      <c r="AI90" s="29"/>
      <c r="AJ90" s="22"/>
      <c r="AK90" s="23">
        <v>0.82</v>
      </c>
      <c r="AL90" s="75">
        <f t="shared" si="71"/>
        <v>0</v>
      </c>
      <c r="AN90" s="41" t="s">
        <v>444</v>
      </c>
      <c r="AO90" s="41" t="s">
        <v>283</v>
      </c>
      <c r="AP90" s="40"/>
      <c r="AQ90" s="40"/>
      <c r="AR90" s="29"/>
      <c r="AS90" s="22"/>
      <c r="AT90" s="23">
        <v>0.82</v>
      </c>
      <c r="AU90" s="75">
        <f t="shared" si="72"/>
        <v>0</v>
      </c>
      <c r="AW90" s="41" t="s">
        <v>444</v>
      </c>
      <c r="AX90" s="41" t="s">
        <v>283</v>
      </c>
      <c r="AY90" s="40"/>
      <c r="AZ90" s="40"/>
      <c r="BA90" s="29"/>
      <c r="BB90" s="22"/>
      <c r="BC90" s="23">
        <v>0.82</v>
      </c>
      <c r="BD90" s="75">
        <f t="shared" si="73"/>
        <v>0</v>
      </c>
      <c r="BF90" s="41" t="s">
        <v>444</v>
      </c>
      <c r="BG90" s="41" t="s">
        <v>283</v>
      </c>
      <c r="BH90" s="40"/>
      <c r="BI90" s="40"/>
      <c r="BJ90" s="29"/>
      <c r="BK90" s="22"/>
      <c r="BL90" s="23">
        <v>0.82</v>
      </c>
      <c r="BM90" s="75">
        <f t="shared" si="74"/>
        <v>0</v>
      </c>
    </row>
    <row r="91" spans="2:65" outlineLevel="1" x14ac:dyDescent="0.25">
      <c r="B91" s="41" t="s">
        <v>444</v>
      </c>
      <c r="C91" s="41" t="s">
        <v>283</v>
      </c>
      <c r="D91" s="40"/>
      <c r="E91" s="40"/>
      <c r="F91" s="29"/>
      <c r="G91" s="22"/>
      <c r="H91" s="23">
        <v>0.82</v>
      </c>
      <c r="I91" s="75">
        <f t="shared" si="68"/>
        <v>0</v>
      </c>
      <c r="J91" s="171"/>
      <c r="L91" s="41" t="s">
        <v>444</v>
      </c>
      <c r="M91" s="41" t="s">
        <v>283</v>
      </c>
      <c r="N91" s="40"/>
      <c r="O91" s="40"/>
      <c r="P91" s="29"/>
      <c r="Q91" s="22"/>
      <c r="R91" s="23">
        <v>0.82</v>
      </c>
      <c r="S91" s="75">
        <f t="shared" si="69"/>
        <v>0</v>
      </c>
      <c r="T91" s="171"/>
      <c r="V91" s="41" t="s">
        <v>444</v>
      </c>
      <c r="W91" s="41" t="s">
        <v>283</v>
      </c>
      <c r="X91" s="40"/>
      <c r="Y91" s="40"/>
      <c r="Z91" s="29"/>
      <c r="AA91" s="22"/>
      <c r="AB91" s="23">
        <v>0.82</v>
      </c>
      <c r="AC91" s="75">
        <f t="shared" si="70"/>
        <v>0</v>
      </c>
      <c r="AE91" s="41" t="s">
        <v>444</v>
      </c>
      <c r="AF91" s="41" t="s">
        <v>283</v>
      </c>
      <c r="AG91" s="40"/>
      <c r="AH91" s="40"/>
      <c r="AI91" s="29"/>
      <c r="AJ91" s="22"/>
      <c r="AK91" s="23">
        <v>0.82</v>
      </c>
      <c r="AL91" s="75">
        <f t="shared" si="71"/>
        <v>0</v>
      </c>
      <c r="AN91" s="41" t="s">
        <v>444</v>
      </c>
      <c r="AO91" s="41" t="s">
        <v>283</v>
      </c>
      <c r="AP91" s="40"/>
      <c r="AQ91" s="40"/>
      <c r="AR91" s="29"/>
      <c r="AS91" s="22"/>
      <c r="AT91" s="23">
        <v>0.82</v>
      </c>
      <c r="AU91" s="75">
        <f t="shared" si="72"/>
        <v>0</v>
      </c>
      <c r="AW91" s="41" t="s">
        <v>444</v>
      </c>
      <c r="AX91" s="41" t="s">
        <v>283</v>
      </c>
      <c r="AY91" s="40"/>
      <c r="AZ91" s="40"/>
      <c r="BA91" s="29"/>
      <c r="BB91" s="22"/>
      <c r="BC91" s="23">
        <v>0.82</v>
      </c>
      <c r="BD91" s="75">
        <f t="shared" si="73"/>
        <v>0</v>
      </c>
      <c r="BF91" s="41" t="s">
        <v>444</v>
      </c>
      <c r="BG91" s="41" t="s">
        <v>283</v>
      </c>
      <c r="BH91" s="40"/>
      <c r="BI91" s="40"/>
      <c r="BJ91" s="29"/>
      <c r="BK91" s="22"/>
      <c r="BL91" s="23">
        <v>0.82</v>
      </c>
      <c r="BM91" s="75">
        <f t="shared" si="74"/>
        <v>0</v>
      </c>
    </row>
    <row r="92" spans="2:65" outlineLevel="1" x14ac:dyDescent="0.25">
      <c r="B92" s="41" t="s">
        <v>444</v>
      </c>
      <c r="C92" s="41" t="s">
        <v>283</v>
      </c>
      <c r="D92" s="40"/>
      <c r="E92" s="40"/>
      <c r="F92" s="29"/>
      <c r="G92" s="22"/>
      <c r="H92" s="23">
        <v>0.82</v>
      </c>
      <c r="I92" s="75">
        <f t="shared" si="68"/>
        <v>0</v>
      </c>
      <c r="J92" s="171"/>
      <c r="L92" s="41" t="s">
        <v>444</v>
      </c>
      <c r="M92" s="41" t="s">
        <v>283</v>
      </c>
      <c r="N92" s="40"/>
      <c r="O92" s="40"/>
      <c r="P92" s="29"/>
      <c r="Q92" s="22"/>
      <c r="R92" s="23">
        <v>0.82</v>
      </c>
      <c r="S92" s="75">
        <f t="shared" si="69"/>
        <v>0</v>
      </c>
      <c r="T92" s="171"/>
      <c r="V92" s="41" t="s">
        <v>444</v>
      </c>
      <c r="W92" s="41" t="s">
        <v>283</v>
      </c>
      <c r="X92" s="40"/>
      <c r="Y92" s="40"/>
      <c r="Z92" s="29"/>
      <c r="AA92" s="22"/>
      <c r="AB92" s="23">
        <v>0.82</v>
      </c>
      <c r="AC92" s="75">
        <f t="shared" si="70"/>
        <v>0</v>
      </c>
      <c r="AE92" s="41" t="s">
        <v>444</v>
      </c>
      <c r="AF92" s="41" t="s">
        <v>283</v>
      </c>
      <c r="AG92" s="40"/>
      <c r="AH92" s="40"/>
      <c r="AI92" s="29"/>
      <c r="AJ92" s="22"/>
      <c r="AK92" s="23">
        <v>0.82</v>
      </c>
      <c r="AL92" s="75">
        <f t="shared" si="71"/>
        <v>0</v>
      </c>
      <c r="AN92" s="41" t="s">
        <v>444</v>
      </c>
      <c r="AO92" s="41" t="s">
        <v>283</v>
      </c>
      <c r="AP92" s="40"/>
      <c r="AQ92" s="40"/>
      <c r="AR92" s="29"/>
      <c r="AS92" s="22"/>
      <c r="AT92" s="23">
        <v>0.82</v>
      </c>
      <c r="AU92" s="75">
        <f t="shared" si="72"/>
        <v>0</v>
      </c>
      <c r="AW92" s="41" t="s">
        <v>444</v>
      </c>
      <c r="AX92" s="41" t="s">
        <v>283</v>
      </c>
      <c r="AY92" s="40"/>
      <c r="AZ92" s="40"/>
      <c r="BA92" s="29"/>
      <c r="BB92" s="22"/>
      <c r="BC92" s="23">
        <v>0.82</v>
      </c>
      <c r="BD92" s="75">
        <f t="shared" si="73"/>
        <v>0</v>
      </c>
      <c r="BF92" s="41" t="s">
        <v>444</v>
      </c>
      <c r="BG92" s="41" t="s">
        <v>283</v>
      </c>
      <c r="BH92" s="40"/>
      <c r="BI92" s="40"/>
      <c r="BJ92" s="29"/>
      <c r="BK92" s="22"/>
      <c r="BL92" s="23">
        <v>0.82</v>
      </c>
      <c r="BM92" s="75">
        <f t="shared" si="74"/>
        <v>0</v>
      </c>
    </row>
    <row r="93" spans="2:65" outlineLevel="1" x14ac:dyDescent="0.25">
      <c r="B93" s="41" t="s">
        <v>444</v>
      </c>
      <c r="C93" s="41" t="s">
        <v>283</v>
      </c>
      <c r="D93" s="40"/>
      <c r="E93" s="40"/>
      <c r="F93" s="29"/>
      <c r="G93" s="22"/>
      <c r="H93" s="23">
        <v>0.82</v>
      </c>
      <c r="I93" s="75">
        <f t="shared" si="68"/>
        <v>0</v>
      </c>
      <c r="J93" s="171"/>
      <c r="L93" s="41" t="s">
        <v>444</v>
      </c>
      <c r="M93" s="41" t="s">
        <v>283</v>
      </c>
      <c r="N93" s="40"/>
      <c r="O93" s="40"/>
      <c r="P93" s="29"/>
      <c r="Q93" s="22"/>
      <c r="R93" s="23">
        <v>0.82</v>
      </c>
      <c r="S93" s="75">
        <f t="shared" si="69"/>
        <v>0</v>
      </c>
      <c r="T93" s="171"/>
      <c r="V93" s="41" t="s">
        <v>444</v>
      </c>
      <c r="W93" s="41" t="s">
        <v>283</v>
      </c>
      <c r="X93" s="40"/>
      <c r="Y93" s="40"/>
      <c r="Z93" s="29"/>
      <c r="AA93" s="22"/>
      <c r="AB93" s="23">
        <v>0.82</v>
      </c>
      <c r="AC93" s="75">
        <f t="shared" si="70"/>
        <v>0</v>
      </c>
      <c r="AE93" s="41" t="s">
        <v>444</v>
      </c>
      <c r="AF93" s="41" t="s">
        <v>283</v>
      </c>
      <c r="AG93" s="40"/>
      <c r="AH93" s="40"/>
      <c r="AI93" s="29"/>
      <c r="AJ93" s="22"/>
      <c r="AK93" s="23">
        <v>0.82</v>
      </c>
      <c r="AL93" s="75">
        <f t="shared" si="71"/>
        <v>0</v>
      </c>
      <c r="AN93" s="41" t="s">
        <v>444</v>
      </c>
      <c r="AO93" s="41" t="s">
        <v>283</v>
      </c>
      <c r="AP93" s="40"/>
      <c r="AQ93" s="40"/>
      <c r="AR93" s="29"/>
      <c r="AS93" s="22"/>
      <c r="AT93" s="23">
        <v>0.82</v>
      </c>
      <c r="AU93" s="75">
        <f t="shared" si="72"/>
        <v>0</v>
      </c>
      <c r="AW93" s="41" t="s">
        <v>444</v>
      </c>
      <c r="AX93" s="41" t="s">
        <v>283</v>
      </c>
      <c r="AY93" s="40"/>
      <c r="AZ93" s="40"/>
      <c r="BA93" s="29"/>
      <c r="BB93" s="22"/>
      <c r="BC93" s="23">
        <v>0.82</v>
      </c>
      <c r="BD93" s="75">
        <f t="shared" si="73"/>
        <v>0</v>
      </c>
      <c r="BF93" s="41" t="s">
        <v>444</v>
      </c>
      <c r="BG93" s="41" t="s">
        <v>283</v>
      </c>
      <c r="BH93" s="40"/>
      <c r="BI93" s="40"/>
      <c r="BJ93" s="29"/>
      <c r="BK93" s="22"/>
      <c r="BL93" s="23">
        <v>0.82</v>
      </c>
      <c r="BM93" s="75">
        <f t="shared" si="74"/>
        <v>0</v>
      </c>
    </row>
    <row r="94" spans="2:65" outlineLevel="1" x14ac:dyDescent="0.25">
      <c r="B94" s="41" t="s">
        <v>444</v>
      </c>
      <c r="C94" s="41" t="s">
        <v>283</v>
      </c>
      <c r="D94" s="40"/>
      <c r="E94" s="40"/>
      <c r="F94" s="29"/>
      <c r="G94" s="22"/>
      <c r="H94" s="23">
        <v>0.82</v>
      </c>
      <c r="I94" s="75">
        <f t="shared" si="68"/>
        <v>0</v>
      </c>
      <c r="J94" s="171"/>
      <c r="L94" s="41" t="s">
        <v>444</v>
      </c>
      <c r="M94" s="41" t="s">
        <v>283</v>
      </c>
      <c r="N94" s="40"/>
      <c r="O94" s="40"/>
      <c r="P94" s="29"/>
      <c r="Q94" s="22"/>
      <c r="R94" s="23">
        <v>0.82</v>
      </c>
      <c r="S94" s="75">
        <f t="shared" si="69"/>
        <v>0</v>
      </c>
      <c r="T94" s="171"/>
      <c r="V94" s="41" t="s">
        <v>444</v>
      </c>
      <c r="W94" s="41" t="s">
        <v>283</v>
      </c>
      <c r="X94" s="40"/>
      <c r="Y94" s="40"/>
      <c r="Z94" s="29"/>
      <c r="AA94" s="22"/>
      <c r="AB94" s="23">
        <v>0.82</v>
      </c>
      <c r="AC94" s="75">
        <f t="shared" si="70"/>
        <v>0</v>
      </c>
      <c r="AE94" s="41" t="s">
        <v>444</v>
      </c>
      <c r="AF94" s="41" t="s">
        <v>283</v>
      </c>
      <c r="AG94" s="40"/>
      <c r="AH94" s="40"/>
      <c r="AI94" s="29"/>
      <c r="AJ94" s="22"/>
      <c r="AK94" s="23">
        <v>0.82</v>
      </c>
      <c r="AL94" s="75">
        <f t="shared" si="71"/>
        <v>0</v>
      </c>
      <c r="AN94" s="41" t="s">
        <v>444</v>
      </c>
      <c r="AO94" s="41" t="s">
        <v>283</v>
      </c>
      <c r="AP94" s="40"/>
      <c r="AQ94" s="40"/>
      <c r="AR94" s="29"/>
      <c r="AS94" s="22"/>
      <c r="AT94" s="23">
        <v>0.82</v>
      </c>
      <c r="AU94" s="75">
        <f t="shared" si="72"/>
        <v>0</v>
      </c>
      <c r="AW94" s="41" t="s">
        <v>444</v>
      </c>
      <c r="AX94" s="41" t="s">
        <v>283</v>
      </c>
      <c r="AY94" s="40"/>
      <c r="AZ94" s="40"/>
      <c r="BA94" s="29"/>
      <c r="BB94" s="22"/>
      <c r="BC94" s="23">
        <v>0.82</v>
      </c>
      <c r="BD94" s="75">
        <f t="shared" si="73"/>
        <v>0</v>
      </c>
      <c r="BF94" s="41" t="s">
        <v>444</v>
      </c>
      <c r="BG94" s="41" t="s">
        <v>283</v>
      </c>
      <c r="BH94" s="40"/>
      <c r="BI94" s="40"/>
      <c r="BJ94" s="29"/>
      <c r="BK94" s="22"/>
      <c r="BL94" s="23">
        <v>0.82</v>
      </c>
      <c r="BM94" s="75">
        <f t="shared" si="74"/>
        <v>0</v>
      </c>
    </row>
    <row r="95" spans="2:65" s="24" customFormat="1" x14ac:dyDescent="0.25">
      <c r="B95" s="8" t="s">
        <v>446</v>
      </c>
      <c r="C95" s="25"/>
      <c r="D95" s="28">
        <f>SUM(D80:D94)</f>
        <v>0</v>
      </c>
      <c r="E95" s="28">
        <f>SUM(E80:E94)</f>
        <v>0</v>
      </c>
      <c r="F95" s="30"/>
      <c r="G95" s="25"/>
      <c r="H95" s="26"/>
      <c r="I95" s="28">
        <f>SUM(I80:I94)</f>
        <v>0</v>
      </c>
      <c r="J95" s="170"/>
      <c r="L95" s="8" t="s">
        <v>446</v>
      </c>
      <c r="M95" s="25"/>
      <c r="N95" s="28">
        <f>SUM(N80:N94)</f>
        <v>0</v>
      </c>
      <c r="O95" s="28">
        <f>SUM(O80:O94)</f>
        <v>0</v>
      </c>
      <c r="P95" s="30"/>
      <c r="Q95" s="25"/>
      <c r="R95" s="26"/>
      <c r="S95" s="28">
        <f>SUM(S80:S94)</f>
        <v>0</v>
      </c>
      <c r="T95" s="170"/>
      <c r="V95" s="8" t="s">
        <v>446</v>
      </c>
      <c r="W95" s="25"/>
      <c r="X95" s="28">
        <f>SUM(X80:X94)</f>
        <v>0</v>
      </c>
      <c r="Y95" s="28">
        <f>SUM(Y80:Y94)</f>
        <v>0</v>
      </c>
      <c r="Z95" s="30"/>
      <c r="AA95" s="25"/>
      <c r="AB95" s="26"/>
      <c r="AC95" s="28">
        <f>SUM(AC80:AC94)</f>
        <v>0</v>
      </c>
      <c r="AE95" s="8" t="s">
        <v>446</v>
      </c>
      <c r="AF95" s="25"/>
      <c r="AG95" s="28">
        <f>SUM(AG80:AG94)</f>
        <v>0</v>
      </c>
      <c r="AH95" s="28">
        <f>SUM(AH80:AH94)</f>
        <v>0</v>
      </c>
      <c r="AI95" s="30"/>
      <c r="AJ95" s="25"/>
      <c r="AK95" s="26"/>
      <c r="AL95" s="28">
        <f>SUM(AL80:AL94)</f>
        <v>0</v>
      </c>
      <c r="AN95" s="8" t="s">
        <v>446</v>
      </c>
      <c r="AO95" s="25"/>
      <c r="AP95" s="28">
        <f>SUM(AP80:AP94)</f>
        <v>0</v>
      </c>
      <c r="AQ95" s="28">
        <f>SUM(AQ80:AQ94)</f>
        <v>0</v>
      </c>
      <c r="AR95" s="30"/>
      <c r="AS95" s="25"/>
      <c r="AT95" s="26"/>
      <c r="AU95" s="28">
        <f>SUM(AU80:AU94)</f>
        <v>0</v>
      </c>
      <c r="AW95" s="8" t="s">
        <v>446</v>
      </c>
      <c r="AX95" s="25"/>
      <c r="AY95" s="28">
        <f>SUM(AY80:AY94)</f>
        <v>0</v>
      </c>
      <c r="AZ95" s="28">
        <f>SUM(AZ80:AZ94)</f>
        <v>0</v>
      </c>
      <c r="BA95" s="30"/>
      <c r="BB95" s="25"/>
      <c r="BC95" s="26"/>
      <c r="BD95" s="28">
        <f>SUM(BD80:BD94)</f>
        <v>0</v>
      </c>
      <c r="BF95" s="8" t="s">
        <v>446</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2" t="s">
        <v>380</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2" t="s">
        <v>380</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x14ac:dyDescent="0.25">
      <c r="B98" s="41" t="s">
        <v>444</v>
      </c>
      <c r="C98" s="41" t="s">
        <v>283</v>
      </c>
      <c r="D98" s="40"/>
      <c r="E98" s="40"/>
      <c r="F98" s="29"/>
      <c r="G98" s="22"/>
      <c r="H98" s="23">
        <v>0.82</v>
      </c>
      <c r="I98" s="75">
        <f>D98*G98*H98</f>
        <v>0</v>
      </c>
      <c r="J98" s="171"/>
      <c r="L98" s="41" t="s">
        <v>444</v>
      </c>
      <c r="M98" s="41" t="s">
        <v>283</v>
      </c>
      <c r="N98" s="40"/>
      <c r="O98" s="40"/>
      <c r="P98" s="29"/>
      <c r="Q98" s="22"/>
      <c r="R98" s="23">
        <v>0.82</v>
      </c>
      <c r="S98" s="75">
        <f>N98*Q98*R98</f>
        <v>0</v>
      </c>
      <c r="T98" s="171"/>
      <c r="V98" s="41" t="s">
        <v>444</v>
      </c>
      <c r="W98" s="41" t="s">
        <v>283</v>
      </c>
      <c r="X98" s="40"/>
      <c r="Y98" s="40"/>
      <c r="Z98" s="29"/>
      <c r="AA98" s="22">
        <v>0.08</v>
      </c>
      <c r="AB98" s="23">
        <v>0.82</v>
      </c>
      <c r="AC98" s="75">
        <f>X98*AA98*AB98</f>
        <v>0</v>
      </c>
      <c r="AE98" s="41" t="s">
        <v>444</v>
      </c>
      <c r="AF98" s="41" t="s">
        <v>283</v>
      </c>
      <c r="AG98" s="40"/>
      <c r="AH98" s="40"/>
      <c r="AI98" s="29"/>
      <c r="AJ98" s="22">
        <v>0.08</v>
      </c>
      <c r="AK98" s="23">
        <v>0.82</v>
      </c>
      <c r="AL98" s="75">
        <f>AG98*AJ98*AK98</f>
        <v>0</v>
      </c>
      <c r="AN98" s="41" t="s">
        <v>444</v>
      </c>
      <c r="AO98" s="41" t="s">
        <v>283</v>
      </c>
      <c r="AP98" s="40"/>
      <c r="AQ98" s="40"/>
      <c r="AR98" s="29"/>
      <c r="AS98" s="22">
        <v>0.08</v>
      </c>
      <c r="AT98" s="23">
        <v>0.82</v>
      </c>
      <c r="AU98" s="75">
        <f>AP98*AS98*AT98</f>
        <v>0</v>
      </c>
      <c r="AW98" s="41" t="s">
        <v>444</v>
      </c>
      <c r="AX98" s="41" t="s">
        <v>283</v>
      </c>
      <c r="AY98" s="40"/>
      <c r="AZ98" s="40"/>
      <c r="BA98" s="29"/>
      <c r="BB98" s="22">
        <v>0.08</v>
      </c>
      <c r="BC98" s="23">
        <v>0.82</v>
      </c>
      <c r="BD98" s="75">
        <f>AY98*BB98*BC98</f>
        <v>0</v>
      </c>
      <c r="BF98" s="41" t="s">
        <v>444</v>
      </c>
      <c r="BG98" s="41" t="s">
        <v>283</v>
      </c>
      <c r="BH98" s="40"/>
      <c r="BI98" s="40"/>
      <c r="BJ98" s="29"/>
      <c r="BK98" s="22">
        <v>0.08</v>
      </c>
      <c r="BL98" s="23">
        <v>0.82</v>
      </c>
      <c r="BM98" s="75">
        <f>BH98*BK98*BL98</f>
        <v>0</v>
      </c>
    </row>
    <row r="99" spans="2:65" x14ac:dyDescent="0.25">
      <c r="B99" s="41" t="s">
        <v>444</v>
      </c>
      <c r="C99" s="41" t="s">
        <v>283</v>
      </c>
      <c r="D99" s="40"/>
      <c r="E99" s="40"/>
      <c r="F99" s="29"/>
      <c r="G99" s="22"/>
      <c r="H99" s="23">
        <v>0.82</v>
      </c>
      <c r="I99" s="75">
        <f t="shared" ref="I99:I112" si="82">D99*G99*H99</f>
        <v>0</v>
      </c>
      <c r="J99" s="171"/>
      <c r="L99" s="41" t="s">
        <v>444</v>
      </c>
      <c r="M99" s="41" t="s">
        <v>283</v>
      </c>
      <c r="N99" s="40"/>
      <c r="O99" s="40"/>
      <c r="P99" s="29"/>
      <c r="Q99" s="22"/>
      <c r="R99" s="23">
        <v>0.82</v>
      </c>
      <c r="S99" s="75">
        <f t="shared" ref="S99:S112" si="83">N99*Q99*R99</f>
        <v>0</v>
      </c>
      <c r="T99" s="171"/>
      <c r="V99" s="41" t="s">
        <v>444</v>
      </c>
      <c r="W99" s="41" t="s">
        <v>283</v>
      </c>
      <c r="X99" s="40"/>
      <c r="Y99" s="40"/>
      <c r="Z99" s="29"/>
      <c r="AA99" s="22"/>
      <c r="AB99" s="23">
        <v>0.82</v>
      </c>
      <c r="AC99" s="75">
        <f t="shared" ref="AC99:AC112" si="84">X99*AA99*AB99</f>
        <v>0</v>
      </c>
      <c r="AE99" s="41" t="s">
        <v>444</v>
      </c>
      <c r="AF99" s="41" t="s">
        <v>283</v>
      </c>
      <c r="AG99" s="40"/>
      <c r="AH99" s="40"/>
      <c r="AI99" s="29"/>
      <c r="AJ99" s="22"/>
      <c r="AK99" s="23">
        <v>0.82</v>
      </c>
      <c r="AL99" s="75">
        <f t="shared" ref="AL99:AL112" si="85">AG99*AJ99*AK99</f>
        <v>0</v>
      </c>
      <c r="AN99" s="41" t="s">
        <v>444</v>
      </c>
      <c r="AO99" s="41" t="s">
        <v>283</v>
      </c>
      <c r="AP99" s="40"/>
      <c r="AQ99" s="40"/>
      <c r="AR99" s="29"/>
      <c r="AS99" s="22"/>
      <c r="AT99" s="23">
        <v>0.82</v>
      </c>
      <c r="AU99" s="75">
        <f t="shared" ref="AU99:AU112" si="86">AP99*AS99*AT99</f>
        <v>0</v>
      </c>
      <c r="AW99" s="41" t="s">
        <v>444</v>
      </c>
      <c r="AX99" s="41" t="s">
        <v>283</v>
      </c>
      <c r="AY99" s="40"/>
      <c r="AZ99" s="40"/>
      <c r="BA99" s="29"/>
      <c r="BB99" s="22"/>
      <c r="BC99" s="23">
        <v>0.82</v>
      </c>
      <c r="BD99" s="75">
        <f t="shared" ref="BD99:BD112" si="87">AY99*BB99*BC99</f>
        <v>0</v>
      </c>
      <c r="BF99" s="41" t="s">
        <v>444</v>
      </c>
      <c r="BG99" s="41" t="s">
        <v>283</v>
      </c>
      <c r="BH99" s="40"/>
      <c r="BI99" s="40"/>
      <c r="BJ99" s="29"/>
      <c r="BK99" s="22"/>
      <c r="BL99" s="23">
        <v>0.82</v>
      </c>
      <c r="BM99" s="75">
        <f t="shared" ref="BM99:BM112" si="88">BH99*BK99*BL99</f>
        <v>0</v>
      </c>
    </row>
    <row r="100" spans="2:65" x14ac:dyDescent="0.25">
      <c r="B100" s="41" t="s">
        <v>444</v>
      </c>
      <c r="C100" s="41" t="s">
        <v>283</v>
      </c>
      <c r="D100" s="40"/>
      <c r="E100" s="40"/>
      <c r="F100" s="29"/>
      <c r="G100" s="22"/>
      <c r="H100" s="23">
        <v>0.82</v>
      </c>
      <c r="I100" s="75">
        <f t="shared" si="82"/>
        <v>0</v>
      </c>
      <c r="J100" s="171"/>
      <c r="L100" s="41" t="s">
        <v>444</v>
      </c>
      <c r="M100" s="41" t="s">
        <v>283</v>
      </c>
      <c r="N100" s="40"/>
      <c r="O100" s="40"/>
      <c r="P100" s="29"/>
      <c r="Q100" s="22"/>
      <c r="R100" s="23">
        <v>0.82</v>
      </c>
      <c r="S100" s="75">
        <f t="shared" si="83"/>
        <v>0</v>
      </c>
      <c r="T100" s="171"/>
      <c r="V100" s="41" t="s">
        <v>444</v>
      </c>
      <c r="W100" s="41" t="s">
        <v>283</v>
      </c>
      <c r="X100" s="40"/>
      <c r="Y100" s="40"/>
      <c r="Z100" s="29"/>
      <c r="AA100" s="22"/>
      <c r="AB100" s="23">
        <v>0.82</v>
      </c>
      <c r="AC100" s="75">
        <f t="shared" si="84"/>
        <v>0</v>
      </c>
      <c r="AE100" s="41" t="s">
        <v>444</v>
      </c>
      <c r="AF100" s="41" t="s">
        <v>283</v>
      </c>
      <c r="AG100" s="40"/>
      <c r="AH100" s="40"/>
      <c r="AI100" s="29"/>
      <c r="AJ100" s="22"/>
      <c r="AK100" s="23">
        <v>0.82</v>
      </c>
      <c r="AL100" s="75">
        <f t="shared" si="85"/>
        <v>0</v>
      </c>
      <c r="AN100" s="41" t="s">
        <v>444</v>
      </c>
      <c r="AO100" s="41" t="s">
        <v>283</v>
      </c>
      <c r="AP100" s="40"/>
      <c r="AQ100" s="40"/>
      <c r="AR100" s="29"/>
      <c r="AS100" s="22"/>
      <c r="AT100" s="23">
        <v>0.82</v>
      </c>
      <c r="AU100" s="75">
        <f t="shared" si="86"/>
        <v>0</v>
      </c>
      <c r="AW100" s="41" t="s">
        <v>444</v>
      </c>
      <c r="AX100" s="41" t="s">
        <v>283</v>
      </c>
      <c r="AY100" s="40"/>
      <c r="AZ100" s="40"/>
      <c r="BA100" s="29"/>
      <c r="BB100" s="22"/>
      <c r="BC100" s="23">
        <v>0.82</v>
      </c>
      <c r="BD100" s="75">
        <f t="shared" si="87"/>
        <v>0</v>
      </c>
      <c r="BF100" s="41" t="s">
        <v>444</v>
      </c>
      <c r="BG100" s="41" t="s">
        <v>283</v>
      </c>
      <c r="BH100" s="40"/>
      <c r="BI100" s="40"/>
      <c r="BJ100" s="29"/>
      <c r="BK100" s="22"/>
      <c r="BL100" s="23">
        <v>0.82</v>
      </c>
      <c r="BM100" s="75">
        <f t="shared" si="88"/>
        <v>0</v>
      </c>
    </row>
    <row r="101" spans="2:65" x14ac:dyDescent="0.25">
      <c r="B101" s="41" t="s">
        <v>444</v>
      </c>
      <c r="C101" s="41" t="s">
        <v>283</v>
      </c>
      <c r="D101" s="40"/>
      <c r="E101" s="40"/>
      <c r="F101" s="29"/>
      <c r="G101" s="22"/>
      <c r="H101" s="23">
        <v>0.82</v>
      </c>
      <c r="I101" s="75">
        <f t="shared" si="82"/>
        <v>0</v>
      </c>
      <c r="J101" s="171"/>
      <c r="L101" s="41" t="s">
        <v>444</v>
      </c>
      <c r="M101" s="41" t="s">
        <v>283</v>
      </c>
      <c r="N101" s="40"/>
      <c r="O101" s="40"/>
      <c r="P101" s="29"/>
      <c r="Q101" s="22"/>
      <c r="R101" s="23">
        <v>0.82</v>
      </c>
      <c r="S101" s="75">
        <f t="shared" si="83"/>
        <v>0</v>
      </c>
      <c r="T101" s="171"/>
      <c r="V101" s="41" t="s">
        <v>444</v>
      </c>
      <c r="W101" s="41" t="s">
        <v>283</v>
      </c>
      <c r="X101" s="40"/>
      <c r="Y101" s="40"/>
      <c r="Z101" s="29"/>
      <c r="AA101" s="22"/>
      <c r="AB101" s="23">
        <v>0.82</v>
      </c>
      <c r="AC101" s="75">
        <f t="shared" si="84"/>
        <v>0</v>
      </c>
      <c r="AE101" s="41" t="s">
        <v>444</v>
      </c>
      <c r="AF101" s="41" t="s">
        <v>283</v>
      </c>
      <c r="AG101" s="40"/>
      <c r="AH101" s="40"/>
      <c r="AI101" s="29"/>
      <c r="AJ101" s="22"/>
      <c r="AK101" s="23">
        <v>0.82</v>
      </c>
      <c r="AL101" s="75">
        <f t="shared" si="85"/>
        <v>0</v>
      </c>
      <c r="AN101" s="41" t="s">
        <v>444</v>
      </c>
      <c r="AO101" s="41" t="s">
        <v>283</v>
      </c>
      <c r="AP101" s="40"/>
      <c r="AQ101" s="40"/>
      <c r="AR101" s="29"/>
      <c r="AS101" s="22"/>
      <c r="AT101" s="23">
        <v>0.82</v>
      </c>
      <c r="AU101" s="75">
        <f t="shared" si="86"/>
        <v>0</v>
      </c>
      <c r="AW101" s="41" t="s">
        <v>444</v>
      </c>
      <c r="AX101" s="41" t="s">
        <v>283</v>
      </c>
      <c r="AY101" s="40"/>
      <c r="AZ101" s="40"/>
      <c r="BA101" s="29"/>
      <c r="BB101" s="22"/>
      <c r="BC101" s="23">
        <v>0.82</v>
      </c>
      <c r="BD101" s="75">
        <f t="shared" si="87"/>
        <v>0</v>
      </c>
      <c r="BF101" s="41" t="s">
        <v>444</v>
      </c>
      <c r="BG101" s="41" t="s">
        <v>283</v>
      </c>
      <c r="BH101" s="40"/>
      <c r="BI101" s="40"/>
      <c r="BJ101" s="29"/>
      <c r="BK101" s="22"/>
      <c r="BL101" s="23">
        <v>0.82</v>
      </c>
      <c r="BM101" s="75">
        <f t="shared" si="88"/>
        <v>0</v>
      </c>
    </row>
    <row r="102" spans="2:65" x14ac:dyDescent="0.25">
      <c r="B102" s="41" t="s">
        <v>444</v>
      </c>
      <c r="C102" s="41" t="s">
        <v>283</v>
      </c>
      <c r="D102" s="40"/>
      <c r="E102" s="40"/>
      <c r="F102" s="29"/>
      <c r="G102" s="22"/>
      <c r="H102" s="23">
        <v>0.82</v>
      </c>
      <c r="I102" s="75">
        <f t="shared" si="82"/>
        <v>0</v>
      </c>
      <c r="J102" s="171"/>
      <c r="L102" s="41" t="s">
        <v>444</v>
      </c>
      <c r="M102" s="41" t="s">
        <v>283</v>
      </c>
      <c r="N102" s="40"/>
      <c r="O102" s="40"/>
      <c r="P102" s="29"/>
      <c r="Q102" s="22"/>
      <c r="R102" s="23">
        <v>0.82</v>
      </c>
      <c r="S102" s="75">
        <f t="shared" si="83"/>
        <v>0</v>
      </c>
      <c r="T102" s="171"/>
      <c r="V102" s="41" t="s">
        <v>444</v>
      </c>
      <c r="W102" s="41" t="s">
        <v>283</v>
      </c>
      <c r="X102" s="40"/>
      <c r="Y102" s="40"/>
      <c r="Z102" s="29"/>
      <c r="AA102" s="22"/>
      <c r="AB102" s="23">
        <v>0.82</v>
      </c>
      <c r="AC102" s="75">
        <f t="shared" si="84"/>
        <v>0</v>
      </c>
      <c r="AE102" s="41" t="s">
        <v>444</v>
      </c>
      <c r="AF102" s="41" t="s">
        <v>283</v>
      </c>
      <c r="AG102" s="40"/>
      <c r="AH102" s="40"/>
      <c r="AI102" s="29"/>
      <c r="AJ102" s="22"/>
      <c r="AK102" s="23">
        <v>0.82</v>
      </c>
      <c r="AL102" s="75">
        <f t="shared" si="85"/>
        <v>0</v>
      </c>
      <c r="AN102" s="41" t="s">
        <v>444</v>
      </c>
      <c r="AO102" s="41" t="s">
        <v>283</v>
      </c>
      <c r="AP102" s="40"/>
      <c r="AQ102" s="40"/>
      <c r="AR102" s="29"/>
      <c r="AS102" s="22"/>
      <c r="AT102" s="23">
        <v>0.82</v>
      </c>
      <c r="AU102" s="75">
        <f t="shared" si="86"/>
        <v>0</v>
      </c>
      <c r="AW102" s="41" t="s">
        <v>444</v>
      </c>
      <c r="AX102" s="41" t="s">
        <v>283</v>
      </c>
      <c r="AY102" s="40"/>
      <c r="AZ102" s="40"/>
      <c r="BA102" s="29"/>
      <c r="BB102" s="22"/>
      <c r="BC102" s="23">
        <v>0.82</v>
      </c>
      <c r="BD102" s="75">
        <f t="shared" si="87"/>
        <v>0</v>
      </c>
      <c r="BF102" s="41" t="s">
        <v>444</v>
      </c>
      <c r="BG102" s="41" t="s">
        <v>283</v>
      </c>
      <c r="BH102" s="40"/>
      <c r="BI102" s="40"/>
      <c r="BJ102" s="29"/>
      <c r="BK102" s="22"/>
      <c r="BL102" s="23">
        <v>0.82</v>
      </c>
      <c r="BM102" s="75">
        <f t="shared" si="88"/>
        <v>0</v>
      </c>
    </row>
    <row r="103" spans="2:65" x14ac:dyDescent="0.25">
      <c r="B103" s="41" t="s">
        <v>444</v>
      </c>
      <c r="C103" s="41" t="s">
        <v>283</v>
      </c>
      <c r="D103" s="40"/>
      <c r="E103" s="40"/>
      <c r="F103" s="29"/>
      <c r="G103" s="22"/>
      <c r="H103" s="23">
        <v>0.82</v>
      </c>
      <c r="I103" s="75">
        <f t="shared" si="82"/>
        <v>0</v>
      </c>
      <c r="J103" s="171"/>
      <c r="L103" s="41" t="s">
        <v>444</v>
      </c>
      <c r="M103" s="41" t="s">
        <v>283</v>
      </c>
      <c r="N103" s="40"/>
      <c r="O103" s="40"/>
      <c r="P103" s="29"/>
      <c r="Q103" s="22"/>
      <c r="R103" s="23">
        <v>0.82</v>
      </c>
      <c r="S103" s="75">
        <f t="shared" si="83"/>
        <v>0</v>
      </c>
      <c r="T103" s="171"/>
      <c r="V103" s="41" t="s">
        <v>444</v>
      </c>
      <c r="W103" s="41" t="s">
        <v>283</v>
      </c>
      <c r="X103" s="40"/>
      <c r="Y103" s="40"/>
      <c r="Z103" s="29"/>
      <c r="AA103" s="22"/>
      <c r="AB103" s="23">
        <v>0.82</v>
      </c>
      <c r="AC103" s="75">
        <f t="shared" si="84"/>
        <v>0</v>
      </c>
      <c r="AE103" s="41" t="s">
        <v>444</v>
      </c>
      <c r="AF103" s="41" t="s">
        <v>283</v>
      </c>
      <c r="AG103" s="40"/>
      <c r="AH103" s="40"/>
      <c r="AI103" s="29"/>
      <c r="AJ103" s="22"/>
      <c r="AK103" s="23">
        <v>0.82</v>
      </c>
      <c r="AL103" s="75">
        <f t="shared" si="85"/>
        <v>0</v>
      </c>
      <c r="AN103" s="41" t="s">
        <v>444</v>
      </c>
      <c r="AO103" s="41" t="s">
        <v>283</v>
      </c>
      <c r="AP103" s="40"/>
      <c r="AQ103" s="40"/>
      <c r="AR103" s="29"/>
      <c r="AS103" s="22"/>
      <c r="AT103" s="23">
        <v>0.82</v>
      </c>
      <c r="AU103" s="75">
        <f t="shared" si="86"/>
        <v>0</v>
      </c>
      <c r="AW103" s="41" t="s">
        <v>444</v>
      </c>
      <c r="AX103" s="41" t="s">
        <v>283</v>
      </c>
      <c r="AY103" s="40"/>
      <c r="AZ103" s="40"/>
      <c r="BA103" s="29"/>
      <c r="BB103" s="22"/>
      <c r="BC103" s="23">
        <v>0.82</v>
      </c>
      <c r="BD103" s="75">
        <f t="shared" si="87"/>
        <v>0</v>
      </c>
      <c r="BF103" s="41" t="s">
        <v>444</v>
      </c>
      <c r="BG103" s="41" t="s">
        <v>283</v>
      </c>
      <c r="BH103" s="40"/>
      <c r="BI103" s="40"/>
      <c r="BJ103" s="29"/>
      <c r="BK103" s="22"/>
      <c r="BL103" s="23">
        <v>0.82</v>
      </c>
      <c r="BM103" s="75">
        <f t="shared" si="88"/>
        <v>0</v>
      </c>
    </row>
    <row r="104" spans="2:65" x14ac:dyDescent="0.25">
      <c r="B104" s="41" t="s">
        <v>444</v>
      </c>
      <c r="C104" s="41" t="s">
        <v>283</v>
      </c>
      <c r="D104" s="40"/>
      <c r="E104" s="40"/>
      <c r="F104" s="29"/>
      <c r="G104" s="22"/>
      <c r="H104" s="23">
        <v>0.82</v>
      </c>
      <c r="I104" s="75">
        <f t="shared" si="82"/>
        <v>0</v>
      </c>
      <c r="J104" s="171"/>
      <c r="L104" s="41" t="s">
        <v>444</v>
      </c>
      <c r="M104" s="41" t="s">
        <v>283</v>
      </c>
      <c r="N104" s="40"/>
      <c r="O104" s="40"/>
      <c r="P104" s="29"/>
      <c r="Q104" s="22"/>
      <c r="R104" s="23">
        <v>0.82</v>
      </c>
      <c r="S104" s="75">
        <f t="shared" si="83"/>
        <v>0</v>
      </c>
      <c r="T104" s="171"/>
      <c r="V104" s="41" t="s">
        <v>444</v>
      </c>
      <c r="W104" s="41" t="s">
        <v>283</v>
      </c>
      <c r="X104" s="40"/>
      <c r="Y104" s="40"/>
      <c r="Z104" s="29"/>
      <c r="AA104" s="22"/>
      <c r="AB104" s="23">
        <v>0.82</v>
      </c>
      <c r="AC104" s="75">
        <f t="shared" si="84"/>
        <v>0</v>
      </c>
      <c r="AE104" s="41" t="s">
        <v>444</v>
      </c>
      <c r="AF104" s="41" t="s">
        <v>283</v>
      </c>
      <c r="AG104" s="40"/>
      <c r="AH104" s="40"/>
      <c r="AI104" s="29"/>
      <c r="AJ104" s="22"/>
      <c r="AK104" s="23">
        <v>0.82</v>
      </c>
      <c r="AL104" s="75">
        <f t="shared" si="85"/>
        <v>0</v>
      </c>
      <c r="AN104" s="41" t="s">
        <v>444</v>
      </c>
      <c r="AO104" s="41" t="s">
        <v>283</v>
      </c>
      <c r="AP104" s="40"/>
      <c r="AQ104" s="40"/>
      <c r="AR104" s="29"/>
      <c r="AS104" s="22"/>
      <c r="AT104" s="23">
        <v>0.82</v>
      </c>
      <c r="AU104" s="75">
        <f t="shared" si="86"/>
        <v>0</v>
      </c>
      <c r="AW104" s="41" t="s">
        <v>444</v>
      </c>
      <c r="AX104" s="41" t="s">
        <v>283</v>
      </c>
      <c r="AY104" s="40"/>
      <c r="AZ104" s="40"/>
      <c r="BA104" s="29"/>
      <c r="BB104" s="22"/>
      <c r="BC104" s="23">
        <v>0.82</v>
      </c>
      <c r="BD104" s="75">
        <f t="shared" si="87"/>
        <v>0</v>
      </c>
      <c r="BF104" s="41" t="s">
        <v>444</v>
      </c>
      <c r="BG104" s="41" t="s">
        <v>283</v>
      </c>
      <c r="BH104" s="40"/>
      <c r="BI104" s="40"/>
      <c r="BJ104" s="29"/>
      <c r="BK104" s="22"/>
      <c r="BL104" s="23">
        <v>0.82</v>
      </c>
      <c r="BM104" s="75">
        <f t="shared" si="88"/>
        <v>0</v>
      </c>
    </row>
    <row r="105" spans="2:65" outlineLevel="1" x14ac:dyDescent="0.25">
      <c r="B105" s="41" t="s">
        <v>444</v>
      </c>
      <c r="C105" s="41" t="s">
        <v>283</v>
      </c>
      <c r="D105" s="40"/>
      <c r="E105" s="40"/>
      <c r="F105" s="29"/>
      <c r="G105" s="22"/>
      <c r="H105" s="23">
        <v>0.82</v>
      </c>
      <c r="I105" s="75">
        <f t="shared" si="82"/>
        <v>0</v>
      </c>
      <c r="J105" s="171"/>
      <c r="L105" s="41" t="s">
        <v>444</v>
      </c>
      <c r="M105" s="41" t="s">
        <v>283</v>
      </c>
      <c r="N105" s="40"/>
      <c r="O105" s="40"/>
      <c r="P105" s="29"/>
      <c r="Q105" s="22"/>
      <c r="R105" s="23">
        <v>0.82</v>
      </c>
      <c r="S105" s="75">
        <f t="shared" si="83"/>
        <v>0</v>
      </c>
      <c r="T105" s="171"/>
      <c r="V105" s="41" t="s">
        <v>444</v>
      </c>
      <c r="W105" s="41" t="s">
        <v>283</v>
      </c>
      <c r="X105" s="40"/>
      <c r="Y105" s="40"/>
      <c r="Z105" s="29"/>
      <c r="AA105" s="22"/>
      <c r="AB105" s="23">
        <v>0.82</v>
      </c>
      <c r="AC105" s="75">
        <f t="shared" si="84"/>
        <v>0</v>
      </c>
      <c r="AE105" s="41" t="s">
        <v>444</v>
      </c>
      <c r="AF105" s="41" t="s">
        <v>283</v>
      </c>
      <c r="AG105" s="40"/>
      <c r="AH105" s="40"/>
      <c r="AI105" s="29"/>
      <c r="AJ105" s="22"/>
      <c r="AK105" s="23">
        <v>0.82</v>
      </c>
      <c r="AL105" s="75">
        <f t="shared" si="85"/>
        <v>0</v>
      </c>
      <c r="AN105" s="41" t="s">
        <v>444</v>
      </c>
      <c r="AO105" s="41" t="s">
        <v>283</v>
      </c>
      <c r="AP105" s="40"/>
      <c r="AQ105" s="40"/>
      <c r="AR105" s="29"/>
      <c r="AS105" s="22"/>
      <c r="AT105" s="23">
        <v>0.82</v>
      </c>
      <c r="AU105" s="75">
        <f t="shared" si="86"/>
        <v>0</v>
      </c>
      <c r="AW105" s="41" t="s">
        <v>444</v>
      </c>
      <c r="AX105" s="41" t="s">
        <v>283</v>
      </c>
      <c r="AY105" s="40"/>
      <c r="AZ105" s="40"/>
      <c r="BA105" s="29"/>
      <c r="BB105" s="22"/>
      <c r="BC105" s="23">
        <v>0.82</v>
      </c>
      <c r="BD105" s="75">
        <f t="shared" si="87"/>
        <v>0</v>
      </c>
      <c r="BF105" s="41" t="s">
        <v>444</v>
      </c>
      <c r="BG105" s="41" t="s">
        <v>283</v>
      </c>
      <c r="BH105" s="40"/>
      <c r="BI105" s="40"/>
      <c r="BJ105" s="29"/>
      <c r="BK105" s="22"/>
      <c r="BL105" s="23">
        <v>0.82</v>
      </c>
      <c r="BM105" s="75">
        <f t="shared" si="88"/>
        <v>0</v>
      </c>
    </row>
    <row r="106" spans="2:65" outlineLevel="1" x14ac:dyDescent="0.25">
      <c r="B106" s="41" t="s">
        <v>444</v>
      </c>
      <c r="C106" s="41" t="s">
        <v>283</v>
      </c>
      <c r="D106" s="40"/>
      <c r="E106" s="40"/>
      <c r="F106" s="29"/>
      <c r="G106" s="22"/>
      <c r="H106" s="23">
        <v>0.82</v>
      </c>
      <c r="I106" s="75">
        <f t="shared" si="82"/>
        <v>0</v>
      </c>
      <c r="J106" s="171"/>
      <c r="L106" s="41" t="s">
        <v>444</v>
      </c>
      <c r="M106" s="41" t="s">
        <v>283</v>
      </c>
      <c r="N106" s="40"/>
      <c r="O106" s="40"/>
      <c r="P106" s="29"/>
      <c r="Q106" s="22"/>
      <c r="R106" s="23">
        <v>0.82</v>
      </c>
      <c r="S106" s="75">
        <f t="shared" si="83"/>
        <v>0</v>
      </c>
      <c r="T106" s="171"/>
      <c r="V106" s="41" t="s">
        <v>444</v>
      </c>
      <c r="W106" s="41" t="s">
        <v>283</v>
      </c>
      <c r="X106" s="40"/>
      <c r="Y106" s="40"/>
      <c r="Z106" s="29"/>
      <c r="AA106" s="22"/>
      <c r="AB106" s="23">
        <v>0.82</v>
      </c>
      <c r="AC106" s="75">
        <f t="shared" si="84"/>
        <v>0</v>
      </c>
      <c r="AE106" s="41" t="s">
        <v>444</v>
      </c>
      <c r="AF106" s="41" t="s">
        <v>283</v>
      </c>
      <c r="AG106" s="40"/>
      <c r="AH106" s="40"/>
      <c r="AI106" s="29"/>
      <c r="AJ106" s="22"/>
      <c r="AK106" s="23">
        <v>0.82</v>
      </c>
      <c r="AL106" s="75">
        <f t="shared" si="85"/>
        <v>0</v>
      </c>
      <c r="AN106" s="41" t="s">
        <v>444</v>
      </c>
      <c r="AO106" s="41" t="s">
        <v>283</v>
      </c>
      <c r="AP106" s="40"/>
      <c r="AQ106" s="40"/>
      <c r="AR106" s="29"/>
      <c r="AS106" s="22"/>
      <c r="AT106" s="23">
        <v>0.82</v>
      </c>
      <c r="AU106" s="75">
        <f t="shared" si="86"/>
        <v>0</v>
      </c>
      <c r="AW106" s="41" t="s">
        <v>444</v>
      </c>
      <c r="AX106" s="41" t="s">
        <v>283</v>
      </c>
      <c r="AY106" s="40"/>
      <c r="AZ106" s="40"/>
      <c r="BA106" s="29"/>
      <c r="BB106" s="22"/>
      <c r="BC106" s="23">
        <v>0.82</v>
      </c>
      <c r="BD106" s="75">
        <f t="shared" si="87"/>
        <v>0</v>
      </c>
      <c r="BF106" s="41" t="s">
        <v>444</v>
      </c>
      <c r="BG106" s="41" t="s">
        <v>283</v>
      </c>
      <c r="BH106" s="40"/>
      <c r="BI106" s="40"/>
      <c r="BJ106" s="29"/>
      <c r="BK106" s="22"/>
      <c r="BL106" s="23">
        <v>0.82</v>
      </c>
      <c r="BM106" s="75">
        <f t="shared" si="88"/>
        <v>0</v>
      </c>
    </row>
    <row r="107" spans="2:65" outlineLevel="1" x14ac:dyDescent="0.25">
      <c r="B107" s="41" t="s">
        <v>444</v>
      </c>
      <c r="C107" s="41" t="s">
        <v>283</v>
      </c>
      <c r="D107" s="40"/>
      <c r="E107" s="40"/>
      <c r="F107" s="29"/>
      <c r="G107" s="22"/>
      <c r="H107" s="23">
        <v>0.82</v>
      </c>
      <c r="I107" s="75">
        <f t="shared" si="82"/>
        <v>0</v>
      </c>
      <c r="J107" s="171"/>
      <c r="L107" s="41" t="s">
        <v>444</v>
      </c>
      <c r="M107" s="41" t="s">
        <v>283</v>
      </c>
      <c r="N107" s="40"/>
      <c r="O107" s="40"/>
      <c r="P107" s="29"/>
      <c r="Q107" s="22"/>
      <c r="R107" s="23">
        <v>0.82</v>
      </c>
      <c r="S107" s="75">
        <f t="shared" si="83"/>
        <v>0</v>
      </c>
      <c r="T107" s="171"/>
      <c r="V107" s="41" t="s">
        <v>444</v>
      </c>
      <c r="W107" s="41" t="s">
        <v>283</v>
      </c>
      <c r="X107" s="40"/>
      <c r="Y107" s="40"/>
      <c r="Z107" s="29"/>
      <c r="AA107" s="22"/>
      <c r="AB107" s="23">
        <v>0.82</v>
      </c>
      <c r="AC107" s="75">
        <f t="shared" si="84"/>
        <v>0</v>
      </c>
      <c r="AE107" s="41" t="s">
        <v>444</v>
      </c>
      <c r="AF107" s="41" t="s">
        <v>283</v>
      </c>
      <c r="AG107" s="40"/>
      <c r="AH107" s="40"/>
      <c r="AI107" s="29"/>
      <c r="AJ107" s="22"/>
      <c r="AK107" s="23">
        <v>0.82</v>
      </c>
      <c r="AL107" s="75">
        <f t="shared" si="85"/>
        <v>0</v>
      </c>
      <c r="AN107" s="41" t="s">
        <v>444</v>
      </c>
      <c r="AO107" s="41" t="s">
        <v>283</v>
      </c>
      <c r="AP107" s="40"/>
      <c r="AQ107" s="40"/>
      <c r="AR107" s="29"/>
      <c r="AS107" s="22"/>
      <c r="AT107" s="23">
        <v>0.82</v>
      </c>
      <c r="AU107" s="75">
        <f t="shared" si="86"/>
        <v>0</v>
      </c>
      <c r="AW107" s="41" t="s">
        <v>444</v>
      </c>
      <c r="AX107" s="41" t="s">
        <v>283</v>
      </c>
      <c r="AY107" s="40"/>
      <c r="AZ107" s="40"/>
      <c r="BA107" s="29"/>
      <c r="BB107" s="22"/>
      <c r="BC107" s="23">
        <v>0.82</v>
      </c>
      <c r="BD107" s="75">
        <f t="shared" si="87"/>
        <v>0</v>
      </c>
      <c r="BF107" s="41" t="s">
        <v>444</v>
      </c>
      <c r="BG107" s="41" t="s">
        <v>283</v>
      </c>
      <c r="BH107" s="40"/>
      <c r="BI107" s="40"/>
      <c r="BJ107" s="29"/>
      <c r="BK107" s="22"/>
      <c r="BL107" s="23">
        <v>0.82</v>
      </c>
      <c r="BM107" s="75">
        <f t="shared" si="88"/>
        <v>0</v>
      </c>
    </row>
    <row r="108" spans="2:65" outlineLevel="1" x14ac:dyDescent="0.25">
      <c r="B108" s="41" t="s">
        <v>444</v>
      </c>
      <c r="C108" s="41" t="s">
        <v>283</v>
      </c>
      <c r="D108" s="40"/>
      <c r="E108" s="40"/>
      <c r="F108" s="29"/>
      <c r="G108" s="22"/>
      <c r="H108" s="23">
        <v>0.82</v>
      </c>
      <c r="I108" s="75">
        <f t="shared" si="82"/>
        <v>0</v>
      </c>
      <c r="J108" s="171"/>
      <c r="L108" s="41" t="s">
        <v>444</v>
      </c>
      <c r="M108" s="41" t="s">
        <v>283</v>
      </c>
      <c r="N108" s="40"/>
      <c r="O108" s="40"/>
      <c r="P108" s="29"/>
      <c r="Q108" s="22"/>
      <c r="R108" s="23">
        <v>0.82</v>
      </c>
      <c r="S108" s="75">
        <f t="shared" si="83"/>
        <v>0</v>
      </c>
      <c r="T108" s="171"/>
      <c r="V108" s="41" t="s">
        <v>444</v>
      </c>
      <c r="W108" s="41" t="s">
        <v>283</v>
      </c>
      <c r="X108" s="40"/>
      <c r="Y108" s="40"/>
      <c r="Z108" s="29"/>
      <c r="AA108" s="22"/>
      <c r="AB108" s="23">
        <v>0.82</v>
      </c>
      <c r="AC108" s="75">
        <f t="shared" si="84"/>
        <v>0</v>
      </c>
      <c r="AE108" s="41" t="s">
        <v>444</v>
      </c>
      <c r="AF108" s="41" t="s">
        <v>283</v>
      </c>
      <c r="AG108" s="40"/>
      <c r="AH108" s="40"/>
      <c r="AI108" s="29"/>
      <c r="AJ108" s="22"/>
      <c r="AK108" s="23">
        <v>0.82</v>
      </c>
      <c r="AL108" s="75">
        <f t="shared" si="85"/>
        <v>0</v>
      </c>
      <c r="AN108" s="41" t="s">
        <v>444</v>
      </c>
      <c r="AO108" s="41" t="s">
        <v>283</v>
      </c>
      <c r="AP108" s="40"/>
      <c r="AQ108" s="40"/>
      <c r="AR108" s="29"/>
      <c r="AS108" s="22"/>
      <c r="AT108" s="23">
        <v>0.82</v>
      </c>
      <c r="AU108" s="75">
        <f t="shared" si="86"/>
        <v>0</v>
      </c>
      <c r="AW108" s="41" t="s">
        <v>444</v>
      </c>
      <c r="AX108" s="41" t="s">
        <v>283</v>
      </c>
      <c r="AY108" s="40"/>
      <c r="AZ108" s="40"/>
      <c r="BA108" s="29"/>
      <c r="BB108" s="22"/>
      <c r="BC108" s="23">
        <v>0.82</v>
      </c>
      <c r="BD108" s="75">
        <f t="shared" si="87"/>
        <v>0</v>
      </c>
      <c r="BF108" s="41" t="s">
        <v>444</v>
      </c>
      <c r="BG108" s="41" t="s">
        <v>283</v>
      </c>
      <c r="BH108" s="40"/>
      <c r="BI108" s="40"/>
      <c r="BJ108" s="29"/>
      <c r="BK108" s="22"/>
      <c r="BL108" s="23">
        <v>0.82</v>
      </c>
      <c r="BM108" s="75">
        <f t="shared" si="88"/>
        <v>0</v>
      </c>
    </row>
    <row r="109" spans="2:65" outlineLevel="1" x14ac:dyDescent="0.25">
      <c r="B109" s="41" t="s">
        <v>444</v>
      </c>
      <c r="C109" s="41" t="s">
        <v>283</v>
      </c>
      <c r="D109" s="40"/>
      <c r="E109" s="40"/>
      <c r="F109" s="29"/>
      <c r="G109" s="22"/>
      <c r="H109" s="23">
        <v>0.82</v>
      </c>
      <c r="I109" s="75">
        <f t="shared" si="82"/>
        <v>0</v>
      </c>
      <c r="J109" s="171"/>
      <c r="L109" s="41" t="s">
        <v>444</v>
      </c>
      <c r="M109" s="41" t="s">
        <v>283</v>
      </c>
      <c r="N109" s="40"/>
      <c r="O109" s="40"/>
      <c r="P109" s="29"/>
      <c r="Q109" s="22"/>
      <c r="R109" s="23">
        <v>0.82</v>
      </c>
      <c r="S109" s="75">
        <f t="shared" si="83"/>
        <v>0</v>
      </c>
      <c r="T109" s="171"/>
      <c r="V109" s="41" t="s">
        <v>444</v>
      </c>
      <c r="W109" s="41" t="s">
        <v>283</v>
      </c>
      <c r="X109" s="40"/>
      <c r="Y109" s="40"/>
      <c r="Z109" s="29"/>
      <c r="AA109" s="22"/>
      <c r="AB109" s="23">
        <v>0.82</v>
      </c>
      <c r="AC109" s="75">
        <f t="shared" si="84"/>
        <v>0</v>
      </c>
      <c r="AE109" s="41" t="s">
        <v>444</v>
      </c>
      <c r="AF109" s="41" t="s">
        <v>283</v>
      </c>
      <c r="AG109" s="40"/>
      <c r="AH109" s="40"/>
      <c r="AI109" s="29"/>
      <c r="AJ109" s="22"/>
      <c r="AK109" s="23">
        <v>0.82</v>
      </c>
      <c r="AL109" s="75">
        <f t="shared" si="85"/>
        <v>0</v>
      </c>
      <c r="AN109" s="41" t="s">
        <v>444</v>
      </c>
      <c r="AO109" s="41" t="s">
        <v>283</v>
      </c>
      <c r="AP109" s="40"/>
      <c r="AQ109" s="40"/>
      <c r="AR109" s="29"/>
      <c r="AS109" s="22"/>
      <c r="AT109" s="23">
        <v>0.82</v>
      </c>
      <c r="AU109" s="75">
        <f t="shared" si="86"/>
        <v>0</v>
      </c>
      <c r="AW109" s="41" t="s">
        <v>444</v>
      </c>
      <c r="AX109" s="41" t="s">
        <v>283</v>
      </c>
      <c r="AY109" s="40"/>
      <c r="AZ109" s="40"/>
      <c r="BA109" s="29"/>
      <c r="BB109" s="22"/>
      <c r="BC109" s="23">
        <v>0.82</v>
      </c>
      <c r="BD109" s="75">
        <f t="shared" si="87"/>
        <v>0</v>
      </c>
      <c r="BF109" s="41" t="s">
        <v>444</v>
      </c>
      <c r="BG109" s="41" t="s">
        <v>283</v>
      </c>
      <c r="BH109" s="40"/>
      <c r="BI109" s="40"/>
      <c r="BJ109" s="29"/>
      <c r="BK109" s="22"/>
      <c r="BL109" s="23">
        <v>0.82</v>
      </c>
      <c r="BM109" s="75">
        <f t="shared" si="88"/>
        <v>0</v>
      </c>
    </row>
    <row r="110" spans="2:65" outlineLevel="1" x14ac:dyDescent="0.25">
      <c r="B110" s="41" t="s">
        <v>444</v>
      </c>
      <c r="C110" s="41" t="s">
        <v>283</v>
      </c>
      <c r="D110" s="40"/>
      <c r="E110" s="40"/>
      <c r="F110" s="29"/>
      <c r="G110" s="22"/>
      <c r="H110" s="23">
        <v>0.82</v>
      </c>
      <c r="I110" s="75">
        <f t="shared" si="82"/>
        <v>0</v>
      </c>
      <c r="J110" s="171"/>
      <c r="L110" s="41" t="s">
        <v>444</v>
      </c>
      <c r="M110" s="41" t="s">
        <v>283</v>
      </c>
      <c r="N110" s="40"/>
      <c r="O110" s="40"/>
      <c r="P110" s="29"/>
      <c r="Q110" s="22"/>
      <c r="R110" s="23">
        <v>0.82</v>
      </c>
      <c r="S110" s="75">
        <f t="shared" si="83"/>
        <v>0</v>
      </c>
      <c r="T110" s="171"/>
      <c r="V110" s="41" t="s">
        <v>444</v>
      </c>
      <c r="W110" s="41" t="s">
        <v>283</v>
      </c>
      <c r="X110" s="40"/>
      <c r="Y110" s="40"/>
      <c r="Z110" s="29"/>
      <c r="AA110" s="22"/>
      <c r="AB110" s="23">
        <v>0.82</v>
      </c>
      <c r="AC110" s="75">
        <f t="shared" si="84"/>
        <v>0</v>
      </c>
      <c r="AE110" s="41" t="s">
        <v>444</v>
      </c>
      <c r="AF110" s="41" t="s">
        <v>283</v>
      </c>
      <c r="AG110" s="40"/>
      <c r="AH110" s="40"/>
      <c r="AI110" s="29"/>
      <c r="AJ110" s="22"/>
      <c r="AK110" s="23">
        <v>0.82</v>
      </c>
      <c r="AL110" s="75">
        <f t="shared" si="85"/>
        <v>0</v>
      </c>
      <c r="AN110" s="41" t="s">
        <v>444</v>
      </c>
      <c r="AO110" s="41" t="s">
        <v>283</v>
      </c>
      <c r="AP110" s="40"/>
      <c r="AQ110" s="40"/>
      <c r="AR110" s="29"/>
      <c r="AS110" s="22"/>
      <c r="AT110" s="23">
        <v>0.82</v>
      </c>
      <c r="AU110" s="75">
        <f t="shared" si="86"/>
        <v>0</v>
      </c>
      <c r="AW110" s="41" t="s">
        <v>444</v>
      </c>
      <c r="AX110" s="41" t="s">
        <v>283</v>
      </c>
      <c r="AY110" s="40"/>
      <c r="AZ110" s="40"/>
      <c r="BA110" s="29"/>
      <c r="BB110" s="22"/>
      <c r="BC110" s="23">
        <v>0.82</v>
      </c>
      <c r="BD110" s="75">
        <f t="shared" si="87"/>
        <v>0</v>
      </c>
      <c r="BF110" s="41" t="s">
        <v>444</v>
      </c>
      <c r="BG110" s="41" t="s">
        <v>283</v>
      </c>
      <c r="BH110" s="40"/>
      <c r="BI110" s="40"/>
      <c r="BJ110" s="29"/>
      <c r="BK110" s="22"/>
      <c r="BL110" s="23">
        <v>0.82</v>
      </c>
      <c r="BM110" s="75">
        <f t="shared" si="88"/>
        <v>0</v>
      </c>
    </row>
    <row r="111" spans="2:65" outlineLevel="1" x14ac:dyDescent="0.25">
      <c r="B111" s="41" t="s">
        <v>444</v>
      </c>
      <c r="C111" s="41" t="s">
        <v>283</v>
      </c>
      <c r="D111" s="40"/>
      <c r="E111" s="40"/>
      <c r="F111" s="29"/>
      <c r="G111" s="22"/>
      <c r="H111" s="23">
        <v>0.82</v>
      </c>
      <c r="I111" s="75">
        <f t="shared" si="82"/>
        <v>0</v>
      </c>
      <c r="J111" s="171"/>
      <c r="L111" s="41" t="s">
        <v>444</v>
      </c>
      <c r="M111" s="41" t="s">
        <v>283</v>
      </c>
      <c r="N111" s="40"/>
      <c r="O111" s="40"/>
      <c r="P111" s="29"/>
      <c r="Q111" s="22"/>
      <c r="R111" s="23">
        <v>0.82</v>
      </c>
      <c r="S111" s="75">
        <f t="shared" si="83"/>
        <v>0</v>
      </c>
      <c r="T111" s="171"/>
      <c r="V111" s="41" t="s">
        <v>444</v>
      </c>
      <c r="W111" s="41" t="s">
        <v>283</v>
      </c>
      <c r="X111" s="40"/>
      <c r="Y111" s="40"/>
      <c r="Z111" s="29"/>
      <c r="AA111" s="22"/>
      <c r="AB111" s="23">
        <v>0.82</v>
      </c>
      <c r="AC111" s="75">
        <f t="shared" si="84"/>
        <v>0</v>
      </c>
      <c r="AE111" s="41" t="s">
        <v>444</v>
      </c>
      <c r="AF111" s="41" t="s">
        <v>283</v>
      </c>
      <c r="AG111" s="40"/>
      <c r="AH111" s="40"/>
      <c r="AI111" s="29"/>
      <c r="AJ111" s="22"/>
      <c r="AK111" s="23">
        <v>0.82</v>
      </c>
      <c r="AL111" s="75">
        <f t="shared" si="85"/>
        <v>0</v>
      </c>
      <c r="AN111" s="41" t="s">
        <v>444</v>
      </c>
      <c r="AO111" s="41" t="s">
        <v>283</v>
      </c>
      <c r="AP111" s="40"/>
      <c r="AQ111" s="40"/>
      <c r="AR111" s="29"/>
      <c r="AS111" s="22"/>
      <c r="AT111" s="23">
        <v>0.82</v>
      </c>
      <c r="AU111" s="75">
        <f t="shared" si="86"/>
        <v>0</v>
      </c>
      <c r="AW111" s="41" t="s">
        <v>444</v>
      </c>
      <c r="AX111" s="41" t="s">
        <v>283</v>
      </c>
      <c r="AY111" s="40"/>
      <c r="AZ111" s="40"/>
      <c r="BA111" s="29"/>
      <c r="BB111" s="22"/>
      <c r="BC111" s="23">
        <v>0.82</v>
      </c>
      <c r="BD111" s="75">
        <f t="shared" si="87"/>
        <v>0</v>
      </c>
      <c r="BF111" s="41" t="s">
        <v>444</v>
      </c>
      <c r="BG111" s="41" t="s">
        <v>283</v>
      </c>
      <c r="BH111" s="40"/>
      <c r="BI111" s="40"/>
      <c r="BJ111" s="29"/>
      <c r="BK111" s="22"/>
      <c r="BL111" s="23">
        <v>0.82</v>
      </c>
      <c r="BM111" s="75">
        <f t="shared" si="88"/>
        <v>0</v>
      </c>
    </row>
    <row r="112" spans="2:65" outlineLevel="1" x14ac:dyDescent="0.25">
      <c r="B112" s="41" t="s">
        <v>444</v>
      </c>
      <c r="C112" s="41" t="s">
        <v>283</v>
      </c>
      <c r="D112" s="40"/>
      <c r="E112" s="40"/>
      <c r="F112" s="29"/>
      <c r="G112" s="22"/>
      <c r="H112" s="23">
        <v>0.82</v>
      </c>
      <c r="I112" s="75">
        <f t="shared" si="82"/>
        <v>0</v>
      </c>
      <c r="J112" s="171"/>
      <c r="L112" s="41" t="s">
        <v>444</v>
      </c>
      <c r="M112" s="41" t="s">
        <v>283</v>
      </c>
      <c r="N112" s="40"/>
      <c r="O112" s="40"/>
      <c r="P112" s="29"/>
      <c r="Q112" s="22"/>
      <c r="R112" s="23">
        <v>0.82</v>
      </c>
      <c r="S112" s="75">
        <f t="shared" si="83"/>
        <v>0</v>
      </c>
      <c r="T112" s="171"/>
      <c r="V112" s="41" t="s">
        <v>444</v>
      </c>
      <c r="W112" s="41" t="s">
        <v>283</v>
      </c>
      <c r="X112" s="40"/>
      <c r="Y112" s="40"/>
      <c r="Z112" s="29"/>
      <c r="AA112" s="22"/>
      <c r="AB112" s="23">
        <v>0.82</v>
      </c>
      <c r="AC112" s="75">
        <f t="shared" si="84"/>
        <v>0</v>
      </c>
      <c r="AE112" s="41" t="s">
        <v>444</v>
      </c>
      <c r="AF112" s="41" t="s">
        <v>283</v>
      </c>
      <c r="AG112" s="40"/>
      <c r="AH112" s="40"/>
      <c r="AI112" s="29"/>
      <c r="AJ112" s="22"/>
      <c r="AK112" s="23">
        <v>0.82</v>
      </c>
      <c r="AL112" s="75">
        <f t="shared" si="85"/>
        <v>0</v>
      </c>
      <c r="AN112" s="41" t="s">
        <v>444</v>
      </c>
      <c r="AO112" s="41" t="s">
        <v>283</v>
      </c>
      <c r="AP112" s="40"/>
      <c r="AQ112" s="40"/>
      <c r="AR112" s="29"/>
      <c r="AS112" s="22"/>
      <c r="AT112" s="23">
        <v>0.82</v>
      </c>
      <c r="AU112" s="75">
        <f t="shared" si="86"/>
        <v>0</v>
      </c>
      <c r="AW112" s="41" t="s">
        <v>444</v>
      </c>
      <c r="AX112" s="41" t="s">
        <v>283</v>
      </c>
      <c r="AY112" s="40"/>
      <c r="AZ112" s="40"/>
      <c r="BA112" s="29"/>
      <c r="BB112" s="22"/>
      <c r="BC112" s="23">
        <v>0.82</v>
      </c>
      <c r="BD112" s="75">
        <f t="shared" si="87"/>
        <v>0</v>
      </c>
      <c r="BF112" s="41" t="s">
        <v>444</v>
      </c>
      <c r="BG112" s="41" t="s">
        <v>283</v>
      </c>
      <c r="BH112" s="40"/>
      <c r="BI112" s="40"/>
      <c r="BJ112" s="29"/>
      <c r="BK112" s="22"/>
      <c r="BL112" s="23">
        <v>0.82</v>
      </c>
      <c r="BM112" s="75">
        <f t="shared" si="88"/>
        <v>0</v>
      </c>
    </row>
    <row r="113" spans="2:65" s="24" customFormat="1" x14ac:dyDescent="0.25">
      <c r="B113" s="8" t="s">
        <v>447</v>
      </c>
      <c r="C113" s="25"/>
      <c r="D113" s="28">
        <f>SUM(D98:D112)</f>
        <v>0</v>
      </c>
      <c r="E113" s="28">
        <f>SUM(E98:E112)</f>
        <v>0</v>
      </c>
      <c r="F113" s="30"/>
      <c r="G113" s="25"/>
      <c r="H113" s="26"/>
      <c r="I113" s="28">
        <f>SUM(I98:I112)</f>
        <v>0</v>
      </c>
      <c r="J113" s="170"/>
      <c r="L113" s="8" t="s">
        <v>447</v>
      </c>
      <c r="M113" s="25"/>
      <c r="N113" s="28">
        <f>SUM(N98:N112)</f>
        <v>0</v>
      </c>
      <c r="O113" s="28">
        <f>SUM(O98:O112)</f>
        <v>0</v>
      </c>
      <c r="P113" s="30"/>
      <c r="Q113" s="25"/>
      <c r="R113" s="26"/>
      <c r="S113" s="28">
        <f>SUM(S98:S112)</f>
        <v>0</v>
      </c>
      <c r="T113" s="170"/>
      <c r="V113" s="8" t="s">
        <v>447</v>
      </c>
      <c r="W113" s="25"/>
      <c r="X113" s="28">
        <f>SUM(X98:X112)</f>
        <v>0</v>
      </c>
      <c r="Y113" s="28">
        <f>SUM(Y98:Y112)</f>
        <v>0</v>
      </c>
      <c r="Z113" s="30"/>
      <c r="AA113" s="25"/>
      <c r="AB113" s="26"/>
      <c r="AC113" s="28">
        <f>SUM(AC98:AC112)</f>
        <v>0</v>
      </c>
      <c r="AE113" s="8" t="s">
        <v>447</v>
      </c>
      <c r="AF113" s="25"/>
      <c r="AG113" s="28">
        <f>SUM(AG98:AG112)</f>
        <v>0</v>
      </c>
      <c r="AH113" s="28">
        <f>SUM(AH98:AH112)</f>
        <v>0</v>
      </c>
      <c r="AI113" s="30"/>
      <c r="AJ113" s="25"/>
      <c r="AK113" s="26"/>
      <c r="AL113" s="28">
        <f>SUM(AL98:AL112)</f>
        <v>0</v>
      </c>
      <c r="AN113" s="8" t="s">
        <v>447</v>
      </c>
      <c r="AO113" s="25"/>
      <c r="AP113" s="28">
        <f>SUM(AP98:AP112)</f>
        <v>0</v>
      </c>
      <c r="AQ113" s="28">
        <f>SUM(AQ98:AQ112)</f>
        <v>0</v>
      </c>
      <c r="AR113" s="30"/>
      <c r="AS113" s="25"/>
      <c r="AT113" s="26"/>
      <c r="AU113" s="28">
        <f>SUM(AU98:AU112)</f>
        <v>0</v>
      </c>
      <c r="AW113" s="8" t="s">
        <v>447</v>
      </c>
      <c r="AX113" s="25"/>
      <c r="AY113" s="28">
        <f>SUM(AY98:AY112)</f>
        <v>0</v>
      </c>
      <c r="AZ113" s="28">
        <f>SUM(AZ98:AZ112)</f>
        <v>0</v>
      </c>
      <c r="BA113" s="30"/>
      <c r="BB113" s="25"/>
      <c r="BC113" s="26"/>
      <c r="BD113" s="28">
        <f>SUM(BD98:BD112)</f>
        <v>0</v>
      </c>
      <c r="BF113" s="8" t="s">
        <v>447</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2" t="s">
        <v>380</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2" t="s">
        <v>380</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x14ac:dyDescent="0.25">
      <c r="B116" s="41" t="s">
        <v>444</v>
      </c>
      <c r="C116" s="41" t="s">
        <v>283</v>
      </c>
      <c r="D116" s="40"/>
      <c r="E116" s="40"/>
      <c r="F116" s="40"/>
      <c r="G116" s="31"/>
      <c r="H116" s="32"/>
      <c r="I116" s="29"/>
      <c r="J116" s="171"/>
      <c r="L116" s="41" t="s">
        <v>444</v>
      </c>
      <c r="M116" s="41" t="s">
        <v>283</v>
      </c>
      <c r="N116" s="40"/>
      <c r="O116" s="40"/>
      <c r="P116" s="40"/>
      <c r="Q116" s="31"/>
      <c r="R116" s="32"/>
      <c r="S116" s="29"/>
      <c r="T116" s="171"/>
      <c r="V116" s="41" t="s">
        <v>444</v>
      </c>
      <c r="W116" s="41" t="s">
        <v>283</v>
      </c>
      <c r="X116" s="40"/>
      <c r="Y116" s="40"/>
      <c r="Z116" s="40"/>
      <c r="AA116" s="31"/>
      <c r="AB116" s="32"/>
      <c r="AC116" s="29"/>
      <c r="AE116" s="41" t="s">
        <v>444</v>
      </c>
      <c r="AF116" s="41" t="s">
        <v>283</v>
      </c>
      <c r="AG116" s="40"/>
      <c r="AH116" s="40"/>
      <c r="AI116" s="40"/>
      <c r="AJ116" s="31"/>
      <c r="AK116" s="32"/>
      <c r="AL116" s="29"/>
      <c r="AN116" s="41" t="s">
        <v>444</v>
      </c>
      <c r="AO116" s="41" t="s">
        <v>283</v>
      </c>
      <c r="AP116" s="40"/>
      <c r="AQ116" s="40"/>
      <c r="AR116" s="40"/>
      <c r="AS116" s="31"/>
      <c r="AT116" s="32"/>
      <c r="AU116" s="29"/>
      <c r="AW116" s="41" t="s">
        <v>444</v>
      </c>
      <c r="AX116" s="41" t="s">
        <v>283</v>
      </c>
      <c r="AY116" s="40"/>
      <c r="AZ116" s="40"/>
      <c r="BA116" s="40"/>
      <c r="BB116" s="31"/>
      <c r="BC116" s="32"/>
      <c r="BD116" s="29"/>
      <c r="BF116" s="41" t="s">
        <v>444</v>
      </c>
      <c r="BG116" s="41" t="s">
        <v>283</v>
      </c>
      <c r="BH116" s="40"/>
      <c r="BI116" s="40"/>
      <c r="BJ116" s="40"/>
      <c r="BK116" s="31"/>
      <c r="BL116" s="32"/>
      <c r="BM116" s="29"/>
    </row>
    <row r="117" spans="2:65" x14ac:dyDescent="0.25">
      <c r="B117" s="41" t="s">
        <v>444</v>
      </c>
      <c r="C117" s="41" t="s">
        <v>283</v>
      </c>
      <c r="D117" s="40"/>
      <c r="E117" s="40"/>
      <c r="F117" s="40"/>
      <c r="G117" s="31"/>
      <c r="H117" s="32"/>
      <c r="I117" s="29"/>
      <c r="J117" s="171"/>
      <c r="L117" s="41" t="s">
        <v>444</v>
      </c>
      <c r="M117" s="41" t="s">
        <v>283</v>
      </c>
      <c r="N117" s="40"/>
      <c r="O117" s="40"/>
      <c r="P117" s="40"/>
      <c r="Q117" s="31"/>
      <c r="R117" s="32"/>
      <c r="S117" s="29"/>
      <c r="T117" s="171"/>
      <c r="V117" s="41" t="s">
        <v>444</v>
      </c>
      <c r="W117" s="41" t="s">
        <v>283</v>
      </c>
      <c r="X117" s="40"/>
      <c r="Y117" s="40"/>
      <c r="Z117" s="40"/>
      <c r="AA117" s="31"/>
      <c r="AB117" s="32"/>
      <c r="AC117" s="29"/>
      <c r="AE117" s="41" t="s">
        <v>444</v>
      </c>
      <c r="AF117" s="41" t="s">
        <v>283</v>
      </c>
      <c r="AG117" s="40"/>
      <c r="AH117" s="40"/>
      <c r="AI117" s="40"/>
      <c r="AJ117" s="31"/>
      <c r="AK117" s="32"/>
      <c r="AL117" s="29"/>
      <c r="AN117" s="41" t="s">
        <v>444</v>
      </c>
      <c r="AO117" s="41" t="s">
        <v>283</v>
      </c>
      <c r="AP117" s="40"/>
      <c r="AQ117" s="40"/>
      <c r="AR117" s="40"/>
      <c r="AS117" s="31"/>
      <c r="AT117" s="32"/>
      <c r="AU117" s="29"/>
      <c r="AW117" s="41" t="s">
        <v>444</v>
      </c>
      <c r="AX117" s="41" t="s">
        <v>283</v>
      </c>
      <c r="AY117" s="40"/>
      <c r="AZ117" s="40"/>
      <c r="BA117" s="40"/>
      <c r="BB117" s="31"/>
      <c r="BC117" s="32"/>
      <c r="BD117" s="29"/>
      <c r="BF117" s="41" t="s">
        <v>444</v>
      </c>
      <c r="BG117" s="41" t="s">
        <v>283</v>
      </c>
      <c r="BH117" s="40"/>
      <c r="BI117" s="40"/>
      <c r="BJ117" s="40"/>
      <c r="BK117" s="31"/>
      <c r="BL117" s="32"/>
      <c r="BM117" s="29"/>
    </row>
    <row r="118" spans="2:65" x14ac:dyDescent="0.25">
      <c r="B118" s="41" t="s">
        <v>444</v>
      </c>
      <c r="C118" s="41" t="s">
        <v>283</v>
      </c>
      <c r="D118" s="40"/>
      <c r="E118" s="40"/>
      <c r="F118" s="40"/>
      <c r="G118" s="31"/>
      <c r="H118" s="32"/>
      <c r="I118" s="29"/>
      <c r="J118" s="171"/>
      <c r="L118" s="41" t="s">
        <v>444</v>
      </c>
      <c r="M118" s="41" t="s">
        <v>283</v>
      </c>
      <c r="N118" s="40"/>
      <c r="O118" s="40"/>
      <c r="P118" s="40"/>
      <c r="Q118" s="31"/>
      <c r="R118" s="32"/>
      <c r="S118" s="29"/>
      <c r="T118" s="171"/>
      <c r="V118" s="41" t="s">
        <v>444</v>
      </c>
      <c r="W118" s="41" t="s">
        <v>283</v>
      </c>
      <c r="X118" s="40"/>
      <c r="Y118" s="40"/>
      <c r="Z118" s="40"/>
      <c r="AA118" s="31"/>
      <c r="AB118" s="32"/>
      <c r="AC118" s="29"/>
      <c r="AE118" s="41" t="s">
        <v>444</v>
      </c>
      <c r="AF118" s="41" t="s">
        <v>283</v>
      </c>
      <c r="AG118" s="40"/>
      <c r="AH118" s="40"/>
      <c r="AI118" s="40"/>
      <c r="AJ118" s="31"/>
      <c r="AK118" s="32"/>
      <c r="AL118" s="29"/>
      <c r="AN118" s="41" t="s">
        <v>444</v>
      </c>
      <c r="AO118" s="41" t="s">
        <v>283</v>
      </c>
      <c r="AP118" s="40"/>
      <c r="AQ118" s="40"/>
      <c r="AR118" s="40"/>
      <c r="AS118" s="31"/>
      <c r="AT118" s="32"/>
      <c r="AU118" s="29"/>
      <c r="AW118" s="41" t="s">
        <v>444</v>
      </c>
      <c r="AX118" s="41" t="s">
        <v>283</v>
      </c>
      <c r="AY118" s="40"/>
      <c r="AZ118" s="40"/>
      <c r="BA118" s="40"/>
      <c r="BB118" s="31"/>
      <c r="BC118" s="32"/>
      <c r="BD118" s="29"/>
      <c r="BF118" s="41" t="s">
        <v>444</v>
      </c>
      <c r="BG118" s="41" t="s">
        <v>283</v>
      </c>
      <c r="BH118" s="40"/>
      <c r="BI118" s="40"/>
      <c r="BJ118" s="40"/>
      <c r="BK118" s="31"/>
      <c r="BL118" s="32"/>
      <c r="BM118" s="29"/>
    </row>
    <row r="119" spans="2:65" x14ac:dyDescent="0.25">
      <c r="B119" s="41" t="s">
        <v>444</v>
      </c>
      <c r="C119" s="41" t="s">
        <v>283</v>
      </c>
      <c r="D119" s="40"/>
      <c r="E119" s="40"/>
      <c r="F119" s="40"/>
      <c r="G119" s="31"/>
      <c r="H119" s="32"/>
      <c r="I119" s="29"/>
      <c r="J119" s="171"/>
      <c r="L119" s="41" t="s">
        <v>444</v>
      </c>
      <c r="M119" s="41" t="s">
        <v>283</v>
      </c>
      <c r="N119" s="40"/>
      <c r="O119" s="40"/>
      <c r="P119" s="40"/>
      <c r="Q119" s="31"/>
      <c r="R119" s="32"/>
      <c r="S119" s="29"/>
      <c r="T119" s="171"/>
      <c r="V119" s="41" t="s">
        <v>444</v>
      </c>
      <c r="W119" s="41" t="s">
        <v>283</v>
      </c>
      <c r="X119" s="40"/>
      <c r="Y119" s="40"/>
      <c r="Z119" s="40"/>
      <c r="AA119" s="31"/>
      <c r="AB119" s="32"/>
      <c r="AC119" s="29"/>
      <c r="AE119" s="41" t="s">
        <v>444</v>
      </c>
      <c r="AF119" s="41" t="s">
        <v>283</v>
      </c>
      <c r="AG119" s="40"/>
      <c r="AH119" s="40"/>
      <c r="AI119" s="40"/>
      <c r="AJ119" s="31"/>
      <c r="AK119" s="32"/>
      <c r="AL119" s="29"/>
      <c r="AN119" s="41" t="s">
        <v>444</v>
      </c>
      <c r="AO119" s="41" t="s">
        <v>283</v>
      </c>
      <c r="AP119" s="40"/>
      <c r="AQ119" s="40"/>
      <c r="AR119" s="40"/>
      <c r="AS119" s="31"/>
      <c r="AT119" s="32"/>
      <c r="AU119" s="29"/>
      <c r="AW119" s="41" t="s">
        <v>444</v>
      </c>
      <c r="AX119" s="41" t="s">
        <v>283</v>
      </c>
      <c r="AY119" s="40"/>
      <c r="AZ119" s="40"/>
      <c r="BA119" s="40"/>
      <c r="BB119" s="31"/>
      <c r="BC119" s="32"/>
      <c r="BD119" s="29"/>
      <c r="BF119" s="41" t="s">
        <v>444</v>
      </c>
      <c r="BG119" s="41" t="s">
        <v>283</v>
      </c>
      <c r="BH119" s="40"/>
      <c r="BI119" s="40"/>
      <c r="BJ119" s="40"/>
      <c r="BK119" s="31"/>
      <c r="BL119" s="32"/>
      <c r="BM119" s="29"/>
    </row>
    <row r="120" spans="2:65" x14ac:dyDescent="0.25">
      <c r="B120" s="41" t="s">
        <v>444</v>
      </c>
      <c r="C120" s="41" t="s">
        <v>283</v>
      </c>
      <c r="D120" s="40"/>
      <c r="E120" s="40"/>
      <c r="F120" s="40"/>
      <c r="G120" s="31"/>
      <c r="H120" s="32"/>
      <c r="I120" s="29"/>
      <c r="J120" s="171"/>
      <c r="L120" s="41" t="s">
        <v>444</v>
      </c>
      <c r="M120" s="41" t="s">
        <v>283</v>
      </c>
      <c r="N120" s="40"/>
      <c r="O120" s="40"/>
      <c r="P120" s="40"/>
      <c r="Q120" s="31"/>
      <c r="R120" s="32"/>
      <c r="S120" s="29"/>
      <c r="T120" s="171"/>
      <c r="V120" s="41" t="s">
        <v>444</v>
      </c>
      <c r="W120" s="41" t="s">
        <v>283</v>
      </c>
      <c r="X120" s="40"/>
      <c r="Y120" s="40"/>
      <c r="Z120" s="40"/>
      <c r="AA120" s="31"/>
      <c r="AB120" s="32"/>
      <c r="AC120" s="29"/>
      <c r="AE120" s="41" t="s">
        <v>444</v>
      </c>
      <c r="AF120" s="41" t="s">
        <v>283</v>
      </c>
      <c r="AG120" s="40"/>
      <c r="AH120" s="40"/>
      <c r="AI120" s="40"/>
      <c r="AJ120" s="31"/>
      <c r="AK120" s="32"/>
      <c r="AL120" s="29"/>
      <c r="AN120" s="41" t="s">
        <v>444</v>
      </c>
      <c r="AO120" s="41" t="s">
        <v>283</v>
      </c>
      <c r="AP120" s="40"/>
      <c r="AQ120" s="40"/>
      <c r="AR120" s="40"/>
      <c r="AS120" s="31"/>
      <c r="AT120" s="32"/>
      <c r="AU120" s="29"/>
      <c r="AW120" s="41" t="s">
        <v>444</v>
      </c>
      <c r="AX120" s="41" t="s">
        <v>283</v>
      </c>
      <c r="AY120" s="40"/>
      <c r="AZ120" s="40"/>
      <c r="BA120" s="40"/>
      <c r="BB120" s="31"/>
      <c r="BC120" s="32"/>
      <c r="BD120" s="29"/>
      <c r="BF120" s="41" t="s">
        <v>444</v>
      </c>
      <c r="BG120" s="41" t="s">
        <v>283</v>
      </c>
      <c r="BH120" s="40"/>
      <c r="BI120" s="40"/>
      <c r="BJ120" s="40"/>
      <c r="BK120" s="31"/>
      <c r="BL120" s="32"/>
      <c r="BM120" s="29"/>
    </row>
    <row r="121" spans="2:65" x14ac:dyDescent="0.25">
      <c r="B121" s="41" t="s">
        <v>444</v>
      </c>
      <c r="C121" s="41" t="s">
        <v>283</v>
      </c>
      <c r="D121" s="40"/>
      <c r="E121" s="40"/>
      <c r="F121" s="40"/>
      <c r="G121" s="31"/>
      <c r="H121" s="32"/>
      <c r="I121" s="29"/>
      <c r="J121" s="171"/>
      <c r="L121" s="41" t="s">
        <v>444</v>
      </c>
      <c r="M121" s="41" t="s">
        <v>283</v>
      </c>
      <c r="N121" s="40"/>
      <c r="O121" s="40"/>
      <c r="P121" s="40"/>
      <c r="Q121" s="31"/>
      <c r="R121" s="32"/>
      <c r="S121" s="29"/>
      <c r="T121" s="171"/>
      <c r="V121" s="41" t="s">
        <v>444</v>
      </c>
      <c r="W121" s="41" t="s">
        <v>283</v>
      </c>
      <c r="X121" s="40"/>
      <c r="Y121" s="40"/>
      <c r="Z121" s="40"/>
      <c r="AA121" s="31"/>
      <c r="AB121" s="32"/>
      <c r="AC121" s="29"/>
      <c r="AE121" s="41" t="s">
        <v>444</v>
      </c>
      <c r="AF121" s="41" t="s">
        <v>283</v>
      </c>
      <c r="AG121" s="40"/>
      <c r="AH121" s="40"/>
      <c r="AI121" s="40"/>
      <c r="AJ121" s="31"/>
      <c r="AK121" s="32"/>
      <c r="AL121" s="29"/>
      <c r="AN121" s="41" t="s">
        <v>444</v>
      </c>
      <c r="AO121" s="41" t="s">
        <v>283</v>
      </c>
      <c r="AP121" s="40"/>
      <c r="AQ121" s="40"/>
      <c r="AR121" s="40"/>
      <c r="AS121" s="31"/>
      <c r="AT121" s="32"/>
      <c r="AU121" s="29"/>
      <c r="AW121" s="41" t="s">
        <v>444</v>
      </c>
      <c r="AX121" s="41" t="s">
        <v>283</v>
      </c>
      <c r="AY121" s="40"/>
      <c r="AZ121" s="40"/>
      <c r="BA121" s="40"/>
      <c r="BB121" s="31"/>
      <c r="BC121" s="32"/>
      <c r="BD121" s="29"/>
      <c r="BF121" s="41" t="s">
        <v>444</v>
      </c>
      <c r="BG121" s="41" t="s">
        <v>283</v>
      </c>
      <c r="BH121" s="40"/>
      <c r="BI121" s="40"/>
      <c r="BJ121" s="40"/>
      <c r="BK121" s="31"/>
      <c r="BL121" s="32"/>
      <c r="BM121" s="29"/>
    </row>
    <row r="122" spans="2:65" x14ac:dyDescent="0.25">
      <c r="B122" s="41" t="s">
        <v>444</v>
      </c>
      <c r="C122" s="41" t="s">
        <v>283</v>
      </c>
      <c r="D122" s="40"/>
      <c r="E122" s="40"/>
      <c r="F122" s="40"/>
      <c r="G122" s="31"/>
      <c r="H122" s="32"/>
      <c r="I122" s="29"/>
      <c r="J122" s="171"/>
      <c r="L122" s="41" t="s">
        <v>444</v>
      </c>
      <c r="M122" s="41" t="s">
        <v>283</v>
      </c>
      <c r="N122" s="40"/>
      <c r="O122" s="40"/>
      <c r="P122" s="40"/>
      <c r="Q122" s="31"/>
      <c r="R122" s="32"/>
      <c r="S122" s="29"/>
      <c r="T122" s="171"/>
      <c r="V122" s="41" t="s">
        <v>444</v>
      </c>
      <c r="W122" s="41" t="s">
        <v>283</v>
      </c>
      <c r="X122" s="40"/>
      <c r="Y122" s="40"/>
      <c r="Z122" s="40"/>
      <c r="AA122" s="31"/>
      <c r="AB122" s="32"/>
      <c r="AC122" s="29"/>
      <c r="AE122" s="41" t="s">
        <v>444</v>
      </c>
      <c r="AF122" s="41" t="s">
        <v>283</v>
      </c>
      <c r="AG122" s="40"/>
      <c r="AH122" s="40"/>
      <c r="AI122" s="40"/>
      <c r="AJ122" s="31"/>
      <c r="AK122" s="32"/>
      <c r="AL122" s="29"/>
      <c r="AN122" s="41" t="s">
        <v>444</v>
      </c>
      <c r="AO122" s="41" t="s">
        <v>283</v>
      </c>
      <c r="AP122" s="40"/>
      <c r="AQ122" s="40"/>
      <c r="AR122" s="40"/>
      <c r="AS122" s="31"/>
      <c r="AT122" s="32"/>
      <c r="AU122" s="29"/>
      <c r="AW122" s="41" t="s">
        <v>444</v>
      </c>
      <c r="AX122" s="41" t="s">
        <v>283</v>
      </c>
      <c r="AY122" s="40"/>
      <c r="AZ122" s="40"/>
      <c r="BA122" s="40"/>
      <c r="BB122" s="31"/>
      <c r="BC122" s="32"/>
      <c r="BD122" s="29"/>
      <c r="BF122" s="41" t="s">
        <v>444</v>
      </c>
      <c r="BG122" s="41" t="s">
        <v>283</v>
      </c>
      <c r="BH122" s="40"/>
      <c r="BI122" s="40"/>
      <c r="BJ122" s="40"/>
      <c r="BK122" s="31"/>
      <c r="BL122" s="32"/>
      <c r="BM122" s="29"/>
    </row>
    <row r="123" spans="2:65" outlineLevel="1" x14ac:dyDescent="0.25">
      <c r="B123" s="41" t="s">
        <v>444</v>
      </c>
      <c r="C123" s="41" t="s">
        <v>283</v>
      </c>
      <c r="D123" s="40"/>
      <c r="E123" s="40"/>
      <c r="F123" s="40"/>
      <c r="G123" s="31"/>
      <c r="H123" s="32"/>
      <c r="I123" s="29"/>
      <c r="J123" s="171"/>
      <c r="L123" s="41" t="s">
        <v>444</v>
      </c>
      <c r="M123" s="41" t="s">
        <v>283</v>
      </c>
      <c r="N123" s="40"/>
      <c r="O123" s="40"/>
      <c r="P123" s="40"/>
      <c r="Q123" s="31"/>
      <c r="R123" s="32"/>
      <c r="S123" s="29"/>
      <c r="T123" s="171"/>
      <c r="V123" s="41" t="s">
        <v>444</v>
      </c>
      <c r="W123" s="41" t="s">
        <v>283</v>
      </c>
      <c r="X123" s="40"/>
      <c r="Y123" s="40"/>
      <c r="Z123" s="40"/>
      <c r="AA123" s="31"/>
      <c r="AB123" s="32"/>
      <c r="AC123" s="29"/>
      <c r="AE123" s="41" t="s">
        <v>444</v>
      </c>
      <c r="AF123" s="41" t="s">
        <v>283</v>
      </c>
      <c r="AG123" s="40"/>
      <c r="AH123" s="40"/>
      <c r="AI123" s="40"/>
      <c r="AJ123" s="31"/>
      <c r="AK123" s="32"/>
      <c r="AL123" s="29"/>
      <c r="AN123" s="41" t="s">
        <v>444</v>
      </c>
      <c r="AO123" s="41" t="s">
        <v>283</v>
      </c>
      <c r="AP123" s="40"/>
      <c r="AQ123" s="40"/>
      <c r="AR123" s="40"/>
      <c r="AS123" s="31"/>
      <c r="AT123" s="32"/>
      <c r="AU123" s="29"/>
      <c r="AW123" s="41" t="s">
        <v>444</v>
      </c>
      <c r="AX123" s="41" t="s">
        <v>283</v>
      </c>
      <c r="AY123" s="40"/>
      <c r="AZ123" s="40"/>
      <c r="BA123" s="40"/>
      <c r="BB123" s="31"/>
      <c r="BC123" s="32"/>
      <c r="BD123" s="29"/>
      <c r="BF123" s="41" t="s">
        <v>444</v>
      </c>
      <c r="BG123" s="41" t="s">
        <v>283</v>
      </c>
      <c r="BH123" s="40"/>
      <c r="BI123" s="40"/>
      <c r="BJ123" s="40"/>
      <c r="BK123" s="31"/>
      <c r="BL123" s="32"/>
      <c r="BM123" s="29"/>
    </row>
    <row r="124" spans="2:65" outlineLevel="1" x14ac:dyDescent="0.25">
      <c r="B124" s="41" t="s">
        <v>444</v>
      </c>
      <c r="C124" s="41" t="s">
        <v>283</v>
      </c>
      <c r="D124" s="40"/>
      <c r="E124" s="40"/>
      <c r="F124" s="40"/>
      <c r="G124" s="31"/>
      <c r="H124" s="32"/>
      <c r="I124" s="29"/>
      <c r="J124" s="171"/>
      <c r="L124" s="41" t="s">
        <v>444</v>
      </c>
      <c r="M124" s="41" t="s">
        <v>283</v>
      </c>
      <c r="N124" s="40"/>
      <c r="O124" s="40"/>
      <c r="P124" s="40"/>
      <c r="Q124" s="31"/>
      <c r="R124" s="32"/>
      <c r="S124" s="29"/>
      <c r="T124" s="171"/>
      <c r="V124" s="41" t="s">
        <v>444</v>
      </c>
      <c r="W124" s="41" t="s">
        <v>283</v>
      </c>
      <c r="X124" s="40"/>
      <c r="Y124" s="40"/>
      <c r="Z124" s="40"/>
      <c r="AA124" s="31"/>
      <c r="AB124" s="32"/>
      <c r="AC124" s="29"/>
      <c r="AE124" s="41" t="s">
        <v>444</v>
      </c>
      <c r="AF124" s="41" t="s">
        <v>283</v>
      </c>
      <c r="AG124" s="40"/>
      <c r="AH124" s="40"/>
      <c r="AI124" s="40"/>
      <c r="AJ124" s="31"/>
      <c r="AK124" s="32"/>
      <c r="AL124" s="29"/>
      <c r="AN124" s="41" t="s">
        <v>444</v>
      </c>
      <c r="AO124" s="41" t="s">
        <v>283</v>
      </c>
      <c r="AP124" s="40"/>
      <c r="AQ124" s="40"/>
      <c r="AR124" s="40"/>
      <c r="AS124" s="31"/>
      <c r="AT124" s="32"/>
      <c r="AU124" s="29"/>
      <c r="AW124" s="41" t="s">
        <v>444</v>
      </c>
      <c r="AX124" s="41" t="s">
        <v>283</v>
      </c>
      <c r="AY124" s="40"/>
      <c r="AZ124" s="40"/>
      <c r="BA124" s="40"/>
      <c r="BB124" s="31"/>
      <c r="BC124" s="32"/>
      <c r="BD124" s="29"/>
      <c r="BF124" s="41" t="s">
        <v>444</v>
      </c>
      <c r="BG124" s="41" t="s">
        <v>283</v>
      </c>
      <c r="BH124" s="40"/>
      <c r="BI124" s="40"/>
      <c r="BJ124" s="40"/>
      <c r="BK124" s="31"/>
      <c r="BL124" s="32"/>
      <c r="BM124" s="29"/>
    </row>
    <row r="125" spans="2:65" outlineLevel="1" x14ac:dyDescent="0.25">
      <c r="B125" s="41" t="s">
        <v>444</v>
      </c>
      <c r="C125" s="41" t="s">
        <v>283</v>
      </c>
      <c r="D125" s="40"/>
      <c r="E125" s="40"/>
      <c r="F125" s="40"/>
      <c r="G125" s="31"/>
      <c r="H125" s="32"/>
      <c r="I125" s="29"/>
      <c r="J125" s="171"/>
      <c r="L125" s="41" t="s">
        <v>444</v>
      </c>
      <c r="M125" s="41" t="s">
        <v>283</v>
      </c>
      <c r="N125" s="40"/>
      <c r="O125" s="40"/>
      <c r="P125" s="40"/>
      <c r="Q125" s="31"/>
      <c r="R125" s="32"/>
      <c r="S125" s="29"/>
      <c r="T125" s="171"/>
      <c r="V125" s="41" t="s">
        <v>444</v>
      </c>
      <c r="W125" s="41" t="s">
        <v>283</v>
      </c>
      <c r="X125" s="40"/>
      <c r="Y125" s="40"/>
      <c r="Z125" s="40"/>
      <c r="AA125" s="31"/>
      <c r="AB125" s="32"/>
      <c r="AC125" s="29"/>
      <c r="AE125" s="41" t="s">
        <v>444</v>
      </c>
      <c r="AF125" s="41" t="s">
        <v>283</v>
      </c>
      <c r="AG125" s="40"/>
      <c r="AH125" s="40"/>
      <c r="AI125" s="40"/>
      <c r="AJ125" s="31"/>
      <c r="AK125" s="32"/>
      <c r="AL125" s="29"/>
      <c r="AN125" s="41" t="s">
        <v>444</v>
      </c>
      <c r="AO125" s="41" t="s">
        <v>283</v>
      </c>
      <c r="AP125" s="40"/>
      <c r="AQ125" s="40"/>
      <c r="AR125" s="40"/>
      <c r="AS125" s="31"/>
      <c r="AT125" s="32"/>
      <c r="AU125" s="29"/>
      <c r="AW125" s="41" t="s">
        <v>444</v>
      </c>
      <c r="AX125" s="41" t="s">
        <v>283</v>
      </c>
      <c r="AY125" s="40"/>
      <c r="AZ125" s="40"/>
      <c r="BA125" s="40"/>
      <c r="BB125" s="31"/>
      <c r="BC125" s="32"/>
      <c r="BD125" s="29"/>
      <c r="BF125" s="41" t="s">
        <v>444</v>
      </c>
      <c r="BG125" s="41" t="s">
        <v>283</v>
      </c>
      <c r="BH125" s="40"/>
      <c r="BI125" s="40"/>
      <c r="BJ125" s="40"/>
      <c r="BK125" s="31"/>
      <c r="BL125" s="32"/>
      <c r="BM125" s="29"/>
    </row>
    <row r="126" spans="2:65" outlineLevel="1" x14ac:dyDescent="0.25">
      <c r="B126" s="41" t="s">
        <v>444</v>
      </c>
      <c r="C126" s="41" t="s">
        <v>283</v>
      </c>
      <c r="D126" s="40"/>
      <c r="E126" s="40"/>
      <c r="F126" s="40"/>
      <c r="G126" s="31"/>
      <c r="H126" s="32"/>
      <c r="I126" s="29"/>
      <c r="J126" s="171"/>
      <c r="L126" s="41" t="s">
        <v>444</v>
      </c>
      <c r="M126" s="41" t="s">
        <v>283</v>
      </c>
      <c r="N126" s="40"/>
      <c r="O126" s="40"/>
      <c r="P126" s="40"/>
      <c r="Q126" s="31"/>
      <c r="R126" s="32"/>
      <c r="S126" s="29"/>
      <c r="T126" s="171"/>
      <c r="V126" s="41" t="s">
        <v>444</v>
      </c>
      <c r="W126" s="41" t="s">
        <v>283</v>
      </c>
      <c r="X126" s="40"/>
      <c r="Y126" s="40"/>
      <c r="Z126" s="40"/>
      <c r="AA126" s="31"/>
      <c r="AB126" s="32"/>
      <c r="AC126" s="29"/>
      <c r="AE126" s="41" t="s">
        <v>444</v>
      </c>
      <c r="AF126" s="41" t="s">
        <v>283</v>
      </c>
      <c r="AG126" s="40"/>
      <c r="AH126" s="40"/>
      <c r="AI126" s="40"/>
      <c r="AJ126" s="31"/>
      <c r="AK126" s="32"/>
      <c r="AL126" s="29"/>
      <c r="AN126" s="41" t="s">
        <v>444</v>
      </c>
      <c r="AO126" s="41" t="s">
        <v>283</v>
      </c>
      <c r="AP126" s="40"/>
      <c r="AQ126" s="40"/>
      <c r="AR126" s="40"/>
      <c r="AS126" s="31"/>
      <c r="AT126" s="32"/>
      <c r="AU126" s="29"/>
      <c r="AW126" s="41" t="s">
        <v>444</v>
      </c>
      <c r="AX126" s="41" t="s">
        <v>283</v>
      </c>
      <c r="AY126" s="40"/>
      <c r="AZ126" s="40"/>
      <c r="BA126" s="40"/>
      <c r="BB126" s="31"/>
      <c r="BC126" s="32"/>
      <c r="BD126" s="29"/>
      <c r="BF126" s="41" t="s">
        <v>444</v>
      </c>
      <c r="BG126" s="41" t="s">
        <v>283</v>
      </c>
      <c r="BH126" s="40"/>
      <c r="BI126" s="40"/>
      <c r="BJ126" s="40"/>
      <c r="BK126" s="31"/>
      <c r="BL126" s="32"/>
      <c r="BM126" s="29"/>
    </row>
    <row r="127" spans="2:65" outlineLevel="1" x14ac:dyDescent="0.25">
      <c r="B127" s="41" t="s">
        <v>444</v>
      </c>
      <c r="C127" s="41" t="s">
        <v>283</v>
      </c>
      <c r="D127" s="40"/>
      <c r="E127" s="40"/>
      <c r="F127" s="40"/>
      <c r="G127" s="31"/>
      <c r="H127" s="32"/>
      <c r="I127" s="29"/>
      <c r="J127" s="171"/>
      <c r="L127" s="41" t="s">
        <v>444</v>
      </c>
      <c r="M127" s="41" t="s">
        <v>283</v>
      </c>
      <c r="N127" s="40"/>
      <c r="O127" s="40"/>
      <c r="P127" s="40"/>
      <c r="Q127" s="31"/>
      <c r="R127" s="32"/>
      <c r="S127" s="29"/>
      <c r="T127" s="171"/>
      <c r="V127" s="41" t="s">
        <v>444</v>
      </c>
      <c r="W127" s="41" t="s">
        <v>283</v>
      </c>
      <c r="X127" s="40"/>
      <c r="Y127" s="40"/>
      <c r="Z127" s="40"/>
      <c r="AA127" s="31"/>
      <c r="AB127" s="32"/>
      <c r="AC127" s="29"/>
      <c r="AE127" s="41" t="s">
        <v>444</v>
      </c>
      <c r="AF127" s="41" t="s">
        <v>283</v>
      </c>
      <c r="AG127" s="40"/>
      <c r="AH127" s="40"/>
      <c r="AI127" s="40"/>
      <c r="AJ127" s="31"/>
      <c r="AK127" s="32"/>
      <c r="AL127" s="29"/>
      <c r="AN127" s="41" t="s">
        <v>444</v>
      </c>
      <c r="AO127" s="41" t="s">
        <v>283</v>
      </c>
      <c r="AP127" s="40"/>
      <c r="AQ127" s="40"/>
      <c r="AR127" s="40"/>
      <c r="AS127" s="31"/>
      <c r="AT127" s="32"/>
      <c r="AU127" s="29"/>
      <c r="AW127" s="41" t="s">
        <v>444</v>
      </c>
      <c r="AX127" s="41" t="s">
        <v>283</v>
      </c>
      <c r="AY127" s="40"/>
      <c r="AZ127" s="40"/>
      <c r="BA127" s="40"/>
      <c r="BB127" s="31"/>
      <c r="BC127" s="32"/>
      <c r="BD127" s="29"/>
      <c r="BF127" s="41" t="s">
        <v>444</v>
      </c>
      <c r="BG127" s="41" t="s">
        <v>283</v>
      </c>
      <c r="BH127" s="40"/>
      <c r="BI127" s="40"/>
      <c r="BJ127" s="40"/>
      <c r="BK127" s="31"/>
      <c r="BL127" s="32"/>
      <c r="BM127" s="29"/>
    </row>
    <row r="128" spans="2:65" outlineLevel="1" x14ac:dyDescent="0.25">
      <c r="B128" s="41" t="s">
        <v>444</v>
      </c>
      <c r="C128" s="41" t="s">
        <v>283</v>
      </c>
      <c r="D128" s="40"/>
      <c r="E128" s="40"/>
      <c r="F128" s="40"/>
      <c r="G128" s="31"/>
      <c r="H128" s="32"/>
      <c r="I128" s="29"/>
      <c r="J128" s="171"/>
      <c r="L128" s="41" t="s">
        <v>444</v>
      </c>
      <c r="M128" s="41" t="s">
        <v>283</v>
      </c>
      <c r="N128" s="40"/>
      <c r="O128" s="40"/>
      <c r="P128" s="40"/>
      <c r="Q128" s="31"/>
      <c r="R128" s="32"/>
      <c r="S128" s="29"/>
      <c r="T128" s="171"/>
      <c r="V128" s="41" t="s">
        <v>444</v>
      </c>
      <c r="W128" s="41" t="s">
        <v>283</v>
      </c>
      <c r="X128" s="40"/>
      <c r="Y128" s="40"/>
      <c r="Z128" s="40"/>
      <c r="AA128" s="31"/>
      <c r="AB128" s="32"/>
      <c r="AC128" s="29"/>
      <c r="AE128" s="41" t="s">
        <v>444</v>
      </c>
      <c r="AF128" s="41" t="s">
        <v>283</v>
      </c>
      <c r="AG128" s="40"/>
      <c r="AH128" s="40"/>
      <c r="AI128" s="40"/>
      <c r="AJ128" s="31"/>
      <c r="AK128" s="32"/>
      <c r="AL128" s="29"/>
      <c r="AN128" s="41" t="s">
        <v>444</v>
      </c>
      <c r="AO128" s="41" t="s">
        <v>283</v>
      </c>
      <c r="AP128" s="40"/>
      <c r="AQ128" s="40"/>
      <c r="AR128" s="40"/>
      <c r="AS128" s="31"/>
      <c r="AT128" s="32"/>
      <c r="AU128" s="29"/>
      <c r="AW128" s="41" t="s">
        <v>444</v>
      </c>
      <c r="AX128" s="41" t="s">
        <v>283</v>
      </c>
      <c r="AY128" s="40"/>
      <c r="AZ128" s="40"/>
      <c r="BA128" s="40"/>
      <c r="BB128" s="31"/>
      <c r="BC128" s="32"/>
      <c r="BD128" s="29"/>
      <c r="BF128" s="41" t="s">
        <v>444</v>
      </c>
      <c r="BG128" s="41" t="s">
        <v>283</v>
      </c>
      <c r="BH128" s="40"/>
      <c r="BI128" s="40"/>
      <c r="BJ128" s="40"/>
      <c r="BK128" s="31"/>
      <c r="BL128" s="32"/>
      <c r="BM128" s="29"/>
    </row>
    <row r="129" spans="2:65" outlineLevel="1" x14ac:dyDescent="0.25">
      <c r="B129" s="41" t="s">
        <v>444</v>
      </c>
      <c r="C129" s="41" t="s">
        <v>283</v>
      </c>
      <c r="D129" s="40"/>
      <c r="E129" s="40"/>
      <c r="F129" s="40"/>
      <c r="G129" s="31"/>
      <c r="H129" s="32"/>
      <c r="I129" s="29"/>
      <c r="J129" s="171"/>
      <c r="L129" s="41" t="s">
        <v>444</v>
      </c>
      <c r="M129" s="41" t="s">
        <v>283</v>
      </c>
      <c r="N129" s="40"/>
      <c r="O129" s="40"/>
      <c r="P129" s="40"/>
      <c r="Q129" s="31"/>
      <c r="R129" s="32"/>
      <c r="S129" s="29"/>
      <c r="T129" s="171"/>
      <c r="V129" s="41" t="s">
        <v>444</v>
      </c>
      <c r="W129" s="41" t="s">
        <v>283</v>
      </c>
      <c r="X129" s="40"/>
      <c r="Y129" s="40"/>
      <c r="Z129" s="40"/>
      <c r="AA129" s="31"/>
      <c r="AB129" s="32"/>
      <c r="AC129" s="29"/>
      <c r="AE129" s="41" t="s">
        <v>444</v>
      </c>
      <c r="AF129" s="41" t="s">
        <v>283</v>
      </c>
      <c r="AG129" s="40"/>
      <c r="AH129" s="40"/>
      <c r="AI129" s="40"/>
      <c r="AJ129" s="31"/>
      <c r="AK129" s="32"/>
      <c r="AL129" s="29"/>
      <c r="AN129" s="41" t="s">
        <v>444</v>
      </c>
      <c r="AO129" s="41" t="s">
        <v>283</v>
      </c>
      <c r="AP129" s="40"/>
      <c r="AQ129" s="40"/>
      <c r="AR129" s="40"/>
      <c r="AS129" s="31"/>
      <c r="AT129" s="32"/>
      <c r="AU129" s="29"/>
      <c r="AW129" s="41" t="s">
        <v>444</v>
      </c>
      <c r="AX129" s="41" t="s">
        <v>283</v>
      </c>
      <c r="AY129" s="40"/>
      <c r="AZ129" s="40"/>
      <c r="BA129" s="40"/>
      <c r="BB129" s="31"/>
      <c r="BC129" s="32"/>
      <c r="BD129" s="29"/>
      <c r="BF129" s="41" t="s">
        <v>444</v>
      </c>
      <c r="BG129" s="41" t="s">
        <v>283</v>
      </c>
      <c r="BH129" s="40"/>
      <c r="BI129" s="40"/>
      <c r="BJ129" s="40"/>
      <c r="BK129" s="31"/>
      <c r="BL129" s="32"/>
      <c r="BM129" s="29"/>
    </row>
    <row r="130" spans="2:65" outlineLevel="1" x14ac:dyDescent="0.25">
      <c r="B130" s="41" t="s">
        <v>444</v>
      </c>
      <c r="C130" s="41" t="s">
        <v>283</v>
      </c>
      <c r="D130" s="40"/>
      <c r="E130" s="40"/>
      <c r="F130" s="40"/>
      <c r="G130" s="31"/>
      <c r="H130" s="32"/>
      <c r="I130" s="29"/>
      <c r="J130" s="171"/>
      <c r="L130" s="41" t="s">
        <v>444</v>
      </c>
      <c r="M130" s="41" t="s">
        <v>283</v>
      </c>
      <c r="N130" s="40"/>
      <c r="O130" s="40"/>
      <c r="P130" s="40"/>
      <c r="Q130" s="31"/>
      <c r="R130" s="32"/>
      <c r="S130" s="29"/>
      <c r="T130" s="171"/>
      <c r="V130" s="41" t="s">
        <v>444</v>
      </c>
      <c r="W130" s="41" t="s">
        <v>283</v>
      </c>
      <c r="X130" s="40"/>
      <c r="Y130" s="40"/>
      <c r="Z130" s="40"/>
      <c r="AA130" s="31"/>
      <c r="AB130" s="32"/>
      <c r="AC130" s="29"/>
      <c r="AE130" s="41" t="s">
        <v>444</v>
      </c>
      <c r="AF130" s="41" t="s">
        <v>283</v>
      </c>
      <c r="AG130" s="40"/>
      <c r="AH130" s="40"/>
      <c r="AI130" s="40"/>
      <c r="AJ130" s="31"/>
      <c r="AK130" s="32"/>
      <c r="AL130" s="29"/>
      <c r="AN130" s="41" t="s">
        <v>444</v>
      </c>
      <c r="AO130" s="41" t="s">
        <v>283</v>
      </c>
      <c r="AP130" s="40"/>
      <c r="AQ130" s="40"/>
      <c r="AR130" s="40"/>
      <c r="AS130" s="31"/>
      <c r="AT130" s="32"/>
      <c r="AU130" s="29"/>
      <c r="AW130" s="41" t="s">
        <v>444</v>
      </c>
      <c r="AX130" s="41" t="s">
        <v>283</v>
      </c>
      <c r="AY130" s="40"/>
      <c r="AZ130" s="40"/>
      <c r="BA130" s="40"/>
      <c r="BB130" s="31"/>
      <c r="BC130" s="32"/>
      <c r="BD130" s="29"/>
      <c r="BF130" s="41" t="s">
        <v>444</v>
      </c>
      <c r="BG130" s="41" t="s">
        <v>283</v>
      </c>
      <c r="BH130" s="40"/>
      <c r="BI130" s="40"/>
      <c r="BJ130" s="40"/>
      <c r="BK130" s="31"/>
      <c r="BL130" s="32"/>
      <c r="BM130" s="29"/>
    </row>
    <row r="131" spans="2:65" s="24" customFormat="1" x14ac:dyDescent="0.25">
      <c r="B131" s="8" t="s">
        <v>448</v>
      </c>
      <c r="C131" s="25"/>
      <c r="D131" s="28">
        <f>SUM(D116:D130)</f>
        <v>0</v>
      </c>
      <c r="E131" s="28">
        <f>SUM(E116:E130)</f>
        <v>0</v>
      </c>
      <c r="F131" s="28">
        <f>SUM(F116:F130)</f>
        <v>0</v>
      </c>
      <c r="G131" s="25"/>
      <c r="H131" s="26"/>
      <c r="I131" s="30"/>
      <c r="J131" s="170"/>
      <c r="L131" s="8" t="s">
        <v>448</v>
      </c>
      <c r="M131" s="25"/>
      <c r="N131" s="28">
        <f t="shared" ref="N131:P131" si="96">SUM(N116:N130)</f>
        <v>0</v>
      </c>
      <c r="O131" s="28">
        <f t="shared" si="96"/>
        <v>0</v>
      </c>
      <c r="P131" s="28">
        <f t="shared" si="96"/>
        <v>0</v>
      </c>
      <c r="Q131" s="25"/>
      <c r="R131" s="26"/>
      <c r="S131" s="30"/>
      <c r="T131" s="170"/>
      <c r="V131" s="8" t="s">
        <v>448</v>
      </c>
      <c r="W131" s="25"/>
      <c r="X131" s="30"/>
      <c r="Y131" s="30"/>
      <c r="Z131" s="28">
        <f t="shared" ref="Z131" si="97">SUM(Z116:Z130)</f>
        <v>0</v>
      </c>
      <c r="AA131" s="25"/>
      <c r="AB131" s="26"/>
      <c r="AC131" s="30"/>
      <c r="AE131" s="8" t="s">
        <v>448</v>
      </c>
      <c r="AF131" s="25"/>
      <c r="AG131" s="30"/>
      <c r="AH131" s="30"/>
      <c r="AI131" s="28">
        <f t="shared" ref="AI131" si="98">SUM(AI116:AI130)</f>
        <v>0</v>
      </c>
      <c r="AJ131" s="25"/>
      <c r="AK131" s="26"/>
      <c r="AL131" s="30"/>
      <c r="AN131" s="8" t="s">
        <v>448</v>
      </c>
      <c r="AO131" s="25"/>
      <c r="AP131" s="30"/>
      <c r="AQ131" s="30"/>
      <c r="AR131" s="28">
        <f t="shared" ref="AR131" si="99">SUM(AR116:AR130)</f>
        <v>0</v>
      </c>
      <c r="AS131" s="25"/>
      <c r="AT131" s="26"/>
      <c r="AU131" s="30"/>
      <c r="AW131" s="8" t="s">
        <v>448</v>
      </c>
      <c r="AX131" s="25"/>
      <c r="AY131" s="30"/>
      <c r="AZ131" s="30"/>
      <c r="BA131" s="28">
        <f t="shared" ref="BA131" si="100">SUM(BA116:BA130)</f>
        <v>0</v>
      </c>
      <c r="BB131" s="25"/>
      <c r="BC131" s="26"/>
      <c r="BD131" s="30"/>
      <c r="BF131" s="8" t="s">
        <v>448</v>
      </c>
      <c r="BG131" s="25"/>
      <c r="BH131" s="30"/>
      <c r="BI131" s="30"/>
      <c r="BJ131" s="28">
        <f t="shared" ref="BJ131" si="101">SUM(BJ116:BJ130)</f>
        <v>0</v>
      </c>
      <c r="BK131" s="25"/>
      <c r="BL131" s="26"/>
      <c r="BM131" s="30"/>
    </row>
    <row r="133" spans="2:65" ht="38.25" x14ac:dyDescent="0.25">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2" t="s">
        <v>380</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2" t="s">
        <v>380</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x14ac:dyDescent="0.25">
      <c r="B134" s="41" t="s">
        <v>444</v>
      </c>
      <c r="C134" s="41" t="s">
        <v>283</v>
      </c>
      <c r="D134" s="40"/>
      <c r="E134" s="40"/>
      <c r="F134" s="40"/>
      <c r="G134" s="31"/>
      <c r="H134" s="32"/>
      <c r="I134" s="29"/>
      <c r="J134" s="171"/>
      <c r="L134" s="41" t="s">
        <v>444</v>
      </c>
      <c r="M134" s="41" t="s">
        <v>283</v>
      </c>
      <c r="N134" s="40"/>
      <c r="O134" s="40"/>
      <c r="P134" s="40"/>
      <c r="Q134" s="31"/>
      <c r="R134" s="32"/>
      <c r="S134" s="29"/>
      <c r="T134" s="171"/>
      <c r="V134" s="41" t="s">
        <v>444</v>
      </c>
      <c r="W134" s="41" t="s">
        <v>283</v>
      </c>
      <c r="X134" s="40"/>
      <c r="Y134" s="40"/>
      <c r="Z134" s="40"/>
      <c r="AA134" s="31"/>
      <c r="AB134" s="32"/>
      <c r="AC134" s="29"/>
      <c r="AE134" s="41" t="s">
        <v>444</v>
      </c>
      <c r="AF134" s="41" t="s">
        <v>283</v>
      </c>
      <c r="AG134" s="40"/>
      <c r="AH134" s="40"/>
      <c r="AI134" s="40"/>
      <c r="AJ134" s="31"/>
      <c r="AK134" s="32"/>
      <c r="AL134" s="29"/>
      <c r="AN134" s="41" t="s">
        <v>444</v>
      </c>
      <c r="AO134" s="41" t="s">
        <v>283</v>
      </c>
      <c r="AP134" s="40"/>
      <c r="AQ134" s="40"/>
      <c r="AR134" s="40"/>
      <c r="AS134" s="31"/>
      <c r="AT134" s="32"/>
      <c r="AU134" s="29"/>
      <c r="AW134" s="41" t="s">
        <v>444</v>
      </c>
      <c r="AX134" s="41" t="s">
        <v>283</v>
      </c>
      <c r="AY134" s="40"/>
      <c r="AZ134" s="40"/>
      <c r="BA134" s="40"/>
      <c r="BB134" s="31"/>
      <c r="BC134" s="32"/>
      <c r="BD134" s="29"/>
      <c r="BF134" s="41" t="s">
        <v>444</v>
      </c>
      <c r="BG134" s="41" t="s">
        <v>283</v>
      </c>
      <c r="BH134" s="40"/>
      <c r="BI134" s="40"/>
      <c r="BJ134" s="40"/>
      <c r="BK134" s="31"/>
      <c r="BL134" s="32"/>
      <c r="BM134" s="29"/>
    </row>
    <row r="135" spans="2:65" x14ac:dyDescent="0.25">
      <c r="B135" s="41" t="s">
        <v>444</v>
      </c>
      <c r="C135" s="41" t="s">
        <v>283</v>
      </c>
      <c r="D135" s="40"/>
      <c r="E135" s="40"/>
      <c r="F135" s="40"/>
      <c r="G135" s="31"/>
      <c r="H135" s="32"/>
      <c r="I135" s="29"/>
      <c r="J135" s="171"/>
      <c r="L135" s="41" t="s">
        <v>444</v>
      </c>
      <c r="M135" s="41" t="s">
        <v>283</v>
      </c>
      <c r="N135" s="40"/>
      <c r="O135" s="40"/>
      <c r="P135" s="40"/>
      <c r="Q135" s="31"/>
      <c r="R135" s="32"/>
      <c r="S135" s="29"/>
      <c r="T135" s="171"/>
      <c r="V135" s="41" t="s">
        <v>444</v>
      </c>
      <c r="W135" s="41" t="s">
        <v>283</v>
      </c>
      <c r="X135" s="40"/>
      <c r="Y135" s="40"/>
      <c r="Z135" s="40"/>
      <c r="AA135" s="31"/>
      <c r="AB135" s="32"/>
      <c r="AC135" s="29"/>
      <c r="AE135" s="41" t="s">
        <v>444</v>
      </c>
      <c r="AF135" s="41" t="s">
        <v>283</v>
      </c>
      <c r="AG135" s="40"/>
      <c r="AH135" s="40"/>
      <c r="AI135" s="40"/>
      <c r="AJ135" s="31"/>
      <c r="AK135" s="32"/>
      <c r="AL135" s="29"/>
      <c r="AN135" s="41" t="s">
        <v>444</v>
      </c>
      <c r="AO135" s="41" t="s">
        <v>283</v>
      </c>
      <c r="AP135" s="40"/>
      <c r="AQ135" s="40"/>
      <c r="AR135" s="40"/>
      <c r="AS135" s="31"/>
      <c r="AT135" s="32"/>
      <c r="AU135" s="29"/>
      <c r="AW135" s="41" t="s">
        <v>444</v>
      </c>
      <c r="AX135" s="41" t="s">
        <v>283</v>
      </c>
      <c r="AY135" s="40"/>
      <c r="AZ135" s="40"/>
      <c r="BA135" s="40"/>
      <c r="BB135" s="31"/>
      <c r="BC135" s="32"/>
      <c r="BD135" s="29"/>
      <c r="BF135" s="41" t="s">
        <v>444</v>
      </c>
      <c r="BG135" s="41" t="s">
        <v>283</v>
      </c>
      <c r="BH135" s="40"/>
      <c r="BI135" s="40"/>
      <c r="BJ135" s="40"/>
      <c r="BK135" s="31"/>
      <c r="BL135" s="32"/>
      <c r="BM135" s="29"/>
    </row>
    <row r="136" spans="2:65" x14ac:dyDescent="0.25">
      <c r="B136" s="41" t="s">
        <v>444</v>
      </c>
      <c r="C136" s="41" t="s">
        <v>283</v>
      </c>
      <c r="D136" s="40"/>
      <c r="E136" s="40"/>
      <c r="F136" s="40"/>
      <c r="G136" s="31"/>
      <c r="H136" s="32"/>
      <c r="I136" s="29"/>
      <c r="J136" s="171"/>
      <c r="L136" s="41" t="s">
        <v>444</v>
      </c>
      <c r="M136" s="41" t="s">
        <v>283</v>
      </c>
      <c r="N136" s="40"/>
      <c r="O136" s="40"/>
      <c r="P136" s="40"/>
      <c r="Q136" s="31"/>
      <c r="R136" s="32"/>
      <c r="S136" s="29"/>
      <c r="T136" s="171"/>
      <c r="V136" s="41" t="s">
        <v>444</v>
      </c>
      <c r="W136" s="41" t="s">
        <v>283</v>
      </c>
      <c r="X136" s="40"/>
      <c r="Y136" s="40"/>
      <c r="Z136" s="40"/>
      <c r="AA136" s="31"/>
      <c r="AB136" s="32"/>
      <c r="AC136" s="29"/>
      <c r="AE136" s="41" t="s">
        <v>444</v>
      </c>
      <c r="AF136" s="41" t="s">
        <v>283</v>
      </c>
      <c r="AG136" s="40"/>
      <c r="AH136" s="40"/>
      <c r="AI136" s="40"/>
      <c r="AJ136" s="31"/>
      <c r="AK136" s="32"/>
      <c r="AL136" s="29"/>
      <c r="AN136" s="41" t="s">
        <v>444</v>
      </c>
      <c r="AO136" s="41" t="s">
        <v>283</v>
      </c>
      <c r="AP136" s="40"/>
      <c r="AQ136" s="40"/>
      <c r="AR136" s="40"/>
      <c r="AS136" s="31"/>
      <c r="AT136" s="32"/>
      <c r="AU136" s="29"/>
      <c r="AW136" s="41" t="s">
        <v>444</v>
      </c>
      <c r="AX136" s="41" t="s">
        <v>283</v>
      </c>
      <c r="AY136" s="40"/>
      <c r="AZ136" s="40"/>
      <c r="BA136" s="40"/>
      <c r="BB136" s="31"/>
      <c r="BC136" s="32"/>
      <c r="BD136" s="29"/>
      <c r="BF136" s="41" t="s">
        <v>444</v>
      </c>
      <c r="BG136" s="41" t="s">
        <v>283</v>
      </c>
      <c r="BH136" s="40"/>
      <c r="BI136" s="40"/>
      <c r="BJ136" s="40"/>
      <c r="BK136" s="31"/>
      <c r="BL136" s="32"/>
      <c r="BM136" s="29"/>
    </row>
    <row r="137" spans="2:65" x14ac:dyDescent="0.25">
      <c r="B137" s="41" t="s">
        <v>444</v>
      </c>
      <c r="C137" s="41" t="s">
        <v>283</v>
      </c>
      <c r="D137" s="40"/>
      <c r="E137" s="40"/>
      <c r="F137" s="40"/>
      <c r="G137" s="31"/>
      <c r="H137" s="32"/>
      <c r="I137" s="29"/>
      <c r="J137" s="171"/>
      <c r="L137" s="41" t="s">
        <v>444</v>
      </c>
      <c r="M137" s="41" t="s">
        <v>283</v>
      </c>
      <c r="N137" s="40"/>
      <c r="O137" s="40"/>
      <c r="P137" s="40"/>
      <c r="Q137" s="31"/>
      <c r="R137" s="32"/>
      <c r="S137" s="29"/>
      <c r="T137" s="171"/>
      <c r="V137" s="41" t="s">
        <v>444</v>
      </c>
      <c r="W137" s="41" t="s">
        <v>283</v>
      </c>
      <c r="X137" s="40"/>
      <c r="Y137" s="40"/>
      <c r="Z137" s="40"/>
      <c r="AA137" s="31"/>
      <c r="AB137" s="32"/>
      <c r="AC137" s="29"/>
      <c r="AE137" s="41" t="s">
        <v>444</v>
      </c>
      <c r="AF137" s="41" t="s">
        <v>283</v>
      </c>
      <c r="AG137" s="40"/>
      <c r="AH137" s="40"/>
      <c r="AI137" s="40"/>
      <c r="AJ137" s="31"/>
      <c r="AK137" s="32"/>
      <c r="AL137" s="29"/>
      <c r="AN137" s="41" t="s">
        <v>444</v>
      </c>
      <c r="AO137" s="41" t="s">
        <v>283</v>
      </c>
      <c r="AP137" s="40"/>
      <c r="AQ137" s="40"/>
      <c r="AR137" s="40"/>
      <c r="AS137" s="31"/>
      <c r="AT137" s="32"/>
      <c r="AU137" s="29"/>
      <c r="AW137" s="41" t="s">
        <v>444</v>
      </c>
      <c r="AX137" s="41" t="s">
        <v>283</v>
      </c>
      <c r="AY137" s="40"/>
      <c r="AZ137" s="40"/>
      <c r="BA137" s="40"/>
      <c r="BB137" s="31"/>
      <c r="BC137" s="32"/>
      <c r="BD137" s="29"/>
      <c r="BF137" s="41" t="s">
        <v>444</v>
      </c>
      <c r="BG137" s="41" t="s">
        <v>283</v>
      </c>
      <c r="BH137" s="40"/>
      <c r="BI137" s="40"/>
      <c r="BJ137" s="40"/>
      <c r="BK137" s="31"/>
      <c r="BL137" s="32"/>
      <c r="BM137" s="29"/>
    </row>
    <row r="138" spans="2:65" x14ac:dyDescent="0.25">
      <c r="B138" s="41" t="s">
        <v>444</v>
      </c>
      <c r="C138" s="41" t="s">
        <v>283</v>
      </c>
      <c r="D138" s="40"/>
      <c r="E138" s="40"/>
      <c r="F138" s="40"/>
      <c r="G138" s="31"/>
      <c r="H138" s="32"/>
      <c r="I138" s="29"/>
      <c r="J138" s="171"/>
      <c r="L138" s="41" t="s">
        <v>444</v>
      </c>
      <c r="M138" s="41" t="s">
        <v>283</v>
      </c>
      <c r="N138" s="40"/>
      <c r="O138" s="40"/>
      <c r="P138" s="40"/>
      <c r="Q138" s="31"/>
      <c r="R138" s="32"/>
      <c r="S138" s="29"/>
      <c r="T138" s="171"/>
      <c r="V138" s="41" t="s">
        <v>444</v>
      </c>
      <c r="W138" s="41" t="s">
        <v>283</v>
      </c>
      <c r="X138" s="40"/>
      <c r="Y138" s="40"/>
      <c r="Z138" s="40"/>
      <c r="AA138" s="31"/>
      <c r="AB138" s="32"/>
      <c r="AC138" s="29"/>
      <c r="AE138" s="41" t="s">
        <v>444</v>
      </c>
      <c r="AF138" s="41" t="s">
        <v>283</v>
      </c>
      <c r="AG138" s="40"/>
      <c r="AH138" s="40"/>
      <c r="AI138" s="40"/>
      <c r="AJ138" s="31"/>
      <c r="AK138" s="32"/>
      <c r="AL138" s="29"/>
      <c r="AN138" s="41" t="s">
        <v>444</v>
      </c>
      <c r="AO138" s="41" t="s">
        <v>283</v>
      </c>
      <c r="AP138" s="40"/>
      <c r="AQ138" s="40"/>
      <c r="AR138" s="40"/>
      <c r="AS138" s="31"/>
      <c r="AT138" s="32"/>
      <c r="AU138" s="29"/>
      <c r="AW138" s="41" t="s">
        <v>444</v>
      </c>
      <c r="AX138" s="41" t="s">
        <v>283</v>
      </c>
      <c r="AY138" s="40"/>
      <c r="AZ138" s="40"/>
      <c r="BA138" s="40"/>
      <c r="BB138" s="31"/>
      <c r="BC138" s="32"/>
      <c r="BD138" s="29"/>
      <c r="BF138" s="41" t="s">
        <v>444</v>
      </c>
      <c r="BG138" s="41" t="s">
        <v>283</v>
      </c>
      <c r="BH138" s="40"/>
      <c r="BI138" s="40"/>
      <c r="BJ138" s="40"/>
      <c r="BK138" s="31"/>
      <c r="BL138" s="32"/>
      <c r="BM138" s="29"/>
    </row>
    <row r="139" spans="2:65" x14ac:dyDescent="0.25">
      <c r="B139" s="41" t="s">
        <v>444</v>
      </c>
      <c r="C139" s="41" t="s">
        <v>283</v>
      </c>
      <c r="D139" s="40"/>
      <c r="E139" s="40"/>
      <c r="F139" s="40"/>
      <c r="G139" s="31"/>
      <c r="H139" s="32"/>
      <c r="I139" s="29"/>
      <c r="J139" s="171"/>
      <c r="L139" s="41" t="s">
        <v>444</v>
      </c>
      <c r="M139" s="41" t="s">
        <v>283</v>
      </c>
      <c r="N139" s="40"/>
      <c r="O139" s="40"/>
      <c r="P139" s="40"/>
      <c r="Q139" s="31"/>
      <c r="R139" s="32"/>
      <c r="S139" s="29"/>
      <c r="T139" s="171"/>
      <c r="V139" s="41" t="s">
        <v>444</v>
      </c>
      <c r="W139" s="41" t="s">
        <v>283</v>
      </c>
      <c r="X139" s="40"/>
      <c r="Y139" s="40"/>
      <c r="Z139" s="40"/>
      <c r="AA139" s="31"/>
      <c r="AB139" s="32"/>
      <c r="AC139" s="29"/>
      <c r="AE139" s="41" t="s">
        <v>444</v>
      </c>
      <c r="AF139" s="41" t="s">
        <v>283</v>
      </c>
      <c r="AG139" s="40"/>
      <c r="AH139" s="40"/>
      <c r="AI139" s="40"/>
      <c r="AJ139" s="31"/>
      <c r="AK139" s="32"/>
      <c r="AL139" s="29"/>
      <c r="AN139" s="41" t="s">
        <v>444</v>
      </c>
      <c r="AO139" s="41" t="s">
        <v>283</v>
      </c>
      <c r="AP139" s="40"/>
      <c r="AQ139" s="40"/>
      <c r="AR139" s="40"/>
      <c r="AS139" s="31"/>
      <c r="AT139" s="32"/>
      <c r="AU139" s="29"/>
      <c r="AW139" s="41" t="s">
        <v>444</v>
      </c>
      <c r="AX139" s="41" t="s">
        <v>283</v>
      </c>
      <c r="AY139" s="40"/>
      <c r="AZ139" s="40"/>
      <c r="BA139" s="40"/>
      <c r="BB139" s="31"/>
      <c r="BC139" s="32"/>
      <c r="BD139" s="29"/>
      <c r="BF139" s="41" t="s">
        <v>444</v>
      </c>
      <c r="BG139" s="41" t="s">
        <v>283</v>
      </c>
      <c r="BH139" s="40"/>
      <c r="BI139" s="40"/>
      <c r="BJ139" s="40"/>
      <c r="BK139" s="31"/>
      <c r="BL139" s="32"/>
      <c r="BM139" s="29"/>
    </row>
    <row r="140" spans="2:65" x14ac:dyDescent="0.25">
      <c r="B140" s="41" t="s">
        <v>444</v>
      </c>
      <c r="C140" s="41" t="s">
        <v>283</v>
      </c>
      <c r="D140" s="40"/>
      <c r="E140" s="40"/>
      <c r="F140" s="40"/>
      <c r="G140" s="31"/>
      <c r="H140" s="32"/>
      <c r="I140" s="29"/>
      <c r="J140" s="171"/>
      <c r="L140" s="41" t="s">
        <v>444</v>
      </c>
      <c r="M140" s="41" t="s">
        <v>283</v>
      </c>
      <c r="N140" s="40"/>
      <c r="O140" s="40"/>
      <c r="P140" s="40"/>
      <c r="Q140" s="31"/>
      <c r="R140" s="32"/>
      <c r="S140" s="29"/>
      <c r="T140" s="171"/>
      <c r="V140" s="41" t="s">
        <v>444</v>
      </c>
      <c r="W140" s="41" t="s">
        <v>283</v>
      </c>
      <c r="X140" s="40"/>
      <c r="Y140" s="40"/>
      <c r="Z140" s="40"/>
      <c r="AA140" s="31"/>
      <c r="AB140" s="32"/>
      <c r="AC140" s="29"/>
      <c r="AE140" s="41" t="s">
        <v>444</v>
      </c>
      <c r="AF140" s="41" t="s">
        <v>283</v>
      </c>
      <c r="AG140" s="40"/>
      <c r="AH140" s="40"/>
      <c r="AI140" s="40"/>
      <c r="AJ140" s="31"/>
      <c r="AK140" s="32"/>
      <c r="AL140" s="29"/>
      <c r="AN140" s="41" t="s">
        <v>444</v>
      </c>
      <c r="AO140" s="41" t="s">
        <v>283</v>
      </c>
      <c r="AP140" s="40"/>
      <c r="AQ140" s="40"/>
      <c r="AR140" s="40"/>
      <c r="AS140" s="31"/>
      <c r="AT140" s="32"/>
      <c r="AU140" s="29"/>
      <c r="AW140" s="41" t="s">
        <v>444</v>
      </c>
      <c r="AX140" s="41" t="s">
        <v>283</v>
      </c>
      <c r="AY140" s="40"/>
      <c r="AZ140" s="40"/>
      <c r="BA140" s="40"/>
      <c r="BB140" s="31"/>
      <c r="BC140" s="32"/>
      <c r="BD140" s="29"/>
      <c r="BF140" s="41" t="s">
        <v>444</v>
      </c>
      <c r="BG140" s="41" t="s">
        <v>283</v>
      </c>
      <c r="BH140" s="40"/>
      <c r="BI140" s="40"/>
      <c r="BJ140" s="40"/>
      <c r="BK140" s="31"/>
      <c r="BL140" s="32"/>
      <c r="BM140" s="29"/>
    </row>
    <row r="141" spans="2:65" outlineLevel="1" x14ac:dyDescent="0.25">
      <c r="B141" s="41" t="s">
        <v>444</v>
      </c>
      <c r="C141" s="41" t="s">
        <v>283</v>
      </c>
      <c r="D141" s="40"/>
      <c r="E141" s="40"/>
      <c r="F141" s="40"/>
      <c r="G141" s="31"/>
      <c r="H141" s="32"/>
      <c r="I141" s="29"/>
      <c r="J141" s="171"/>
      <c r="L141" s="41" t="s">
        <v>444</v>
      </c>
      <c r="M141" s="41" t="s">
        <v>283</v>
      </c>
      <c r="N141" s="40"/>
      <c r="O141" s="40"/>
      <c r="P141" s="40"/>
      <c r="Q141" s="31"/>
      <c r="R141" s="32"/>
      <c r="S141" s="29"/>
      <c r="T141" s="171"/>
      <c r="V141" s="41" t="s">
        <v>444</v>
      </c>
      <c r="W141" s="41" t="s">
        <v>283</v>
      </c>
      <c r="X141" s="40"/>
      <c r="Y141" s="40"/>
      <c r="Z141" s="40"/>
      <c r="AA141" s="31"/>
      <c r="AB141" s="32"/>
      <c r="AC141" s="29"/>
      <c r="AE141" s="41" t="s">
        <v>444</v>
      </c>
      <c r="AF141" s="41" t="s">
        <v>283</v>
      </c>
      <c r="AG141" s="40"/>
      <c r="AH141" s="40"/>
      <c r="AI141" s="40"/>
      <c r="AJ141" s="31"/>
      <c r="AK141" s="32"/>
      <c r="AL141" s="29"/>
      <c r="AN141" s="41" t="s">
        <v>444</v>
      </c>
      <c r="AO141" s="41" t="s">
        <v>283</v>
      </c>
      <c r="AP141" s="40"/>
      <c r="AQ141" s="40"/>
      <c r="AR141" s="40"/>
      <c r="AS141" s="31"/>
      <c r="AT141" s="32"/>
      <c r="AU141" s="29"/>
      <c r="AW141" s="41" t="s">
        <v>444</v>
      </c>
      <c r="AX141" s="41" t="s">
        <v>283</v>
      </c>
      <c r="AY141" s="40"/>
      <c r="AZ141" s="40"/>
      <c r="BA141" s="40"/>
      <c r="BB141" s="31"/>
      <c r="BC141" s="32"/>
      <c r="BD141" s="29"/>
      <c r="BF141" s="41" t="s">
        <v>444</v>
      </c>
      <c r="BG141" s="41" t="s">
        <v>283</v>
      </c>
      <c r="BH141" s="40"/>
      <c r="BI141" s="40"/>
      <c r="BJ141" s="40"/>
      <c r="BK141" s="31"/>
      <c r="BL141" s="32"/>
      <c r="BM141" s="29"/>
    </row>
    <row r="142" spans="2:65" outlineLevel="1" x14ac:dyDescent="0.25">
      <c r="B142" s="41" t="s">
        <v>444</v>
      </c>
      <c r="C142" s="41" t="s">
        <v>283</v>
      </c>
      <c r="D142" s="40"/>
      <c r="E142" s="40"/>
      <c r="F142" s="40"/>
      <c r="G142" s="31"/>
      <c r="H142" s="32"/>
      <c r="I142" s="29"/>
      <c r="J142" s="171"/>
      <c r="L142" s="41" t="s">
        <v>444</v>
      </c>
      <c r="M142" s="41" t="s">
        <v>283</v>
      </c>
      <c r="N142" s="40"/>
      <c r="O142" s="40"/>
      <c r="P142" s="40"/>
      <c r="Q142" s="31"/>
      <c r="R142" s="32"/>
      <c r="S142" s="29"/>
      <c r="T142" s="171"/>
      <c r="V142" s="41" t="s">
        <v>444</v>
      </c>
      <c r="W142" s="41" t="s">
        <v>283</v>
      </c>
      <c r="X142" s="40"/>
      <c r="Y142" s="40"/>
      <c r="Z142" s="40"/>
      <c r="AA142" s="31"/>
      <c r="AB142" s="32"/>
      <c r="AC142" s="29"/>
      <c r="AE142" s="41" t="s">
        <v>444</v>
      </c>
      <c r="AF142" s="41" t="s">
        <v>283</v>
      </c>
      <c r="AG142" s="40"/>
      <c r="AH142" s="40"/>
      <c r="AI142" s="40"/>
      <c r="AJ142" s="31"/>
      <c r="AK142" s="32"/>
      <c r="AL142" s="29"/>
      <c r="AN142" s="41" t="s">
        <v>444</v>
      </c>
      <c r="AO142" s="41" t="s">
        <v>283</v>
      </c>
      <c r="AP142" s="40"/>
      <c r="AQ142" s="40"/>
      <c r="AR142" s="40"/>
      <c r="AS142" s="31"/>
      <c r="AT142" s="32"/>
      <c r="AU142" s="29"/>
      <c r="AW142" s="41" t="s">
        <v>444</v>
      </c>
      <c r="AX142" s="41" t="s">
        <v>283</v>
      </c>
      <c r="AY142" s="40"/>
      <c r="AZ142" s="40"/>
      <c r="BA142" s="40"/>
      <c r="BB142" s="31"/>
      <c r="BC142" s="32"/>
      <c r="BD142" s="29"/>
      <c r="BF142" s="41" t="s">
        <v>444</v>
      </c>
      <c r="BG142" s="41" t="s">
        <v>283</v>
      </c>
      <c r="BH142" s="40"/>
      <c r="BI142" s="40"/>
      <c r="BJ142" s="40"/>
      <c r="BK142" s="31"/>
      <c r="BL142" s="32"/>
      <c r="BM142" s="29"/>
    </row>
    <row r="143" spans="2:65" outlineLevel="1" x14ac:dyDescent="0.25">
      <c r="B143" s="41" t="s">
        <v>444</v>
      </c>
      <c r="C143" s="41" t="s">
        <v>283</v>
      </c>
      <c r="D143" s="40"/>
      <c r="E143" s="40"/>
      <c r="F143" s="40"/>
      <c r="G143" s="31"/>
      <c r="H143" s="32"/>
      <c r="I143" s="29"/>
      <c r="J143" s="171"/>
      <c r="L143" s="41" t="s">
        <v>444</v>
      </c>
      <c r="M143" s="41" t="s">
        <v>283</v>
      </c>
      <c r="N143" s="40"/>
      <c r="O143" s="40"/>
      <c r="P143" s="40"/>
      <c r="Q143" s="31"/>
      <c r="R143" s="32"/>
      <c r="S143" s="29"/>
      <c r="T143" s="171"/>
      <c r="V143" s="41" t="s">
        <v>444</v>
      </c>
      <c r="W143" s="41" t="s">
        <v>283</v>
      </c>
      <c r="X143" s="40"/>
      <c r="Y143" s="40"/>
      <c r="Z143" s="40"/>
      <c r="AA143" s="31"/>
      <c r="AB143" s="32"/>
      <c r="AC143" s="29"/>
      <c r="AE143" s="41" t="s">
        <v>444</v>
      </c>
      <c r="AF143" s="41" t="s">
        <v>283</v>
      </c>
      <c r="AG143" s="40"/>
      <c r="AH143" s="40"/>
      <c r="AI143" s="40"/>
      <c r="AJ143" s="31"/>
      <c r="AK143" s="32"/>
      <c r="AL143" s="29"/>
      <c r="AN143" s="41" t="s">
        <v>444</v>
      </c>
      <c r="AO143" s="41" t="s">
        <v>283</v>
      </c>
      <c r="AP143" s="40"/>
      <c r="AQ143" s="40"/>
      <c r="AR143" s="40"/>
      <c r="AS143" s="31"/>
      <c r="AT143" s="32"/>
      <c r="AU143" s="29"/>
      <c r="AW143" s="41" t="s">
        <v>444</v>
      </c>
      <c r="AX143" s="41" t="s">
        <v>283</v>
      </c>
      <c r="AY143" s="40"/>
      <c r="AZ143" s="40"/>
      <c r="BA143" s="40"/>
      <c r="BB143" s="31"/>
      <c r="BC143" s="32"/>
      <c r="BD143" s="29"/>
      <c r="BF143" s="41" t="s">
        <v>444</v>
      </c>
      <c r="BG143" s="41" t="s">
        <v>283</v>
      </c>
      <c r="BH143" s="40"/>
      <c r="BI143" s="40"/>
      <c r="BJ143" s="40"/>
      <c r="BK143" s="31"/>
      <c r="BL143" s="32"/>
      <c r="BM143" s="29"/>
    </row>
    <row r="144" spans="2:65" outlineLevel="1" x14ac:dyDescent="0.25">
      <c r="B144" s="41" t="s">
        <v>444</v>
      </c>
      <c r="C144" s="41" t="s">
        <v>283</v>
      </c>
      <c r="D144" s="40"/>
      <c r="E144" s="40"/>
      <c r="F144" s="40"/>
      <c r="G144" s="31"/>
      <c r="H144" s="32"/>
      <c r="I144" s="29"/>
      <c r="J144" s="171"/>
      <c r="L144" s="41" t="s">
        <v>444</v>
      </c>
      <c r="M144" s="41" t="s">
        <v>283</v>
      </c>
      <c r="N144" s="40"/>
      <c r="O144" s="40"/>
      <c r="P144" s="40"/>
      <c r="Q144" s="31"/>
      <c r="R144" s="32"/>
      <c r="S144" s="29"/>
      <c r="T144" s="171"/>
      <c r="V144" s="41" t="s">
        <v>444</v>
      </c>
      <c r="W144" s="41" t="s">
        <v>283</v>
      </c>
      <c r="X144" s="40"/>
      <c r="Y144" s="40"/>
      <c r="Z144" s="40"/>
      <c r="AA144" s="31"/>
      <c r="AB144" s="32"/>
      <c r="AC144" s="29"/>
      <c r="AE144" s="41" t="s">
        <v>444</v>
      </c>
      <c r="AF144" s="41" t="s">
        <v>283</v>
      </c>
      <c r="AG144" s="40"/>
      <c r="AH144" s="40"/>
      <c r="AI144" s="40"/>
      <c r="AJ144" s="31"/>
      <c r="AK144" s="32"/>
      <c r="AL144" s="29"/>
      <c r="AN144" s="41" t="s">
        <v>444</v>
      </c>
      <c r="AO144" s="41" t="s">
        <v>283</v>
      </c>
      <c r="AP144" s="40"/>
      <c r="AQ144" s="40"/>
      <c r="AR144" s="40"/>
      <c r="AS144" s="31"/>
      <c r="AT144" s="32"/>
      <c r="AU144" s="29"/>
      <c r="AW144" s="41" t="s">
        <v>444</v>
      </c>
      <c r="AX144" s="41" t="s">
        <v>283</v>
      </c>
      <c r="AY144" s="40"/>
      <c r="AZ144" s="40"/>
      <c r="BA144" s="40"/>
      <c r="BB144" s="31"/>
      <c r="BC144" s="32"/>
      <c r="BD144" s="29"/>
      <c r="BF144" s="41" t="s">
        <v>444</v>
      </c>
      <c r="BG144" s="41" t="s">
        <v>283</v>
      </c>
      <c r="BH144" s="40"/>
      <c r="BI144" s="40"/>
      <c r="BJ144" s="40"/>
      <c r="BK144" s="31"/>
      <c r="BL144" s="32"/>
      <c r="BM144" s="29"/>
    </row>
    <row r="145" spans="2:65" outlineLevel="1" x14ac:dyDescent="0.25">
      <c r="B145" s="41" t="s">
        <v>444</v>
      </c>
      <c r="C145" s="41" t="s">
        <v>283</v>
      </c>
      <c r="D145" s="40"/>
      <c r="E145" s="40"/>
      <c r="F145" s="40"/>
      <c r="G145" s="31"/>
      <c r="H145" s="32"/>
      <c r="I145" s="29"/>
      <c r="J145" s="171"/>
      <c r="L145" s="41" t="s">
        <v>444</v>
      </c>
      <c r="M145" s="41" t="s">
        <v>283</v>
      </c>
      <c r="N145" s="40"/>
      <c r="O145" s="40"/>
      <c r="P145" s="40"/>
      <c r="Q145" s="31"/>
      <c r="R145" s="32"/>
      <c r="S145" s="29"/>
      <c r="T145" s="171"/>
      <c r="V145" s="41" t="s">
        <v>444</v>
      </c>
      <c r="W145" s="41" t="s">
        <v>283</v>
      </c>
      <c r="X145" s="40"/>
      <c r="Y145" s="40"/>
      <c r="Z145" s="40"/>
      <c r="AA145" s="31"/>
      <c r="AB145" s="32"/>
      <c r="AC145" s="29"/>
      <c r="AE145" s="41" t="s">
        <v>444</v>
      </c>
      <c r="AF145" s="41" t="s">
        <v>283</v>
      </c>
      <c r="AG145" s="40"/>
      <c r="AH145" s="40"/>
      <c r="AI145" s="40"/>
      <c r="AJ145" s="31"/>
      <c r="AK145" s="32"/>
      <c r="AL145" s="29"/>
      <c r="AN145" s="41" t="s">
        <v>444</v>
      </c>
      <c r="AO145" s="41" t="s">
        <v>283</v>
      </c>
      <c r="AP145" s="40"/>
      <c r="AQ145" s="40"/>
      <c r="AR145" s="40"/>
      <c r="AS145" s="31"/>
      <c r="AT145" s="32"/>
      <c r="AU145" s="29"/>
      <c r="AW145" s="41" t="s">
        <v>444</v>
      </c>
      <c r="AX145" s="41" t="s">
        <v>283</v>
      </c>
      <c r="AY145" s="40"/>
      <c r="AZ145" s="40"/>
      <c r="BA145" s="40"/>
      <c r="BB145" s="31"/>
      <c r="BC145" s="32"/>
      <c r="BD145" s="29"/>
      <c r="BF145" s="41" t="s">
        <v>444</v>
      </c>
      <c r="BG145" s="41" t="s">
        <v>283</v>
      </c>
      <c r="BH145" s="40"/>
      <c r="BI145" s="40"/>
      <c r="BJ145" s="40"/>
      <c r="BK145" s="31"/>
      <c r="BL145" s="32"/>
      <c r="BM145" s="29"/>
    </row>
    <row r="146" spans="2:65" outlineLevel="1" x14ac:dyDescent="0.25">
      <c r="B146" s="41" t="s">
        <v>444</v>
      </c>
      <c r="C146" s="41" t="s">
        <v>283</v>
      </c>
      <c r="D146" s="40"/>
      <c r="E146" s="40"/>
      <c r="F146" s="40"/>
      <c r="G146" s="31"/>
      <c r="H146" s="32"/>
      <c r="I146" s="29"/>
      <c r="J146" s="171"/>
      <c r="L146" s="41" t="s">
        <v>444</v>
      </c>
      <c r="M146" s="41" t="s">
        <v>283</v>
      </c>
      <c r="N146" s="40"/>
      <c r="O146" s="40"/>
      <c r="P146" s="40"/>
      <c r="Q146" s="31"/>
      <c r="R146" s="32"/>
      <c r="S146" s="29"/>
      <c r="T146" s="171"/>
      <c r="V146" s="41" t="s">
        <v>444</v>
      </c>
      <c r="W146" s="41" t="s">
        <v>283</v>
      </c>
      <c r="X146" s="40"/>
      <c r="Y146" s="40"/>
      <c r="Z146" s="40"/>
      <c r="AA146" s="31"/>
      <c r="AB146" s="32"/>
      <c r="AC146" s="29"/>
      <c r="AE146" s="41" t="s">
        <v>444</v>
      </c>
      <c r="AF146" s="41" t="s">
        <v>283</v>
      </c>
      <c r="AG146" s="40"/>
      <c r="AH146" s="40"/>
      <c r="AI146" s="40"/>
      <c r="AJ146" s="31"/>
      <c r="AK146" s="32"/>
      <c r="AL146" s="29"/>
      <c r="AN146" s="41" t="s">
        <v>444</v>
      </c>
      <c r="AO146" s="41" t="s">
        <v>283</v>
      </c>
      <c r="AP146" s="40"/>
      <c r="AQ146" s="40"/>
      <c r="AR146" s="40"/>
      <c r="AS146" s="31"/>
      <c r="AT146" s="32"/>
      <c r="AU146" s="29"/>
      <c r="AW146" s="41" t="s">
        <v>444</v>
      </c>
      <c r="AX146" s="41" t="s">
        <v>283</v>
      </c>
      <c r="AY146" s="40"/>
      <c r="AZ146" s="40"/>
      <c r="BA146" s="40"/>
      <c r="BB146" s="31"/>
      <c r="BC146" s="32"/>
      <c r="BD146" s="29"/>
      <c r="BF146" s="41" t="s">
        <v>444</v>
      </c>
      <c r="BG146" s="41" t="s">
        <v>283</v>
      </c>
      <c r="BH146" s="40"/>
      <c r="BI146" s="40"/>
      <c r="BJ146" s="40"/>
      <c r="BK146" s="31"/>
      <c r="BL146" s="32"/>
      <c r="BM146" s="29"/>
    </row>
    <row r="147" spans="2:65" outlineLevel="1" x14ac:dyDescent="0.25">
      <c r="B147" s="41" t="s">
        <v>444</v>
      </c>
      <c r="C147" s="41" t="s">
        <v>283</v>
      </c>
      <c r="D147" s="40"/>
      <c r="E147" s="40"/>
      <c r="F147" s="40"/>
      <c r="G147" s="31"/>
      <c r="H147" s="32"/>
      <c r="I147" s="29"/>
      <c r="J147" s="171"/>
      <c r="L147" s="41" t="s">
        <v>444</v>
      </c>
      <c r="M147" s="41" t="s">
        <v>283</v>
      </c>
      <c r="N147" s="40"/>
      <c r="O147" s="40"/>
      <c r="P147" s="40"/>
      <c r="Q147" s="31"/>
      <c r="R147" s="32"/>
      <c r="S147" s="29"/>
      <c r="T147" s="171"/>
      <c r="V147" s="41" t="s">
        <v>444</v>
      </c>
      <c r="W147" s="41" t="s">
        <v>283</v>
      </c>
      <c r="X147" s="40"/>
      <c r="Y147" s="40"/>
      <c r="Z147" s="40"/>
      <c r="AA147" s="31"/>
      <c r="AB147" s="32"/>
      <c r="AC147" s="29"/>
      <c r="AE147" s="41" t="s">
        <v>444</v>
      </c>
      <c r="AF147" s="41" t="s">
        <v>283</v>
      </c>
      <c r="AG147" s="40"/>
      <c r="AH147" s="40"/>
      <c r="AI147" s="40"/>
      <c r="AJ147" s="31"/>
      <c r="AK147" s="32"/>
      <c r="AL147" s="29"/>
      <c r="AN147" s="41" t="s">
        <v>444</v>
      </c>
      <c r="AO147" s="41" t="s">
        <v>283</v>
      </c>
      <c r="AP147" s="40"/>
      <c r="AQ147" s="40"/>
      <c r="AR147" s="40"/>
      <c r="AS147" s="31"/>
      <c r="AT147" s="32"/>
      <c r="AU147" s="29"/>
      <c r="AW147" s="41" t="s">
        <v>444</v>
      </c>
      <c r="AX147" s="41" t="s">
        <v>283</v>
      </c>
      <c r="AY147" s="40"/>
      <c r="AZ147" s="40"/>
      <c r="BA147" s="40"/>
      <c r="BB147" s="31"/>
      <c r="BC147" s="32"/>
      <c r="BD147" s="29"/>
      <c r="BF147" s="41" t="s">
        <v>444</v>
      </c>
      <c r="BG147" s="41" t="s">
        <v>283</v>
      </c>
      <c r="BH147" s="40"/>
      <c r="BI147" s="40"/>
      <c r="BJ147" s="40"/>
      <c r="BK147" s="31"/>
      <c r="BL147" s="32"/>
      <c r="BM147" s="29"/>
    </row>
    <row r="148" spans="2:65" outlineLevel="1" x14ac:dyDescent="0.25">
      <c r="B148" s="41" t="s">
        <v>444</v>
      </c>
      <c r="C148" s="41" t="s">
        <v>283</v>
      </c>
      <c r="D148" s="40"/>
      <c r="E148" s="40"/>
      <c r="F148" s="40"/>
      <c r="G148" s="31"/>
      <c r="H148" s="32"/>
      <c r="I148" s="29"/>
      <c r="J148" s="171"/>
      <c r="L148" s="41" t="s">
        <v>444</v>
      </c>
      <c r="M148" s="41" t="s">
        <v>283</v>
      </c>
      <c r="N148" s="40"/>
      <c r="O148" s="40"/>
      <c r="P148" s="40"/>
      <c r="Q148" s="31"/>
      <c r="R148" s="32"/>
      <c r="S148" s="29"/>
      <c r="T148" s="171"/>
      <c r="V148" s="41" t="s">
        <v>444</v>
      </c>
      <c r="W148" s="41" t="s">
        <v>283</v>
      </c>
      <c r="X148" s="40"/>
      <c r="Y148" s="40"/>
      <c r="Z148" s="40"/>
      <c r="AA148" s="31"/>
      <c r="AB148" s="32"/>
      <c r="AC148" s="29"/>
      <c r="AE148" s="41" t="s">
        <v>444</v>
      </c>
      <c r="AF148" s="41" t="s">
        <v>283</v>
      </c>
      <c r="AG148" s="40"/>
      <c r="AH148" s="40"/>
      <c r="AI148" s="40"/>
      <c r="AJ148" s="31"/>
      <c r="AK148" s="32"/>
      <c r="AL148" s="29"/>
      <c r="AN148" s="41" t="s">
        <v>444</v>
      </c>
      <c r="AO148" s="41" t="s">
        <v>283</v>
      </c>
      <c r="AP148" s="40"/>
      <c r="AQ148" s="40"/>
      <c r="AR148" s="40"/>
      <c r="AS148" s="31"/>
      <c r="AT148" s="32"/>
      <c r="AU148" s="29"/>
      <c r="AW148" s="41" t="s">
        <v>444</v>
      </c>
      <c r="AX148" s="41" t="s">
        <v>283</v>
      </c>
      <c r="AY148" s="40"/>
      <c r="AZ148" s="40"/>
      <c r="BA148" s="40"/>
      <c r="BB148" s="31"/>
      <c r="BC148" s="32"/>
      <c r="BD148" s="29"/>
      <c r="BF148" s="41" t="s">
        <v>444</v>
      </c>
      <c r="BG148" s="41" t="s">
        <v>283</v>
      </c>
      <c r="BH148" s="40"/>
      <c r="BI148" s="40"/>
      <c r="BJ148" s="40"/>
      <c r="BK148" s="31"/>
      <c r="BL148" s="32"/>
      <c r="BM148" s="29"/>
    </row>
    <row r="149" spans="2:65" x14ac:dyDescent="0.25">
      <c r="B149" s="8" t="s">
        <v>449</v>
      </c>
      <c r="C149" s="25"/>
      <c r="D149" s="28">
        <f t="shared" ref="D149:F149" si="109">SUM(D134:D148)</f>
        <v>0</v>
      </c>
      <c r="E149" s="28">
        <f t="shared" si="109"/>
        <v>0</v>
      </c>
      <c r="F149" s="28">
        <f t="shared" si="109"/>
        <v>0</v>
      </c>
      <c r="G149" s="25"/>
      <c r="H149" s="26"/>
      <c r="I149" s="30"/>
      <c r="J149" s="170"/>
      <c r="L149" s="8" t="s">
        <v>449</v>
      </c>
      <c r="M149" s="25"/>
      <c r="N149" s="28">
        <f t="shared" ref="N149:P149" si="110">SUM(N134:N148)</f>
        <v>0</v>
      </c>
      <c r="O149" s="28">
        <f t="shared" si="110"/>
        <v>0</v>
      </c>
      <c r="P149" s="28">
        <f t="shared" si="110"/>
        <v>0</v>
      </c>
      <c r="Q149" s="25"/>
      <c r="R149" s="26"/>
      <c r="S149" s="30"/>
      <c r="T149" s="170"/>
      <c r="V149" s="8" t="s">
        <v>449</v>
      </c>
      <c r="W149" s="25"/>
      <c r="X149" s="30"/>
      <c r="Y149" s="30"/>
      <c r="Z149" s="28">
        <f t="shared" ref="Z149" si="111">SUM(Z134:Z148)</f>
        <v>0</v>
      </c>
      <c r="AA149" s="25"/>
      <c r="AB149" s="26"/>
      <c r="AC149" s="30"/>
      <c r="AE149" s="8" t="s">
        <v>449</v>
      </c>
      <c r="AF149" s="25"/>
      <c r="AG149" s="30"/>
      <c r="AH149" s="30"/>
      <c r="AI149" s="28">
        <f t="shared" ref="AI149" si="112">SUM(AI134:AI148)</f>
        <v>0</v>
      </c>
      <c r="AJ149" s="25"/>
      <c r="AK149" s="26"/>
      <c r="AL149" s="30"/>
      <c r="AN149" s="8" t="s">
        <v>449</v>
      </c>
      <c r="AO149" s="25"/>
      <c r="AP149" s="30"/>
      <c r="AQ149" s="30"/>
      <c r="AR149" s="28">
        <f t="shared" ref="AR149" si="113">SUM(AR134:AR148)</f>
        <v>0</v>
      </c>
      <c r="AS149" s="25"/>
      <c r="AT149" s="26"/>
      <c r="AU149" s="30"/>
      <c r="AW149" s="8" t="s">
        <v>449</v>
      </c>
      <c r="AX149" s="25"/>
      <c r="AY149" s="30"/>
      <c r="AZ149" s="30"/>
      <c r="BA149" s="28">
        <f t="shared" ref="BA149" si="114">SUM(BA134:BA148)</f>
        <v>0</v>
      </c>
      <c r="BB149" s="25"/>
      <c r="BC149" s="26"/>
      <c r="BD149" s="30"/>
      <c r="BF149" s="8" t="s">
        <v>449</v>
      </c>
      <c r="BG149" s="25"/>
      <c r="BH149" s="30"/>
      <c r="BI149" s="30"/>
      <c r="BJ149" s="28">
        <f t="shared" ref="BJ149" si="115">SUM(BJ134:BJ148)</f>
        <v>0</v>
      </c>
      <c r="BK149" s="25"/>
      <c r="BL149" s="26"/>
      <c r="BM149" s="30"/>
    </row>
    <row r="151" spans="2:65" s="20" customFormat="1" ht="38.25" x14ac:dyDescent="0.25">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2" t="s">
        <v>380</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2" t="s">
        <v>380</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x14ac:dyDescent="0.25">
      <c r="B152" s="41" t="s">
        <v>444</v>
      </c>
      <c r="C152" s="41" t="s">
        <v>283</v>
      </c>
      <c r="D152" s="40"/>
      <c r="E152" s="40"/>
      <c r="F152" s="29"/>
      <c r="G152" s="31"/>
      <c r="H152" s="23">
        <v>0.05</v>
      </c>
      <c r="I152" s="75">
        <f>E152*H152</f>
        <v>0</v>
      </c>
      <c r="J152" s="171"/>
      <c r="L152" s="41" t="s">
        <v>444</v>
      </c>
      <c r="M152" s="41" t="s">
        <v>283</v>
      </c>
      <c r="N152" s="40"/>
      <c r="O152" s="40"/>
      <c r="P152" s="29"/>
      <c r="Q152" s="31"/>
      <c r="R152" s="23">
        <v>0.05</v>
      </c>
      <c r="S152" s="75">
        <f>O152*R152</f>
        <v>0</v>
      </c>
      <c r="T152" s="171"/>
      <c r="V152" s="41" t="s">
        <v>444</v>
      </c>
      <c r="W152" s="41" t="s">
        <v>283</v>
      </c>
      <c r="X152" s="40"/>
      <c r="Y152" s="40"/>
      <c r="Z152" s="29"/>
      <c r="AA152" s="31"/>
      <c r="AB152" s="23">
        <v>0.05</v>
      </c>
      <c r="AC152" s="75">
        <f>Y152*AB152</f>
        <v>0</v>
      </c>
      <c r="AE152" s="41" t="s">
        <v>444</v>
      </c>
      <c r="AF152" s="41" t="s">
        <v>283</v>
      </c>
      <c r="AG152" s="40"/>
      <c r="AH152" s="40"/>
      <c r="AI152" s="29"/>
      <c r="AJ152" s="31"/>
      <c r="AK152" s="23">
        <v>0.05</v>
      </c>
      <c r="AL152" s="75">
        <f>AH152*AK152</f>
        <v>0</v>
      </c>
      <c r="AN152" s="41" t="s">
        <v>444</v>
      </c>
      <c r="AO152" s="41" t="s">
        <v>283</v>
      </c>
      <c r="AP152" s="40"/>
      <c r="AQ152" s="40"/>
      <c r="AR152" s="29"/>
      <c r="AS152" s="31"/>
      <c r="AT152" s="23">
        <v>0.05</v>
      </c>
      <c r="AU152" s="75">
        <f>AQ152*AT152</f>
        <v>0</v>
      </c>
      <c r="AW152" s="41" t="s">
        <v>444</v>
      </c>
      <c r="AX152" s="41" t="s">
        <v>283</v>
      </c>
      <c r="AY152" s="40"/>
      <c r="AZ152" s="40"/>
      <c r="BA152" s="29"/>
      <c r="BB152" s="31"/>
      <c r="BC152" s="23">
        <v>0.05</v>
      </c>
      <c r="BD152" s="75">
        <f>AZ152*BC152</f>
        <v>0</v>
      </c>
      <c r="BF152" s="41" t="s">
        <v>444</v>
      </c>
      <c r="BG152" s="41" t="s">
        <v>283</v>
      </c>
      <c r="BH152" s="40"/>
      <c r="BI152" s="40"/>
      <c r="BJ152" s="29"/>
      <c r="BK152" s="31"/>
      <c r="BL152" s="23">
        <v>0.05</v>
      </c>
      <c r="BM152" s="75">
        <f>BI152*BL152</f>
        <v>0</v>
      </c>
    </row>
    <row r="153" spans="2:65" x14ac:dyDescent="0.25">
      <c r="B153" s="41" t="s">
        <v>444</v>
      </c>
      <c r="C153" s="41" t="s">
        <v>283</v>
      </c>
      <c r="D153" s="244"/>
      <c r="E153" s="40"/>
      <c r="F153" s="29"/>
      <c r="G153" s="31"/>
      <c r="H153" s="23">
        <v>0.05</v>
      </c>
      <c r="I153" s="75">
        <f t="shared" ref="I153:I166" si="123">E153*H153</f>
        <v>0</v>
      </c>
      <c r="J153" s="171"/>
      <c r="L153" s="41" t="s">
        <v>444</v>
      </c>
      <c r="M153" s="41" t="s">
        <v>283</v>
      </c>
      <c r="N153" s="40"/>
      <c r="O153" s="40"/>
      <c r="P153" s="29"/>
      <c r="Q153" s="31"/>
      <c r="R153" s="23">
        <v>0.05</v>
      </c>
      <c r="S153" s="75">
        <f t="shared" ref="S153:S166" si="124">O153*R153</f>
        <v>0</v>
      </c>
      <c r="T153" s="171"/>
      <c r="V153" s="41" t="s">
        <v>444</v>
      </c>
      <c r="W153" s="41" t="s">
        <v>283</v>
      </c>
      <c r="X153" s="40"/>
      <c r="Y153" s="40"/>
      <c r="Z153" s="29"/>
      <c r="AA153" s="31"/>
      <c r="AB153" s="23">
        <v>0.05</v>
      </c>
      <c r="AC153" s="75">
        <f t="shared" ref="AC153:AC166" si="125">Y153*AB153</f>
        <v>0</v>
      </c>
      <c r="AE153" s="41" t="s">
        <v>444</v>
      </c>
      <c r="AF153" s="41" t="s">
        <v>283</v>
      </c>
      <c r="AG153" s="40"/>
      <c r="AH153" s="40"/>
      <c r="AI153" s="29"/>
      <c r="AJ153" s="31"/>
      <c r="AK153" s="23">
        <v>0.05</v>
      </c>
      <c r="AL153" s="75">
        <f t="shared" ref="AL153:AL166" si="126">AH153*AK153</f>
        <v>0</v>
      </c>
      <c r="AN153" s="41" t="s">
        <v>444</v>
      </c>
      <c r="AO153" s="41" t="s">
        <v>283</v>
      </c>
      <c r="AP153" s="40"/>
      <c r="AQ153" s="40"/>
      <c r="AR153" s="29"/>
      <c r="AS153" s="31"/>
      <c r="AT153" s="23">
        <v>0.05</v>
      </c>
      <c r="AU153" s="75">
        <f t="shared" ref="AU153:AU166" si="127">AQ153*AT153</f>
        <v>0</v>
      </c>
      <c r="AW153" s="41" t="s">
        <v>444</v>
      </c>
      <c r="AX153" s="41" t="s">
        <v>283</v>
      </c>
      <c r="AY153" s="40"/>
      <c r="AZ153" s="40"/>
      <c r="BA153" s="29"/>
      <c r="BB153" s="31"/>
      <c r="BC153" s="23">
        <v>0.05</v>
      </c>
      <c r="BD153" s="75">
        <f t="shared" ref="BD153:BD166" si="128">AZ153*BC153</f>
        <v>0</v>
      </c>
      <c r="BF153" s="41" t="s">
        <v>444</v>
      </c>
      <c r="BG153" s="41" t="s">
        <v>283</v>
      </c>
      <c r="BH153" s="40"/>
      <c r="BI153" s="40"/>
      <c r="BJ153" s="29"/>
      <c r="BK153" s="31"/>
      <c r="BL153" s="23">
        <v>0.05</v>
      </c>
      <c r="BM153" s="75">
        <f t="shared" ref="BM153:BM166" si="129">BI153*BL153</f>
        <v>0</v>
      </c>
    </row>
    <row r="154" spans="2:65" x14ac:dyDescent="0.25">
      <c r="B154" s="41" t="s">
        <v>444</v>
      </c>
      <c r="C154" s="41" t="s">
        <v>283</v>
      </c>
      <c r="D154" s="40"/>
      <c r="E154" s="40"/>
      <c r="F154" s="29"/>
      <c r="G154" s="31"/>
      <c r="H154" s="23">
        <v>0.05</v>
      </c>
      <c r="I154" s="75">
        <f t="shared" si="123"/>
        <v>0</v>
      </c>
      <c r="J154" s="171"/>
      <c r="L154" s="41" t="s">
        <v>444</v>
      </c>
      <c r="M154" s="41" t="s">
        <v>283</v>
      </c>
      <c r="N154" s="40"/>
      <c r="O154" s="40"/>
      <c r="P154" s="29"/>
      <c r="Q154" s="31"/>
      <c r="R154" s="23">
        <v>0.05</v>
      </c>
      <c r="S154" s="75">
        <f t="shared" si="124"/>
        <v>0</v>
      </c>
      <c r="T154" s="171"/>
      <c r="V154" s="41" t="s">
        <v>444</v>
      </c>
      <c r="W154" s="41" t="s">
        <v>283</v>
      </c>
      <c r="X154" s="40"/>
      <c r="Y154" s="40"/>
      <c r="Z154" s="29"/>
      <c r="AA154" s="31"/>
      <c r="AB154" s="23">
        <v>0.05</v>
      </c>
      <c r="AC154" s="75">
        <f t="shared" si="125"/>
        <v>0</v>
      </c>
      <c r="AE154" s="41" t="s">
        <v>444</v>
      </c>
      <c r="AF154" s="41" t="s">
        <v>283</v>
      </c>
      <c r="AG154" s="40"/>
      <c r="AH154" s="40"/>
      <c r="AI154" s="29"/>
      <c r="AJ154" s="31"/>
      <c r="AK154" s="23">
        <v>0.05</v>
      </c>
      <c r="AL154" s="75">
        <f t="shared" si="126"/>
        <v>0</v>
      </c>
      <c r="AN154" s="41" t="s">
        <v>444</v>
      </c>
      <c r="AO154" s="41" t="s">
        <v>283</v>
      </c>
      <c r="AP154" s="40"/>
      <c r="AQ154" s="40"/>
      <c r="AR154" s="29"/>
      <c r="AS154" s="31"/>
      <c r="AT154" s="23">
        <v>0.05</v>
      </c>
      <c r="AU154" s="75">
        <f t="shared" si="127"/>
        <v>0</v>
      </c>
      <c r="AW154" s="41" t="s">
        <v>444</v>
      </c>
      <c r="AX154" s="41" t="s">
        <v>283</v>
      </c>
      <c r="AY154" s="40"/>
      <c r="AZ154" s="40"/>
      <c r="BA154" s="29"/>
      <c r="BB154" s="31"/>
      <c r="BC154" s="23">
        <v>0.05</v>
      </c>
      <c r="BD154" s="75">
        <f t="shared" si="128"/>
        <v>0</v>
      </c>
      <c r="BF154" s="41" t="s">
        <v>444</v>
      </c>
      <c r="BG154" s="41" t="s">
        <v>283</v>
      </c>
      <c r="BH154" s="40"/>
      <c r="BI154" s="40"/>
      <c r="BJ154" s="29"/>
      <c r="BK154" s="31"/>
      <c r="BL154" s="23">
        <v>0.05</v>
      </c>
      <c r="BM154" s="75">
        <f t="shared" si="129"/>
        <v>0</v>
      </c>
    </row>
    <row r="155" spans="2:65" x14ac:dyDescent="0.25">
      <c r="B155" s="41" t="s">
        <v>444</v>
      </c>
      <c r="C155" s="41" t="s">
        <v>283</v>
      </c>
      <c r="D155" s="40"/>
      <c r="E155" s="40"/>
      <c r="F155" s="29"/>
      <c r="G155" s="31"/>
      <c r="H155" s="23">
        <v>0.05</v>
      </c>
      <c r="I155" s="75">
        <f t="shared" si="123"/>
        <v>0</v>
      </c>
      <c r="J155" s="171"/>
      <c r="L155" s="41" t="s">
        <v>444</v>
      </c>
      <c r="M155" s="41" t="s">
        <v>283</v>
      </c>
      <c r="N155" s="40"/>
      <c r="O155" s="40"/>
      <c r="P155" s="29"/>
      <c r="Q155" s="31"/>
      <c r="R155" s="23">
        <v>0.05</v>
      </c>
      <c r="S155" s="75">
        <f t="shared" si="124"/>
        <v>0</v>
      </c>
      <c r="T155" s="171"/>
      <c r="V155" s="41" t="s">
        <v>444</v>
      </c>
      <c r="W155" s="41" t="s">
        <v>283</v>
      </c>
      <c r="X155" s="40"/>
      <c r="Y155" s="40"/>
      <c r="Z155" s="29"/>
      <c r="AA155" s="31"/>
      <c r="AB155" s="23">
        <v>0.05</v>
      </c>
      <c r="AC155" s="75">
        <f t="shared" si="125"/>
        <v>0</v>
      </c>
      <c r="AE155" s="41" t="s">
        <v>444</v>
      </c>
      <c r="AF155" s="41" t="s">
        <v>283</v>
      </c>
      <c r="AG155" s="40"/>
      <c r="AH155" s="40"/>
      <c r="AI155" s="29"/>
      <c r="AJ155" s="31"/>
      <c r="AK155" s="23">
        <v>0.05</v>
      </c>
      <c r="AL155" s="75">
        <f t="shared" si="126"/>
        <v>0</v>
      </c>
      <c r="AN155" s="41" t="s">
        <v>444</v>
      </c>
      <c r="AO155" s="41" t="s">
        <v>283</v>
      </c>
      <c r="AP155" s="40"/>
      <c r="AQ155" s="40"/>
      <c r="AR155" s="29"/>
      <c r="AS155" s="31"/>
      <c r="AT155" s="23">
        <v>0.05</v>
      </c>
      <c r="AU155" s="75">
        <f t="shared" si="127"/>
        <v>0</v>
      </c>
      <c r="AW155" s="41" t="s">
        <v>444</v>
      </c>
      <c r="AX155" s="41" t="s">
        <v>283</v>
      </c>
      <c r="AY155" s="40"/>
      <c r="AZ155" s="40"/>
      <c r="BA155" s="29"/>
      <c r="BB155" s="31"/>
      <c r="BC155" s="23">
        <v>0.05</v>
      </c>
      <c r="BD155" s="75">
        <f t="shared" si="128"/>
        <v>0</v>
      </c>
      <c r="BF155" s="41" t="s">
        <v>444</v>
      </c>
      <c r="BG155" s="41" t="s">
        <v>283</v>
      </c>
      <c r="BH155" s="40"/>
      <c r="BI155" s="40"/>
      <c r="BJ155" s="29"/>
      <c r="BK155" s="31"/>
      <c r="BL155" s="23">
        <v>0.05</v>
      </c>
      <c r="BM155" s="75">
        <f t="shared" si="129"/>
        <v>0</v>
      </c>
    </row>
    <row r="156" spans="2:65" x14ac:dyDescent="0.25">
      <c r="B156" s="41" t="s">
        <v>444</v>
      </c>
      <c r="C156" s="41" t="s">
        <v>283</v>
      </c>
      <c r="D156" s="40"/>
      <c r="E156" s="40"/>
      <c r="F156" s="29"/>
      <c r="G156" s="31"/>
      <c r="H156" s="23">
        <v>0.05</v>
      </c>
      <c r="I156" s="75">
        <f t="shared" si="123"/>
        <v>0</v>
      </c>
      <c r="J156" s="171"/>
      <c r="L156" s="41" t="s">
        <v>444</v>
      </c>
      <c r="M156" s="41" t="s">
        <v>283</v>
      </c>
      <c r="N156" s="40"/>
      <c r="O156" s="40"/>
      <c r="P156" s="29"/>
      <c r="Q156" s="31"/>
      <c r="R156" s="23">
        <v>0.05</v>
      </c>
      <c r="S156" s="75">
        <f t="shared" si="124"/>
        <v>0</v>
      </c>
      <c r="T156" s="171"/>
      <c r="V156" s="41" t="s">
        <v>444</v>
      </c>
      <c r="W156" s="41" t="s">
        <v>283</v>
      </c>
      <c r="X156" s="40"/>
      <c r="Y156" s="40"/>
      <c r="Z156" s="29"/>
      <c r="AA156" s="31"/>
      <c r="AB156" s="23">
        <v>0.05</v>
      </c>
      <c r="AC156" s="75">
        <f t="shared" si="125"/>
        <v>0</v>
      </c>
      <c r="AE156" s="41" t="s">
        <v>444</v>
      </c>
      <c r="AF156" s="41" t="s">
        <v>283</v>
      </c>
      <c r="AG156" s="40"/>
      <c r="AH156" s="40"/>
      <c r="AI156" s="29"/>
      <c r="AJ156" s="31"/>
      <c r="AK156" s="23">
        <v>0.05</v>
      </c>
      <c r="AL156" s="75">
        <f t="shared" si="126"/>
        <v>0</v>
      </c>
      <c r="AN156" s="41" t="s">
        <v>444</v>
      </c>
      <c r="AO156" s="41" t="s">
        <v>283</v>
      </c>
      <c r="AP156" s="40"/>
      <c r="AQ156" s="40"/>
      <c r="AR156" s="29"/>
      <c r="AS156" s="31"/>
      <c r="AT156" s="23">
        <v>0.05</v>
      </c>
      <c r="AU156" s="75">
        <f t="shared" si="127"/>
        <v>0</v>
      </c>
      <c r="AW156" s="41" t="s">
        <v>444</v>
      </c>
      <c r="AX156" s="41" t="s">
        <v>283</v>
      </c>
      <c r="AY156" s="40"/>
      <c r="AZ156" s="40"/>
      <c r="BA156" s="29"/>
      <c r="BB156" s="31"/>
      <c r="BC156" s="23">
        <v>0.05</v>
      </c>
      <c r="BD156" s="75">
        <f t="shared" si="128"/>
        <v>0</v>
      </c>
      <c r="BF156" s="41" t="s">
        <v>444</v>
      </c>
      <c r="BG156" s="41" t="s">
        <v>283</v>
      </c>
      <c r="BH156" s="40"/>
      <c r="BI156" s="40"/>
      <c r="BJ156" s="29"/>
      <c r="BK156" s="31"/>
      <c r="BL156" s="23">
        <v>0.05</v>
      </c>
      <c r="BM156" s="75">
        <f t="shared" si="129"/>
        <v>0</v>
      </c>
    </row>
    <row r="157" spans="2:65" x14ac:dyDescent="0.25">
      <c r="B157" s="41" t="s">
        <v>444</v>
      </c>
      <c r="C157" s="41" t="s">
        <v>283</v>
      </c>
      <c r="D157" s="40"/>
      <c r="E157" s="40"/>
      <c r="F157" s="29"/>
      <c r="G157" s="31"/>
      <c r="H157" s="23">
        <v>0.05</v>
      </c>
      <c r="I157" s="75">
        <f t="shared" si="123"/>
        <v>0</v>
      </c>
      <c r="J157" s="171"/>
      <c r="L157" s="41" t="s">
        <v>444</v>
      </c>
      <c r="M157" s="41" t="s">
        <v>283</v>
      </c>
      <c r="N157" s="40"/>
      <c r="O157" s="40"/>
      <c r="P157" s="29"/>
      <c r="Q157" s="31"/>
      <c r="R157" s="23">
        <v>0.05</v>
      </c>
      <c r="S157" s="75">
        <f t="shared" si="124"/>
        <v>0</v>
      </c>
      <c r="T157" s="171"/>
      <c r="V157" s="41" t="s">
        <v>444</v>
      </c>
      <c r="W157" s="41" t="s">
        <v>283</v>
      </c>
      <c r="X157" s="40"/>
      <c r="Y157" s="40"/>
      <c r="Z157" s="29"/>
      <c r="AA157" s="31"/>
      <c r="AB157" s="23">
        <v>0.05</v>
      </c>
      <c r="AC157" s="75">
        <f t="shared" si="125"/>
        <v>0</v>
      </c>
      <c r="AE157" s="41" t="s">
        <v>444</v>
      </c>
      <c r="AF157" s="41" t="s">
        <v>283</v>
      </c>
      <c r="AG157" s="40"/>
      <c r="AH157" s="40"/>
      <c r="AI157" s="29"/>
      <c r="AJ157" s="31"/>
      <c r="AK157" s="23">
        <v>0.05</v>
      </c>
      <c r="AL157" s="75">
        <f t="shared" si="126"/>
        <v>0</v>
      </c>
      <c r="AN157" s="41" t="s">
        <v>444</v>
      </c>
      <c r="AO157" s="41" t="s">
        <v>283</v>
      </c>
      <c r="AP157" s="40"/>
      <c r="AQ157" s="40"/>
      <c r="AR157" s="29"/>
      <c r="AS157" s="31"/>
      <c r="AT157" s="23">
        <v>0.05</v>
      </c>
      <c r="AU157" s="75">
        <f t="shared" si="127"/>
        <v>0</v>
      </c>
      <c r="AW157" s="41" t="s">
        <v>444</v>
      </c>
      <c r="AX157" s="41" t="s">
        <v>283</v>
      </c>
      <c r="AY157" s="40"/>
      <c r="AZ157" s="40"/>
      <c r="BA157" s="29"/>
      <c r="BB157" s="31"/>
      <c r="BC157" s="23">
        <v>0.05</v>
      </c>
      <c r="BD157" s="75">
        <f t="shared" si="128"/>
        <v>0</v>
      </c>
      <c r="BF157" s="41" t="s">
        <v>444</v>
      </c>
      <c r="BG157" s="41" t="s">
        <v>283</v>
      </c>
      <c r="BH157" s="40"/>
      <c r="BI157" s="40"/>
      <c r="BJ157" s="29"/>
      <c r="BK157" s="31"/>
      <c r="BL157" s="23">
        <v>0.05</v>
      </c>
      <c r="BM157" s="75">
        <f t="shared" si="129"/>
        <v>0</v>
      </c>
    </row>
    <row r="158" spans="2:65" x14ac:dyDescent="0.25">
      <c r="B158" s="41" t="s">
        <v>444</v>
      </c>
      <c r="C158" s="41" t="s">
        <v>283</v>
      </c>
      <c r="D158" s="40"/>
      <c r="E158" s="40"/>
      <c r="F158" s="29"/>
      <c r="G158" s="31"/>
      <c r="H158" s="23">
        <v>0.05</v>
      </c>
      <c r="I158" s="75">
        <f t="shared" si="123"/>
        <v>0</v>
      </c>
      <c r="J158" s="171"/>
      <c r="L158" s="41" t="s">
        <v>444</v>
      </c>
      <c r="M158" s="41" t="s">
        <v>283</v>
      </c>
      <c r="N158" s="40"/>
      <c r="O158" s="40"/>
      <c r="P158" s="29"/>
      <c r="Q158" s="31"/>
      <c r="R158" s="23">
        <v>0.05</v>
      </c>
      <c r="S158" s="75">
        <f t="shared" si="124"/>
        <v>0</v>
      </c>
      <c r="T158" s="171"/>
      <c r="V158" s="41" t="s">
        <v>444</v>
      </c>
      <c r="W158" s="41" t="s">
        <v>283</v>
      </c>
      <c r="X158" s="40"/>
      <c r="Y158" s="40"/>
      <c r="Z158" s="29"/>
      <c r="AA158" s="31"/>
      <c r="AB158" s="23">
        <v>0.05</v>
      </c>
      <c r="AC158" s="75">
        <f t="shared" si="125"/>
        <v>0</v>
      </c>
      <c r="AE158" s="41" t="s">
        <v>444</v>
      </c>
      <c r="AF158" s="41" t="s">
        <v>283</v>
      </c>
      <c r="AG158" s="40"/>
      <c r="AH158" s="40"/>
      <c r="AI158" s="29"/>
      <c r="AJ158" s="31"/>
      <c r="AK158" s="23">
        <v>0.05</v>
      </c>
      <c r="AL158" s="75">
        <f t="shared" si="126"/>
        <v>0</v>
      </c>
      <c r="AN158" s="41" t="s">
        <v>444</v>
      </c>
      <c r="AO158" s="41" t="s">
        <v>283</v>
      </c>
      <c r="AP158" s="40"/>
      <c r="AQ158" s="40"/>
      <c r="AR158" s="29"/>
      <c r="AS158" s="31"/>
      <c r="AT158" s="23">
        <v>0.05</v>
      </c>
      <c r="AU158" s="75">
        <f t="shared" si="127"/>
        <v>0</v>
      </c>
      <c r="AW158" s="41" t="s">
        <v>444</v>
      </c>
      <c r="AX158" s="41" t="s">
        <v>283</v>
      </c>
      <c r="AY158" s="40"/>
      <c r="AZ158" s="40"/>
      <c r="BA158" s="29"/>
      <c r="BB158" s="31"/>
      <c r="BC158" s="23">
        <v>0.05</v>
      </c>
      <c r="BD158" s="75">
        <f t="shared" si="128"/>
        <v>0</v>
      </c>
      <c r="BF158" s="41" t="s">
        <v>444</v>
      </c>
      <c r="BG158" s="41" t="s">
        <v>283</v>
      </c>
      <c r="BH158" s="40"/>
      <c r="BI158" s="40"/>
      <c r="BJ158" s="29"/>
      <c r="BK158" s="31"/>
      <c r="BL158" s="23">
        <v>0.05</v>
      </c>
      <c r="BM158" s="75">
        <f t="shared" si="129"/>
        <v>0</v>
      </c>
    </row>
    <row r="159" spans="2:65" outlineLevel="1" x14ac:dyDescent="0.25">
      <c r="B159" s="41" t="s">
        <v>444</v>
      </c>
      <c r="C159" s="41" t="s">
        <v>283</v>
      </c>
      <c r="D159" s="40"/>
      <c r="E159" s="40"/>
      <c r="F159" s="29"/>
      <c r="G159" s="31"/>
      <c r="H159" s="23">
        <v>0.05</v>
      </c>
      <c r="I159" s="75">
        <f t="shared" si="123"/>
        <v>0</v>
      </c>
      <c r="J159" s="171"/>
      <c r="L159" s="41" t="s">
        <v>444</v>
      </c>
      <c r="M159" s="41" t="s">
        <v>283</v>
      </c>
      <c r="N159" s="40"/>
      <c r="O159" s="40"/>
      <c r="P159" s="29"/>
      <c r="Q159" s="31"/>
      <c r="R159" s="23">
        <v>0.05</v>
      </c>
      <c r="S159" s="75">
        <f t="shared" si="124"/>
        <v>0</v>
      </c>
      <c r="T159" s="171"/>
      <c r="V159" s="41" t="s">
        <v>444</v>
      </c>
      <c r="W159" s="41" t="s">
        <v>283</v>
      </c>
      <c r="X159" s="40"/>
      <c r="Y159" s="40"/>
      <c r="Z159" s="29"/>
      <c r="AA159" s="31"/>
      <c r="AB159" s="23">
        <v>0.05</v>
      </c>
      <c r="AC159" s="75">
        <f t="shared" si="125"/>
        <v>0</v>
      </c>
      <c r="AE159" s="41" t="s">
        <v>444</v>
      </c>
      <c r="AF159" s="41" t="s">
        <v>283</v>
      </c>
      <c r="AG159" s="40"/>
      <c r="AH159" s="40"/>
      <c r="AI159" s="29"/>
      <c r="AJ159" s="31"/>
      <c r="AK159" s="23">
        <v>0.05</v>
      </c>
      <c r="AL159" s="75">
        <f t="shared" si="126"/>
        <v>0</v>
      </c>
      <c r="AN159" s="41" t="s">
        <v>444</v>
      </c>
      <c r="AO159" s="41" t="s">
        <v>283</v>
      </c>
      <c r="AP159" s="40"/>
      <c r="AQ159" s="40"/>
      <c r="AR159" s="29"/>
      <c r="AS159" s="31"/>
      <c r="AT159" s="23">
        <v>0.05</v>
      </c>
      <c r="AU159" s="75">
        <f t="shared" si="127"/>
        <v>0</v>
      </c>
      <c r="AW159" s="41" t="s">
        <v>444</v>
      </c>
      <c r="AX159" s="41" t="s">
        <v>283</v>
      </c>
      <c r="AY159" s="40"/>
      <c r="AZ159" s="40"/>
      <c r="BA159" s="29"/>
      <c r="BB159" s="31"/>
      <c r="BC159" s="23">
        <v>0.05</v>
      </c>
      <c r="BD159" s="75">
        <f t="shared" si="128"/>
        <v>0</v>
      </c>
      <c r="BF159" s="41" t="s">
        <v>444</v>
      </c>
      <c r="BG159" s="41" t="s">
        <v>283</v>
      </c>
      <c r="BH159" s="40"/>
      <c r="BI159" s="40"/>
      <c r="BJ159" s="29"/>
      <c r="BK159" s="31"/>
      <c r="BL159" s="23">
        <v>0.05</v>
      </c>
      <c r="BM159" s="75">
        <f t="shared" si="129"/>
        <v>0</v>
      </c>
    </row>
    <row r="160" spans="2:65" outlineLevel="1" x14ac:dyDescent="0.25">
      <c r="B160" s="41" t="s">
        <v>444</v>
      </c>
      <c r="C160" s="41" t="s">
        <v>283</v>
      </c>
      <c r="D160" s="40"/>
      <c r="E160" s="40"/>
      <c r="F160" s="29"/>
      <c r="G160" s="31"/>
      <c r="H160" s="23">
        <v>0.05</v>
      </c>
      <c r="I160" s="75">
        <f t="shared" si="123"/>
        <v>0</v>
      </c>
      <c r="J160" s="171"/>
      <c r="L160" s="41" t="s">
        <v>444</v>
      </c>
      <c r="M160" s="41" t="s">
        <v>283</v>
      </c>
      <c r="N160" s="40"/>
      <c r="O160" s="40"/>
      <c r="P160" s="29"/>
      <c r="Q160" s="31"/>
      <c r="R160" s="23">
        <v>0.05</v>
      </c>
      <c r="S160" s="75">
        <f t="shared" si="124"/>
        <v>0</v>
      </c>
      <c r="T160" s="171"/>
      <c r="V160" s="41" t="s">
        <v>444</v>
      </c>
      <c r="W160" s="41" t="s">
        <v>283</v>
      </c>
      <c r="X160" s="40"/>
      <c r="Y160" s="40"/>
      <c r="Z160" s="29"/>
      <c r="AA160" s="31"/>
      <c r="AB160" s="23">
        <v>0.05</v>
      </c>
      <c r="AC160" s="75">
        <f t="shared" si="125"/>
        <v>0</v>
      </c>
      <c r="AE160" s="41" t="s">
        <v>444</v>
      </c>
      <c r="AF160" s="41" t="s">
        <v>283</v>
      </c>
      <c r="AG160" s="40"/>
      <c r="AH160" s="40"/>
      <c r="AI160" s="29"/>
      <c r="AJ160" s="31"/>
      <c r="AK160" s="23">
        <v>0.05</v>
      </c>
      <c r="AL160" s="75">
        <f t="shared" si="126"/>
        <v>0</v>
      </c>
      <c r="AN160" s="41" t="s">
        <v>444</v>
      </c>
      <c r="AO160" s="41" t="s">
        <v>283</v>
      </c>
      <c r="AP160" s="40"/>
      <c r="AQ160" s="40"/>
      <c r="AR160" s="29"/>
      <c r="AS160" s="31"/>
      <c r="AT160" s="23">
        <v>0.05</v>
      </c>
      <c r="AU160" s="75">
        <f t="shared" si="127"/>
        <v>0</v>
      </c>
      <c r="AW160" s="41" t="s">
        <v>444</v>
      </c>
      <c r="AX160" s="41" t="s">
        <v>283</v>
      </c>
      <c r="AY160" s="40"/>
      <c r="AZ160" s="40"/>
      <c r="BA160" s="29"/>
      <c r="BB160" s="31"/>
      <c r="BC160" s="23">
        <v>0.05</v>
      </c>
      <c r="BD160" s="75">
        <f t="shared" si="128"/>
        <v>0</v>
      </c>
      <c r="BF160" s="41" t="s">
        <v>444</v>
      </c>
      <c r="BG160" s="41" t="s">
        <v>283</v>
      </c>
      <c r="BH160" s="40"/>
      <c r="BI160" s="40"/>
      <c r="BJ160" s="29"/>
      <c r="BK160" s="31"/>
      <c r="BL160" s="23">
        <v>0.05</v>
      </c>
      <c r="BM160" s="75">
        <f t="shared" si="129"/>
        <v>0</v>
      </c>
    </row>
    <row r="161" spans="2:65" outlineLevel="1" x14ac:dyDescent="0.25">
      <c r="B161" s="41" t="s">
        <v>444</v>
      </c>
      <c r="C161" s="41" t="s">
        <v>283</v>
      </c>
      <c r="D161" s="40"/>
      <c r="E161" s="40"/>
      <c r="F161" s="29"/>
      <c r="G161" s="31"/>
      <c r="H161" s="23">
        <v>0.05</v>
      </c>
      <c r="I161" s="75">
        <f t="shared" si="123"/>
        <v>0</v>
      </c>
      <c r="J161" s="171"/>
      <c r="L161" s="41" t="s">
        <v>444</v>
      </c>
      <c r="M161" s="41" t="s">
        <v>283</v>
      </c>
      <c r="N161" s="40"/>
      <c r="O161" s="40"/>
      <c r="P161" s="29"/>
      <c r="Q161" s="31"/>
      <c r="R161" s="23">
        <v>0.05</v>
      </c>
      <c r="S161" s="75">
        <f t="shared" si="124"/>
        <v>0</v>
      </c>
      <c r="T161" s="171"/>
      <c r="V161" s="41" t="s">
        <v>444</v>
      </c>
      <c r="W161" s="41" t="s">
        <v>283</v>
      </c>
      <c r="X161" s="40"/>
      <c r="Y161" s="40"/>
      <c r="Z161" s="29"/>
      <c r="AA161" s="31"/>
      <c r="AB161" s="23">
        <v>0.05</v>
      </c>
      <c r="AC161" s="75">
        <f t="shared" si="125"/>
        <v>0</v>
      </c>
      <c r="AE161" s="41" t="s">
        <v>444</v>
      </c>
      <c r="AF161" s="41" t="s">
        <v>283</v>
      </c>
      <c r="AG161" s="40"/>
      <c r="AH161" s="40"/>
      <c r="AI161" s="29"/>
      <c r="AJ161" s="31"/>
      <c r="AK161" s="23">
        <v>0.05</v>
      </c>
      <c r="AL161" s="75">
        <f t="shared" si="126"/>
        <v>0</v>
      </c>
      <c r="AN161" s="41" t="s">
        <v>444</v>
      </c>
      <c r="AO161" s="41" t="s">
        <v>283</v>
      </c>
      <c r="AP161" s="40"/>
      <c r="AQ161" s="40"/>
      <c r="AR161" s="29"/>
      <c r="AS161" s="31"/>
      <c r="AT161" s="23">
        <v>0.05</v>
      </c>
      <c r="AU161" s="75">
        <f t="shared" si="127"/>
        <v>0</v>
      </c>
      <c r="AW161" s="41" t="s">
        <v>444</v>
      </c>
      <c r="AX161" s="41" t="s">
        <v>283</v>
      </c>
      <c r="AY161" s="40"/>
      <c r="AZ161" s="40"/>
      <c r="BA161" s="29"/>
      <c r="BB161" s="31"/>
      <c r="BC161" s="23">
        <v>0.05</v>
      </c>
      <c r="BD161" s="75">
        <f t="shared" si="128"/>
        <v>0</v>
      </c>
      <c r="BF161" s="41" t="s">
        <v>444</v>
      </c>
      <c r="BG161" s="41" t="s">
        <v>283</v>
      </c>
      <c r="BH161" s="40"/>
      <c r="BI161" s="40"/>
      <c r="BJ161" s="29"/>
      <c r="BK161" s="31"/>
      <c r="BL161" s="23">
        <v>0.05</v>
      </c>
      <c r="BM161" s="75">
        <f t="shared" si="129"/>
        <v>0</v>
      </c>
    </row>
    <row r="162" spans="2:65" outlineLevel="1" x14ac:dyDescent="0.25">
      <c r="B162" s="41" t="s">
        <v>444</v>
      </c>
      <c r="C162" s="41" t="s">
        <v>283</v>
      </c>
      <c r="D162" s="40"/>
      <c r="E162" s="40"/>
      <c r="F162" s="29"/>
      <c r="G162" s="31"/>
      <c r="H162" s="23">
        <v>0.05</v>
      </c>
      <c r="I162" s="75">
        <f t="shared" si="123"/>
        <v>0</v>
      </c>
      <c r="J162" s="171"/>
      <c r="L162" s="41" t="s">
        <v>444</v>
      </c>
      <c r="M162" s="41" t="s">
        <v>283</v>
      </c>
      <c r="N162" s="40"/>
      <c r="O162" s="40"/>
      <c r="P162" s="29"/>
      <c r="Q162" s="31"/>
      <c r="R162" s="23">
        <v>0.05</v>
      </c>
      <c r="S162" s="75">
        <f t="shared" si="124"/>
        <v>0</v>
      </c>
      <c r="T162" s="171"/>
      <c r="V162" s="41" t="s">
        <v>444</v>
      </c>
      <c r="W162" s="41" t="s">
        <v>283</v>
      </c>
      <c r="X162" s="40"/>
      <c r="Y162" s="40"/>
      <c r="Z162" s="29"/>
      <c r="AA162" s="31"/>
      <c r="AB162" s="23">
        <v>0.05</v>
      </c>
      <c r="AC162" s="75">
        <f t="shared" si="125"/>
        <v>0</v>
      </c>
      <c r="AE162" s="41" t="s">
        <v>444</v>
      </c>
      <c r="AF162" s="41" t="s">
        <v>283</v>
      </c>
      <c r="AG162" s="40"/>
      <c r="AH162" s="40"/>
      <c r="AI162" s="29"/>
      <c r="AJ162" s="31"/>
      <c r="AK162" s="23">
        <v>0.05</v>
      </c>
      <c r="AL162" s="75">
        <f t="shared" si="126"/>
        <v>0</v>
      </c>
      <c r="AN162" s="41" t="s">
        <v>444</v>
      </c>
      <c r="AO162" s="41" t="s">
        <v>283</v>
      </c>
      <c r="AP162" s="40"/>
      <c r="AQ162" s="40"/>
      <c r="AR162" s="29"/>
      <c r="AS162" s="31"/>
      <c r="AT162" s="23">
        <v>0.05</v>
      </c>
      <c r="AU162" s="75">
        <f t="shared" si="127"/>
        <v>0</v>
      </c>
      <c r="AW162" s="41" t="s">
        <v>444</v>
      </c>
      <c r="AX162" s="41" t="s">
        <v>283</v>
      </c>
      <c r="AY162" s="40"/>
      <c r="AZ162" s="40"/>
      <c r="BA162" s="29"/>
      <c r="BB162" s="31"/>
      <c r="BC162" s="23">
        <v>0.05</v>
      </c>
      <c r="BD162" s="75">
        <f t="shared" si="128"/>
        <v>0</v>
      </c>
      <c r="BF162" s="41" t="s">
        <v>444</v>
      </c>
      <c r="BG162" s="41" t="s">
        <v>283</v>
      </c>
      <c r="BH162" s="40"/>
      <c r="BI162" s="40"/>
      <c r="BJ162" s="29"/>
      <c r="BK162" s="31"/>
      <c r="BL162" s="23">
        <v>0.05</v>
      </c>
      <c r="BM162" s="75">
        <f t="shared" si="129"/>
        <v>0</v>
      </c>
    </row>
    <row r="163" spans="2:65" outlineLevel="1" x14ac:dyDescent="0.25">
      <c r="B163" s="41" t="s">
        <v>444</v>
      </c>
      <c r="C163" s="41" t="s">
        <v>283</v>
      </c>
      <c r="D163" s="40"/>
      <c r="E163" s="40"/>
      <c r="F163" s="29"/>
      <c r="G163" s="31"/>
      <c r="H163" s="23">
        <v>0.05</v>
      </c>
      <c r="I163" s="75">
        <f t="shared" si="123"/>
        <v>0</v>
      </c>
      <c r="J163" s="171"/>
      <c r="L163" s="41" t="s">
        <v>444</v>
      </c>
      <c r="M163" s="41" t="s">
        <v>283</v>
      </c>
      <c r="N163" s="40"/>
      <c r="O163" s="40"/>
      <c r="P163" s="29"/>
      <c r="Q163" s="31"/>
      <c r="R163" s="23">
        <v>0.05</v>
      </c>
      <c r="S163" s="75">
        <f t="shared" si="124"/>
        <v>0</v>
      </c>
      <c r="T163" s="171"/>
      <c r="V163" s="41" t="s">
        <v>444</v>
      </c>
      <c r="W163" s="41" t="s">
        <v>283</v>
      </c>
      <c r="X163" s="40"/>
      <c r="Y163" s="40"/>
      <c r="Z163" s="29"/>
      <c r="AA163" s="31"/>
      <c r="AB163" s="23">
        <v>0.05</v>
      </c>
      <c r="AC163" s="75">
        <f t="shared" si="125"/>
        <v>0</v>
      </c>
      <c r="AE163" s="41" t="s">
        <v>444</v>
      </c>
      <c r="AF163" s="41" t="s">
        <v>283</v>
      </c>
      <c r="AG163" s="40"/>
      <c r="AH163" s="40"/>
      <c r="AI163" s="29"/>
      <c r="AJ163" s="31"/>
      <c r="AK163" s="23">
        <v>0.05</v>
      </c>
      <c r="AL163" s="75">
        <f t="shared" si="126"/>
        <v>0</v>
      </c>
      <c r="AN163" s="41" t="s">
        <v>444</v>
      </c>
      <c r="AO163" s="41" t="s">
        <v>283</v>
      </c>
      <c r="AP163" s="40"/>
      <c r="AQ163" s="40"/>
      <c r="AR163" s="29"/>
      <c r="AS163" s="31"/>
      <c r="AT163" s="23">
        <v>0.05</v>
      </c>
      <c r="AU163" s="75">
        <f t="shared" si="127"/>
        <v>0</v>
      </c>
      <c r="AW163" s="41" t="s">
        <v>444</v>
      </c>
      <c r="AX163" s="41" t="s">
        <v>283</v>
      </c>
      <c r="AY163" s="40"/>
      <c r="AZ163" s="40"/>
      <c r="BA163" s="29"/>
      <c r="BB163" s="31"/>
      <c r="BC163" s="23">
        <v>0.05</v>
      </c>
      <c r="BD163" s="75">
        <f t="shared" si="128"/>
        <v>0</v>
      </c>
      <c r="BF163" s="41" t="s">
        <v>444</v>
      </c>
      <c r="BG163" s="41" t="s">
        <v>283</v>
      </c>
      <c r="BH163" s="40"/>
      <c r="BI163" s="40"/>
      <c r="BJ163" s="29"/>
      <c r="BK163" s="31"/>
      <c r="BL163" s="23">
        <v>0.05</v>
      </c>
      <c r="BM163" s="75">
        <f t="shared" si="129"/>
        <v>0</v>
      </c>
    </row>
    <row r="164" spans="2:65" outlineLevel="1" x14ac:dyDescent="0.25">
      <c r="B164" s="41" t="s">
        <v>444</v>
      </c>
      <c r="C164" s="41" t="s">
        <v>283</v>
      </c>
      <c r="D164" s="40"/>
      <c r="E164" s="40"/>
      <c r="F164" s="29"/>
      <c r="G164" s="31"/>
      <c r="H164" s="23">
        <v>0.05</v>
      </c>
      <c r="I164" s="75">
        <f t="shared" si="123"/>
        <v>0</v>
      </c>
      <c r="J164" s="171"/>
      <c r="L164" s="41" t="s">
        <v>444</v>
      </c>
      <c r="M164" s="41" t="s">
        <v>283</v>
      </c>
      <c r="N164" s="40"/>
      <c r="O164" s="40"/>
      <c r="P164" s="29"/>
      <c r="Q164" s="31"/>
      <c r="R164" s="23">
        <v>0.05</v>
      </c>
      <c r="S164" s="75">
        <f t="shared" si="124"/>
        <v>0</v>
      </c>
      <c r="T164" s="171"/>
      <c r="V164" s="41" t="s">
        <v>444</v>
      </c>
      <c r="W164" s="41" t="s">
        <v>283</v>
      </c>
      <c r="X164" s="40"/>
      <c r="Y164" s="40"/>
      <c r="Z164" s="29"/>
      <c r="AA164" s="31"/>
      <c r="AB164" s="23">
        <v>0.05</v>
      </c>
      <c r="AC164" s="75">
        <f t="shared" si="125"/>
        <v>0</v>
      </c>
      <c r="AE164" s="41" t="s">
        <v>444</v>
      </c>
      <c r="AF164" s="41" t="s">
        <v>283</v>
      </c>
      <c r="AG164" s="40"/>
      <c r="AH164" s="40"/>
      <c r="AI164" s="29"/>
      <c r="AJ164" s="31"/>
      <c r="AK164" s="23">
        <v>0.05</v>
      </c>
      <c r="AL164" s="75">
        <f t="shared" si="126"/>
        <v>0</v>
      </c>
      <c r="AN164" s="41" t="s">
        <v>444</v>
      </c>
      <c r="AO164" s="41" t="s">
        <v>283</v>
      </c>
      <c r="AP164" s="40"/>
      <c r="AQ164" s="40"/>
      <c r="AR164" s="29"/>
      <c r="AS164" s="31"/>
      <c r="AT164" s="23">
        <v>0.05</v>
      </c>
      <c r="AU164" s="75">
        <f t="shared" si="127"/>
        <v>0</v>
      </c>
      <c r="AW164" s="41" t="s">
        <v>444</v>
      </c>
      <c r="AX164" s="41" t="s">
        <v>283</v>
      </c>
      <c r="AY164" s="40"/>
      <c r="AZ164" s="40"/>
      <c r="BA164" s="29"/>
      <c r="BB164" s="31"/>
      <c r="BC164" s="23">
        <v>0.05</v>
      </c>
      <c r="BD164" s="75">
        <f t="shared" si="128"/>
        <v>0</v>
      </c>
      <c r="BF164" s="41" t="s">
        <v>444</v>
      </c>
      <c r="BG164" s="41" t="s">
        <v>283</v>
      </c>
      <c r="BH164" s="40"/>
      <c r="BI164" s="40"/>
      <c r="BJ164" s="29"/>
      <c r="BK164" s="31"/>
      <c r="BL164" s="23">
        <v>0.05</v>
      </c>
      <c r="BM164" s="75">
        <f t="shared" si="129"/>
        <v>0</v>
      </c>
    </row>
    <row r="165" spans="2:65" outlineLevel="1" x14ac:dyDescent="0.25">
      <c r="B165" s="41" t="s">
        <v>444</v>
      </c>
      <c r="C165" s="41" t="s">
        <v>283</v>
      </c>
      <c r="D165" s="40"/>
      <c r="E165" s="40"/>
      <c r="F165" s="29"/>
      <c r="G165" s="31"/>
      <c r="H165" s="23">
        <v>0.05</v>
      </c>
      <c r="I165" s="75">
        <f t="shared" si="123"/>
        <v>0</v>
      </c>
      <c r="J165" s="171"/>
      <c r="L165" s="41" t="s">
        <v>444</v>
      </c>
      <c r="M165" s="41" t="s">
        <v>283</v>
      </c>
      <c r="N165" s="40"/>
      <c r="O165" s="40"/>
      <c r="P165" s="29"/>
      <c r="Q165" s="31"/>
      <c r="R165" s="23">
        <v>0.05</v>
      </c>
      <c r="S165" s="75">
        <f t="shared" si="124"/>
        <v>0</v>
      </c>
      <c r="T165" s="171"/>
      <c r="V165" s="41" t="s">
        <v>444</v>
      </c>
      <c r="W165" s="41" t="s">
        <v>283</v>
      </c>
      <c r="X165" s="40"/>
      <c r="Y165" s="40"/>
      <c r="Z165" s="29"/>
      <c r="AA165" s="31"/>
      <c r="AB165" s="23">
        <v>0.05</v>
      </c>
      <c r="AC165" s="75">
        <f t="shared" si="125"/>
        <v>0</v>
      </c>
      <c r="AE165" s="41" t="s">
        <v>444</v>
      </c>
      <c r="AF165" s="41" t="s">
        <v>283</v>
      </c>
      <c r="AG165" s="40"/>
      <c r="AH165" s="40"/>
      <c r="AI165" s="29"/>
      <c r="AJ165" s="31"/>
      <c r="AK165" s="23">
        <v>0.05</v>
      </c>
      <c r="AL165" s="75">
        <f t="shared" si="126"/>
        <v>0</v>
      </c>
      <c r="AN165" s="41" t="s">
        <v>444</v>
      </c>
      <c r="AO165" s="41" t="s">
        <v>283</v>
      </c>
      <c r="AP165" s="40"/>
      <c r="AQ165" s="40"/>
      <c r="AR165" s="29"/>
      <c r="AS165" s="31"/>
      <c r="AT165" s="23">
        <v>0.05</v>
      </c>
      <c r="AU165" s="75">
        <f t="shared" si="127"/>
        <v>0</v>
      </c>
      <c r="AW165" s="41" t="s">
        <v>444</v>
      </c>
      <c r="AX165" s="41" t="s">
        <v>283</v>
      </c>
      <c r="AY165" s="40"/>
      <c r="AZ165" s="40"/>
      <c r="BA165" s="29"/>
      <c r="BB165" s="31"/>
      <c r="BC165" s="23">
        <v>0.05</v>
      </c>
      <c r="BD165" s="75">
        <f t="shared" si="128"/>
        <v>0</v>
      </c>
      <c r="BF165" s="41" t="s">
        <v>444</v>
      </c>
      <c r="BG165" s="41" t="s">
        <v>283</v>
      </c>
      <c r="BH165" s="40"/>
      <c r="BI165" s="40"/>
      <c r="BJ165" s="29"/>
      <c r="BK165" s="31"/>
      <c r="BL165" s="23">
        <v>0.05</v>
      </c>
      <c r="BM165" s="75">
        <f t="shared" si="129"/>
        <v>0</v>
      </c>
    </row>
    <row r="166" spans="2:65" outlineLevel="1" x14ac:dyDescent="0.25">
      <c r="B166" s="41" t="s">
        <v>444</v>
      </c>
      <c r="C166" s="41" t="s">
        <v>283</v>
      </c>
      <c r="D166" s="40"/>
      <c r="E166" s="40"/>
      <c r="F166" s="29"/>
      <c r="G166" s="31"/>
      <c r="H166" s="23">
        <v>0.05</v>
      </c>
      <c r="I166" s="75">
        <f t="shared" si="123"/>
        <v>0</v>
      </c>
      <c r="J166" s="171"/>
      <c r="L166" s="41" t="s">
        <v>444</v>
      </c>
      <c r="M166" s="41" t="s">
        <v>283</v>
      </c>
      <c r="N166" s="40"/>
      <c r="O166" s="40"/>
      <c r="P166" s="29"/>
      <c r="Q166" s="31"/>
      <c r="R166" s="23">
        <v>0.05</v>
      </c>
      <c r="S166" s="75">
        <f t="shared" si="124"/>
        <v>0</v>
      </c>
      <c r="T166" s="171"/>
      <c r="V166" s="41" t="s">
        <v>444</v>
      </c>
      <c r="W166" s="41" t="s">
        <v>283</v>
      </c>
      <c r="X166" s="40"/>
      <c r="Y166" s="40"/>
      <c r="Z166" s="29"/>
      <c r="AA166" s="31"/>
      <c r="AB166" s="23">
        <v>0.05</v>
      </c>
      <c r="AC166" s="75">
        <f t="shared" si="125"/>
        <v>0</v>
      </c>
      <c r="AE166" s="41" t="s">
        <v>444</v>
      </c>
      <c r="AF166" s="41" t="s">
        <v>283</v>
      </c>
      <c r="AG166" s="40"/>
      <c r="AH166" s="40"/>
      <c r="AI166" s="29"/>
      <c r="AJ166" s="31"/>
      <c r="AK166" s="23">
        <v>0.05</v>
      </c>
      <c r="AL166" s="75">
        <f t="shared" si="126"/>
        <v>0</v>
      </c>
      <c r="AN166" s="41" t="s">
        <v>444</v>
      </c>
      <c r="AO166" s="41" t="s">
        <v>283</v>
      </c>
      <c r="AP166" s="40"/>
      <c r="AQ166" s="40"/>
      <c r="AR166" s="29"/>
      <c r="AS166" s="31"/>
      <c r="AT166" s="23">
        <v>0.05</v>
      </c>
      <c r="AU166" s="75">
        <f t="shared" si="127"/>
        <v>0</v>
      </c>
      <c r="AW166" s="41" t="s">
        <v>444</v>
      </c>
      <c r="AX166" s="41" t="s">
        <v>283</v>
      </c>
      <c r="AY166" s="40"/>
      <c r="AZ166" s="40"/>
      <c r="BA166" s="29"/>
      <c r="BB166" s="31"/>
      <c r="BC166" s="23">
        <v>0.05</v>
      </c>
      <c r="BD166" s="75">
        <f t="shared" si="128"/>
        <v>0</v>
      </c>
      <c r="BF166" s="41" t="s">
        <v>444</v>
      </c>
      <c r="BG166" s="41" t="s">
        <v>283</v>
      </c>
      <c r="BH166" s="40"/>
      <c r="BI166" s="40"/>
      <c r="BJ166" s="29"/>
      <c r="BK166" s="31"/>
      <c r="BL166" s="23">
        <v>0.05</v>
      </c>
      <c r="BM166" s="75">
        <f t="shared" si="129"/>
        <v>0</v>
      </c>
    </row>
    <row r="167" spans="2:65" s="24" customFormat="1" x14ac:dyDescent="0.25">
      <c r="B167" s="8" t="s">
        <v>450</v>
      </c>
      <c r="C167" s="25"/>
      <c r="D167" s="28">
        <f t="shared" ref="D167:E167" si="130">SUM(D152:D166)</f>
        <v>0</v>
      </c>
      <c r="E167" s="28">
        <f t="shared" si="130"/>
        <v>0</v>
      </c>
      <c r="F167" s="30"/>
      <c r="G167" s="25"/>
      <c r="H167" s="26"/>
      <c r="I167" s="28">
        <f>SUM(I152:I166)</f>
        <v>0</v>
      </c>
      <c r="J167" s="170"/>
      <c r="L167" s="8" t="s">
        <v>450</v>
      </c>
      <c r="M167" s="25"/>
      <c r="N167" s="28">
        <f t="shared" ref="N167:O167" si="131">SUM(N152:N166)</f>
        <v>0</v>
      </c>
      <c r="O167" s="28">
        <f t="shared" si="131"/>
        <v>0</v>
      </c>
      <c r="P167" s="30"/>
      <c r="Q167" s="25"/>
      <c r="R167" s="26"/>
      <c r="S167" s="28">
        <f>SUM(S152:S166)</f>
        <v>0</v>
      </c>
      <c r="T167" s="170"/>
      <c r="V167" s="8" t="s">
        <v>450</v>
      </c>
      <c r="W167" s="25"/>
      <c r="X167" s="30"/>
      <c r="Y167" s="30">
        <f>SUM(Y152:Y166)</f>
        <v>0</v>
      </c>
      <c r="Z167" s="30"/>
      <c r="AA167" s="25"/>
      <c r="AB167" s="26"/>
      <c r="AC167" s="28">
        <f>SUM(AC152:AC166)</f>
        <v>0</v>
      </c>
      <c r="AE167" s="8" t="s">
        <v>450</v>
      </c>
      <c r="AF167" s="25"/>
      <c r="AG167" s="30"/>
      <c r="AH167" s="30">
        <f>SUM(AH152:AH166)</f>
        <v>0</v>
      </c>
      <c r="AI167" s="30"/>
      <c r="AJ167" s="25"/>
      <c r="AK167" s="26"/>
      <c r="AL167" s="28">
        <f>SUM(AL152:AL166)</f>
        <v>0</v>
      </c>
      <c r="AN167" s="8" t="s">
        <v>450</v>
      </c>
      <c r="AO167" s="25"/>
      <c r="AP167" s="30"/>
      <c r="AQ167" s="30">
        <f>SUM(AQ152:AQ166)</f>
        <v>0</v>
      </c>
      <c r="AR167" s="30"/>
      <c r="AS167" s="25"/>
      <c r="AT167" s="26"/>
      <c r="AU167" s="28">
        <f>SUM(AU152:AU166)</f>
        <v>0</v>
      </c>
      <c r="AW167" s="8" t="s">
        <v>450</v>
      </c>
      <c r="AX167" s="25"/>
      <c r="AY167" s="30"/>
      <c r="AZ167" s="30">
        <f>SUM(AZ152:AZ166)</f>
        <v>0</v>
      </c>
      <c r="BA167" s="30"/>
      <c r="BB167" s="25"/>
      <c r="BC167" s="26"/>
      <c r="BD167" s="28">
        <f>SUM(BD152:BD166)</f>
        <v>0</v>
      </c>
      <c r="BF167" s="8" t="s">
        <v>450</v>
      </c>
      <c r="BG167" s="25"/>
      <c r="BH167" s="30"/>
      <c r="BI167" s="30">
        <f>SUM(BI152:BI166)</f>
        <v>0</v>
      </c>
      <c r="BJ167" s="30"/>
      <c r="BK167" s="25"/>
      <c r="BL167" s="26"/>
      <c r="BM167" s="28">
        <f>SUM(BM152:BM166)</f>
        <v>0</v>
      </c>
    </row>
    <row r="169" spans="2:65" s="20" customFormat="1" ht="38.25" x14ac:dyDescent="0.25">
      <c r="B169" s="27" t="s">
        <v>451</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2" t="s">
        <v>380</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2" t="s">
        <v>380</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x14ac:dyDescent="0.25">
      <c r="B170" s="41" t="s">
        <v>444</v>
      </c>
      <c r="C170" s="41" t="s">
        <v>283</v>
      </c>
      <c r="D170" s="40"/>
      <c r="E170" s="40"/>
      <c r="F170" s="40"/>
      <c r="G170" s="31"/>
      <c r="H170" s="32"/>
      <c r="I170" s="29"/>
      <c r="J170" s="171"/>
      <c r="L170" s="41" t="s">
        <v>444</v>
      </c>
      <c r="M170" s="41" t="s">
        <v>283</v>
      </c>
      <c r="N170" s="40"/>
      <c r="O170" s="40"/>
      <c r="P170" s="40"/>
      <c r="Q170" s="31"/>
      <c r="R170" s="32"/>
      <c r="S170" s="29"/>
      <c r="T170" s="171"/>
      <c r="V170" s="41" t="s">
        <v>444</v>
      </c>
      <c r="W170" s="41" t="s">
        <v>283</v>
      </c>
      <c r="X170" s="40"/>
      <c r="Y170" s="40"/>
      <c r="Z170" s="40"/>
      <c r="AA170" s="31"/>
      <c r="AB170" s="32"/>
      <c r="AC170" s="29"/>
      <c r="AE170" s="41" t="s">
        <v>444</v>
      </c>
      <c r="AF170" s="41" t="s">
        <v>283</v>
      </c>
      <c r="AG170" s="40"/>
      <c r="AH170" s="40"/>
      <c r="AI170" s="40"/>
      <c r="AJ170" s="31"/>
      <c r="AK170" s="32"/>
      <c r="AL170" s="29"/>
      <c r="AN170" s="41" t="s">
        <v>444</v>
      </c>
      <c r="AO170" s="41" t="s">
        <v>283</v>
      </c>
      <c r="AP170" s="40"/>
      <c r="AQ170" s="40"/>
      <c r="AR170" s="40"/>
      <c r="AS170" s="31"/>
      <c r="AT170" s="32"/>
      <c r="AU170" s="29"/>
      <c r="AW170" s="41" t="s">
        <v>444</v>
      </c>
      <c r="AX170" s="41" t="s">
        <v>283</v>
      </c>
      <c r="AY170" s="40"/>
      <c r="AZ170" s="40"/>
      <c r="BA170" s="40"/>
      <c r="BB170" s="31"/>
      <c r="BC170" s="32"/>
      <c r="BD170" s="29"/>
      <c r="BF170" s="41" t="s">
        <v>444</v>
      </c>
      <c r="BG170" s="41" t="s">
        <v>283</v>
      </c>
      <c r="BH170" s="40"/>
      <c r="BI170" s="40"/>
      <c r="BJ170" s="40"/>
      <c r="BK170" s="31"/>
      <c r="BL170" s="32"/>
      <c r="BM170" s="29"/>
    </row>
    <row r="171" spans="2:65" x14ac:dyDescent="0.25">
      <c r="B171" s="41" t="s">
        <v>444</v>
      </c>
      <c r="C171" s="41" t="s">
        <v>283</v>
      </c>
      <c r="D171" s="40"/>
      <c r="E171" s="40"/>
      <c r="F171" s="40"/>
      <c r="G171" s="31"/>
      <c r="H171" s="32"/>
      <c r="I171" s="29"/>
      <c r="J171" s="171"/>
      <c r="L171" s="41" t="s">
        <v>444</v>
      </c>
      <c r="M171" s="41" t="s">
        <v>283</v>
      </c>
      <c r="N171" s="40"/>
      <c r="O171" s="40"/>
      <c r="P171" s="40"/>
      <c r="Q171" s="31"/>
      <c r="R171" s="32"/>
      <c r="S171" s="29"/>
      <c r="T171" s="171"/>
      <c r="V171" s="41" t="s">
        <v>444</v>
      </c>
      <c r="W171" s="41" t="s">
        <v>283</v>
      </c>
      <c r="X171" s="40"/>
      <c r="Y171" s="40"/>
      <c r="Z171" s="40"/>
      <c r="AA171" s="31"/>
      <c r="AB171" s="32"/>
      <c r="AC171" s="29"/>
      <c r="AE171" s="41" t="s">
        <v>444</v>
      </c>
      <c r="AF171" s="41" t="s">
        <v>283</v>
      </c>
      <c r="AG171" s="40"/>
      <c r="AH171" s="40"/>
      <c r="AI171" s="40"/>
      <c r="AJ171" s="31"/>
      <c r="AK171" s="32"/>
      <c r="AL171" s="29"/>
      <c r="AN171" s="41" t="s">
        <v>444</v>
      </c>
      <c r="AO171" s="41" t="s">
        <v>283</v>
      </c>
      <c r="AP171" s="40"/>
      <c r="AQ171" s="40"/>
      <c r="AR171" s="40"/>
      <c r="AS171" s="31"/>
      <c r="AT171" s="32"/>
      <c r="AU171" s="29"/>
      <c r="AW171" s="41" t="s">
        <v>444</v>
      </c>
      <c r="AX171" s="41" t="s">
        <v>283</v>
      </c>
      <c r="AY171" s="40"/>
      <c r="AZ171" s="40"/>
      <c r="BA171" s="40"/>
      <c r="BB171" s="31"/>
      <c r="BC171" s="32"/>
      <c r="BD171" s="29"/>
      <c r="BF171" s="41" t="s">
        <v>444</v>
      </c>
      <c r="BG171" s="41" t="s">
        <v>283</v>
      </c>
      <c r="BH171" s="40"/>
      <c r="BI171" s="40"/>
      <c r="BJ171" s="40"/>
      <c r="BK171" s="31"/>
      <c r="BL171" s="32"/>
      <c r="BM171" s="29"/>
    </row>
    <row r="172" spans="2:65" x14ac:dyDescent="0.25">
      <c r="B172" s="41" t="s">
        <v>444</v>
      </c>
      <c r="C172" s="41" t="s">
        <v>283</v>
      </c>
      <c r="D172" s="40"/>
      <c r="E172" s="40"/>
      <c r="F172" s="40"/>
      <c r="G172" s="31"/>
      <c r="H172" s="32"/>
      <c r="I172" s="29"/>
      <c r="J172" s="171"/>
      <c r="L172" s="41" t="s">
        <v>444</v>
      </c>
      <c r="M172" s="41" t="s">
        <v>283</v>
      </c>
      <c r="N172" s="40"/>
      <c r="O172" s="40"/>
      <c r="P172" s="40"/>
      <c r="Q172" s="31"/>
      <c r="R172" s="32"/>
      <c r="S172" s="29"/>
      <c r="T172" s="171"/>
      <c r="V172" s="41" t="s">
        <v>444</v>
      </c>
      <c r="W172" s="41" t="s">
        <v>283</v>
      </c>
      <c r="X172" s="40"/>
      <c r="Y172" s="40"/>
      <c r="Z172" s="40"/>
      <c r="AA172" s="31"/>
      <c r="AB172" s="32"/>
      <c r="AC172" s="29"/>
      <c r="AE172" s="41" t="s">
        <v>444</v>
      </c>
      <c r="AF172" s="41" t="s">
        <v>283</v>
      </c>
      <c r="AG172" s="40"/>
      <c r="AH172" s="40"/>
      <c r="AI172" s="40"/>
      <c r="AJ172" s="31"/>
      <c r="AK172" s="32"/>
      <c r="AL172" s="29"/>
      <c r="AN172" s="41" t="s">
        <v>444</v>
      </c>
      <c r="AO172" s="41" t="s">
        <v>283</v>
      </c>
      <c r="AP172" s="40"/>
      <c r="AQ172" s="40"/>
      <c r="AR172" s="40"/>
      <c r="AS172" s="31"/>
      <c r="AT172" s="32"/>
      <c r="AU172" s="29"/>
      <c r="AW172" s="41" t="s">
        <v>444</v>
      </c>
      <c r="AX172" s="41" t="s">
        <v>283</v>
      </c>
      <c r="AY172" s="40"/>
      <c r="AZ172" s="40"/>
      <c r="BA172" s="40"/>
      <c r="BB172" s="31"/>
      <c r="BC172" s="32"/>
      <c r="BD172" s="29"/>
      <c r="BF172" s="41" t="s">
        <v>444</v>
      </c>
      <c r="BG172" s="41" t="s">
        <v>283</v>
      </c>
      <c r="BH172" s="40"/>
      <c r="BI172" s="40"/>
      <c r="BJ172" s="40"/>
      <c r="BK172" s="31"/>
      <c r="BL172" s="32"/>
      <c r="BM172" s="29"/>
    </row>
    <row r="173" spans="2:65" x14ac:dyDescent="0.25">
      <c r="B173" s="41" t="s">
        <v>444</v>
      </c>
      <c r="C173" s="41" t="s">
        <v>283</v>
      </c>
      <c r="D173" s="40"/>
      <c r="E173" s="40"/>
      <c r="F173" s="40"/>
      <c r="G173" s="31"/>
      <c r="H173" s="32"/>
      <c r="I173" s="29"/>
      <c r="J173" s="171"/>
      <c r="L173" s="41" t="s">
        <v>444</v>
      </c>
      <c r="M173" s="41" t="s">
        <v>283</v>
      </c>
      <c r="N173" s="40"/>
      <c r="O173" s="40"/>
      <c r="P173" s="40"/>
      <c r="Q173" s="31"/>
      <c r="R173" s="32"/>
      <c r="S173" s="29"/>
      <c r="T173" s="171"/>
      <c r="V173" s="41" t="s">
        <v>444</v>
      </c>
      <c r="W173" s="41" t="s">
        <v>283</v>
      </c>
      <c r="X173" s="40"/>
      <c r="Y173" s="40"/>
      <c r="Z173" s="40"/>
      <c r="AA173" s="31"/>
      <c r="AB173" s="32"/>
      <c r="AC173" s="29"/>
      <c r="AE173" s="41" t="s">
        <v>444</v>
      </c>
      <c r="AF173" s="41" t="s">
        <v>283</v>
      </c>
      <c r="AG173" s="40"/>
      <c r="AH173" s="40"/>
      <c r="AI173" s="40"/>
      <c r="AJ173" s="31"/>
      <c r="AK173" s="32"/>
      <c r="AL173" s="29"/>
      <c r="AN173" s="41" t="s">
        <v>444</v>
      </c>
      <c r="AO173" s="41" t="s">
        <v>283</v>
      </c>
      <c r="AP173" s="40"/>
      <c r="AQ173" s="40"/>
      <c r="AR173" s="40"/>
      <c r="AS173" s="31"/>
      <c r="AT173" s="32"/>
      <c r="AU173" s="29"/>
      <c r="AW173" s="41" t="s">
        <v>444</v>
      </c>
      <c r="AX173" s="41" t="s">
        <v>283</v>
      </c>
      <c r="AY173" s="40"/>
      <c r="AZ173" s="40"/>
      <c r="BA173" s="40"/>
      <c r="BB173" s="31"/>
      <c r="BC173" s="32"/>
      <c r="BD173" s="29"/>
      <c r="BF173" s="41" t="s">
        <v>444</v>
      </c>
      <c r="BG173" s="41" t="s">
        <v>283</v>
      </c>
      <c r="BH173" s="40"/>
      <c r="BI173" s="40"/>
      <c r="BJ173" s="40"/>
      <c r="BK173" s="31"/>
      <c r="BL173" s="32"/>
      <c r="BM173" s="29"/>
    </row>
    <row r="174" spans="2:65" x14ac:dyDescent="0.25">
      <c r="B174" s="41" t="s">
        <v>444</v>
      </c>
      <c r="C174" s="41" t="s">
        <v>283</v>
      </c>
      <c r="D174" s="40"/>
      <c r="E174" s="40"/>
      <c r="F174" s="40"/>
      <c r="G174" s="31"/>
      <c r="H174" s="32"/>
      <c r="I174" s="29"/>
      <c r="J174" s="171"/>
      <c r="L174" s="41" t="s">
        <v>444</v>
      </c>
      <c r="M174" s="41" t="s">
        <v>283</v>
      </c>
      <c r="N174" s="40"/>
      <c r="O174" s="40"/>
      <c r="P174" s="40"/>
      <c r="Q174" s="31"/>
      <c r="R174" s="32"/>
      <c r="S174" s="29"/>
      <c r="T174" s="171"/>
      <c r="V174" s="41" t="s">
        <v>444</v>
      </c>
      <c r="W174" s="41" t="s">
        <v>283</v>
      </c>
      <c r="X174" s="40"/>
      <c r="Y174" s="40"/>
      <c r="Z174" s="40"/>
      <c r="AA174" s="31"/>
      <c r="AB174" s="32"/>
      <c r="AC174" s="29"/>
      <c r="AE174" s="41" t="s">
        <v>444</v>
      </c>
      <c r="AF174" s="41" t="s">
        <v>283</v>
      </c>
      <c r="AG174" s="40"/>
      <c r="AH174" s="40"/>
      <c r="AI174" s="40"/>
      <c r="AJ174" s="31"/>
      <c r="AK174" s="32"/>
      <c r="AL174" s="29"/>
      <c r="AN174" s="41" t="s">
        <v>444</v>
      </c>
      <c r="AO174" s="41" t="s">
        <v>283</v>
      </c>
      <c r="AP174" s="40"/>
      <c r="AQ174" s="40"/>
      <c r="AR174" s="40"/>
      <c r="AS174" s="31"/>
      <c r="AT174" s="32"/>
      <c r="AU174" s="29"/>
      <c r="AW174" s="41" t="s">
        <v>444</v>
      </c>
      <c r="AX174" s="41" t="s">
        <v>283</v>
      </c>
      <c r="AY174" s="40"/>
      <c r="AZ174" s="40"/>
      <c r="BA174" s="40"/>
      <c r="BB174" s="31"/>
      <c r="BC174" s="32"/>
      <c r="BD174" s="29"/>
      <c r="BF174" s="41" t="s">
        <v>444</v>
      </c>
      <c r="BG174" s="41" t="s">
        <v>283</v>
      </c>
      <c r="BH174" s="40"/>
      <c r="BI174" s="40"/>
      <c r="BJ174" s="40"/>
      <c r="BK174" s="31"/>
      <c r="BL174" s="32"/>
      <c r="BM174" s="29"/>
    </row>
    <row r="175" spans="2:65" x14ac:dyDescent="0.25">
      <c r="B175" s="41" t="s">
        <v>444</v>
      </c>
      <c r="C175" s="41" t="s">
        <v>283</v>
      </c>
      <c r="D175" s="40"/>
      <c r="E175" s="40"/>
      <c r="F175" s="40"/>
      <c r="G175" s="31"/>
      <c r="H175" s="32"/>
      <c r="I175" s="29"/>
      <c r="J175" s="171"/>
      <c r="L175" s="41" t="s">
        <v>444</v>
      </c>
      <c r="M175" s="41" t="s">
        <v>283</v>
      </c>
      <c r="N175" s="40"/>
      <c r="O175" s="40"/>
      <c r="P175" s="40"/>
      <c r="Q175" s="31"/>
      <c r="R175" s="32"/>
      <c r="S175" s="29"/>
      <c r="T175" s="171"/>
      <c r="V175" s="41" t="s">
        <v>444</v>
      </c>
      <c r="W175" s="41" t="s">
        <v>283</v>
      </c>
      <c r="X175" s="40"/>
      <c r="Y175" s="40"/>
      <c r="Z175" s="40"/>
      <c r="AA175" s="31"/>
      <c r="AB175" s="32"/>
      <c r="AC175" s="29"/>
      <c r="AE175" s="41" t="s">
        <v>444</v>
      </c>
      <c r="AF175" s="41" t="s">
        <v>283</v>
      </c>
      <c r="AG175" s="40"/>
      <c r="AH175" s="40"/>
      <c r="AI175" s="40"/>
      <c r="AJ175" s="31"/>
      <c r="AK175" s="32"/>
      <c r="AL175" s="29"/>
      <c r="AN175" s="41" t="s">
        <v>444</v>
      </c>
      <c r="AO175" s="41" t="s">
        <v>283</v>
      </c>
      <c r="AP175" s="40"/>
      <c r="AQ175" s="40"/>
      <c r="AR175" s="40"/>
      <c r="AS175" s="31"/>
      <c r="AT175" s="32"/>
      <c r="AU175" s="29"/>
      <c r="AW175" s="41" t="s">
        <v>444</v>
      </c>
      <c r="AX175" s="41" t="s">
        <v>283</v>
      </c>
      <c r="AY175" s="40"/>
      <c r="AZ175" s="40"/>
      <c r="BA175" s="40"/>
      <c r="BB175" s="31"/>
      <c r="BC175" s="32"/>
      <c r="BD175" s="29"/>
      <c r="BF175" s="41" t="s">
        <v>444</v>
      </c>
      <c r="BG175" s="41" t="s">
        <v>283</v>
      </c>
      <c r="BH175" s="40"/>
      <c r="BI175" s="40"/>
      <c r="BJ175" s="40"/>
      <c r="BK175" s="31"/>
      <c r="BL175" s="32"/>
      <c r="BM175" s="29"/>
    </row>
    <row r="176" spans="2:65" x14ac:dyDescent="0.25">
      <c r="B176" s="41" t="s">
        <v>444</v>
      </c>
      <c r="C176" s="41" t="s">
        <v>283</v>
      </c>
      <c r="D176" s="40"/>
      <c r="E176" s="40"/>
      <c r="F176" s="40"/>
      <c r="G176" s="31"/>
      <c r="H176" s="32"/>
      <c r="I176" s="29"/>
      <c r="J176" s="171"/>
      <c r="L176" s="41" t="s">
        <v>444</v>
      </c>
      <c r="M176" s="41" t="s">
        <v>283</v>
      </c>
      <c r="N176" s="40"/>
      <c r="O176" s="40"/>
      <c r="P176" s="40"/>
      <c r="Q176" s="31"/>
      <c r="R176" s="32"/>
      <c r="S176" s="29"/>
      <c r="T176" s="171"/>
      <c r="V176" s="41" t="s">
        <v>444</v>
      </c>
      <c r="W176" s="41" t="s">
        <v>283</v>
      </c>
      <c r="X176" s="40"/>
      <c r="Y176" s="40"/>
      <c r="Z176" s="40"/>
      <c r="AA176" s="31"/>
      <c r="AB176" s="32"/>
      <c r="AC176" s="29"/>
      <c r="AE176" s="41" t="s">
        <v>444</v>
      </c>
      <c r="AF176" s="41" t="s">
        <v>283</v>
      </c>
      <c r="AG176" s="40"/>
      <c r="AH176" s="40"/>
      <c r="AI176" s="40"/>
      <c r="AJ176" s="31"/>
      <c r="AK176" s="32"/>
      <c r="AL176" s="29"/>
      <c r="AN176" s="41" t="s">
        <v>444</v>
      </c>
      <c r="AO176" s="41" t="s">
        <v>283</v>
      </c>
      <c r="AP176" s="40"/>
      <c r="AQ176" s="40"/>
      <c r="AR176" s="40"/>
      <c r="AS176" s="31"/>
      <c r="AT176" s="32"/>
      <c r="AU176" s="29"/>
      <c r="AW176" s="41" t="s">
        <v>444</v>
      </c>
      <c r="AX176" s="41" t="s">
        <v>283</v>
      </c>
      <c r="AY176" s="40"/>
      <c r="AZ176" s="40"/>
      <c r="BA176" s="40"/>
      <c r="BB176" s="31"/>
      <c r="BC176" s="32"/>
      <c r="BD176" s="29"/>
      <c r="BF176" s="41" t="s">
        <v>444</v>
      </c>
      <c r="BG176" s="41" t="s">
        <v>283</v>
      </c>
      <c r="BH176" s="40"/>
      <c r="BI176" s="40"/>
      <c r="BJ176" s="40"/>
      <c r="BK176" s="31"/>
      <c r="BL176" s="32"/>
      <c r="BM176" s="29"/>
    </row>
    <row r="177" spans="2:65" outlineLevel="1" x14ac:dyDescent="0.25">
      <c r="B177" s="41" t="s">
        <v>444</v>
      </c>
      <c r="C177" s="41" t="s">
        <v>283</v>
      </c>
      <c r="D177" s="40"/>
      <c r="E177" s="40"/>
      <c r="F177" s="40"/>
      <c r="G177" s="31"/>
      <c r="H177" s="32"/>
      <c r="I177" s="29"/>
      <c r="J177" s="171"/>
      <c r="L177" s="41" t="s">
        <v>444</v>
      </c>
      <c r="M177" s="41" t="s">
        <v>283</v>
      </c>
      <c r="N177" s="40"/>
      <c r="O177" s="40"/>
      <c r="P177" s="40"/>
      <c r="Q177" s="31"/>
      <c r="R177" s="32"/>
      <c r="S177" s="29"/>
      <c r="T177" s="171"/>
      <c r="V177" s="41" t="s">
        <v>444</v>
      </c>
      <c r="W177" s="41" t="s">
        <v>283</v>
      </c>
      <c r="X177" s="40"/>
      <c r="Y177" s="40"/>
      <c r="Z177" s="40"/>
      <c r="AA177" s="31"/>
      <c r="AB177" s="32"/>
      <c r="AC177" s="29"/>
      <c r="AE177" s="41" t="s">
        <v>444</v>
      </c>
      <c r="AF177" s="41" t="s">
        <v>283</v>
      </c>
      <c r="AG177" s="40"/>
      <c r="AH177" s="40"/>
      <c r="AI177" s="40"/>
      <c r="AJ177" s="31"/>
      <c r="AK177" s="32"/>
      <c r="AL177" s="29"/>
      <c r="AN177" s="41" t="s">
        <v>444</v>
      </c>
      <c r="AO177" s="41" t="s">
        <v>283</v>
      </c>
      <c r="AP177" s="40"/>
      <c r="AQ177" s="40"/>
      <c r="AR177" s="40"/>
      <c r="AS177" s="31"/>
      <c r="AT177" s="32"/>
      <c r="AU177" s="29"/>
      <c r="AW177" s="41" t="s">
        <v>444</v>
      </c>
      <c r="AX177" s="41" t="s">
        <v>283</v>
      </c>
      <c r="AY177" s="40"/>
      <c r="AZ177" s="40"/>
      <c r="BA177" s="40"/>
      <c r="BB177" s="31"/>
      <c r="BC177" s="32"/>
      <c r="BD177" s="29"/>
      <c r="BF177" s="41" t="s">
        <v>444</v>
      </c>
      <c r="BG177" s="41" t="s">
        <v>283</v>
      </c>
      <c r="BH177" s="40"/>
      <c r="BI177" s="40"/>
      <c r="BJ177" s="40"/>
      <c r="BK177" s="31"/>
      <c r="BL177" s="32"/>
      <c r="BM177" s="29"/>
    </row>
    <row r="178" spans="2:65" outlineLevel="1" x14ac:dyDescent="0.25">
      <c r="B178" s="41" t="s">
        <v>444</v>
      </c>
      <c r="C178" s="41" t="s">
        <v>283</v>
      </c>
      <c r="D178" s="40"/>
      <c r="E178" s="40"/>
      <c r="F178" s="40"/>
      <c r="G178" s="31"/>
      <c r="H178" s="32"/>
      <c r="I178" s="29"/>
      <c r="J178" s="171"/>
      <c r="L178" s="41" t="s">
        <v>444</v>
      </c>
      <c r="M178" s="41" t="s">
        <v>283</v>
      </c>
      <c r="N178" s="40"/>
      <c r="O178" s="40"/>
      <c r="P178" s="40"/>
      <c r="Q178" s="31"/>
      <c r="R178" s="32"/>
      <c r="S178" s="29"/>
      <c r="T178" s="171"/>
      <c r="V178" s="41" t="s">
        <v>444</v>
      </c>
      <c r="W178" s="41" t="s">
        <v>283</v>
      </c>
      <c r="X178" s="40"/>
      <c r="Y178" s="40"/>
      <c r="Z178" s="40"/>
      <c r="AA178" s="31"/>
      <c r="AB178" s="32"/>
      <c r="AC178" s="29"/>
      <c r="AE178" s="41" t="s">
        <v>444</v>
      </c>
      <c r="AF178" s="41" t="s">
        <v>283</v>
      </c>
      <c r="AG178" s="40"/>
      <c r="AH178" s="40"/>
      <c r="AI178" s="40"/>
      <c r="AJ178" s="31"/>
      <c r="AK178" s="32"/>
      <c r="AL178" s="29"/>
      <c r="AN178" s="41" t="s">
        <v>444</v>
      </c>
      <c r="AO178" s="41" t="s">
        <v>283</v>
      </c>
      <c r="AP178" s="40"/>
      <c r="AQ178" s="40"/>
      <c r="AR178" s="40"/>
      <c r="AS178" s="31"/>
      <c r="AT178" s="32"/>
      <c r="AU178" s="29"/>
      <c r="AW178" s="41" t="s">
        <v>444</v>
      </c>
      <c r="AX178" s="41" t="s">
        <v>283</v>
      </c>
      <c r="AY178" s="40"/>
      <c r="AZ178" s="40"/>
      <c r="BA178" s="40"/>
      <c r="BB178" s="31"/>
      <c r="BC178" s="32"/>
      <c r="BD178" s="29"/>
      <c r="BF178" s="41" t="s">
        <v>444</v>
      </c>
      <c r="BG178" s="41" t="s">
        <v>283</v>
      </c>
      <c r="BH178" s="40"/>
      <c r="BI178" s="40"/>
      <c r="BJ178" s="40"/>
      <c r="BK178" s="31"/>
      <c r="BL178" s="32"/>
      <c r="BM178" s="29"/>
    </row>
    <row r="179" spans="2:65" outlineLevel="1" x14ac:dyDescent="0.25">
      <c r="B179" s="41" t="s">
        <v>444</v>
      </c>
      <c r="C179" s="41" t="s">
        <v>283</v>
      </c>
      <c r="D179" s="40"/>
      <c r="E179" s="40"/>
      <c r="F179" s="40"/>
      <c r="G179" s="31"/>
      <c r="H179" s="32"/>
      <c r="I179" s="29"/>
      <c r="J179" s="171"/>
      <c r="L179" s="41" t="s">
        <v>444</v>
      </c>
      <c r="M179" s="41" t="s">
        <v>283</v>
      </c>
      <c r="N179" s="40"/>
      <c r="O179" s="40"/>
      <c r="P179" s="40"/>
      <c r="Q179" s="31"/>
      <c r="R179" s="32"/>
      <c r="S179" s="29"/>
      <c r="T179" s="171"/>
      <c r="V179" s="41" t="s">
        <v>444</v>
      </c>
      <c r="W179" s="41" t="s">
        <v>283</v>
      </c>
      <c r="X179" s="40"/>
      <c r="Y179" s="40"/>
      <c r="Z179" s="40"/>
      <c r="AA179" s="31"/>
      <c r="AB179" s="32"/>
      <c r="AC179" s="29"/>
      <c r="AE179" s="41" t="s">
        <v>444</v>
      </c>
      <c r="AF179" s="41" t="s">
        <v>283</v>
      </c>
      <c r="AG179" s="40"/>
      <c r="AH179" s="40"/>
      <c r="AI179" s="40"/>
      <c r="AJ179" s="31"/>
      <c r="AK179" s="32"/>
      <c r="AL179" s="29"/>
      <c r="AN179" s="41" t="s">
        <v>444</v>
      </c>
      <c r="AO179" s="41" t="s">
        <v>283</v>
      </c>
      <c r="AP179" s="40"/>
      <c r="AQ179" s="40"/>
      <c r="AR179" s="40"/>
      <c r="AS179" s="31"/>
      <c r="AT179" s="32"/>
      <c r="AU179" s="29"/>
      <c r="AW179" s="41" t="s">
        <v>444</v>
      </c>
      <c r="AX179" s="41" t="s">
        <v>283</v>
      </c>
      <c r="AY179" s="40"/>
      <c r="AZ179" s="40"/>
      <c r="BA179" s="40"/>
      <c r="BB179" s="31"/>
      <c r="BC179" s="32"/>
      <c r="BD179" s="29"/>
      <c r="BF179" s="41" t="s">
        <v>444</v>
      </c>
      <c r="BG179" s="41" t="s">
        <v>283</v>
      </c>
      <c r="BH179" s="40"/>
      <c r="BI179" s="40"/>
      <c r="BJ179" s="40"/>
      <c r="BK179" s="31"/>
      <c r="BL179" s="32"/>
      <c r="BM179" s="29"/>
    </row>
    <row r="180" spans="2:65" outlineLevel="1" x14ac:dyDescent="0.25">
      <c r="B180" s="41" t="s">
        <v>444</v>
      </c>
      <c r="C180" s="41" t="s">
        <v>283</v>
      </c>
      <c r="D180" s="40"/>
      <c r="E180" s="40"/>
      <c r="F180" s="40"/>
      <c r="G180" s="31"/>
      <c r="H180" s="32"/>
      <c r="I180" s="29"/>
      <c r="J180" s="171"/>
      <c r="L180" s="41" t="s">
        <v>444</v>
      </c>
      <c r="M180" s="41" t="s">
        <v>283</v>
      </c>
      <c r="N180" s="40"/>
      <c r="O180" s="40"/>
      <c r="P180" s="40"/>
      <c r="Q180" s="31"/>
      <c r="R180" s="32"/>
      <c r="S180" s="29"/>
      <c r="T180" s="171"/>
      <c r="V180" s="41" t="s">
        <v>444</v>
      </c>
      <c r="W180" s="41" t="s">
        <v>283</v>
      </c>
      <c r="X180" s="40"/>
      <c r="Y180" s="40"/>
      <c r="Z180" s="40"/>
      <c r="AA180" s="31"/>
      <c r="AB180" s="32"/>
      <c r="AC180" s="29"/>
      <c r="AE180" s="41" t="s">
        <v>444</v>
      </c>
      <c r="AF180" s="41" t="s">
        <v>283</v>
      </c>
      <c r="AG180" s="40"/>
      <c r="AH180" s="40"/>
      <c r="AI180" s="40"/>
      <c r="AJ180" s="31"/>
      <c r="AK180" s="32"/>
      <c r="AL180" s="29"/>
      <c r="AN180" s="41" t="s">
        <v>444</v>
      </c>
      <c r="AO180" s="41" t="s">
        <v>283</v>
      </c>
      <c r="AP180" s="40"/>
      <c r="AQ180" s="40"/>
      <c r="AR180" s="40"/>
      <c r="AS180" s="31"/>
      <c r="AT180" s="32"/>
      <c r="AU180" s="29"/>
      <c r="AW180" s="41" t="s">
        <v>444</v>
      </c>
      <c r="AX180" s="41" t="s">
        <v>283</v>
      </c>
      <c r="AY180" s="40"/>
      <c r="AZ180" s="40"/>
      <c r="BA180" s="40"/>
      <c r="BB180" s="31"/>
      <c r="BC180" s="32"/>
      <c r="BD180" s="29"/>
      <c r="BF180" s="41" t="s">
        <v>444</v>
      </c>
      <c r="BG180" s="41" t="s">
        <v>283</v>
      </c>
      <c r="BH180" s="40"/>
      <c r="BI180" s="40"/>
      <c r="BJ180" s="40"/>
      <c r="BK180" s="31"/>
      <c r="BL180" s="32"/>
      <c r="BM180" s="29"/>
    </row>
    <row r="181" spans="2:65" outlineLevel="1" x14ac:dyDescent="0.25">
      <c r="B181" s="41" t="s">
        <v>444</v>
      </c>
      <c r="C181" s="41" t="s">
        <v>283</v>
      </c>
      <c r="D181" s="40"/>
      <c r="E181" s="40"/>
      <c r="F181" s="40"/>
      <c r="G181" s="31"/>
      <c r="H181" s="32"/>
      <c r="I181" s="29"/>
      <c r="J181" s="171"/>
      <c r="L181" s="41" t="s">
        <v>444</v>
      </c>
      <c r="M181" s="41" t="s">
        <v>283</v>
      </c>
      <c r="N181" s="40"/>
      <c r="O181" s="40"/>
      <c r="P181" s="40"/>
      <c r="Q181" s="31"/>
      <c r="R181" s="32"/>
      <c r="S181" s="29"/>
      <c r="T181" s="171"/>
      <c r="V181" s="41" t="s">
        <v>444</v>
      </c>
      <c r="W181" s="41" t="s">
        <v>283</v>
      </c>
      <c r="X181" s="40"/>
      <c r="Y181" s="40"/>
      <c r="Z181" s="40"/>
      <c r="AA181" s="31"/>
      <c r="AB181" s="32"/>
      <c r="AC181" s="29"/>
      <c r="AE181" s="41" t="s">
        <v>444</v>
      </c>
      <c r="AF181" s="41" t="s">
        <v>283</v>
      </c>
      <c r="AG181" s="40"/>
      <c r="AH181" s="40"/>
      <c r="AI181" s="40"/>
      <c r="AJ181" s="31"/>
      <c r="AK181" s="32"/>
      <c r="AL181" s="29"/>
      <c r="AN181" s="41" t="s">
        <v>444</v>
      </c>
      <c r="AO181" s="41" t="s">
        <v>283</v>
      </c>
      <c r="AP181" s="40"/>
      <c r="AQ181" s="40"/>
      <c r="AR181" s="40"/>
      <c r="AS181" s="31"/>
      <c r="AT181" s="32"/>
      <c r="AU181" s="29"/>
      <c r="AW181" s="41" t="s">
        <v>444</v>
      </c>
      <c r="AX181" s="41" t="s">
        <v>283</v>
      </c>
      <c r="AY181" s="40"/>
      <c r="AZ181" s="40"/>
      <c r="BA181" s="40"/>
      <c r="BB181" s="31"/>
      <c r="BC181" s="32"/>
      <c r="BD181" s="29"/>
      <c r="BF181" s="41" t="s">
        <v>444</v>
      </c>
      <c r="BG181" s="41" t="s">
        <v>283</v>
      </c>
      <c r="BH181" s="40"/>
      <c r="BI181" s="40"/>
      <c r="BJ181" s="40"/>
      <c r="BK181" s="31"/>
      <c r="BL181" s="32"/>
      <c r="BM181" s="29"/>
    </row>
    <row r="182" spans="2:65" outlineLevel="1" x14ac:dyDescent="0.25">
      <c r="B182" s="41" t="s">
        <v>444</v>
      </c>
      <c r="C182" s="41" t="s">
        <v>283</v>
      </c>
      <c r="D182" s="40"/>
      <c r="E182" s="40"/>
      <c r="F182" s="40"/>
      <c r="G182" s="31"/>
      <c r="H182" s="32"/>
      <c r="I182" s="29"/>
      <c r="J182" s="171"/>
      <c r="L182" s="41" t="s">
        <v>444</v>
      </c>
      <c r="M182" s="41" t="s">
        <v>283</v>
      </c>
      <c r="N182" s="40"/>
      <c r="O182" s="40"/>
      <c r="P182" s="40"/>
      <c r="Q182" s="31"/>
      <c r="R182" s="32"/>
      <c r="S182" s="29"/>
      <c r="T182" s="171"/>
      <c r="V182" s="41" t="s">
        <v>444</v>
      </c>
      <c r="W182" s="41" t="s">
        <v>283</v>
      </c>
      <c r="X182" s="40"/>
      <c r="Y182" s="40"/>
      <c r="Z182" s="40"/>
      <c r="AA182" s="31"/>
      <c r="AB182" s="32"/>
      <c r="AC182" s="29"/>
      <c r="AE182" s="41" t="s">
        <v>444</v>
      </c>
      <c r="AF182" s="41" t="s">
        <v>283</v>
      </c>
      <c r="AG182" s="40"/>
      <c r="AH182" s="40"/>
      <c r="AI182" s="40"/>
      <c r="AJ182" s="31"/>
      <c r="AK182" s="32"/>
      <c r="AL182" s="29"/>
      <c r="AN182" s="41" t="s">
        <v>444</v>
      </c>
      <c r="AO182" s="41" t="s">
        <v>283</v>
      </c>
      <c r="AP182" s="40"/>
      <c r="AQ182" s="40"/>
      <c r="AR182" s="40"/>
      <c r="AS182" s="31"/>
      <c r="AT182" s="32"/>
      <c r="AU182" s="29"/>
      <c r="AW182" s="41" t="s">
        <v>444</v>
      </c>
      <c r="AX182" s="41" t="s">
        <v>283</v>
      </c>
      <c r="AY182" s="40"/>
      <c r="AZ182" s="40"/>
      <c r="BA182" s="40"/>
      <c r="BB182" s="31"/>
      <c r="BC182" s="32"/>
      <c r="BD182" s="29"/>
      <c r="BF182" s="41" t="s">
        <v>444</v>
      </c>
      <c r="BG182" s="41" t="s">
        <v>283</v>
      </c>
      <c r="BH182" s="40"/>
      <c r="BI182" s="40"/>
      <c r="BJ182" s="40"/>
      <c r="BK182" s="31"/>
      <c r="BL182" s="32"/>
      <c r="BM182" s="29"/>
    </row>
    <row r="183" spans="2:65" outlineLevel="1" x14ac:dyDescent="0.25">
      <c r="B183" s="41" t="s">
        <v>444</v>
      </c>
      <c r="C183" s="41" t="s">
        <v>283</v>
      </c>
      <c r="D183" s="40"/>
      <c r="E183" s="40"/>
      <c r="F183" s="40"/>
      <c r="G183" s="31"/>
      <c r="H183" s="32"/>
      <c r="I183" s="29"/>
      <c r="J183" s="171"/>
      <c r="L183" s="41" t="s">
        <v>444</v>
      </c>
      <c r="M183" s="41" t="s">
        <v>283</v>
      </c>
      <c r="N183" s="40"/>
      <c r="O183" s="40"/>
      <c r="P183" s="40"/>
      <c r="Q183" s="31"/>
      <c r="R183" s="32"/>
      <c r="S183" s="29"/>
      <c r="T183" s="171"/>
      <c r="V183" s="41" t="s">
        <v>444</v>
      </c>
      <c r="W183" s="41" t="s">
        <v>283</v>
      </c>
      <c r="X183" s="40"/>
      <c r="Y183" s="40"/>
      <c r="Z183" s="40"/>
      <c r="AA183" s="31"/>
      <c r="AB183" s="32"/>
      <c r="AC183" s="29"/>
      <c r="AE183" s="41" t="s">
        <v>444</v>
      </c>
      <c r="AF183" s="41" t="s">
        <v>283</v>
      </c>
      <c r="AG183" s="40"/>
      <c r="AH183" s="40"/>
      <c r="AI183" s="40"/>
      <c r="AJ183" s="31"/>
      <c r="AK183" s="32"/>
      <c r="AL183" s="29"/>
      <c r="AN183" s="41" t="s">
        <v>444</v>
      </c>
      <c r="AO183" s="41" t="s">
        <v>283</v>
      </c>
      <c r="AP183" s="40"/>
      <c r="AQ183" s="40"/>
      <c r="AR183" s="40"/>
      <c r="AS183" s="31"/>
      <c r="AT183" s="32"/>
      <c r="AU183" s="29"/>
      <c r="AW183" s="41" t="s">
        <v>444</v>
      </c>
      <c r="AX183" s="41" t="s">
        <v>283</v>
      </c>
      <c r="AY183" s="40"/>
      <c r="AZ183" s="40"/>
      <c r="BA183" s="40"/>
      <c r="BB183" s="31"/>
      <c r="BC183" s="32"/>
      <c r="BD183" s="29"/>
      <c r="BF183" s="41" t="s">
        <v>444</v>
      </c>
      <c r="BG183" s="41" t="s">
        <v>283</v>
      </c>
      <c r="BH183" s="40"/>
      <c r="BI183" s="40"/>
      <c r="BJ183" s="40"/>
      <c r="BK183" s="31"/>
      <c r="BL183" s="32"/>
      <c r="BM183" s="29"/>
    </row>
    <row r="184" spans="2:65" outlineLevel="1" x14ac:dyDescent="0.25">
      <c r="B184" s="41" t="s">
        <v>444</v>
      </c>
      <c r="C184" s="41" t="s">
        <v>283</v>
      </c>
      <c r="D184" s="40"/>
      <c r="E184" s="40"/>
      <c r="F184" s="40"/>
      <c r="G184" s="31"/>
      <c r="H184" s="32"/>
      <c r="I184" s="29"/>
      <c r="J184" s="171"/>
      <c r="L184" s="41" t="s">
        <v>444</v>
      </c>
      <c r="M184" s="41" t="s">
        <v>283</v>
      </c>
      <c r="N184" s="40"/>
      <c r="O184" s="40"/>
      <c r="P184" s="40"/>
      <c r="Q184" s="31"/>
      <c r="R184" s="32"/>
      <c r="S184" s="29"/>
      <c r="T184" s="171"/>
      <c r="V184" s="41" t="s">
        <v>444</v>
      </c>
      <c r="W184" s="41" t="s">
        <v>283</v>
      </c>
      <c r="X184" s="40"/>
      <c r="Y184" s="40"/>
      <c r="Z184" s="40"/>
      <c r="AA184" s="31"/>
      <c r="AB184" s="32"/>
      <c r="AC184" s="29"/>
      <c r="AE184" s="41" t="s">
        <v>444</v>
      </c>
      <c r="AF184" s="41" t="s">
        <v>283</v>
      </c>
      <c r="AG184" s="40"/>
      <c r="AH184" s="40"/>
      <c r="AI184" s="40"/>
      <c r="AJ184" s="31"/>
      <c r="AK184" s="32"/>
      <c r="AL184" s="29"/>
      <c r="AN184" s="41" t="s">
        <v>444</v>
      </c>
      <c r="AO184" s="41" t="s">
        <v>283</v>
      </c>
      <c r="AP184" s="40"/>
      <c r="AQ184" s="40"/>
      <c r="AR184" s="40"/>
      <c r="AS184" s="31"/>
      <c r="AT184" s="32"/>
      <c r="AU184" s="29"/>
      <c r="AW184" s="41" t="s">
        <v>444</v>
      </c>
      <c r="AX184" s="41" t="s">
        <v>283</v>
      </c>
      <c r="AY184" s="40"/>
      <c r="AZ184" s="40"/>
      <c r="BA184" s="40"/>
      <c r="BB184" s="31"/>
      <c r="BC184" s="32"/>
      <c r="BD184" s="29"/>
      <c r="BF184" s="41" t="s">
        <v>444</v>
      </c>
      <c r="BG184" s="41" t="s">
        <v>283</v>
      </c>
      <c r="BH184" s="40"/>
      <c r="BI184" s="40"/>
      <c r="BJ184" s="40"/>
      <c r="BK184" s="31"/>
      <c r="BL184" s="32"/>
      <c r="BM184" s="29"/>
    </row>
    <row r="185" spans="2:65" s="24" customFormat="1" x14ac:dyDescent="0.25">
      <c r="B185" s="8" t="s">
        <v>448</v>
      </c>
      <c r="C185" s="25"/>
      <c r="D185" s="28">
        <f>SUM(D170:D184)</f>
        <v>0</v>
      </c>
      <c r="E185" s="28">
        <f>SUM(E170:E184)</f>
        <v>0</v>
      </c>
      <c r="F185" s="28">
        <f>SUM(F170:F184)</f>
        <v>0</v>
      </c>
      <c r="G185" s="25"/>
      <c r="H185" s="26"/>
      <c r="I185" s="30"/>
      <c r="J185" s="170"/>
      <c r="L185" s="8" t="s">
        <v>448</v>
      </c>
      <c r="M185" s="25"/>
      <c r="N185" s="28">
        <f t="shared" ref="N185:P185" si="139">SUM(N170:N184)</f>
        <v>0</v>
      </c>
      <c r="O185" s="28">
        <f t="shared" si="139"/>
        <v>0</v>
      </c>
      <c r="P185" s="28">
        <f t="shared" si="139"/>
        <v>0</v>
      </c>
      <c r="Q185" s="25"/>
      <c r="R185" s="26"/>
      <c r="S185" s="30"/>
      <c r="T185" s="170"/>
      <c r="V185" s="8" t="s">
        <v>448</v>
      </c>
      <c r="W185" s="25"/>
      <c r="X185" s="30"/>
      <c r="Y185" s="30"/>
      <c r="Z185" s="28">
        <f t="shared" ref="Z185" si="140">SUM(Z170:Z184)</f>
        <v>0</v>
      </c>
      <c r="AA185" s="25"/>
      <c r="AB185" s="26"/>
      <c r="AC185" s="30"/>
      <c r="AE185" s="8" t="s">
        <v>448</v>
      </c>
      <c r="AF185" s="25"/>
      <c r="AG185" s="30"/>
      <c r="AH185" s="30"/>
      <c r="AI185" s="28">
        <f t="shared" ref="AI185" si="141">SUM(AI170:AI184)</f>
        <v>0</v>
      </c>
      <c r="AJ185" s="25"/>
      <c r="AK185" s="26"/>
      <c r="AL185" s="30"/>
      <c r="AN185" s="8" t="s">
        <v>448</v>
      </c>
      <c r="AO185" s="25"/>
      <c r="AP185" s="30"/>
      <c r="AQ185" s="30"/>
      <c r="AR185" s="28">
        <f t="shared" ref="AR185" si="142">SUM(AR170:AR184)</f>
        <v>0</v>
      </c>
      <c r="AS185" s="25"/>
      <c r="AT185" s="26"/>
      <c r="AU185" s="30"/>
      <c r="AW185" s="8" t="s">
        <v>448</v>
      </c>
      <c r="AX185" s="25"/>
      <c r="AY185" s="30"/>
      <c r="AZ185" s="30"/>
      <c r="BA185" s="28">
        <f t="shared" ref="BA185" si="143">SUM(BA170:BA184)</f>
        <v>0</v>
      </c>
      <c r="BB185" s="25"/>
      <c r="BC185" s="26"/>
      <c r="BD185" s="30"/>
      <c r="BF185" s="8" t="s">
        <v>448</v>
      </c>
      <c r="BG185" s="25"/>
      <c r="BH185" s="30"/>
      <c r="BI185" s="30"/>
      <c r="BJ185" s="28">
        <f t="shared" ref="BJ185" si="144">SUM(BJ170:BJ184)</f>
        <v>0</v>
      </c>
      <c r="BK185" s="25"/>
      <c r="BL185" s="26"/>
      <c r="BM185" s="30"/>
    </row>
    <row r="187" spans="2:65" s="20" customFormat="1" ht="38.25" x14ac:dyDescent="0.25">
      <c r="B187" s="27" t="s">
        <v>452</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2" t="s">
        <v>380</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2" t="s">
        <v>380</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x14ac:dyDescent="0.25">
      <c r="B188" s="41" t="s">
        <v>444</v>
      </c>
      <c r="C188" s="41" t="s">
        <v>283</v>
      </c>
      <c r="D188" s="40"/>
      <c r="E188" s="40"/>
      <c r="F188" s="29"/>
      <c r="G188" s="22"/>
      <c r="H188" s="23">
        <v>0.82</v>
      </c>
      <c r="I188" s="75">
        <f>D188*G188*H188</f>
        <v>0</v>
      </c>
      <c r="J188" s="171"/>
      <c r="L188" s="41" t="s">
        <v>444</v>
      </c>
      <c r="M188" s="41" t="s">
        <v>283</v>
      </c>
      <c r="N188" s="40"/>
      <c r="O188" s="40"/>
      <c r="P188" s="29"/>
      <c r="Q188" s="22"/>
      <c r="R188" s="23">
        <v>0.82</v>
      </c>
      <c r="S188" s="75">
        <f>N188*Q188*R188</f>
        <v>0</v>
      </c>
      <c r="T188" s="171"/>
      <c r="V188" s="41" t="s">
        <v>444</v>
      </c>
      <c r="W188" s="41" t="s">
        <v>283</v>
      </c>
      <c r="X188" s="40"/>
      <c r="Y188" s="40"/>
      <c r="Z188" s="29"/>
      <c r="AA188" s="22">
        <v>0.08</v>
      </c>
      <c r="AB188" s="23">
        <v>0.82</v>
      </c>
      <c r="AC188" s="75">
        <f>X188*AA188*AB188</f>
        <v>0</v>
      </c>
      <c r="AE188" s="41" t="s">
        <v>444</v>
      </c>
      <c r="AF188" s="41" t="s">
        <v>283</v>
      </c>
      <c r="AG188" s="40"/>
      <c r="AH188" s="40"/>
      <c r="AI188" s="29"/>
      <c r="AJ188" s="22">
        <v>0.08</v>
      </c>
      <c r="AK188" s="23">
        <v>0.82</v>
      </c>
      <c r="AL188" s="75">
        <f>AG188*AJ188*AK188</f>
        <v>0</v>
      </c>
      <c r="AN188" s="41" t="s">
        <v>444</v>
      </c>
      <c r="AO188" s="41" t="s">
        <v>283</v>
      </c>
      <c r="AP188" s="40"/>
      <c r="AQ188" s="40"/>
      <c r="AR188" s="29"/>
      <c r="AS188" s="22">
        <v>0.08</v>
      </c>
      <c r="AT188" s="23">
        <v>0.82</v>
      </c>
      <c r="AU188" s="75">
        <f>AP188*AS188*AT188</f>
        <v>0</v>
      </c>
      <c r="AW188" s="41" t="s">
        <v>444</v>
      </c>
      <c r="AX188" s="41" t="s">
        <v>283</v>
      </c>
      <c r="AY188" s="40"/>
      <c r="AZ188" s="40"/>
      <c r="BA188" s="29"/>
      <c r="BB188" s="22">
        <v>0.08</v>
      </c>
      <c r="BC188" s="23">
        <v>0.82</v>
      </c>
      <c r="BD188" s="75">
        <f>AY188*BB188*BC188</f>
        <v>0</v>
      </c>
      <c r="BF188" s="41" t="s">
        <v>444</v>
      </c>
      <c r="BG188" s="41" t="s">
        <v>283</v>
      </c>
      <c r="BH188" s="40"/>
      <c r="BI188" s="40"/>
      <c r="BJ188" s="29"/>
      <c r="BK188" s="22">
        <v>0.08</v>
      </c>
      <c r="BL188" s="23">
        <v>0.82</v>
      </c>
      <c r="BM188" s="75">
        <f>BH188*BK188*BL188</f>
        <v>0</v>
      </c>
    </row>
    <row r="189" spans="2:65" x14ac:dyDescent="0.25">
      <c r="B189" s="41" t="s">
        <v>444</v>
      </c>
      <c r="C189" s="41" t="s">
        <v>283</v>
      </c>
      <c r="D189" s="40"/>
      <c r="E189" s="40"/>
      <c r="F189" s="29"/>
      <c r="G189" s="22"/>
      <c r="H189" s="23">
        <v>0.82</v>
      </c>
      <c r="I189" s="75">
        <f t="shared" ref="I189:I202" si="152">D189*G189*H189</f>
        <v>0</v>
      </c>
      <c r="J189" s="171"/>
      <c r="L189" s="41" t="s">
        <v>444</v>
      </c>
      <c r="M189" s="41" t="s">
        <v>283</v>
      </c>
      <c r="N189" s="40"/>
      <c r="O189" s="40"/>
      <c r="P189" s="29"/>
      <c r="Q189" s="22"/>
      <c r="R189" s="23">
        <v>0.82</v>
      </c>
      <c r="S189" s="75">
        <f t="shared" ref="S189:S202" si="153">N189*Q189*R189</f>
        <v>0</v>
      </c>
      <c r="T189" s="171"/>
      <c r="V189" s="41" t="s">
        <v>444</v>
      </c>
      <c r="W189" s="41" t="s">
        <v>283</v>
      </c>
      <c r="X189" s="40"/>
      <c r="Y189" s="40"/>
      <c r="Z189" s="29"/>
      <c r="AA189" s="22"/>
      <c r="AB189" s="23">
        <v>0.82</v>
      </c>
      <c r="AC189" s="75">
        <f t="shared" ref="AC189:AC202" si="154">X189*AA189*AB189</f>
        <v>0</v>
      </c>
      <c r="AE189" s="41" t="s">
        <v>444</v>
      </c>
      <c r="AF189" s="41" t="s">
        <v>283</v>
      </c>
      <c r="AG189" s="40"/>
      <c r="AH189" s="40"/>
      <c r="AI189" s="29"/>
      <c r="AJ189" s="22"/>
      <c r="AK189" s="23">
        <v>0.82</v>
      </c>
      <c r="AL189" s="75">
        <f t="shared" ref="AL189:AL202" si="155">AG189*AJ189*AK189</f>
        <v>0</v>
      </c>
      <c r="AN189" s="41" t="s">
        <v>444</v>
      </c>
      <c r="AO189" s="41" t="s">
        <v>283</v>
      </c>
      <c r="AP189" s="40"/>
      <c r="AQ189" s="40"/>
      <c r="AR189" s="29"/>
      <c r="AS189" s="22"/>
      <c r="AT189" s="23">
        <v>0.82</v>
      </c>
      <c r="AU189" s="75">
        <f t="shared" ref="AU189:AU202" si="156">AP189*AS189*AT189</f>
        <v>0</v>
      </c>
      <c r="AW189" s="41" t="s">
        <v>444</v>
      </c>
      <c r="AX189" s="41" t="s">
        <v>283</v>
      </c>
      <c r="AY189" s="40"/>
      <c r="AZ189" s="40"/>
      <c r="BA189" s="29"/>
      <c r="BB189" s="22"/>
      <c r="BC189" s="23">
        <v>0.82</v>
      </c>
      <c r="BD189" s="75">
        <f t="shared" ref="BD189:BD202" si="157">AY189*BB189*BC189</f>
        <v>0</v>
      </c>
      <c r="BF189" s="41" t="s">
        <v>444</v>
      </c>
      <c r="BG189" s="41" t="s">
        <v>283</v>
      </c>
      <c r="BH189" s="40"/>
      <c r="BI189" s="40"/>
      <c r="BJ189" s="29"/>
      <c r="BK189" s="22"/>
      <c r="BL189" s="23">
        <v>0.82</v>
      </c>
      <c r="BM189" s="75">
        <f t="shared" ref="BM189:BM202" si="158">BH189*BK189*BL189</f>
        <v>0</v>
      </c>
    </row>
    <row r="190" spans="2:65" x14ac:dyDescent="0.25">
      <c r="B190" s="41" t="s">
        <v>444</v>
      </c>
      <c r="C190" s="41" t="s">
        <v>283</v>
      </c>
      <c r="D190" s="40"/>
      <c r="E190" s="40"/>
      <c r="F190" s="29"/>
      <c r="G190" s="22"/>
      <c r="H190" s="23">
        <v>0.82</v>
      </c>
      <c r="I190" s="75">
        <f t="shared" si="152"/>
        <v>0</v>
      </c>
      <c r="J190" s="171"/>
      <c r="L190" s="41" t="s">
        <v>444</v>
      </c>
      <c r="M190" s="41" t="s">
        <v>283</v>
      </c>
      <c r="N190" s="40"/>
      <c r="O190" s="40"/>
      <c r="P190" s="29"/>
      <c r="Q190" s="22"/>
      <c r="R190" s="23">
        <v>0.82</v>
      </c>
      <c r="S190" s="75">
        <f t="shared" si="153"/>
        <v>0</v>
      </c>
      <c r="T190" s="171"/>
      <c r="V190" s="41" t="s">
        <v>444</v>
      </c>
      <c r="W190" s="41" t="s">
        <v>283</v>
      </c>
      <c r="X190" s="40"/>
      <c r="Y190" s="40"/>
      <c r="Z190" s="29"/>
      <c r="AA190" s="22"/>
      <c r="AB190" s="23">
        <v>0.82</v>
      </c>
      <c r="AC190" s="75">
        <f t="shared" si="154"/>
        <v>0</v>
      </c>
      <c r="AE190" s="41" t="s">
        <v>444</v>
      </c>
      <c r="AF190" s="41" t="s">
        <v>283</v>
      </c>
      <c r="AG190" s="40"/>
      <c r="AH190" s="40"/>
      <c r="AI190" s="29"/>
      <c r="AJ190" s="22"/>
      <c r="AK190" s="23">
        <v>0.82</v>
      </c>
      <c r="AL190" s="75">
        <f t="shared" si="155"/>
        <v>0</v>
      </c>
      <c r="AN190" s="41" t="s">
        <v>444</v>
      </c>
      <c r="AO190" s="41" t="s">
        <v>283</v>
      </c>
      <c r="AP190" s="40"/>
      <c r="AQ190" s="40"/>
      <c r="AR190" s="29"/>
      <c r="AS190" s="22"/>
      <c r="AT190" s="23">
        <v>0.82</v>
      </c>
      <c r="AU190" s="75">
        <f t="shared" si="156"/>
        <v>0</v>
      </c>
      <c r="AW190" s="41" t="s">
        <v>444</v>
      </c>
      <c r="AX190" s="41" t="s">
        <v>283</v>
      </c>
      <c r="AY190" s="40"/>
      <c r="AZ190" s="40"/>
      <c r="BA190" s="29"/>
      <c r="BB190" s="22"/>
      <c r="BC190" s="23">
        <v>0.82</v>
      </c>
      <c r="BD190" s="75">
        <f t="shared" si="157"/>
        <v>0</v>
      </c>
      <c r="BF190" s="41" t="s">
        <v>444</v>
      </c>
      <c r="BG190" s="41" t="s">
        <v>283</v>
      </c>
      <c r="BH190" s="40"/>
      <c r="BI190" s="40"/>
      <c r="BJ190" s="29"/>
      <c r="BK190" s="22"/>
      <c r="BL190" s="23">
        <v>0.82</v>
      </c>
      <c r="BM190" s="75">
        <f t="shared" si="158"/>
        <v>0</v>
      </c>
    </row>
    <row r="191" spans="2:65" x14ac:dyDescent="0.25">
      <c r="B191" s="41" t="s">
        <v>444</v>
      </c>
      <c r="C191" s="41" t="s">
        <v>283</v>
      </c>
      <c r="D191" s="40"/>
      <c r="E191" s="40"/>
      <c r="F191" s="29"/>
      <c r="G191" s="22"/>
      <c r="H191" s="23">
        <v>0.82</v>
      </c>
      <c r="I191" s="75">
        <f t="shared" si="152"/>
        <v>0</v>
      </c>
      <c r="J191" s="171"/>
      <c r="L191" s="41" t="s">
        <v>444</v>
      </c>
      <c r="M191" s="41" t="s">
        <v>283</v>
      </c>
      <c r="N191" s="40"/>
      <c r="O191" s="40"/>
      <c r="P191" s="29"/>
      <c r="Q191" s="22"/>
      <c r="R191" s="23">
        <v>0.82</v>
      </c>
      <c r="S191" s="75">
        <f t="shared" si="153"/>
        <v>0</v>
      </c>
      <c r="T191" s="171"/>
      <c r="V191" s="41" t="s">
        <v>444</v>
      </c>
      <c r="W191" s="41" t="s">
        <v>283</v>
      </c>
      <c r="X191" s="40"/>
      <c r="Y191" s="40"/>
      <c r="Z191" s="29"/>
      <c r="AA191" s="22"/>
      <c r="AB191" s="23">
        <v>0.82</v>
      </c>
      <c r="AC191" s="75">
        <f t="shared" si="154"/>
        <v>0</v>
      </c>
      <c r="AE191" s="41" t="s">
        <v>444</v>
      </c>
      <c r="AF191" s="41" t="s">
        <v>283</v>
      </c>
      <c r="AG191" s="40"/>
      <c r="AH191" s="40"/>
      <c r="AI191" s="29"/>
      <c r="AJ191" s="22"/>
      <c r="AK191" s="23">
        <v>0.82</v>
      </c>
      <c r="AL191" s="75">
        <f t="shared" si="155"/>
        <v>0</v>
      </c>
      <c r="AN191" s="41" t="s">
        <v>444</v>
      </c>
      <c r="AO191" s="41" t="s">
        <v>283</v>
      </c>
      <c r="AP191" s="40"/>
      <c r="AQ191" s="40"/>
      <c r="AR191" s="29"/>
      <c r="AS191" s="22"/>
      <c r="AT191" s="23">
        <v>0.82</v>
      </c>
      <c r="AU191" s="75">
        <f t="shared" si="156"/>
        <v>0</v>
      </c>
      <c r="AW191" s="41" t="s">
        <v>444</v>
      </c>
      <c r="AX191" s="41" t="s">
        <v>283</v>
      </c>
      <c r="AY191" s="40"/>
      <c r="AZ191" s="40"/>
      <c r="BA191" s="29"/>
      <c r="BB191" s="22"/>
      <c r="BC191" s="23">
        <v>0.82</v>
      </c>
      <c r="BD191" s="75">
        <f t="shared" si="157"/>
        <v>0</v>
      </c>
      <c r="BF191" s="41" t="s">
        <v>444</v>
      </c>
      <c r="BG191" s="41" t="s">
        <v>283</v>
      </c>
      <c r="BH191" s="40"/>
      <c r="BI191" s="40"/>
      <c r="BJ191" s="29"/>
      <c r="BK191" s="22"/>
      <c r="BL191" s="23">
        <v>0.82</v>
      </c>
      <c r="BM191" s="75">
        <f t="shared" si="158"/>
        <v>0</v>
      </c>
    </row>
    <row r="192" spans="2:65" x14ac:dyDescent="0.25">
      <c r="B192" s="41" t="s">
        <v>444</v>
      </c>
      <c r="C192" s="41" t="s">
        <v>283</v>
      </c>
      <c r="D192" s="40"/>
      <c r="E192" s="40"/>
      <c r="F192" s="29"/>
      <c r="G192" s="22"/>
      <c r="H192" s="23">
        <v>0.82</v>
      </c>
      <c r="I192" s="75">
        <f t="shared" si="152"/>
        <v>0</v>
      </c>
      <c r="J192" s="171"/>
      <c r="L192" s="41" t="s">
        <v>444</v>
      </c>
      <c r="M192" s="41" t="s">
        <v>283</v>
      </c>
      <c r="N192" s="40"/>
      <c r="O192" s="40"/>
      <c r="P192" s="29"/>
      <c r="Q192" s="22"/>
      <c r="R192" s="23">
        <v>0.82</v>
      </c>
      <c r="S192" s="75">
        <f t="shared" si="153"/>
        <v>0</v>
      </c>
      <c r="T192" s="171"/>
      <c r="V192" s="41" t="s">
        <v>444</v>
      </c>
      <c r="W192" s="41" t="s">
        <v>283</v>
      </c>
      <c r="X192" s="40"/>
      <c r="Y192" s="40"/>
      <c r="Z192" s="29"/>
      <c r="AA192" s="22"/>
      <c r="AB192" s="23">
        <v>0.82</v>
      </c>
      <c r="AC192" s="75">
        <f t="shared" si="154"/>
        <v>0</v>
      </c>
      <c r="AE192" s="41" t="s">
        <v>444</v>
      </c>
      <c r="AF192" s="41" t="s">
        <v>283</v>
      </c>
      <c r="AG192" s="40"/>
      <c r="AH192" s="40"/>
      <c r="AI192" s="29"/>
      <c r="AJ192" s="22"/>
      <c r="AK192" s="23">
        <v>0.82</v>
      </c>
      <c r="AL192" s="75">
        <f t="shared" si="155"/>
        <v>0</v>
      </c>
      <c r="AN192" s="41" t="s">
        <v>444</v>
      </c>
      <c r="AO192" s="41" t="s">
        <v>283</v>
      </c>
      <c r="AP192" s="40"/>
      <c r="AQ192" s="40"/>
      <c r="AR192" s="29"/>
      <c r="AS192" s="22"/>
      <c r="AT192" s="23">
        <v>0.82</v>
      </c>
      <c r="AU192" s="75">
        <f t="shared" si="156"/>
        <v>0</v>
      </c>
      <c r="AW192" s="41" t="s">
        <v>444</v>
      </c>
      <c r="AX192" s="41" t="s">
        <v>283</v>
      </c>
      <c r="AY192" s="40"/>
      <c r="AZ192" s="40"/>
      <c r="BA192" s="29"/>
      <c r="BB192" s="22"/>
      <c r="BC192" s="23">
        <v>0.82</v>
      </c>
      <c r="BD192" s="75">
        <f t="shared" si="157"/>
        <v>0</v>
      </c>
      <c r="BF192" s="41" t="s">
        <v>444</v>
      </c>
      <c r="BG192" s="41" t="s">
        <v>283</v>
      </c>
      <c r="BH192" s="40"/>
      <c r="BI192" s="40"/>
      <c r="BJ192" s="29"/>
      <c r="BK192" s="22"/>
      <c r="BL192" s="23">
        <v>0.82</v>
      </c>
      <c r="BM192" s="75">
        <f t="shared" si="158"/>
        <v>0</v>
      </c>
    </row>
    <row r="193" spans="2:65" x14ac:dyDescent="0.25">
      <c r="B193" s="41" t="s">
        <v>444</v>
      </c>
      <c r="C193" s="41" t="s">
        <v>283</v>
      </c>
      <c r="D193" s="40"/>
      <c r="E193" s="40"/>
      <c r="F193" s="29"/>
      <c r="G193" s="22"/>
      <c r="H193" s="23">
        <v>0.82</v>
      </c>
      <c r="I193" s="75">
        <f t="shared" si="152"/>
        <v>0</v>
      </c>
      <c r="J193" s="171"/>
      <c r="L193" s="41" t="s">
        <v>444</v>
      </c>
      <c r="M193" s="41" t="s">
        <v>283</v>
      </c>
      <c r="N193" s="40"/>
      <c r="O193" s="40"/>
      <c r="P193" s="29"/>
      <c r="Q193" s="22"/>
      <c r="R193" s="23">
        <v>0.82</v>
      </c>
      <c r="S193" s="75">
        <f t="shared" si="153"/>
        <v>0</v>
      </c>
      <c r="T193" s="171"/>
      <c r="V193" s="41" t="s">
        <v>444</v>
      </c>
      <c r="W193" s="41" t="s">
        <v>283</v>
      </c>
      <c r="X193" s="40"/>
      <c r="Y193" s="40"/>
      <c r="Z193" s="29"/>
      <c r="AA193" s="22"/>
      <c r="AB193" s="23">
        <v>0.82</v>
      </c>
      <c r="AC193" s="75">
        <f t="shared" si="154"/>
        <v>0</v>
      </c>
      <c r="AE193" s="41" t="s">
        <v>444</v>
      </c>
      <c r="AF193" s="41" t="s">
        <v>283</v>
      </c>
      <c r="AG193" s="40"/>
      <c r="AH193" s="40"/>
      <c r="AI193" s="29"/>
      <c r="AJ193" s="22"/>
      <c r="AK193" s="23">
        <v>0.82</v>
      </c>
      <c r="AL193" s="75">
        <f t="shared" si="155"/>
        <v>0</v>
      </c>
      <c r="AN193" s="41" t="s">
        <v>444</v>
      </c>
      <c r="AO193" s="41" t="s">
        <v>283</v>
      </c>
      <c r="AP193" s="40"/>
      <c r="AQ193" s="40"/>
      <c r="AR193" s="29"/>
      <c r="AS193" s="22"/>
      <c r="AT193" s="23">
        <v>0.82</v>
      </c>
      <c r="AU193" s="75">
        <f t="shared" si="156"/>
        <v>0</v>
      </c>
      <c r="AW193" s="41" t="s">
        <v>444</v>
      </c>
      <c r="AX193" s="41" t="s">
        <v>283</v>
      </c>
      <c r="AY193" s="40"/>
      <c r="AZ193" s="40"/>
      <c r="BA193" s="29"/>
      <c r="BB193" s="22"/>
      <c r="BC193" s="23">
        <v>0.82</v>
      </c>
      <c r="BD193" s="75">
        <f t="shared" si="157"/>
        <v>0</v>
      </c>
      <c r="BF193" s="41" t="s">
        <v>444</v>
      </c>
      <c r="BG193" s="41" t="s">
        <v>283</v>
      </c>
      <c r="BH193" s="40"/>
      <c r="BI193" s="40"/>
      <c r="BJ193" s="29"/>
      <c r="BK193" s="22"/>
      <c r="BL193" s="23">
        <v>0.82</v>
      </c>
      <c r="BM193" s="75">
        <f t="shared" si="158"/>
        <v>0</v>
      </c>
    </row>
    <row r="194" spans="2:65" x14ac:dyDescent="0.25">
      <c r="B194" s="41" t="s">
        <v>444</v>
      </c>
      <c r="C194" s="41" t="s">
        <v>283</v>
      </c>
      <c r="D194" s="40"/>
      <c r="E194" s="40"/>
      <c r="F194" s="29"/>
      <c r="G194" s="22"/>
      <c r="H194" s="23">
        <v>0.82</v>
      </c>
      <c r="I194" s="75">
        <f t="shared" si="152"/>
        <v>0</v>
      </c>
      <c r="J194" s="171"/>
      <c r="L194" s="41" t="s">
        <v>444</v>
      </c>
      <c r="M194" s="41" t="s">
        <v>283</v>
      </c>
      <c r="N194" s="40"/>
      <c r="O194" s="40"/>
      <c r="P194" s="29"/>
      <c r="Q194" s="22"/>
      <c r="R194" s="23">
        <v>0.82</v>
      </c>
      <c r="S194" s="75">
        <f t="shared" si="153"/>
        <v>0</v>
      </c>
      <c r="T194" s="171"/>
      <c r="V194" s="41" t="s">
        <v>444</v>
      </c>
      <c r="W194" s="41" t="s">
        <v>283</v>
      </c>
      <c r="X194" s="40"/>
      <c r="Y194" s="40"/>
      <c r="Z194" s="29"/>
      <c r="AA194" s="22"/>
      <c r="AB194" s="23">
        <v>0.82</v>
      </c>
      <c r="AC194" s="75">
        <f t="shared" si="154"/>
        <v>0</v>
      </c>
      <c r="AE194" s="41" t="s">
        <v>444</v>
      </c>
      <c r="AF194" s="41" t="s">
        <v>283</v>
      </c>
      <c r="AG194" s="40"/>
      <c r="AH194" s="40"/>
      <c r="AI194" s="29"/>
      <c r="AJ194" s="22"/>
      <c r="AK194" s="23">
        <v>0.82</v>
      </c>
      <c r="AL194" s="75">
        <f t="shared" si="155"/>
        <v>0</v>
      </c>
      <c r="AN194" s="41" t="s">
        <v>444</v>
      </c>
      <c r="AO194" s="41" t="s">
        <v>283</v>
      </c>
      <c r="AP194" s="40"/>
      <c r="AQ194" s="40"/>
      <c r="AR194" s="29"/>
      <c r="AS194" s="22"/>
      <c r="AT194" s="23">
        <v>0.82</v>
      </c>
      <c r="AU194" s="75">
        <f t="shared" si="156"/>
        <v>0</v>
      </c>
      <c r="AW194" s="41" t="s">
        <v>444</v>
      </c>
      <c r="AX194" s="41" t="s">
        <v>283</v>
      </c>
      <c r="AY194" s="40"/>
      <c r="AZ194" s="40"/>
      <c r="BA194" s="29"/>
      <c r="BB194" s="22"/>
      <c r="BC194" s="23">
        <v>0.82</v>
      </c>
      <c r="BD194" s="75">
        <f t="shared" si="157"/>
        <v>0</v>
      </c>
      <c r="BF194" s="41" t="s">
        <v>444</v>
      </c>
      <c r="BG194" s="41" t="s">
        <v>283</v>
      </c>
      <c r="BH194" s="40"/>
      <c r="BI194" s="40"/>
      <c r="BJ194" s="29"/>
      <c r="BK194" s="22"/>
      <c r="BL194" s="23">
        <v>0.82</v>
      </c>
      <c r="BM194" s="75">
        <f t="shared" si="158"/>
        <v>0</v>
      </c>
    </row>
    <row r="195" spans="2:65" outlineLevel="1" x14ac:dyDescent="0.25">
      <c r="B195" s="41" t="s">
        <v>444</v>
      </c>
      <c r="C195" s="41" t="s">
        <v>283</v>
      </c>
      <c r="D195" s="40"/>
      <c r="E195" s="40"/>
      <c r="F195" s="29"/>
      <c r="G195" s="22"/>
      <c r="H195" s="23">
        <v>0.82</v>
      </c>
      <c r="I195" s="75">
        <f t="shared" si="152"/>
        <v>0</v>
      </c>
      <c r="J195" s="171"/>
      <c r="L195" s="41" t="s">
        <v>444</v>
      </c>
      <c r="M195" s="41" t="s">
        <v>283</v>
      </c>
      <c r="N195" s="40"/>
      <c r="O195" s="40"/>
      <c r="P195" s="29"/>
      <c r="Q195" s="22"/>
      <c r="R195" s="23">
        <v>0.82</v>
      </c>
      <c r="S195" s="75">
        <f t="shared" si="153"/>
        <v>0</v>
      </c>
      <c r="T195" s="171"/>
      <c r="V195" s="41" t="s">
        <v>444</v>
      </c>
      <c r="W195" s="41" t="s">
        <v>283</v>
      </c>
      <c r="X195" s="40"/>
      <c r="Y195" s="40"/>
      <c r="Z195" s="29"/>
      <c r="AA195" s="22"/>
      <c r="AB195" s="23">
        <v>0.82</v>
      </c>
      <c r="AC195" s="75">
        <f t="shared" si="154"/>
        <v>0</v>
      </c>
      <c r="AE195" s="41" t="s">
        <v>444</v>
      </c>
      <c r="AF195" s="41" t="s">
        <v>283</v>
      </c>
      <c r="AG195" s="40"/>
      <c r="AH195" s="40"/>
      <c r="AI195" s="29"/>
      <c r="AJ195" s="22"/>
      <c r="AK195" s="23">
        <v>0.82</v>
      </c>
      <c r="AL195" s="75">
        <f t="shared" si="155"/>
        <v>0</v>
      </c>
      <c r="AN195" s="41" t="s">
        <v>444</v>
      </c>
      <c r="AO195" s="41" t="s">
        <v>283</v>
      </c>
      <c r="AP195" s="40"/>
      <c r="AQ195" s="40"/>
      <c r="AR195" s="29"/>
      <c r="AS195" s="22"/>
      <c r="AT195" s="23">
        <v>0.82</v>
      </c>
      <c r="AU195" s="75">
        <f t="shared" si="156"/>
        <v>0</v>
      </c>
      <c r="AW195" s="41" t="s">
        <v>444</v>
      </c>
      <c r="AX195" s="41" t="s">
        <v>283</v>
      </c>
      <c r="AY195" s="40"/>
      <c r="AZ195" s="40"/>
      <c r="BA195" s="29"/>
      <c r="BB195" s="22"/>
      <c r="BC195" s="23">
        <v>0.82</v>
      </c>
      <c r="BD195" s="75">
        <f t="shared" si="157"/>
        <v>0</v>
      </c>
      <c r="BF195" s="41" t="s">
        <v>444</v>
      </c>
      <c r="BG195" s="41" t="s">
        <v>283</v>
      </c>
      <c r="BH195" s="40"/>
      <c r="BI195" s="40"/>
      <c r="BJ195" s="29"/>
      <c r="BK195" s="22"/>
      <c r="BL195" s="23">
        <v>0.82</v>
      </c>
      <c r="BM195" s="75">
        <f t="shared" si="158"/>
        <v>0</v>
      </c>
    </row>
    <row r="196" spans="2:65" outlineLevel="1" x14ac:dyDescent="0.25">
      <c r="B196" s="41" t="s">
        <v>444</v>
      </c>
      <c r="C196" s="41" t="s">
        <v>283</v>
      </c>
      <c r="D196" s="40"/>
      <c r="E196" s="40"/>
      <c r="F196" s="29"/>
      <c r="G196" s="22"/>
      <c r="H196" s="23">
        <v>0.82</v>
      </c>
      <c r="I196" s="75">
        <f t="shared" si="152"/>
        <v>0</v>
      </c>
      <c r="J196" s="171"/>
      <c r="L196" s="41" t="s">
        <v>444</v>
      </c>
      <c r="M196" s="41" t="s">
        <v>283</v>
      </c>
      <c r="N196" s="40"/>
      <c r="O196" s="40"/>
      <c r="P196" s="29"/>
      <c r="Q196" s="22"/>
      <c r="R196" s="23">
        <v>0.82</v>
      </c>
      <c r="S196" s="75">
        <f t="shared" si="153"/>
        <v>0</v>
      </c>
      <c r="T196" s="171"/>
      <c r="V196" s="41" t="s">
        <v>444</v>
      </c>
      <c r="W196" s="41" t="s">
        <v>283</v>
      </c>
      <c r="X196" s="40"/>
      <c r="Y196" s="40"/>
      <c r="Z196" s="29"/>
      <c r="AA196" s="22"/>
      <c r="AB196" s="23">
        <v>0.82</v>
      </c>
      <c r="AC196" s="75">
        <f t="shared" si="154"/>
        <v>0</v>
      </c>
      <c r="AE196" s="41" t="s">
        <v>444</v>
      </c>
      <c r="AF196" s="41" t="s">
        <v>283</v>
      </c>
      <c r="AG196" s="40"/>
      <c r="AH196" s="40"/>
      <c r="AI196" s="29"/>
      <c r="AJ196" s="22"/>
      <c r="AK196" s="23">
        <v>0.82</v>
      </c>
      <c r="AL196" s="75">
        <f t="shared" si="155"/>
        <v>0</v>
      </c>
      <c r="AN196" s="41" t="s">
        <v>444</v>
      </c>
      <c r="AO196" s="41" t="s">
        <v>283</v>
      </c>
      <c r="AP196" s="40"/>
      <c r="AQ196" s="40"/>
      <c r="AR196" s="29"/>
      <c r="AS196" s="22"/>
      <c r="AT196" s="23">
        <v>0.82</v>
      </c>
      <c r="AU196" s="75">
        <f t="shared" si="156"/>
        <v>0</v>
      </c>
      <c r="AW196" s="41" t="s">
        <v>444</v>
      </c>
      <c r="AX196" s="41" t="s">
        <v>283</v>
      </c>
      <c r="AY196" s="40"/>
      <c r="AZ196" s="40"/>
      <c r="BA196" s="29"/>
      <c r="BB196" s="22"/>
      <c r="BC196" s="23">
        <v>0.82</v>
      </c>
      <c r="BD196" s="75">
        <f t="shared" si="157"/>
        <v>0</v>
      </c>
      <c r="BF196" s="41" t="s">
        <v>444</v>
      </c>
      <c r="BG196" s="41" t="s">
        <v>283</v>
      </c>
      <c r="BH196" s="40"/>
      <c r="BI196" s="40"/>
      <c r="BJ196" s="29"/>
      <c r="BK196" s="22"/>
      <c r="BL196" s="23">
        <v>0.82</v>
      </c>
      <c r="BM196" s="75">
        <f t="shared" si="158"/>
        <v>0</v>
      </c>
    </row>
    <row r="197" spans="2:65" outlineLevel="1" x14ac:dyDescent="0.25">
      <c r="B197" s="41" t="s">
        <v>444</v>
      </c>
      <c r="C197" s="41" t="s">
        <v>283</v>
      </c>
      <c r="D197" s="40"/>
      <c r="E197" s="40"/>
      <c r="F197" s="29"/>
      <c r="G197" s="22"/>
      <c r="H197" s="23">
        <v>0.82</v>
      </c>
      <c r="I197" s="75">
        <f t="shared" si="152"/>
        <v>0</v>
      </c>
      <c r="J197" s="171"/>
      <c r="L197" s="41" t="s">
        <v>444</v>
      </c>
      <c r="M197" s="41" t="s">
        <v>283</v>
      </c>
      <c r="N197" s="40"/>
      <c r="O197" s="40"/>
      <c r="P197" s="29"/>
      <c r="Q197" s="22"/>
      <c r="R197" s="23">
        <v>0.82</v>
      </c>
      <c r="S197" s="75">
        <f t="shared" si="153"/>
        <v>0</v>
      </c>
      <c r="T197" s="171"/>
      <c r="V197" s="41" t="s">
        <v>444</v>
      </c>
      <c r="W197" s="41" t="s">
        <v>283</v>
      </c>
      <c r="X197" s="40"/>
      <c r="Y197" s="40"/>
      <c r="Z197" s="29"/>
      <c r="AA197" s="22"/>
      <c r="AB197" s="23">
        <v>0.82</v>
      </c>
      <c r="AC197" s="75">
        <f t="shared" si="154"/>
        <v>0</v>
      </c>
      <c r="AE197" s="41" t="s">
        <v>444</v>
      </c>
      <c r="AF197" s="41" t="s">
        <v>283</v>
      </c>
      <c r="AG197" s="40"/>
      <c r="AH197" s="40"/>
      <c r="AI197" s="29"/>
      <c r="AJ197" s="22"/>
      <c r="AK197" s="23">
        <v>0.82</v>
      </c>
      <c r="AL197" s="75">
        <f t="shared" si="155"/>
        <v>0</v>
      </c>
      <c r="AN197" s="41" t="s">
        <v>444</v>
      </c>
      <c r="AO197" s="41" t="s">
        <v>283</v>
      </c>
      <c r="AP197" s="40"/>
      <c r="AQ197" s="40"/>
      <c r="AR197" s="29"/>
      <c r="AS197" s="22"/>
      <c r="AT197" s="23">
        <v>0.82</v>
      </c>
      <c r="AU197" s="75">
        <f t="shared" si="156"/>
        <v>0</v>
      </c>
      <c r="AW197" s="41" t="s">
        <v>444</v>
      </c>
      <c r="AX197" s="41" t="s">
        <v>283</v>
      </c>
      <c r="AY197" s="40"/>
      <c r="AZ197" s="40"/>
      <c r="BA197" s="29"/>
      <c r="BB197" s="22"/>
      <c r="BC197" s="23">
        <v>0.82</v>
      </c>
      <c r="BD197" s="75">
        <f t="shared" si="157"/>
        <v>0</v>
      </c>
      <c r="BF197" s="41" t="s">
        <v>444</v>
      </c>
      <c r="BG197" s="41" t="s">
        <v>283</v>
      </c>
      <c r="BH197" s="40"/>
      <c r="BI197" s="40"/>
      <c r="BJ197" s="29"/>
      <c r="BK197" s="22"/>
      <c r="BL197" s="23">
        <v>0.82</v>
      </c>
      <c r="BM197" s="75">
        <f t="shared" si="158"/>
        <v>0</v>
      </c>
    </row>
    <row r="198" spans="2:65" outlineLevel="1" x14ac:dyDescent="0.25">
      <c r="B198" s="41" t="s">
        <v>444</v>
      </c>
      <c r="C198" s="41" t="s">
        <v>283</v>
      </c>
      <c r="D198" s="40"/>
      <c r="E198" s="40"/>
      <c r="F198" s="29"/>
      <c r="G198" s="22"/>
      <c r="H198" s="23">
        <v>0.82</v>
      </c>
      <c r="I198" s="75">
        <f t="shared" si="152"/>
        <v>0</v>
      </c>
      <c r="J198" s="171"/>
      <c r="L198" s="41" t="s">
        <v>444</v>
      </c>
      <c r="M198" s="41" t="s">
        <v>283</v>
      </c>
      <c r="N198" s="40"/>
      <c r="O198" s="40"/>
      <c r="P198" s="29"/>
      <c r="Q198" s="22"/>
      <c r="R198" s="23">
        <v>0.82</v>
      </c>
      <c r="S198" s="75">
        <f t="shared" si="153"/>
        <v>0</v>
      </c>
      <c r="T198" s="171"/>
      <c r="V198" s="41" t="s">
        <v>444</v>
      </c>
      <c r="W198" s="41" t="s">
        <v>283</v>
      </c>
      <c r="X198" s="40"/>
      <c r="Y198" s="40"/>
      <c r="Z198" s="29"/>
      <c r="AA198" s="22"/>
      <c r="AB198" s="23">
        <v>0.82</v>
      </c>
      <c r="AC198" s="75">
        <f t="shared" si="154"/>
        <v>0</v>
      </c>
      <c r="AE198" s="41" t="s">
        <v>444</v>
      </c>
      <c r="AF198" s="41" t="s">
        <v>283</v>
      </c>
      <c r="AG198" s="40"/>
      <c r="AH198" s="40"/>
      <c r="AI198" s="29"/>
      <c r="AJ198" s="22"/>
      <c r="AK198" s="23">
        <v>0.82</v>
      </c>
      <c r="AL198" s="75">
        <f t="shared" si="155"/>
        <v>0</v>
      </c>
      <c r="AN198" s="41" t="s">
        <v>444</v>
      </c>
      <c r="AO198" s="41" t="s">
        <v>283</v>
      </c>
      <c r="AP198" s="40"/>
      <c r="AQ198" s="40"/>
      <c r="AR198" s="29"/>
      <c r="AS198" s="22"/>
      <c r="AT198" s="23">
        <v>0.82</v>
      </c>
      <c r="AU198" s="75">
        <f t="shared" si="156"/>
        <v>0</v>
      </c>
      <c r="AW198" s="41" t="s">
        <v>444</v>
      </c>
      <c r="AX198" s="41" t="s">
        <v>283</v>
      </c>
      <c r="AY198" s="40"/>
      <c r="AZ198" s="40"/>
      <c r="BA198" s="29"/>
      <c r="BB198" s="22"/>
      <c r="BC198" s="23">
        <v>0.82</v>
      </c>
      <c r="BD198" s="75">
        <f t="shared" si="157"/>
        <v>0</v>
      </c>
      <c r="BF198" s="41" t="s">
        <v>444</v>
      </c>
      <c r="BG198" s="41" t="s">
        <v>283</v>
      </c>
      <c r="BH198" s="40"/>
      <c r="BI198" s="40"/>
      <c r="BJ198" s="29"/>
      <c r="BK198" s="22"/>
      <c r="BL198" s="23">
        <v>0.82</v>
      </c>
      <c r="BM198" s="75">
        <f t="shared" si="158"/>
        <v>0</v>
      </c>
    </row>
    <row r="199" spans="2:65" outlineLevel="1" x14ac:dyDescent="0.25">
      <c r="B199" s="41" t="s">
        <v>444</v>
      </c>
      <c r="C199" s="41" t="s">
        <v>283</v>
      </c>
      <c r="D199" s="40"/>
      <c r="E199" s="40"/>
      <c r="F199" s="29"/>
      <c r="G199" s="22"/>
      <c r="H199" s="23">
        <v>0.82</v>
      </c>
      <c r="I199" s="75">
        <f t="shared" si="152"/>
        <v>0</v>
      </c>
      <c r="J199" s="171"/>
      <c r="L199" s="41" t="s">
        <v>444</v>
      </c>
      <c r="M199" s="41" t="s">
        <v>283</v>
      </c>
      <c r="N199" s="40"/>
      <c r="O199" s="40"/>
      <c r="P199" s="29"/>
      <c r="Q199" s="22"/>
      <c r="R199" s="23">
        <v>0.82</v>
      </c>
      <c r="S199" s="75">
        <f t="shared" si="153"/>
        <v>0</v>
      </c>
      <c r="T199" s="171"/>
      <c r="V199" s="41" t="s">
        <v>444</v>
      </c>
      <c r="W199" s="41" t="s">
        <v>283</v>
      </c>
      <c r="X199" s="40"/>
      <c r="Y199" s="40"/>
      <c r="Z199" s="29"/>
      <c r="AA199" s="22"/>
      <c r="AB199" s="23">
        <v>0.82</v>
      </c>
      <c r="AC199" s="75">
        <f t="shared" si="154"/>
        <v>0</v>
      </c>
      <c r="AE199" s="41" t="s">
        <v>444</v>
      </c>
      <c r="AF199" s="41" t="s">
        <v>283</v>
      </c>
      <c r="AG199" s="40"/>
      <c r="AH199" s="40"/>
      <c r="AI199" s="29"/>
      <c r="AJ199" s="22"/>
      <c r="AK199" s="23">
        <v>0.82</v>
      </c>
      <c r="AL199" s="75">
        <f t="shared" si="155"/>
        <v>0</v>
      </c>
      <c r="AN199" s="41" t="s">
        <v>444</v>
      </c>
      <c r="AO199" s="41" t="s">
        <v>283</v>
      </c>
      <c r="AP199" s="40"/>
      <c r="AQ199" s="40"/>
      <c r="AR199" s="29"/>
      <c r="AS199" s="22"/>
      <c r="AT199" s="23">
        <v>0.82</v>
      </c>
      <c r="AU199" s="75">
        <f t="shared" si="156"/>
        <v>0</v>
      </c>
      <c r="AW199" s="41" t="s">
        <v>444</v>
      </c>
      <c r="AX199" s="41" t="s">
        <v>283</v>
      </c>
      <c r="AY199" s="40"/>
      <c r="AZ199" s="40"/>
      <c r="BA199" s="29"/>
      <c r="BB199" s="22"/>
      <c r="BC199" s="23">
        <v>0.82</v>
      </c>
      <c r="BD199" s="75">
        <f t="shared" si="157"/>
        <v>0</v>
      </c>
      <c r="BF199" s="41" t="s">
        <v>444</v>
      </c>
      <c r="BG199" s="41" t="s">
        <v>283</v>
      </c>
      <c r="BH199" s="40"/>
      <c r="BI199" s="40"/>
      <c r="BJ199" s="29"/>
      <c r="BK199" s="22"/>
      <c r="BL199" s="23">
        <v>0.82</v>
      </c>
      <c r="BM199" s="75">
        <f t="shared" si="158"/>
        <v>0</v>
      </c>
    </row>
    <row r="200" spans="2:65" outlineLevel="1" x14ac:dyDescent="0.25">
      <c r="B200" s="41" t="s">
        <v>444</v>
      </c>
      <c r="C200" s="41" t="s">
        <v>283</v>
      </c>
      <c r="D200" s="40"/>
      <c r="E200" s="40"/>
      <c r="F200" s="29"/>
      <c r="G200" s="22"/>
      <c r="H200" s="23">
        <v>0.82</v>
      </c>
      <c r="I200" s="75">
        <f t="shared" si="152"/>
        <v>0</v>
      </c>
      <c r="J200" s="171"/>
      <c r="L200" s="41" t="s">
        <v>444</v>
      </c>
      <c r="M200" s="41" t="s">
        <v>283</v>
      </c>
      <c r="N200" s="40"/>
      <c r="O200" s="40"/>
      <c r="P200" s="29"/>
      <c r="Q200" s="22"/>
      <c r="R200" s="23">
        <v>0.82</v>
      </c>
      <c r="S200" s="75">
        <f t="shared" si="153"/>
        <v>0</v>
      </c>
      <c r="T200" s="171"/>
      <c r="V200" s="41" t="s">
        <v>444</v>
      </c>
      <c r="W200" s="41" t="s">
        <v>283</v>
      </c>
      <c r="X200" s="40"/>
      <c r="Y200" s="40"/>
      <c r="Z200" s="29"/>
      <c r="AA200" s="22"/>
      <c r="AB200" s="23">
        <v>0.82</v>
      </c>
      <c r="AC200" s="75">
        <f t="shared" si="154"/>
        <v>0</v>
      </c>
      <c r="AE200" s="41" t="s">
        <v>444</v>
      </c>
      <c r="AF200" s="41" t="s">
        <v>283</v>
      </c>
      <c r="AG200" s="40"/>
      <c r="AH200" s="40"/>
      <c r="AI200" s="29"/>
      <c r="AJ200" s="22"/>
      <c r="AK200" s="23">
        <v>0.82</v>
      </c>
      <c r="AL200" s="75">
        <f t="shared" si="155"/>
        <v>0</v>
      </c>
      <c r="AN200" s="41" t="s">
        <v>444</v>
      </c>
      <c r="AO200" s="41" t="s">
        <v>283</v>
      </c>
      <c r="AP200" s="40"/>
      <c r="AQ200" s="40"/>
      <c r="AR200" s="29"/>
      <c r="AS200" s="22"/>
      <c r="AT200" s="23">
        <v>0.82</v>
      </c>
      <c r="AU200" s="75">
        <f t="shared" si="156"/>
        <v>0</v>
      </c>
      <c r="AW200" s="41" t="s">
        <v>444</v>
      </c>
      <c r="AX200" s="41" t="s">
        <v>283</v>
      </c>
      <c r="AY200" s="40"/>
      <c r="AZ200" s="40"/>
      <c r="BA200" s="29"/>
      <c r="BB200" s="22"/>
      <c r="BC200" s="23">
        <v>0.82</v>
      </c>
      <c r="BD200" s="75">
        <f t="shared" si="157"/>
        <v>0</v>
      </c>
      <c r="BF200" s="41" t="s">
        <v>444</v>
      </c>
      <c r="BG200" s="41" t="s">
        <v>283</v>
      </c>
      <c r="BH200" s="40"/>
      <c r="BI200" s="40"/>
      <c r="BJ200" s="29"/>
      <c r="BK200" s="22"/>
      <c r="BL200" s="23">
        <v>0.82</v>
      </c>
      <c r="BM200" s="75">
        <f t="shared" si="158"/>
        <v>0</v>
      </c>
    </row>
    <row r="201" spans="2:65" outlineLevel="1" x14ac:dyDescent="0.25">
      <c r="B201" s="41" t="s">
        <v>444</v>
      </c>
      <c r="C201" s="41" t="s">
        <v>283</v>
      </c>
      <c r="D201" s="40"/>
      <c r="E201" s="40"/>
      <c r="F201" s="29"/>
      <c r="G201" s="22"/>
      <c r="H201" s="23">
        <v>0.82</v>
      </c>
      <c r="I201" s="75">
        <f t="shared" si="152"/>
        <v>0</v>
      </c>
      <c r="J201" s="171"/>
      <c r="L201" s="41" t="s">
        <v>444</v>
      </c>
      <c r="M201" s="41" t="s">
        <v>283</v>
      </c>
      <c r="N201" s="40"/>
      <c r="O201" s="40"/>
      <c r="P201" s="29"/>
      <c r="Q201" s="22"/>
      <c r="R201" s="23">
        <v>0.82</v>
      </c>
      <c r="S201" s="75">
        <f t="shared" si="153"/>
        <v>0</v>
      </c>
      <c r="T201" s="171"/>
      <c r="V201" s="41" t="s">
        <v>444</v>
      </c>
      <c r="W201" s="41" t="s">
        <v>283</v>
      </c>
      <c r="X201" s="40"/>
      <c r="Y201" s="40"/>
      <c r="Z201" s="29"/>
      <c r="AA201" s="22"/>
      <c r="AB201" s="23">
        <v>0.82</v>
      </c>
      <c r="AC201" s="75">
        <f t="shared" si="154"/>
        <v>0</v>
      </c>
      <c r="AE201" s="41" t="s">
        <v>444</v>
      </c>
      <c r="AF201" s="41" t="s">
        <v>283</v>
      </c>
      <c r="AG201" s="40"/>
      <c r="AH201" s="40"/>
      <c r="AI201" s="29"/>
      <c r="AJ201" s="22"/>
      <c r="AK201" s="23">
        <v>0.82</v>
      </c>
      <c r="AL201" s="75">
        <f t="shared" si="155"/>
        <v>0</v>
      </c>
      <c r="AN201" s="41" t="s">
        <v>444</v>
      </c>
      <c r="AO201" s="41" t="s">
        <v>283</v>
      </c>
      <c r="AP201" s="40"/>
      <c r="AQ201" s="40"/>
      <c r="AR201" s="29"/>
      <c r="AS201" s="22"/>
      <c r="AT201" s="23">
        <v>0.82</v>
      </c>
      <c r="AU201" s="75">
        <f t="shared" si="156"/>
        <v>0</v>
      </c>
      <c r="AW201" s="41" t="s">
        <v>444</v>
      </c>
      <c r="AX201" s="41" t="s">
        <v>283</v>
      </c>
      <c r="AY201" s="40"/>
      <c r="AZ201" s="40"/>
      <c r="BA201" s="29"/>
      <c r="BB201" s="22"/>
      <c r="BC201" s="23">
        <v>0.82</v>
      </c>
      <c r="BD201" s="75">
        <f t="shared" si="157"/>
        <v>0</v>
      </c>
      <c r="BF201" s="41" t="s">
        <v>444</v>
      </c>
      <c r="BG201" s="41" t="s">
        <v>283</v>
      </c>
      <c r="BH201" s="40"/>
      <c r="BI201" s="40"/>
      <c r="BJ201" s="29"/>
      <c r="BK201" s="22"/>
      <c r="BL201" s="23">
        <v>0.82</v>
      </c>
      <c r="BM201" s="75">
        <f t="shared" si="158"/>
        <v>0</v>
      </c>
    </row>
    <row r="202" spans="2:65" outlineLevel="1" x14ac:dyDescent="0.25">
      <c r="B202" s="41" t="s">
        <v>444</v>
      </c>
      <c r="C202" s="41" t="s">
        <v>283</v>
      </c>
      <c r="D202" s="40"/>
      <c r="E202" s="40"/>
      <c r="F202" s="29"/>
      <c r="G202" s="22"/>
      <c r="H202" s="23">
        <v>0.82</v>
      </c>
      <c r="I202" s="75">
        <f t="shared" si="152"/>
        <v>0</v>
      </c>
      <c r="J202" s="171"/>
      <c r="L202" s="41" t="s">
        <v>444</v>
      </c>
      <c r="M202" s="41" t="s">
        <v>283</v>
      </c>
      <c r="N202" s="40"/>
      <c r="O202" s="40"/>
      <c r="P202" s="29"/>
      <c r="Q202" s="22"/>
      <c r="R202" s="23">
        <v>0.82</v>
      </c>
      <c r="S202" s="75">
        <f t="shared" si="153"/>
        <v>0</v>
      </c>
      <c r="T202" s="171"/>
      <c r="V202" s="41" t="s">
        <v>444</v>
      </c>
      <c r="W202" s="41" t="s">
        <v>283</v>
      </c>
      <c r="X202" s="40"/>
      <c r="Y202" s="40"/>
      <c r="Z202" s="29"/>
      <c r="AA202" s="22"/>
      <c r="AB202" s="23">
        <v>0.82</v>
      </c>
      <c r="AC202" s="75">
        <f t="shared" si="154"/>
        <v>0</v>
      </c>
      <c r="AE202" s="41" t="s">
        <v>444</v>
      </c>
      <c r="AF202" s="41" t="s">
        <v>283</v>
      </c>
      <c r="AG202" s="40"/>
      <c r="AH202" s="40"/>
      <c r="AI202" s="29"/>
      <c r="AJ202" s="22"/>
      <c r="AK202" s="23">
        <v>0.82</v>
      </c>
      <c r="AL202" s="75">
        <f t="shared" si="155"/>
        <v>0</v>
      </c>
      <c r="AN202" s="41" t="s">
        <v>444</v>
      </c>
      <c r="AO202" s="41" t="s">
        <v>283</v>
      </c>
      <c r="AP202" s="40"/>
      <c r="AQ202" s="40"/>
      <c r="AR202" s="29"/>
      <c r="AS202" s="22"/>
      <c r="AT202" s="23">
        <v>0.82</v>
      </c>
      <c r="AU202" s="75">
        <f t="shared" si="156"/>
        <v>0</v>
      </c>
      <c r="AW202" s="41" t="s">
        <v>444</v>
      </c>
      <c r="AX202" s="41" t="s">
        <v>283</v>
      </c>
      <c r="AY202" s="40"/>
      <c r="AZ202" s="40"/>
      <c r="BA202" s="29"/>
      <c r="BB202" s="22"/>
      <c r="BC202" s="23">
        <v>0.82</v>
      </c>
      <c r="BD202" s="75">
        <f t="shared" si="157"/>
        <v>0</v>
      </c>
      <c r="BF202" s="41" t="s">
        <v>444</v>
      </c>
      <c r="BG202" s="41" t="s">
        <v>283</v>
      </c>
      <c r="BH202" s="40"/>
      <c r="BI202" s="40"/>
      <c r="BJ202" s="29"/>
      <c r="BK202" s="22"/>
      <c r="BL202" s="23">
        <v>0.82</v>
      </c>
      <c r="BM202" s="75">
        <f t="shared" si="158"/>
        <v>0</v>
      </c>
    </row>
    <row r="203" spans="2:65" s="24" customFormat="1" x14ac:dyDescent="0.25">
      <c r="B203" s="8" t="s">
        <v>446</v>
      </c>
      <c r="C203" s="25"/>
      <c r="D203" s="28">
        <f>SUM(D188:D202)</f>
        <v>0</v>
      </c>
      <c r="E203" s="28">
        <f>SUM(E188:E202)</f>
        <v>0</v>
      </c>
      <c r="F203" s="30"/>
      <c r="G203" s="25"/>
      <c r="H203" s="26"/>
      <c r="I203" s="28">
        <f>SUM(I188:I202)</f>
        <v>0</v>
      </c>
      <c r="J203" s="170"/>
      <c r="L203" s="8" t="s">
        <v>446</v>
      </c>
      <c r="M203" s="25"/>
      <c r="N203" s="28">
        <f>SUM(N188:N202)</f>
        <v>0</v>
      </c>
      <c r="O203" s="28">
        <f>SUM(O188:O202)</f>
        <v>0</v>
      </c>
      <c r="P203" s="30"/>
      <c r="Q203" s="25"/>
      <c r="R203" s="26"/>
      <c r="S203" s="28">
        <f>SUM(S188:S202)</f>
        <v>0</v>
      </c>
      <c r="T203" s="170"/>
      <c r="V203" s="8" t="s">
        <v>446</v>
      </c>
      <c r="W203" s="25"/>
      <c r="X203" s="28">
        <f>SUM(X188:X202)</f>
        <v>0</v>
      </c>
      <c r="Y203" s="28">
        <f>SUM(Y188:Y202)</f>
        <v>0</v>
      </c>
      <c r="Z203" s="30"/>
      <c r="AA203" s="25"/>
      <c r="AB203" s="26"/>
      <c r="AC203" s="28">
        <f>SUM(AC188:AC202)</f>
        <v>0</v>
      </c>
      <c r="AE203" s="8" t="s">
        <v>446</v>
      </c>
      <c r="AF203" s="25"/>
      <c r="AG203" s="28">
        <f>SUM(AG188:AG202)</f>
        <v>0</v>
      </c>
      <c r="AH203" s="28">
        <f>SUM(AH188:AH202)</f>
        <v>0</v>
      </c>
      <c r="AI203" s="30"/>
      <c r="AJ203" s="25"/>
      <c r="AK203" s="26"/>
      <c r="AL203" s="28">
        <f>SUM(AL188:AL202)</f>
        <v>0</v>
      </c>
      <c r="AN203" s="8" t="s">
        <v>446</v>
      </c>
      <c r="AO203" s="25"/>
      <c r="AP203" s="28">
        <f>SUM(AP188:AP202)</f>
        <v>0</v>
      </c>
      <c r="AQ203" s="28">
        <f>SUM(AQ188:AQ202)</f>
        <v>0</v>
      </c>
      <c r="AR203" s="30"/>
      <c r="AS203" s="25"/>
      <c r="AT203" s="26"/>
      <c r="AU203" s="28">
        <f>SUM(AU188:AU202)</f>
        <v>0</v>
      </c>
      <c r="AW203" s="8" t="s">
        <v>446</v>
      </c>
      <c r="AX203" s="25"/>
      <c r="AY203" s="28">
        <f>SUM(AY188:AY202)</f>
        <v>0</v>
      </c>
      <c r="AZ203" s="28">
        <f>SUM(AZ188:AZ202)</f>
        <v>0</v>
      </c>
      <c r="BA203" s="30"/>
      <c r="BB203" s="25"/>
      <c r="BC203" s="26"/>
      <c r="BD203" s="28">
        <f>SUM(BD188:BD202)</f>
        <v>0</v>
      </c>
      <c r="BF203" s="8" t="s">
        <v>446</v>
      </c>
      <c r="BG203" s="25"/>
      <c r="BH203" s="28">
        <f>SUM(BH188:BH202)</f>
        <v>0</v>
      </c>
      <c r="BI203" s="28">
        <f>SUM(BI188:BI202)</f>
        <v>0</v>
      </c>
      <c r="BJ203" s="30"/>
      <c r="BK203" s="25"/>
      <c r="BL203" s="26"/>
      <c r="BM203" s="28">
        <f>SUM(BM188:BM202)</f>
        <v>0</v>
      </c>
    </row>
    <row r="207" spans="2:65" ht="25.5" x14ac:dyDescent="0.25">
      <c r="B207" s="226" t="s">
        <v>390</v>
      </c>
      <c r="C207" s="226" t="s">
        <v>391</v>
      </c>
      <c r="D207" s="226" t="s">
        <v>392</v>
      </c>
      <c r="E207" s="226" t="s">
        <v>393</v>
      </c>
      <c r="F207" s="226" t="s">
        <v>394</v>
      </c>
    </row>
    <row r="208" spans="2:65" x14ac:dyDescent="0.25">
      <c r="B208" s="5" t="s">
        <v>395</v>
      </c>
      <c r="C208" s="6">
        <f>SUM(A36,A39)</f>
        <v>0</v>
      </c>
      <c r="D208" s="6">
        <f>SUM(D36,D39)</f>
        <v>0</v>
      </c>
      <c r="E208" s="6">
        <f>SUM(E36,E39)</f>
        <v>0</v>
      </c>
      <c r="F208" s="5"/>
    </row>
    <row r="209" spans="2:6" x14ac:dyDescent="0.25">
      <c r="B209" s="5" t="s">
        <v>396</v>
      </c>
      <c r="C209" s="6">
        <f>SUM(A37)</f>
        <v>0</v>
      </c>
      <c r="D209" s="6">
        <f>SUM(D37)</f>
        <v>0</v>
      </c>
      <c r="E209" s="6">
        <f>SUM(E37)</f>
        <v>0</v>
      </c>
      <c r="F209" s="5"/>
    </row>
    <row r="210" spans="2:6" x14ac:dyDescent="0.25">
      <c r="B210" s="5" t="s">
        <v>397</v>
      </c>
      <c r="C210" s="6">
        <f>SUM(A38)</f>
        <v>0</v>
      </c>
      <c r="D210" s="6">
        <f>SUM(D38)</f>
        <v>0</v>
      </c>
      <c r="E210" s="6">
        <f>SUM(E38)</f>
        <v>0</v>
      </c>
      <c r="F210" s="5"/>
    </row>
    <row r="211" spans="2:6" x14ac:dyDescent="0.25">
      <c r="B211" s="5" t="s">
        <v>398</v>
      </c>
      <c r="C211" s="6">
        <f>SUM(A32:A35,A40)</f>
        <v>0</v>
      </c>
      <c r="D211" s="6">
        <f>SUM(D32:D35,D40)</f>
        <v>0</v>
      </c>
      <c r="E211" s="6">
        <f>SUM(E32:E35,E40)</f>
        <v>0</v>
      </c>
      <c r="F211" s="5"/>
    </row>
    <row r="212" spans="2:6" x14ac:dyDescent="0.25">
      <c r="B212" s="5" t="s">
        <v>225</v>
      </c>
      <c r="C212" s="6">
        <v>0</v>
      </c>
      <c r="D212" s="6">
        <v>0</v>
      </c>
      <c r="E212" s="6">
        <v>0</v>
      </c>
      <c r="F212" s="5"/>
    </row>
    <row r="213" spans="2:6" x14ac:dyDescent="0.25">
      <c r="B213" s="82" t="s">
        <v>107</v>
      </c>
      <c r="C213" s="74">
        <f>SUM(C208:C212)</f>
        <v>0</v>
      </c>
      <c r="D213" s="74">
        <f>SUM(D208:D212)</f>
        <v>0</v>
      </c>
      <c r="E213" s="74">
        <f>SUM(E208:E212)</f>
        <v>0</v>
      </c>
      <c r="F213" s="5"/>
    </row>
    <row r="216" spans="2:6" x14ac:dyDescent="0.25">
      <c r="C216" s="224">
        <v>3</v>
      </c>
      <c r="D216" s="224">
        <v>2127536</v>
      </c>
      <c r="E216" s="224">
        <v>2056184</v>
      </c>
    </row>
    <row r="217" spans="2:6" x14ac:dyDescent="0.25">
      <c r="C217" s="224">
        <v>2</v>
      </c>
      <c r="D217" s="224">
        <v>437000</v>
      </c>
      <c r="E217" s="224">
        <v>209733</v>
      </c>
    </row>
    <row r="218" spans="2:6" x14ac:dyDescent="0.25">
      <c r="C218" s="224">
        <v>5</v>
      </c>
      <c r="D218" s="224">
        <v>226400</v>
      </c>
      <c r="E218" s="224">
        <v>119522</v>
      </c>
    </row>
    <row r="219" spans="2:6" x14ac:dyDescent="0.25">
      <c r="C219" s="224">
        <v>1</v>
      </c>
      <c r="D219" s="224">
        <v>50000</v>
      </c>
      <c r="E219" s="224">
        <v>48355</v>
      </c>
    </row>
    <row r="220" spans="2:6" x14ac:dyDescent="0.25">
      <c r="C220" s="224">
        <v>0</v>
      </c>
      <c r="D220" s="224">
        <v>0</v>
      </c>
      <c r="E220" s="224">
        <v>0</v>
      </c>
    </row>
    <row r="221" spans="2:6" x14ac:dyDescent="0.25">
      <c r="C221" s="224">
        <v>11</v>
      </c>
      <c r="D221" s="224">
        <v>2840936</v>
      </c>
      <c r="E221" s="224">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140625" defaultRowHeight="12.75" x14ac:dyDescent="0.25"/>
  <cols>
    <col min="1" max="1" width="9.140625" style="2"/>
    <col min="2" max="2" width="42.7109375" style="2" customWidth="1"/>
    <col min="3" max="5" width="12" style="2" customWidth="1"/>
    <col min="6" max="16384" width="9.140625" style="2"/>
  </cols>
  <sheetData>
    <row r="2" spans="2:5" x14ac:dyDescent="0.25">
      <c r="B2" s="63" t="s">
        <v>472</v>
      </c>
    </row>
    <row r="4" spans="2:5" s="4" customFormat="1" ht="63.75" x14ac:dyDescent="0.25">
      <c r="B4" s="3" t="s">
        <v>473</v>
      </c>
      <c r="C4" s="3" t="s">
        <v>474</v>
      </c>
      <c r="D4" s="3" t="s">
        <v>475</v>
      </c>
      <c r="E4" s="3" t="s">
        <v>476</v>
      </c>
    </row>
    <row r="5" spans="2:5" x14ac:dyDescent="0.25">
      <c r="B5" s="5" t="s">
        <v>477</v>
      </c>
      <c r="C5" s="12">
        <v>0.05</v>
      </c>
      <c r="D5" s="11"/>
      <c r="E5" s="6">
        <f>C5*D5*12</f>
        <v>0</v>
      </c>
    </row>
    <row r="6" spans="2:5" x14ac:dyDescent="0.25">
      <c r="B6" s="5" t="s">
        <v>478</v>
      </c>
      <c r="C6" s="12">
        <v>0</v>
      </c>
      <c r="D6" s="11"/>
      <c r="E6" s="6">
        <f t="shared" ref="E6:E21" si="0">C6*D6*12</f>
        <v>0</v>
      </c>
    </row>
    <row r="7" spans="2:5" x14ac:dyDescent="0.25">
      <c r="B7" s="5" t="s">
        <v>479</v>
      </c>
      <c r="C7" s="12">
        <v>7.4999999999999997E-2</v>
      </c>
      <c r="D7" s="11"/>
      <c r="E7" s="6">
        <f t="shared" si="0"/>
        <v>0</v>
      </c>
    </row>
    <row r="8" spans="2:5" x14ac:dyDescent="0.25">
      <c r="B8" s="5" t="s">
        <v>480</v>
      </c>
      <c r="C8" s="12">
        <v>7.4999999999999997E-2</v>
      </c>
      <c r="D8" s="11"/>
      <c r="E8" s="6">
        <f t="shared" si="0"/>
        <v>0</v>
      </c>
    </row>
    <row r="9" spans="2:5" x14ac:dyDescent="0.25">
      <c r="B9" s="5" t="s">
        <v>81</v>
      </c>
      <c r="C9" s="12">
        <v>7.4999999999999997E-2</v>
      </c>
      <c r="D9" s="11"/>
      <c r="E9" s="6">
        <f t="shared" si="0"/>
        <v>0</v>
      </c>
    </row>
    <row r="10" spans="2:5" x14ac:dyDescent="0.25">
      <c r="B10" s="5" t="s">
        <v>481</v>
      </c>
      <c r="C10" s="12">
        <v>0.1</v>
      </c>
      <c r="D10" s="11"/>
      <c r="E10" s="6">
        <f t="shared" si="0"/>
        <v>0</v>
      </c>
    </row>
    <row r="11" spans="2:5" x14ac:dyDescent="0.25">
      <c r="B11" s="5" t="s">
        <v>482</v>
      </c>
      <c r="C11" s="12">
        <v>0.15</v>
      </c>
      <c r="D11" s="11"/>
      <c r="E11" s="6">
        <f t="shared" si="0"/>
        <v>0</v>
      </c>
    </row>
    <row r="12" spans="2:5" x14ac:dyDescent="0.25">
      <c r="B12" s="5" t="s">
        <v>483</v>
      </c>
      <c r="C12" s="12">
        <v>7.4999999999999997E-2</v>
      </c>
      <c r="D12" s="11"/>
      <c r="E12" s="6">
        <f t="shared" si="0"/>
        <v>0</v>
      </c>
    </row>
    <row r="13" spans="2:5" x14ac:dyDescent="0.25">
      <c r="B13" s="5" t="s">
        <v>484</v>
      </c>
      <c r="C13" s="12">
        <v>7.4999999999999997E-2</v>
      </c>
      <c r="D13" s="11"/>
      <c r="E13" s="6">
        <f t="shared" si="0"/>
        <v>0</v>
      </c>
    </row>
    <row r="14" spans="2:5" x14ac:dyDescent="0.25">
      <c r="B14" s="5" t="s">
        <v>485</v>
      </c>
      <c r="C14" s="12">
        <v>7.4999999999999997E-2</v>
      </c>
      <c r="D14" s="11"/>
      <c r="E14" s="6">
        <f t="shared" si="0"/>
        <v>0</v>
      </c>
    </row>
    <row r="15" spans="2:5" x14ac:dyDescent="0.25">
      <c r="B15" s="5" t="s">
        <v>486</v>
      </c>
      <c r="C15" s="12">
        <v>0.09</v>
      </c>
      <c r="D15" s="11"/>
      <c r="E15" s="6">
        <f t="shared" si="0"/>
        <v>0</v>
      </c>
    </row>
    <row r="16" spans="2:5" x14ac:dyDescent="0.25">
      <c r="B16" s="5" t="s">
        <v>487</v>
      </c>
      <c r="C16" s="12">
        <v>0.125</v>
      </c>
      <c r="D16" s="11"/>
      <c r="E16" s="6">
        <f t="shared" si="0"/>
        <v>0</v>
      </c>
    </row>
    <row r="17" spans="2:5" x14ac:dyDescent="0.25">
      <c r="B17" s="5" t="s">
        <v>488</v>
      </c>
      <c r="C17" s="12">
        <v>7.4999999999999997E-2</v>
      </c>
      <c r="D17" s="11"/>
      <c r="E17" s="6">
        <f t="shared" si="0"/>
        <v>0</v>
      </c>
    </row>
    <row r="18" spans="2:5" x14ac:dyDescent="0.25">
      <c r="B18" s="5" t="s">
        <v>489</v>
      </c>
      <c r="C18" s="12">
        <v>0.05</v>
      </c>
      <c r="D18" s="11"/>
      <c r="E18" s="6">
        <f t="shared" si="0"/>
        <v>0</v>
      </c>
    </row>
    <row r="19" spans="2:5" x14ac:dyDescent="0.25">
      <c r="B19" s="5" t="s">
        <v>490</v>
      </c>
      <c r="C19" s="12">
        <v>0.2</v>
      </c>
      <c r="D19" s="11"/>
      <c r="E19" s="6">
        <f t="shared" si="0"/>
        <v>0</v>
      </c>
    </row>
    <row r="20" spans="2:5" x14ac:dyDescent="0.25">
      <c r="B20" s="5" t="s">
        <v>491</v>
      </c>
      <c r="C20" s="12">
        <v>0.1</v>
      </c>
      <c r="D20" s="11"/>
      <c r="E20" s="6">
        <f t="shared" si="0"/>
        <v>0</v>
      </c>
    </row>
    <row r="21" spans="2:5" ht="38.25" x14ac:dyDescent="0.25">
      <c r="B21" s="7" t="s">
        <v>492</v>
      </c>
      <c r="C21" s="12">
        <v>0</v>
      </c>
      <c r="D21" s="11"/>
      <c r="E21" s="6">
        <f t="shared" si="0"/>
        <v>0</v>
      </c>
    </row>
    <row r="22" spans="2:5" x14ac:dyDescent="0.25">
      <c r="B22" s="8" t="s">
        <v>107</v>
      </c>
      <c r="C22" s="9"/>
      <c r="D22" s="10"/>
      <c r="E22" s="13">
        <f>SUM(E5:E21)</f>
        <v>0</v>
      </c>
    </row>
    <row r="24" spans="2:5" ht="44.25" customHeight="1" x14ac:dyDescent="0.25">
      <c r="B24" s="876" t="s">
        <v>493</v>
      </c>
      <c r="C24" s="876"/>
      <c r="D24" s="876"/>
      <c r="E24" s="876"/>
    </row>
    <row r="25" spans="2:5" x14ac:dyDescent="0.25">
      <c r="B25" s="876" t="s">
        <v>494</v>
      </c>
      <c r="C25" s="876"/>
      <c r="D25" s="876"/>
      <c r="E25" s="876"/>
    </row>
  </sheetData>
  <mergeCells count="2">
    <mergeCell ref="B24:E24"/>
    <mergeCell ref="B25:E2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39"/>
  <sheetViews>
    <sheetView topLeftCell="A10" zoomScale="85" zoomScaleNormal="85" workbookViewId="0">
      <selection activeCell="C36" sqref="C36"/>
    </sheetView>
  </sheetViews>
  <sheetFormatPr defaultColWidth="9.140625" defaultRowHeight="12.75" x14ac:dyDescent="0.25"/>
  <cols>
    <col min="1" max="1" width="9.140625" style="2"/>
    <col min="2" max="2" width="55.28515625" style="2" bestFit="1" customWidth="1"/>
    <col min="3" max="3" width="26.42578125" style="2" bestFit="1" customWidth="1"/>
    <col min="4" max="4" width="15.140625" style="2" bestFit="1" customWidth="1"/>
    <col min="5" max="5" width="26.140625" style="2" bestFit="1" customWidth="1"/>
    <col min="6" max="6" width="1.7109375" style="2" customWidth="1"/>
    <col min="7" max="7" width="13.28515625" style="2" bestFit="1" customWidth="1"/>
    <col min="8" max="8" width="1.7109375" style="2" customWidth="1"/>
    <col min="9" max="9" width="30.42578125" style="2" bestFit="1" customWidth="1"/>
    <col min="10" max="10" width="1.7109375" style="2" customWidth="1"/>
    <col min="11" max="11" width="13.28515625" style="2" bestFit="1" customWidth="1"/>
    <col min="12" max="12" width="1.7109375" style="2" customWidth="1"/>
    <col min="13" max="13" width="35.140625" style="2" bestFit="1" customWidth="1"/>
    <col min="14" max="14" width="1.7109375" style="2" customWidth="1"/>
    <col min="15" max="15" width="12.140625" style="2" bestFit="1" customWidth="1"/>
    <col min="16" max="16" width="1.7109375" style="2" customWidth="1"/>
    <col min="17" max="17" width="12.140625" style="2" bestFit="1" customWidth="1"/>
    <col min="18" max="18" width="1.7109375" style="2" customWidth="1"/>
    <col min="19" max="19" width="21.85546875" style="2" bestFit="1" customWidth="1"/>
    <col min="20" max="20" width="1.7109375" style="2" customWidth="1"/>
    <col min="21" max="21" width="12.42578125" style="2" bestFit="1" customWidth="1"/>
    <col min="22" max="16384" width="9.140625" style="2"/>
  </cols>
  <sheetData>
    <row r="2" spans="2:21" x14ac:dyDescent="0.25">
      <c r="B2" s="50" t="s">
        <v>495</v>
      </c>
      <c r="C2" s="50" t="s">
        <v>495</v>
      </c>
      <c r="E2" s="50" t="s">
        <v>496</v>
      </c>
      <c r="G2" s="50" t="s">
        <v>497</v>
      </c>
      <c r="I2" s="50" t="s">
        <v>498</v>
      </c>
      <c r="K2" s="50" t="s">
        <v>499</v>
      </c>
      <c r="M2" s="50" t="s">
        <v>500</v>
      </c>
      <c r="O2" s="50" t="s">
        <v>501</v>
      </c>
      <c r="Q2" s="50" t="s">
        <v>502</v>
      </c>
      <c r="S2" s="50" t="s">
        <v>503</v>
      </c>
      <c r="U2" s="50" t="s">
        <v>397</v>
      </c>
    </row>
    <row r="3" spans="2:21" x14ac:dyDescent="0.25">
      <c r="B3" s="51"/>
      <c r="C3" s="52" t="s">
        <v>313</v>
      </c>
      <c r="E3" s="52" t="s">
        <v>312</v>
      </c>
      <c r="G3" s="52" t="s">
        <v>312</v>
      </c>
      <c r="I3" s="52" t="s">
        <v>312</v>
      </c>
      <c r="K3" s="52" t="s">
        <v>312</v>
      </c>
      <c r="M3" s="52" t="s">
        <v>312</v>
      </c>
      <c r="O3" s="52" t="s">
        <v>312</v>
      </c>
      <c r="Q3" s="52" t="s">
        <v>312</v>
      </c>
      <c r="S3" s="52" t="s">
        <v>312</v>
      </c>
      <c r="U3" s="52" t="s">
        <v>312</v>
      </c>
    </row>
    <row r="4" spans="2:21" x14ac:dyDescent="0.25">
      <c r="B4" s="5" t="s">
        <v>381</v>
      </c>
      <c r="C4" s="52" t="s">
        <v>381</v>
      </c>
      <c r="E4" s="52" t="s">
        <v>309</v>
      </c>
      <c r="G4" s="52" t="s">
        <v>319</v>
      </c>
      <c r="I4" s="52" t="s">
        <v>321</v>
      </c>
      <c r="K4" s="52" t="s">
        <v>324</v>
      </c>
      <c r="M4" s="52" t="s">
        <v>467</v>
      </c>
      <c r="O4" s="52" t="s">
        <v>468</v>
      </c>
      <c r="Q4" s="52" t="s">
        <v>469</v>
      </c>
      <c r="S4" s="52" t="s">
        <v>470</v>
      </c>
      <c r="U4" s="52" t="s">
        <v>471</v>
      </c>
    </row>
    <row r="5" spans="2:21" x14ac:dyDescent="0.25">
      <c r="B5" s="5" t="s">
        <v>504</v>
      </c>
      <c r="C5" s="52" t="s">
        <v>310</v>
      </c>
      <c r="E5" s="52" t="s">
        <v>505</v>
      </c>
      <c r="G5" s="52" t="s">
        <v>506</v>
      </c>
      <c r="I5" s="52" t="s">
        <v>507</v>
      </c>
      <c r="K5" s="52" t="s">
        <v>325</v>
      </c>
      <c r="M5" s="52" t="s">
        <v>508</v>
      </c>
      <c r="O5" s="52" t="s">
        <v>509</v>
      </c>
      <c r="Q5" s="52" t="s">
        <v>510</v>
      </c>
      <c r="S5" s="52" t="s">
        <v>511</v>
      </c>
      <c r="U5" s="52" t="s">
        <v>512</v>
      </c>
    </row>
    <row r="6" spans="2:21" x14ac:dyDescent="0.25">
      <c r="B6" s="5" t="s">
        <v>513</v>
      </c>
      <c r="C6" s="52" t="s">
        <v>345</v>
      </c>
      <c r="E6" s="52" t="s">
        <v>514</v>
      </c>
      <c r="G6" s="52" t="s">
        <v>515</v>
      </c>
      <c r="I6" s="52" t="s">
        <v>516</v>
      </c>
      <c r="K6" s="52" t="s">
        <v>326</v>
      </c>
      <c r="M6" s="52" t="s">
        <v>517</v>
      </c>
      <c r="O6" s="52" t="s">
        <v>518</v>
      </c>
      <c r="Q6" s="52" t="s">
        <v>519</v>
      </c>
      <c r="S6" s="52" t="s">
        <v>520</v>
      </c>
      <c r="U6" s="52" t="s">
        <v>521</v>
      </c>
    </row>
    <row r="7" spans="2:21" x14ac:dyDescent="0.25">
      <c r="B7" s="5" t="s">
        <v>522</v>
      </c>
      <c r="C7" s="52" t="s">
        <v>523</v>
      </c>
      <c r="E7" s="52" t="s">
        <v>524</v>
      </c>
      <c r="G7" s="52" t="s">
        <v>525</v>
      </c>
      <c r="I7" s="52" t="s">
        <v>526</v>
      </c>
      <c r="K7" s="52" t="s">
        <v>327</v>
      </c>
      <c r="M7" s="52" t="s">
        <v>527</v>
      </c>
      <c r="O7" s="52" t="s">
        <v>528</v>
      </c>
      <c r="Q7" s="52" t="s">
        <v>529</v>
      </c>
      <c r="S7" s="52" t="s">
        <v>530</v>
      </c>
      <c r="U7" s="52" t="s">
        <v>531</v>
      </c>
    </row>
    <row r="8" spans="2:21" x14ac:dyDescent="0.25">
      <c r="B8" s="5" t="s">
        <v>532</v>
      </c>
      <c r="C8" s="52" t="s">
        <v>533</v>
      </c>
      <c r="E8" s="52" t="s">
        <v>534</v>
      </c>
      <c r="G8" s="52" t="s">
        <v>535</v>
      </c>
      <c r="I8" s="52" t="s">
        <v>536</v>
      </c>
      <c r="K8" s="52" t="s">
        <v>328</v>
      </c>
      <c r="M8" s="52" t="s">
        <v>537</v>
      </c>
      <c r="O8" s="52" t="s">
        <v>538</v>
      </c>
      <c r="Q8" s="52" t="s">
        <v>539</v>
      </c>
      <c r="S8" s="52" t="s">
        <v>540</v>
      </c>
      <c r="U8" s="52" t="s">
        <v>541</v>
      </c>
    </row>
    <row r="9" spans="2:21" x14ac:dyDescent="0.25">
      <c r="B9" s="5" t="s">
        <v>225</v>
      </c>
      <c r="C9" s="52" t="s">
        <v>225</v>
      </c>
      <c r="E9" s="52" t="s">
        <v>542</v>
      </c>
      <c r="G9" s="52" t="s">
        <v>543</v>
      </c>
      <c r="I9" s="52" t="s">
        <v>544</v>
      </c>
      <c r="K9" s="52" t="s">
        <v>329</v>
      </c>
      <c r="M9" s="52" t="s">
        <v>545</v>
      </c>
      <c r="O9" s="52" t="s">
        <v>546</v>
      </c>
      <c r="Q9" s="52" t="s">
        <v>547</v>
      </c>
      <c r="S9" s="52" t="s">
        <v>548</v>
      </c>
      <c r="U9" s="52" t="s">
        <v>549</v>
      </c>
    </row>
    <row r="10" spans="2:21" x14ac:dyDescent="0.25">
      <c r="E10" s="52" t="s">
        <v>550</v>
      </c>
      <c r="G10" s="52" t="s">
        <v>551</v>
      </c>
      <c r="I10" s="52" t="s">
        <v>552</v>
      </c>
      <c r="K10" s="52" t="s">
        <v>330</v>
      </c>
      <c r="M10" s="52" t="s">
        <v>553</v>
      </c>
      <c r="O10" s="52" t="s">
        <v>554</v>
      </c>
      <c r="Q10" s="52" t="s">
        <v>555</v>
      </c>
      <c r="S10" s="52" t="s">
        <v>556</v>
      </c>
      <c r="U10" s="52" t="s">
        <v>557</v>
      </c>
    </row>
    <row r="11" spans="2:21" x14ac:dyDescent="0.25">
      <c r="B11" s="50" t="s">
        <v>558</v>
      </c>
      <c r="C11" s="50" t="s">
        <v>558</v>
      </c>
      <c r="E11" s="52" t="s">
        <v>559</v>
      </c>
      <c r="G11" s="52" t="s">
        <v>560</v>
      </c>
      <c r="I11" s="52" t="s">
        <v>561</v>
      </c>
      <c r="K11" s="52" t="s">
        <v>562</v>
      </c>
      <c r="M11" s="52" t="s">
        <v>563</v>
      </c>
      <c r="O11" s="52" t="s">
        <v>564</v>
      </c>
      <c r="Q11" s="52" t="s">
        <v>565</v>
      </c>
      <c r="S11" s="52" t="s">
        <v>566</v>
      </c>
      <c r="U11" s="52" t="s">
        <v>567</v>
      </c>
    </row>
    <row r="12" spans="2:21" x14ac:dyDescent="0.25">
      <c r="B12" s="51"/>
      <c r="C12" s="52" t="s">
        <v>313</v>
      </c>
      <c r="E12" s="52" t="s">
        <v>568</v>
      </c>
      <c r="G12" s="52" t="s">
        <v>569</v>
      </c>
      <c r="I12" s="52" t="s">
        <v>570</v>
      </c>
      <c r="K12" s="52" t="s">
        <v>571</v>
      </c>
      <c r="M12" s="52" t="s">
        <v>572</v>
      </c>
      <c r="O12" s="52" t="s">
        <v>573</v>
      </c>
      <c r="Q12" s="52" t="s">
        <v>574</v>
      </c>
      <c r="S12" s="52" t="s">
        <v>575</v>
      </c>
      <c r="U12" s="52" t="s">
        <v>576</v>
      </c>
    </row>
    <row r="13" spans="2:21" x14ac:dyDescent="0.25">
      <c r="B13" s="5" t="s">
        <v>513</v>
      </c>
      <c r="C13" s="52" t="s">
        <v>345</v>
      </c>
      <c r="E13" s="52" t="s">
        <v>577</v>
      </c>
      <c r="G13" s="52" t="s">
        <v>578</v>
      </c>
      <c r="I13" s="52" t="s">
        <v>579</v>
      </c>
      <c r="K13" s="52" t="s">
        <v>580</v>
      </c>
      <c r="M13" s="52" t="s">
        <v>581</v>
      </c>
      <c r="O13" s="52" t="s">
        <v>582</v>
      </c>
      <c r="Q13" s="52" t="s">
        <v>583</v>
      </c>
      <c r="S13" s="52" t="s">
        <v>584</v>
      </c>
      <c r="U13" s="52" t="s">
        <v>585</v>
      </c>
    </row>
    <row r="14" spans="2:21" x14ac:dyDescent="0.25">
      <c r="B14" s="5" t="s">
        <v>522</v>
      </c>
      <c r="C14" s="52" t="s">
        <v>523</v>
      </c>
      <c r="E14" s="52" t="s">
        <v>586</v>
      </c>
      <c r="G14" s="52" t="s">
        <v>587</v>
      </c>
      <c r="I14" s="52" t="s">
        <v>588</v>
      </c>
      <c r="K14" s="52" t="s">
        <v>589</v>
      </c>
      <c r="M14" s="52" t="s">
        <v>590</v>
      </c>
      <c r="O14" s="52" t="s">
        <v>591</v>
      </c>
      <c r="Q14" s="52" t="s">
        <v>592</v>
      </c>
      <c r="S14" s="52" t="s">
        <v>593</v>
      </c>
      <c r="U14" s="52" t="s">
        <v>594</v>
      </c>
    </row>
    <row r="15" spans="2:21" x14ac:dyDescent="0.25">
      <c r="B15" s="5" t="s">
        <v>595</v>
      </c>
      <c r="C15" s="52" t="s">
        <v>596</v>
      </c>
      <c r="E15" s="52" t="s">
        <v>597</v>
      </c>
      <c r="G15" s="52" t="s">
        <v>598</v>
      </c>
      <c r="I15" s="52" t="s">
        <v>599</v>
      </c>
      <c r="K15" s="52" t="s">
        <v>600</v>
      </c>
      <c r="M15" s="52" t="s">
        <v>601</v>
      </c>
      <c r="O15" s="52" t="s">
        <v>602</v>
      </c>
      <c r="Q15" s="52" t="s">
        <v>603</v>
      </c>
      <c r="S15" s="52" t="s">
        <v>604</v>
      </c>
      <c r="U15" s="52" t="s">
        <v>605</v>
      </c>
    </row>
    <row r="16" spans="2:21" x14ac:dyDescent="0.25">
      <c r="B16" s="5" t="s">
        <v>606</v>
      </c>
      <c r="C16" s="52" t="s">
        <v>607</v>
      </c>
      <c r="E16" s="52" t="s">
        <v>608</v>
      </c>
      <c r="G16" s="52" t="s">
        <v>609</v>
      </c>
      <c r="I16" s="52" t="s">
        <v>610</v>
      </c>
      <c r="K16" s="52" t="s">
        <v>611</v>
      </c>
      <c r="M16" s="52" t="s">
        <v>612</v>
      </c>
      <c r="O16" s="52" t="s">
        <v>613</v>
      </c>
      <c r="Q16" s="52" t="s">
        <v>614</v>
      </c>
      <c r="S16" s="52" t="s">
        <v>615</v>
      </c>
      <c r="U16" s="52" t="s">
        <v>616</v>
      </c>
    </row>
    <row r="17" spans="2:21" x14ac:dyDescent="0.25">
      <c r="B17" s="5" t="s">
        <v>617</v>
      </c>
      <c r="C17" s="52" t="s">
        <v>618</v>
      </c>
      <c r="E17" s="52" t="s">
        <v>619</v>
      </c>
      <c r="G17" s="52" t="s">
        <v>620</v>
      </c>
      <c r="I17" s="52" t="s">
        <v>621</v>
      </c>
      <c r="K17" s="52" t="s">
        <v>622</v>
      </c>
      <c r="M17" s="52" t="s">
        <v>623</v>
      </c>
      <c r="O17" s="52" t="s">
        <v>624</v>
      </c>
      <c r="Q17" s="52" t="s">
        <v>625</v>
      </c>
      <c r="S17" s="52" t="s">
        <v>626</v>
      </c>
      <c r="U17" s="52" t="s">
        <v>627</v>
      </c>
    </row>
    <row r="18" spans="2:21" x14ac:dyDescent="0.25">
      <c r="B18" s="5" t="s">
        <v>628</v>
      </c>
      <c r="C18" s="52" t="s">
        <v>629</v>
      </c>
      <c r="E18" s="52" t="s">
        <v>630</v>
      </c>
      <c r="G18" s="52" t="s">
        <v>631</v>
      </c>
      <c r="I18" s="52" t="s">
        <v>632</v>
      </c>
      <c r="K18" s="52" t="s">
        <v>633</v>
      </c>
      <c r="M18" s="52" t="s">
        <v>634</v>
      </c>
      <c r="O18" s="52" t="s">
        <v>635</v>
      </c>
      <c r="Q18" s="52" t="s">
        <v>636</v>
      </c>
      <c r="S18" s="52" t="s">
        <v>637</v>
      </c>
      <c r="U18" s="52" t="s">
        <v>638</v>
      </c>
    </row>
    <row r="19" spans="2:21" x14ac:dyDescent="0.25">
      <c r="B19" s="5" t="s">
        <v>639</v>
      </c>
      <c r="C19" s="52" t="s">
        <v>639</v>
      </c>
    </row>
    <row r="21" spans="2:21" x14ac:dyDescent="0.25">
      <c r="B21" s="53" t="s">
        <v>91</v>
      </c>
      <c r="C21" s="53" t="s">
        <v>640</v>
      </c>
      <c r="D21" s="53" t="s">
        <v>641</v>
      </c>
    </row>
    <row r="22" spans="2:21" x14ac:dyDescent="0.25">
      <c r="B22" s="5" t="s">
        <v>642</v>
      </c>
      <c r="C22" s="5" t="s">
        <v>497</v>
      </c>
      <c r="D22" s="5" t="s">
        <v>56</v>
      </c>
    </row>
    <row r="23" spans="2:21" x14ac:dyDescent="0.25">
      <c r="B23" s="5" t="s">
        <v>643</v>
      </c>
      <c r="C23" s="5" t="s">
        <v>497</v>
      </c>
      <c r="D23" s="5" t="s">
        <v>56</v>
      </c>
    </row>
    <row r="24" spans="2:21" x14ac:dyDescent="0.25">
      <c r="B24" s="5" t="s">
        <v>644</v>
      </c>
      <c r="C24" s="5" t="s">
        <v>497</v>
      </c>
      <c r="D24" s="5" t="s">
        <v>56</v>
      </c>
    </row>
    <row r="25" spans="2:21" x14ac:dyDescent="0.25">
      <c r="B25" s="5" t="s">
        <v>645</v>
      </c>
      <c r="C25" s="5" t="s">
        <v>502</v>
      </c>
      <c r="D25" s="5" t="s">
        <v>56</v>
      </c>
    </row>
    <row r="26" spans="2:21" x14ac:dyDescent="0.25">
      <c r="B26" s="5" t="s">
        <v>646</v>
      </c>
      <c r="C26" s="5" t="s">
        <v>502</v>
      </c>
      <c r="D26" s="5" t="s">
        <v>56</v>
      </c>
    </row>
    <row r="27" spans="2:21" x14ac:dyDescent="0.25">
      <c r="B27" s="5" t="s">
        <v>647</v>
      </c>
      <c r="C27" s="5" t="s">
        <v>502</v>
      </c>
      <c r="D27" s="5" t="s">
        <v>56</v>
      </c>
    </row>
    <row r="28" spans="2:21" x14ac:dyDescent="0.25">
      <c r="B28" s="5" t="s">
        <v>648</v>
      </c>
      <c r="C28" s="5" t="s">
        <v>502</v>
      </c>
      <c r="D28" s="5" t="s">
        <v>56</v>
      </c>
    </row>
    <row r="29" spans="2:21" x14ac:dyDescent="0.25">
      <c r="B29" s="5" t="s">
        <v>649</v>
      </c>
      <c r="C29" s="5" t="s">
        <v>95</v>
      </c>
      <c r="D29" s="5" t="s">
        <v>56</v>
      </c>
    </row>
    <row r="30" spans="2:21" x14ac:dyDescent="0.25">
      <c r="B30" s="5" t="s">
        <v>650</v>
      </c>
      <c r="C30" s="5" t="s">
        <v>95</v>
      </c>
      <c r="D30" s="5" t="s">
        <v>56</v>
      </c>
    </row>
    <row r="31" spans="2:21" x14ac:dyDescent="0.25">
      <c r="B31" s="5" t="s">
        <v>651</v>
      </c>
      <c r="C31" s="5" t="s">
        <v>499</v>
      </c>
      <c r="D31" s="5" t="s">
        <v>652</v>
      </c>
    </row>
    <row r="32" spans="2:21" x14ac:dyDescent="0.25">
      <c r="B32" s="5" t="s">
        <v>653</v>
      </c>
      <c r="C32" s="5" t="s">
        <v>654</v>
      </c>
      <c r="D32" s="5" t="s">
        <v>652</v>
      </c>
    </row>
    <row r="33" spans="2:4" x14ac:dyDescent="0.25">
      <c r="B33" s="5" t="s">
        <v>655</v>
      </c>
      <c r="C33" s="5" t="s">
        <v>397</v>
      </c>
      <c r="D33" s="5" t="s">
        <v>56</v>
      </c>
    </row>
    <row r="36" spans="2:4" x14ac:dyDescent="0.25">
      <c r="B36" s="53" t="s">
        <v>656</v>
      </c>
      <c r="C36" s="53" t="s">
        <v>657</v>
      </c>
      <c r="D36" s="53" t="s">
        <v>640</v>
      </c>
    </row>
    <row r="37" spans="2:4" x14ac:dyDescent="0.25">
      <c r="B37" s="5" t="s">
        <v>658</v>
      </c>
      <c r="C37" s="52" t="s">
        <v>5</v>
      </c>
      <c r="D37" s="52" t="s">
        <v>317</v>
      </c>
    </row>
    <row r="38" spans="2:4" ht="25.5" x14ac:dyDescent="0.25">
      <c r="B38" s="7" t="s">
        <v>659</v>
      </c>
      <c r="C38" s="52" t="s">
        <v>5</v>
      </c>
      <c r="D38" s="52" t="s">
        <v>660</v>
      </c>
    </row>
    <row r="39" spans="2:4" x14ac:dyDescent="0.25">
      <c r="B39" s="5" t="s">
        <v>661</v>
      </c>
      <c r="C39" s="52" t="s">
        <v>51</v>
      </c>
      <c r="D39" s="52" t="s">
        <v>62</v>
      </c>
    </row>
  </sheetData>
  <pageMargins left="0.7" right="0.7" top="0.75" bottom="0.75" header="0.3" footer="0.3"/>
  <pageSetup paperSize="9"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20" ma:contentTypeDescription="Create a new document." ma:contentTypeScope="" ma:versionID="c9c68164e9a78e7ecd08f0049dddca94">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bc0f24be746725db3c1e8016cb3623db"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E9D2447-E4B4-4CDE-99C8-6C41B07660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7bd5a2-95f9-47f6-9a06-992a81ad31e5"/>
    <ds:schemaRef ds:uri="ee73e422-ce60-41ea-af42-fa8035a6e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CE82ECD-39A5-4B56-8C85-7617D2CB4652}">
  <ds:schemaRefs>
    <ds:schemaRef ds:uri="http://www.w3.org/XML/1998/namespace"/>
    <ds:schemaRef ds:uri="ee73e422-ce60-41ea-af42-fa8035a6e63f"/>
    <ds:schemaRef ds:uri="http://schemas.openxmlformats.org/package/2006/metadata/core-properties"/>
    <ds:schemaRef ds:uri="http://schemas.microsoft.com/office/2006/documentManagement/types"/>
    <ds:schemaRef ds:uri="http://purl.org/dc/dcmitype/"/>
    <ds:schemaRef ds:uri="http://purl.org/dc/terms/"/>
    <ds:schemaRef ds:uri="http://purl.org/dc/elements/1.1/"/>
    <ds:schemaRef ds:uri="http://schemas.microsoft.com/office/infopath/2007/PartnerControls"/>
    <ds:schemaRef ds:uri="f77bd5a2-95f9-47f6-9a06-992a81ad31e5"/>
    <ds:schemaRef ds:uri="http://schemas.microsoft.com/office/2006/metadata/properties"/>
  </ds:schemaRefs>
</ds:datastoreItem>
</file>

<file path=customXml/itemProps3.xml><?xml version="1.0" encoding="utf-8"?>
<ds:datastoreItem xmlns:ds="http://schemas.openxmlformats.org/officeDocument/2006/customXml" ds:itemID="{B8797936-7940-4330-A379-516C90D52A3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4</vt:i4>
      </vt:variant>
    </vt:vector>
  </HeadingPairs>
  <TitlesOfParts>
    <vt:vector size="26" baseType="lpstr">
      <vt:lpstr>Mapping - Interest</vt:lpstr>
      <vt:lpstr>Mapping - Payment Status</vt:lpstr>
      <vt:lpstr>Notes</vt:lpstr>
      <vt:lpstr>Effective Rate</vt:lpstr>
      <vt:lpstr>Knock-Out</vt:lpstr>
      <vt:lpstr>Risk Loading</vt:lpstr>
      <vt:lpstr>Limit Increase Checklist</vt:lpstr>
      <vt:lpstr>Credit Evaluation</vt:lpstr>
      <vt:lpstr>Drawdown Checklist</vt:lpstr>
      <vt:lpstr>Bank Statement</vt:lpstr>
      <vt:lpstr>Summary</vt:lpstr>
      <vt:lpstr>For Factsheet Purpose (NEW)</vt:lpstr>
      <vt:lpstr>Summary of Information</vt:lpstr>
      <vt:lpstr>WCR Calculation </vt:lpstr>
      <vt:lpstr>Working Capital Required</vt:lpstr>
      <vt:lpstr>Debt Service - Company</vt:lpstr>
      <vt:lpstr>Debt Service - Individual 1</vt:lpstr>
      <vt:lpstr>Debt Service - Company (TBD)</vt:lpstr>
      <vt:lpstr>Debt Service - Individual (TBD)</vt:lpstr>
      <vt:lpstr>Debt Service - Individual 2</vt:lpstr>
      <vt:lpstr>N.Margin (Ind. Benchmark)</vt:lpstr>
      <vt:lpstr>Mapping &amp; Selection</vt:lpstr>
      <vt:lpstr>'Credit Evaluation'!Print_Area</vt:lpstr>
      <vt:lpstr>'Drawdown Checklist'!Print_Area</vt:lpstr>
      <vt:lpstr>'Knock-Out'!Print_Area</vt:lpstr>
      <vt:lpstr>'Risk Loading'!Print_Area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Weng Sheng</cp:lastModifiedBy>
  <cp:revision/>
  <cp:lastPrinted>2026-02-05T06:09:08Z</cp:lastPrinted>
  <dcterms:created xsi:type="dcterms:W3CDTF">2019-09-23T06:43:03Z</dcterms:created>
  <dcterms:modified xsi:type="dcterms:W3CDTF">2026-04-27T02:59:31Z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