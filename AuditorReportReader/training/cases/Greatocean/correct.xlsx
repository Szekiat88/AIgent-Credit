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21820" windowHeight="13900" tabRatio="600" firstSheet="0" activeTab="0" autoFilterDateGrouping="1"/>
  </bookViews>
  <sheets>
    <sheet name="Summary of Information" sheetId="1" state="visible" r:id="rId1"/>
    <sheet name="auditor" sheetId="2" state="visible" r:id="rId2"/>
    <sheet name="CreditFlag" sheetId="3" state="visible" r:id="rId3"/>
  </sheets>
  <externalReferences>
    <externalReference r:id="rId4"/>
  </externalReferences>
  <definedNames>
    <definedName name="_TL2">[1]validate!$C$70:$C$85</definedName>
    <definedName name="_TR2">[1]validate!$C$113:$C$128</definedName>
    <definedName name="BAc">[1]validate!$C$225:$C$240</definedName>
    <definedName name="CCC">[1]validate!$C$164:$C$194</definedName>
    <definedName name="HP">[1]validate!$C$131:$C$161</definedName>
    <definedName name="ODRS2">[1]validate!$C$95:$C$110</definedName>
    <definedName name="OverD">[1]validate!$C$36:$C$51</definedName>
    <definedName name="Sources">[1]validate!$C$87:$C$93</definedName>
  </definedNames>
  <calcPr calcId="191029" fullCalcOnLoad="1"/>
</workbook>
</file>

<file path=xl/styles.xml><?xml version="1.0" encoding="utf-8"?>
<styleSheet xmlns="http://schemas.openxmlformats.org/spreadsheetml/2006/main">
  <numFmts count="4">
    <numFmt numFmtId="164" formatCode="_-* #,##0_-;\-* #,##0_-;_-* &quot;-&quot;??_-;_-@_-"/>
    <numFmt numFmtId="165" formatCode="dd/mm/yyyy;@"/>
    <numFmt numFmtId="166" formatCode="_-* #,##0.00_-;\-* #,##0.00_-;_-* &quot;-&quot;??_-;_-@_-"/>
    <numFmt numFmtId="167" formatCode="_-* #,##0.0_-;\-* #,##0.0_-;_-* &quot;-&quot;?_-;_-@_-"/>
  </numFmts>
  <fonts count="17">
    <font>
      <name val="Calibri"/>
      <family val="2"/>
      <color theme="1"/>
      <sz val="11"/>
      <scheme val="minor"/>
    </font>
    <font>
      <name val="Calibri"/>
      <family val="2"/>
      <color theme="1"/>
      <sz val="11"/>
      <scheme val="minor"/>
    </font>
    <font>
      <name val="Calibri"/>
      <family val="2"/>
      <color theme="1"/>
      <sz val="10"/>
      <scheme val="minor"/>
    </font>
    <font>
      <name val="Calibri"/>
      <family val="2"/>
      <color rgb="FFFF0000"/>
      <sz val="10"/>
      <scheme val="minor"/>
    </font>
    <font>
      <name val="Calibri"/>
      <family val="2"/>
      <b val="1"/>
      <color theme="1"/>
      <sz val="10"/>
      <scheme val="minor"/>
    </font>
    <font>
      <name val="Calibri"/>
      <family val="2"/>
      <b val="1"/>
      <sz val="10"/>
      <scheme val="minor"/>
    </font>
    <font>
      <name val="Calibri"/>
      <family val="2"/>
      <color theme="0" tint="-0.499984740745262"/>
      <sz val="10"/>
      <scheme val="minor"/>
    </font>
    <font>
      <name val="Calibri"/>
      <family val="2"/>
      <b val="1"/>
      <color rgb="FFFF0000"/>
      <sz val="10"/>
      <scheme val="minor"/>
    </font>
    <font>
      <name val="Calibri"/>
      <family val="2"/>
      <sz val="10"/>
      <scheme val="minor"/>
    </font>
    <font>
      <name val="Calibri"/>
      <family val="2"/>
      <b val="1"/>
      <color theme="1"/>
      <sz val="8"/>
      <scheme val="minor"/>
    </font>
    <font>
      <color rgb="0000AA00"/>
    </font>
    <font>
      <b val="1"/>
      <color rgb="0000AA00"/>
      <sz val="14"/>
    </font>
    <font>
      <b val="1"/>
      <color rgb="00FFFFFF"/>
    </font>
    <font>
      <b val="1"/>
    </font>
    <font>
      <b val="1"/>
      <color rgb="0000AA00"/>
    </font>
    <font>
      <b val="1"/>
      <color rgb="00FF0000"/>
    </font>
    <font>
      <b val="1"/>
      <color rgb="00FF0000"/>
      <sz val="16"/>
    </font>
  </fonts>
  <fills count="11">
    <fill>
      <patternFill/>
    </fill>
    <fill>
      <patternFill patternType="gray125"/>
    </fill>
    <fill>
      <patternFill patternType="solid">
        <fgColor rgb="FFFFFF00"/>
        <bgColor indexed="64"/>
      </patternFill>
    </fill>
    <fill>
      <patternFill patternType="solid">
        <fgColor theme="7"/>
        <bgColor indexed="64"/>
      </patternFill>
    </fill>
    <fill>
      <patternFill patternType="solid">
        <fgColor theme="0" tint="-0.0499893185216834"/>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4" tint="0.7999816888943144"/>
        <bgColor indexed="64"/>
      </patternFill>
    </fill>
    <fill>
      <patternFill patternType="solid">
        <fgColor rgb="001F4E79"/>
      </patternFill>
    </fill>
    <fill>
      <patternFill patternType="solid">
        <fgColor rgb="00C6EFCE"/>
      </patternFill>
    </fill>
    <fill>
      <patternFill patternType="solid">
        <fgColor rgb="00FFC7CE"/>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medium">
        <color theme="1"/>
      </bottom>
      <diagonal/>
    </border>
    <border>
      <left style="thin">
        <color theme="1"/>
      </left>
      <right style="thin">
        <color theme="1"/>
      </right>
      <top style="thin">
        <color theme="1"/>
      </top>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theme="1"/>
      </left>
      <right/>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right style="thin"/>
      <top style="thin"/>
      <bottom style="thin"/>
    </border>
  </borders>
  <cellStyleXfs count="3">
    <xf numFmtId="0" fontId="1" fillId="0" borderId="0"/>
    <xf numFmtId="166" fontId="1" fillId="0" borderId="0"/>
    <xf numFmtId="9" fontId="1" fillId="0" borderId="0"/>
  </cellStyleXfs>
  <cellXfs count="193">
    <xf numFmtId="0" fontId="0" fillId="0" borderId="0" pivotButton="0" quotePrefix="0" xfId="0"/>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14" fontId="4" fillId="4" borderId="2" applyAlignment="1" pivotButton="0" quotePrefix="0" xfId="0">
      <alignment horizontal="center" vertical="center" wrapText="1"/>
    </xf>
    <xf numFmtId="164" fontId="4" fillId="4" borderId="2" applyAlignment="1" pivotButton="0" quotePrefix="0" xfId="1">
      <alignment horizontal="center"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center" vertical="center" wrapText="1"/>
    </xf>
    <xf numFmtId="0" fontId="2" fillId="0" borderId="1" applyAlignment="1" pivotButton="0" quotePrefix="0" xfId="0">
      <alignment vertical="center" wrapText="1"/>
    </xf>
    <xf numFmtId="164" fontId="3" fillId="0" borderId="1" applyAlignment="1" pivotButton="0" quotePrefix="0" xfId="0">
      <alignment horizontal="center" vertical="center" wrapText="1"/>
    </xf>
    <xf numFmtId="38" fontId="2" fillId="2" borderId="1" applyAlignment="1" pivotButton="0" quotePrefix="0" xfId="1">
      <alignment horizontal="right" vertical="center" wrapText="1"/>
    </xf>
    <xf numFmtId="9" fontId="2" fillId="0" borderId="1" applyAlignment="1" pivotButton="0" quotePrefix="0" xfId="2">
      <alignment vertical="center" wrapText="1"/>
    </xf>
    <xf numFmtId="0" fontId="4" fillId="5" borderId="1" applyAlignment="1" pivotButton="0" quotePrefix="0" xfId="0">
      <alignment vertical="center" wrapText="1"/>
    </xf>
    <xf numFmtId="38" fontId="4" fillId="5" borderId="1" applyAlignment="1" pivotButton="0" quotePrefix="0" xfId="1">
      <alignment horizontal="right" vertical="center" wrapText="1"/>
    </xf>
    <xf numFmtId="10" fontId="2" fillId="0" borderId="1" applyAlignment="1" pivotButton="0" quotePrefix="0" xfId="2">
      <alignment vertical="center" wrapText="1"/>
    </xf>
    <xf numFmtId="166" fontId="2" fillId="0" borderId="1" applyAlignment="1" pivotButton="0" quotePrefix="0" xfId="1">
      <alignment vertical="center" wrapText="1"/>
    </xf>
    <xf numFmtId="38" fontId="3" fillId="0" borderId="1" applyAlignment="1" pivotButton="0" quotePrefix="0" xfId="1">
      <alignment horizontal="right" vertical="center" wrapText="1"/>
    </xf>
    <xf numFmtId="166" fontId="2" fillId="0" borderId="0" applyAlignment="1" pivotButton="0" quotePrefix="0" xfId="1">
      <alignment vertical="center" wrapText="1"/>
    </xf>
    <xf numFmtId="38" fontId="5" fillId="5" borderId="1" applyAlignment="1" pivotButton="0" quotePrefix="0" xfId="1">
      <alignment horizontal="right" vertical="center" wrapText="1"/>
    </xf>
    <xf numFmtId="164" fontId="2" fillId="0" borderId="1" applyAlignment="1" pivotButton="0" quotePrefix="0" xfId="1">
      <alignment vertical="center" wrapText="1"/>
    </xf>
    <xf numFmtId="38" fontId="2" fillId="0" borderId="0" applyAlignment="1" pivotButton="0" quotePrefix="0" xfId="0">
      <alignment vertical="center" wrapText="1"/>
    </xf>
    <xf numFmtId="0" fontId="2" fillId="0" borderId="3" applyAlignment="1" pivotButton="0" quotePrefix="0" xfId="0">
      <alignment vertical="center" wrapText="1"/>
    </xf>
    <xf numFmtId="0" fontId="2" fillId="0" borderId="4" applyAlignment="1" pivotButton="0" quotePrefix="0" xfId="0">
      <alignment vertical="center" wrapText="1"/>
    </xf>
    <xf numFmtId="2" fontId="2" fillId="0" borderId="3" applyAlignment="1" pivotButton="0" quotePrefix="0" xfId="0">
      <alignment vertical="center" wrapText="1"/>
    </xf>
    <xf numFmtId="1" fontId="2" fillId="0" borderId="3" applyAlignment="1" pivotButton="0" quotePrefix="0" xfId="0">
      <alignment vertical="center" wrapText="1"/>
    </xf>
    <xf numFmtId="164" fontId="2" fillId="0" borderId="0" applyAlignment="1" pivotButton="0" quotePrefix="0" xfId="0">
      <alignment vertical="center" wrapText="1"/>
    </xf>
    <xf numFmtId="1" fontId="2" fillId="0" borderId="1" applyAlignment="1" pivotButton="0" quotePrefix="0" xfId="2">
      <alignment vertical="center" wrapText="1"/>
    </xf>
    <xf numFmtId="2" fontId="2" fillId="0" borderId="1" applyAlignment="1" pivotButton="0" quotePrefix="0" xfId="2">
      <alignment vertical="center" wrapText="1"/>
    </xf>
    <xf numFmtId="0" fontId="4" fillId="6" borderId="1" applyAlignment="1" pivotButton="0" quotePrefix="0" xfId="0">
      <alignment vertical="center" wrapText="1"/>
    </xf>
    <xf numFmtId="38" fontId="4" fillId="6" borderId="1" applyAlignment="1" pivotButton="0" quotePrefix="0" xfId="1">
      <alignment horizontal="right" vertical="center" wrapText="1"/>
    </xf>
    <xf numFmtId="0" fontId="2" fillId="0" borderId="1" applyAlignment="1" pivotButton="0" quotePrefix="0" xfId="0">
      <alignment horizontal="left" vertical="center" wrapText="1"/>
    </xf>
    <xf numFmtId="2" fontId="2" fillId="0" borderId="1" applyAlignment="1" pivotButton="0" quotePrefix="0" xfId="0">
      <alignment vertical="center" wrapText="1"/>
    </xf>
    <xf numFmtId="1" fontId="2" fillId="0" borderId="1" applyAlignment="1" pivotButton="0" quotePrefix="0" xfId="0">
      <alignment vertical="center" wrapText="1"/>
    </xf>
    <xf numFmtId="164" fontId="2" fillId="2" borderId="1" applyAlignment="1" pivotButton="0" quotePrefix="0" xfId="1">
      <alignment horizontal="center" vertical="center" wrapText="1"/>
    </xf>
    <xf numFmtId="0" fontId="2" fillId="0" borderId="1" applyAlignment="1" pivotButton="0" quotePrefix="0" xfId="1">
      <alignment vertical="center" wrapText="1"/>
    </xf>
    <xf numFmtId="2" fontId="2" fillId="0" borderId="1" applyAlignment="1" pivotButton="0" quotePrefix="0" xfId="1">
      <alignment vertical="center" wrapText="1"/>
    </xf>
    <xf numFmtId="164" fontId="2" fillId="0" borderId="1" applyAlignment="1" pivotButton="0" quotePrefix="0" xfId="0">
      <alignment horizontal="center" vertical="center" wrapText="1"/>
    </xf>
    <xf numFmtId="164" fontId="2" fillId="2" borderId="1" applyAlignment="1" pivotButton="0" quotePrefix="0" xfId="0">
      <alignment horizontal="center" vertical="center" wrapText="1"/>
    </xf>
    <xf numFmtId="0" fontId="2" fillId="0" borderId="1" applyAlignment="1" pivotButton="0" quotePrefix="0" xfId="0">
      <alignment horizontal="left" wrapText="1"/>
    </xf>
    <xf numFmtId="164" fontId="6" fillId="0" borderId="0" applyAlignment="1" pivotButton="0" quotePrefix="0" xfId="0">
      <alignment horizontal="center" vertical="center" wrapText="1"/>
    </xf>
    <xf numFmtId="164" fontId="2" fillId="0" borderId="0" applyAlignment="1" pivotButton="0" quotePrefix="0" xfId="1">
      <alignment horizontal="center" vertical="center" wrapText="1"/>
    </xf>
    <xf numFmtId="0" fontId="4" fillId="4" borderId="5" applyAlignment="1" pivotButton="0" quotePrefix="0" xfId="0">
      <alignment horizontal="center" vertical="center" wrapText="1"/>
    </xf>
    <xf numFmtId="165" fontId="4" fillId="4" borderId="6" applyAlignment="1" pivotButton="0" quotePrefix="0" xfId="0">
      <alignment horizontal="center" vertical="center" wrapText="1"/>
    </xf>
    <xf numFmtId="165" fontId="4" fillId="4" borderId="7" applyAlignment="1" pivotButton="0" quotePrefix="0" xfId="1">
      <alignment horizontal="center" vertical="center" wrapText="1"/>
    </xf>
    <xf numFmtId="0" fontId="4" fillId="4" borderId="8" applyAlignment="1" pivotButton="0" quotePrefix="0" xfId="0">
      <alignment horizontal="center" vertical="center" wrapText="1"/>
    </xf>
    <xf numFmtId="165" fontId="4" fillId="4" borderId="9" applyAlignment="1" pivotButton="0" quotePrefix="0" xfId="1">
      <alignment horizontal="center" vertical="center" wrapText="1"/>
    </xf>
    <xf numFmtId="0" fontId="2" fillId="0" borderId="2" applyAlignment="1" pivotButton="0" quotePrefix="0" xfId="0">
      <alignment horizontal="left" vertical="center" wrapText="1"/>
    </xf>
    <xf numFmtId="2" fontId="2" fillId="0" borderId="2" applyAlignment="1" pivotButton="0" quotePrefix="0" xfId="0">
      <alignment horizontal="right" vertical="center" wrapText="1"/>
    </xf>
    <xf numFmtId="0" fontId="2" fillId="0" borderId="10" applyAlignment="1" pivotButton="0" quotePrefix="0" xfId="0">
      <alignment vertical="center" wrapText="1"/>
    </xf>
    <xf numFmtId="0" fontId="4" fillId="2" borderId="11" applyAlignment="1" pivotButton="0" quotePrefix="0" xfId="0">
      <alignment horizontal="center" vertical="center" wrapText="1"/>
    </xf>
    <xf numFmtId="165" fontId="4" fillId="2" borderId="1" applyAlignment="1" pivotButton="0" quotePrefix="0" xfId="0">
      <alignment horizontal="center" vertical="center" wrapText="1"/>
    </xf>
    <xf numFmtId="165" fontId="4" fillId="2" borderId="12" applyAlignment="1" pivotButton="0" quotePrefix="0" xfId="0">
      <alignment horizontal="center" vertical="center" wrapText="1"/>
    </xf>
    <xf numFmtId="0" fontId="2" fillId="0" borderId="13" applyAlignment="1" pivotButton="0" quotePrefix="0" xfId="0">
      <alignment horizontal="left" vertical="center" wrapText="1"/>
    </xf>
    <xf numFmtId="2" fontId="2" fillId="0" borderId="13" applyAlignment="1" pivotButton="0" quotePrefix="0" xfId="0">
      <alignment horizontal="right" vertical="center"/>
    </xf>
    <xf numFmtId="0" fontId="4" fillId="5" borderId="14" applyAlignment="1" pivotButton="0" quotePrefix="0" xfId="0">
      <alignment vertical="center" wrapText="1"/>
    </xf>
    <xf numFmtId="164" fontId="7" fillId="5" borderId="6" applyAlignment="1" pivotButton="0" quotePrefix="0" xfId="1">
      <alignment horizontal="center" vertical="center" wrapText="1"/>
    </xf>
    <xf numFmtId="164" fontId="4" fillId="5" borderId="15" applyAlignment="1" pivotButton="0" quotePrefix="0" xfId="1">
      <alignment horizontal="center" vertical="center" wrapText="1"/>
    </xf>
    <xf numFmtId="9" fontId="2" fillId="0" borderId="1" applyAlignment="1" pivotButton="0" quotePrefix="0" xfId="0">
      <alignment vertical="center" wrapText="1"/>
    </xf>
    <xf numFmtId="0" fontId="4" fillId="5" borderId="16" applyAlignment="1" pivotButton="0" quotePrefix="0" xfId="0">
      <alignment vertical="center" wrapText="1"/>
    </xf>
    <xf numFmtId="164" fontId="4" fillId="5" borderId="1" applyAlignment="1" pivotButton="0" quotePrefix="0" xfId="1">
      <alignment horizontal="center" vertical="center" wrapText="1"/>
    </xf>
    <xf numFmtId="164" fontId="4" fillId="5" borderId="17" applyAlignment="1" pivotButton="0" quotePrefix="0" xfId="1">
      <alignment horizontal="center" vertical="center" wrapText="1"/>
    </xf>
    <xf numFmtId="0" fontId="2" fillId="0" borderId="16" applyAlignment="1" pivotButton="0" quotePrefix="0" xfId="0">
      <alignment horizontal="left" vertical="center" wrapText="1" indent="1"/>
    </xf>
    <xf numFmtId="164" fontId="3"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4" fillId="2" borderId="17" applyAlignment="1" pivotButton="0" quotePrefix="0" xfId="1">
      <alignment horizontal="center" vertical="center" wrapText="1"/>
    </xf>
    <xf numFmtId="0" fontId="2" fillId="5" borderId="16" applyAlignment="1" pivotButton="0" quotePrefix="0" xfId="0">
      <alignment horizontal="left" vertical="center" wrapText="1" indent="1"/>
    </xf>
    <xf numFmtId="164" fontId="8" fillId="5" borderId="1" applyAlignment="1" pivotButton="0" quotePrefix="0" xfId="1">
      <alignment horizontal="center" vertical="center" wrapText="1"/>
    </xf>
    <xf numFmtId="164" fontId="5" fillId="5" borderId="17" applyAlignment="1" pivotButton="0" quotePrefix="0" xfId="1">
      <alignment horizontal="center" vertical="center" wrapText="1"/>
    </xf>
    <xf numFmtId="0" fontId="2" fillId="0" borderId="8" applyAlignment="1" pivotButton="0" quotePrefix="0" xfId="0">
      <alignment horizontal="left" vertical="center" wrapText="1" indent="2"/>
    </xf>
    <xf numFmtId="164" fontId="2" fillId="2" borderId="9" applyAlignment="1" pivotButton="0" quotePrefix="0" xfId="1">
      <alignment horizontal="center" vertical="center" wrapText="1"/>
    </xf>
    <xf numFmtId="0" fontId="2" fillId="0" borderId="8" applyAlignment="1" pivotButton="0" quotePrefix="0" xfId="0">
      <alignment horizontal="left" vertical="center" wrapText="1" indent="1"/>
    </xf>
    <xf numFmtId="164" fontId="4" fillId="2" borderId="9" applyAlignment="1" pivotButton="0" quotePrefix="0" xfId="1">
      <alignment horizontal="center" vertical="center" wrapText="1"/>
    </xf>
    <xf numFmtId="0" fontId="4" fillId="6" borderId="18" applyAlignment="1" pivotButton="0" quotePrefix="0" xfId="0">
      <alignment vertical="center" wrapText="1"/>
    </xf>
    <xf numFmtId="164" fontId="4" fillId="6" borderId="19" applyAlignment="1" pivotButton="0" quotePrefix="0" xfId="1">
      <alignment horizontal="center" vertical="center" wrapText="1"/>
    </xf>
    <xf numFmtId="164" fontId="4" fillId="6" borderId="20" applyAlignment="1" pivotButton="0" quotePrefix="0" xfId="1">
      <alignment horizontal="center" vertical="center" wrapText="1"/>
    </xf>
    <xf numFmtId="166" fontId="2" fillId="0" borderId="0" applyAlignment="1" pivotButton="0" quotePrefix="0" xfId="0">
      <alignment vertical="center" wrapText="1"/>
    </xf>
    <xf numFmtId="0" fontId="4" fillId="5" borderId="5" applyAlignment="1" pivotButton="0" quotePrefix="0" xfId="0">
      <alignment vertical="center" wrapText="1"/>
    </xf>
    <xf numFmtId="164" fontId="4" fillId="5" borderId="6" applyAlignment="1" pivotButton="0" quotePrefix="0" xfId="1">
      <alignment horizontal="center" vertical="center" wrapText="1"/>
    </xf>
    <xf numFmtId="164" fontId="4" fillId="5" borderId="7" applyAlignment="1" pivotButton="0" quotePrefix="0" xfId="1">
      <alignment horizontal="center" vertical="center" wrapText="1"/>
    </xf>
    <xf numFmtId="164" fontId="4" fillId="2" borderId="15" applyAlignment="1" pivotButton="0" quotePrefix="0" xfId="1">
      <alignment horizontal="center" vertical="center" wrapText="1"/>
    </xf>
    <xf numFmtId="4" fontId="2" fillId="0" borderId="0" applyAlignment="1" pivotButton="0" quotePrefix="0" xfId="0">
      <alignment vertical="center" wrapText="1"/>
    </xf>
    <xf numFmtId="167" fontId="2" fillId="0" borderId="0" applyAlignment="1" pivotButton="0" quotePrefix="0" xfId="0">
      <alignment vertical="center" wrapText="1"/>
    </xf>
    <xf numFmtId="164" fontId="2" fillId="2" borderId="17" applyAlignment="1" pivotButton="0" quotePrefix="0" xfId="1">
      <alignment horizontal="center" vertical="center" wrapText="1"/>
    </xf>
    <xf numFmtId="164" fontId="8" fillId="5" borderId="17" applyAlignment="1" pivotButton="0" quotePrefix="0" xfId="1">
      <alignment horizontal="center" vertical="center" wrapText="1"/>
    </xf>
    <xf numFmtId="0" fontId="2" fillId="0" borderId="16" applyAlignment="1" pivotButton="0" quotePrefix="0" xfId="0">
      <alignment horizontal="left" vertical="center" wrapText="1" indent="2"/>
    </xf>
    <xf numFmtId="0" fontId="4" fillId="7" borderId="8" applyAlignment="1" pivotButton="0" quotePrefix="0" xfId="0">
      <alignment vertical="center" wrapText="1"/>
    </xf>
    <xf numFmtId="164" fontId="7" fillId="7" borderId="2" applyAlignment="1" pivotButton="0" quotePrefix="0" xfId="1">
      <alignment horizontal="center" vertical="center" wrapText="1"/>
    </xf>
    <xf numFmtId="0" fontId="2" fillId="0" borderId="21" applyAlignment="1" pivotButton="0" quotePrefix="0" xfId="0">
      <alignment vertical="center" wrapText="1"/>
    </xf>
    <xf numFmtId="0" fontId="2" fillId="0" borderId="8" applyAlignment="1" pivotButton="0" quotePrefix="0" xfId="0">
      <alignment vertical="center" wrapText="1"/>
    </xf>
    <xf numFmtId="164" fontId="7" fillId="0" borderId="2" applyAlignment="1" pivotButton="0" quotePrefix="0" xfId="1">
      <alignment horizontal="center" vertical="center" wrapText="1"/>
    </xf>
    <xf numFmtId="0" fontId="2" fillId="0" borderId="16" applyAlignment="1" pivotButton="0" quotePrefix="0" xfId="0">
      <alignment vertical="center" wrapText="1"/>
    </xf>
    <xf numFmtId="164" fontId="7" fillId="0" borderId="1" applyAlignment="1" pivotButton="0" quotePrefix="0" xfId="1">
      <alignment horizontal="center" vertical="center" wrapText="1"/>
    </xf>
    <xf numFmtId="0" fontId="2" fillId="0" borderId="22" applyAlignment="1" pivotButton="0" quotePrefix="0" xfId="0">
      <alignment vertical="center" wrapText="1"/>
    </xf>
    <xf numFmtId="164" fontId="7" fillId="0" borderId="23" applyAlignment="1" pivotButton="0" quotePrefix="0" xfId="1">
      <alignment horizontal="center" vertical="center" wrapText="1"/>
    </xf>
    <xf numFmtId="164" fontId="7" fillId="0" borderId="24" applyAlignment="1" pivotButton="0" quotePrefix="0" xfId="1">
      <alignment horizontal="center" vertical="center" wrapText="1"/>
    </xf>
    <xf numFmtId="164" fontId="2" fillId="2" borderId="25" applyAlignment="1" pivotButton="0" quotePrefix="0" xfId="1">
      <alignment horizontal="center" vertical="center" wrapText="1"/>
    </xf>
    <xf numFmtId="0" fontId="4" fillId="6" borderId="26" applyAlignment="1" pivotButton="0" quotePrefix="0" xfId="0">
      <alignment vertical="center" wrapText="1"/>
    </xf>
    <xf numFmtId="0" fontId="4" fillId="0" borderId="0" applyAlignment="1" pivotButton="0" quotePrefix="0" xfId="0">
      <alignment vertical="center" wrapText="1"/>
    </xf>
    <xf numFmtId="164" fontId="4" fillId="0" borderId="0" applyAlignment="1" pivotButton="0" quotePrefix="0" xfId="1">
      <alignment horizontal="center" vertical="center" wrapText="1"/>
    </xf>
    <xf numFmtId="164" fontId="4" fillId="6" borderId="19" applyAlignment="1" pivotButton="0" quotePrefix="0" xfId="0">
      <alignment vertical="center" wrapText="1"/>
    </xf>
    <xf numFmtId="164" fontId="4" fillId="6" borderId="20" applyAlignment="1" pivotButton="0" quotePrefix="0" xfId="0">
      <alignment vertical="center" wrapText="1"/>
    </xf>
    <xf numFmtId="164" fontId="2" fillId="0" borderId="0" applyAlignment="1" pivotButton="0" quotePrefix="0" xfId="1">
      <alignment vertical="center" wrapText="1"/>
    </xf>
    <xf numFmtId="0" fontId="4" fillId="0" borderId="27" applyAlignment="1" pivotButton="0" quotePrefix="0" xfId="0">
      <alignment vertical="center" wrapText="1"/>
    </xf>
    <xf numFmtId="164" fontId="2" fillId="0" borderId="28" applyAlignment="1" pivotButton="0" quotePrefix="0" xfId="0">
      <alignment vertical="center" wrapText="1"/>
    </xf>
    <xf numFmtId="164" fontId="2" fillId="0" borderId="15" applyAlignment="1" pivotButton="0" quotePrefix="0" xfId="0">
      <alignment vertical="center" wrapText="1"/>
    </xf>
    <xf numFmtId="0" fontId="4" fillId="0" borderId="16" applyAlignment="1" pivotButton="0" quotePrefix="0" xfId="0">
      <alignment vertical="center" wrapText="1"/>
    </xf>
    <xf numFmtId="164" fontId="2" fillId="0" borderId="1" applyAlignment="1" pivotButton="0" quotePrefix="0" xfId="0">
      <alignment vertical="center" wrapText="1"/>
    </xf>
    <xf numFmtId="164" fontId="2" fillId="0" borderId="17" applyAlignment="1" pivotButton="0" quotePrefix="0" xfId="0">
      <alignment vertical="center" wrapText="1"/>
    </xf>
    <xf numFmtId="0" fontId="4" fillId="0" borderId="8" applyAlignment="1" pivotButton="0" quotePrefix="0" xfId="0">
      <alignment vertical="center" wrapText="1"/>
    </xf>
    <xf numFmtId="164" fontId="2" fillId="0" borderId="2" applyAlignment="1" pivotButton="0" quotePrefix="0" xfId="0">
      <alignment vertical="center" wrapText="1"/>
    </xf>
    <xf numFmtId="164" fontId="2" fillId="0" borderId="9" applyAlignment="1" pivotButton="0" quotePrefix="0" xfId="0">
      <alignment vertical="center" wrapText="1"/>
    </xf>
    <xf numFmtId="0" fontId="9" fillId="0" borderId="0" applyAlignment="1" pivotButton="0" quotePrefix="0" xfId="0">
      <alignment vertical="center" wrapText="1"/>
    </xf>
    <xf numFmtId="164" fontId="2" fillId="6" borderId="19" applyAlignment="1" pivotButton="0" quotePrefix="0" xfId="1">
      <alignment vertical="center" wrapText="1"/>
    </xf>
    <xf numFmtId="164" fontId="2" fillId="6" borderId="20" applyAlignment="1" pivotButton="0" quotePrefix="0" xfId="1">
      <alignment vertical="center" wrapText="1"/>
    </xf>
    <xf numFmtId="164" fontId="2" fillId="0" borderId="0" applyAlignment="1" pivotButton="0" quotePrefix="0" xfId="1">
      <alignment vertical="center" wrapText="1"/>
    </xf>
    <xf numFmtId="164" fontId="4" fillId="4" borderId="2" applyAlignment="1" pivotButton="0" quotePrefix="0" xfId="1">
      <alignment horizontal="center" vertical="center" wrapText="1"/>
    </xf>
    <xf numFmtId="165" fontId="4" fillId="4" borderId="2" applyAlignment="1" pivotButton="0" quotePrefix="0" xfId="0">
      <alignment horizontal="center" vertical="center" wrapText="1"/>
    </xf>
    <xf numFmtId="164" fontId="3" fillId="0" borderId="1" applyAlignment="1" pivotButton="0" quotePrefix="0" xfId="0">
      <alignment vertical="center" wrapText="1"/>
    </xf>
    <xf numFmtId="164" fontId="3" fillId="0" borderId="1" applyAlignment="1" pivotButton="0" quotePrefix="0" xfId="0">
      <alignment horizontal="center" vertical="center" wrapText="1"/>
    </xf>
    <xf numFmtId="38" fontId="4" fillId="5" borderId="1" applyAlignment="1" pivotButton="0" quotePrefix="0" xfId="1">
      <alignment vertical="center" wrapText="1"/>
    </xf>
    <xf numFmtId="166" fontId="2" fillId="0" borderId="1" applyAlignment="1" pivotButton="0" quotePrefix="0" xfId="1">
      <alignment vertical="center" wrapText="1"/>
    </xf>
    <xf numFmtId="166" fontId="2" fillId="0" borderId="0" applyAlignment="1" pivotButton="0" quotePrefix="0" xfId="1">
      <alignment vertical="center" wrapText="1"/>
    </xf>
    <xf numFmtId="38" fontId="5" fillId="5" borderId="1" applyAlignment="1" pivotButton="0" quotePrefix="0" xfId="1">
      <alignment vertical="center" wrapText="1"/>
    </xf>
    <xf numFmtId="164" fontId="2" fillId="0" borderId="1" applyAlignment="1" pivotButton="0" quotePrefix="0" xfId="1">
      <alignment vertical="center" wrapText="1"/>
    </xf>
    <xf numFmtId="164" fontId="2" fillId="0" borderId="0" applyAlignment="1" pivotButton="0" quotePrefix="0" xfId="0">
      <alignment vertical="center" wrapText="1"/>
    </xf>
    <xf numFmtId="38" fontId="4" fillId="6" borderId="1" applyAlignment="1" pivotButton="0" quotePrefix="0" xfId="1">
      <alignment vertical="center" wrapText="1"/>
    </xf>
    <xf numFmtId="164" fontId="2" fillId="2" borderId="1" applyAlignment="1" pivotButton="0" quotePrefix="0" xfId="1">
      <alignment horizontal="center" vertical="center" wrapText="1"/>
    </xf>
    <xf numFmtId="164" fontId="2" fillId="0" borderId="1" applyAlignment="1" pivotButton="0" quotePrefix="0" xfId="0">
      <alignment vertical="center" wrapText="1"/>
    </xf>
    <xf numFmtId="164" fontId="2" fillId="0" borderId="1" applyAlignment="1" pivotButton="0" quotePrefix="0" xfId="0">
      <alignment horizontal="center" vertical="center" wrapText="1"/>
    </xf>
    <xf numFmtId="164" fontId="2" fillId="2" borderId="1" applyAlignment="1" pivotButton="0" quotePrefix="0" xfId="0">
      <alignment horizontal="center" vertical="center" wrapText="1"/>
    </xf>
    <xf numFmtId="164" fontId="6" fillId="0" borderId="0" applyAlignment="1" pivotButton="0" quotePrefix="0" xfId="0">
      <alignment horizontal="center" vertical="center" wrapText="1"/>
    </xf>
    <xf numFmtId="164" fontId="2" fillId="0" borderId="0" applyAlignment="1" pivotButton="0" quotePrefix="0" xfId="1">
      <alignment horizontal="center" vertical="center" wrapText="1"/>
    </xf>
    <xf numFmtId="165" fontId="4" fillId="4" borderId="6" applyAlignment="1" pivotButton="0" quotePrefix="0" xfId="0">
      <alignment horizontal="center" vertical="center" wrapText="1"/>
    </xf>
    <xf numFmtId="165" fontId="4" fillId="4" borderId="7" applyAlignment="1" pivotButton="0" quotePrefix="0" xfId="1">
      <alignment horizontal="center" vertical="center" wrapText="1"/>
    </xf>
    <xf numFmtId="165" fontId="4" fillId="4" borderId="9" applyAlignment="1" pivotButton="0" quotePrefix="0" xfId="1">
      <alignment horizontal="center" vertical="center" wrapText="1"/>
    </xf>
    <xf numFmtId="165" fontId="10" fillId="2" borderId="1" applyAlignment="1" pivotButton="0" quotePrefix="0" xfId="0">
      <alignment horizontal="center" vertical="center" wrapText="1"/>
    </xf>
    <xf numFmtId="165" fontId="4" fillId="2" borderId="1" applyAlignment="1" pivotButton="0" quotePrefix="0" xfId="0">
      <alignment horizontal="center" vertical="center" wrapText="1"/>
    </xf>
    <xf numFmtId="165" fontId="4" fillId="2" borderId="12" applyAlignment="1" pivotButton="0" quotePrefix="0" xfId="0">
      <alignment horizontal="center" vertical="center" wrapText="1"/>
    </xf>
    <xf numFmtId="164" fontId="7" fillId="5" borderId="6" applyAlignment="1" pivotButton="0" quotePrefix="0" xfId="1">
      <alignment vertical="center" wrapText="1"/>
    </xf>
    <xf numFmtId="164" fontId="7" fillId="5" borderId="6" applyAlignment="1" pivotButton="0" quotePrefix="0" xfId="1">
      <alignment horizontal="center" vertical="center" wrapText="1"/>
    </xf>
    <xf numFmtId="164" fontId="4" fillId="5" borderId="15" applyAlignment="1" pivotButton="0" quotePrefix="0" xfId="1">
      <alignment horizontal="center" vertical="center" wrapText="1"/>
    </xf>
    <xf numFmtId="164" fontId="4" fillId="5" borderId="1" applyAlignment="1" pivotButton="0" quotePrefix="0" xfId="1">
      <alignment vertical="center" wrapText="1"/>
    </xf>
    <xf numFmtId="164" fontId="4" fillId="5" borderId="1" applyAlignment="1" pivotButton="0" quotePrefix="0" xfId="1">
      <alignment horizontal="center" vertical="center" wrapText="1"/>
    </xf>
    <xf numFmtId="164" fontId="4" fillId="5" borderId="17" applyAlignment="1" pivotButton="0" quotePrefix="0" xfId="1">
      <alignment horizontal="center" vertical="center" wrapText="1"/>
    </xf>
    <xf numFmtId="164" fontId="3" fillId="0" borderId="1" applyAlignment="1" pivotButton="0" quotePrefix="0" xfId="1">
      <alignment vertical="center" wrapText="1"/>
    </xf>
    <xf numFmtId="164" fontId="3" fillId="0" borderId="2" applyAlignment="1" pivotButton="0" quotePrefix="0" xfId="1">
      <alignment horizontal="center" vertical="center" wrapText="1"/>
    </xf>
    <xf numFmtId="164" fontId="3" fillId="0" borderId="1" applyAlignment="1" pivotButton="0" quotePrefix="0" xfId="1">
      <alignment horizontal="center" vertical="center" wrapText="1"/>
    </xf>
    <xf numFmtId="164" fontId="4" fillId="2" borderId="17" applyAlignment="1" pivotButton="0" quotePrefix="0" xfId="1">
      <alignment horizontal="center" vertical="center" wrapText="1"/>
    </xf>
    <xf numFmtId="164" fontId="8" fillId="5" borderId="1" applyAlignment="1" pivotButton="0" quotePrefix="0" xfId="1">
      <alignment vertical="center" wrapText="1"/>
    </xf>
    <xf numFmtId="164" fontId="8" fillId="5" borderId="1" applyAlignment="1" pivotButton="0" quotePrefix="0" xfId="1">
      <alignment horizontal="center" vertical="center" wrapText="1"/>
    </xf>
    <xf numFmtId="164" fontId="5" fillId="5" borderId="17" applyAlignment="1" pivotButton="0" quotePrefix="0" xfId="1">
      <alignment horizontal="center" vertical="center" wrapText="1"/>
    </xf>
    <xf numFmtId="164" fontId="3" fillId="0" borderId="2" applyAlignment="1" pivotButton="0" quotePrefix="0" xfId="1">
      <alignment vertical="center" wrapText="1"/>
    </xf>
    <xf numFmtId="164" fontId="2" fillId="2" borderId="9" applyAlignment="1" pivotButton="0" quotePrefix="0" xfId="1">
      <alignment horizontal="center" vertical="center" wrapText="1"/>
    </xf>
    <xf numFmtId="164" fontId="4" fillId="2" borderId="9" applyAlignment="1" pivotButton="0" quotePrefix="0" xfId="1">
      <alignment horizontal="center" vertical="center" wrapText="1"/>
    </xf>
    <xf numFmtId="164" fontId="4" fillId="6" borderId="19" applyAlignment="1" pivotButton="0" quotePrefix="0" xfId="1">
      <alignment vertical="center" wrapText="1"/>
    </xf>
    <xf numFmtId="164" fontId="4" fillId="6" borderId="19" applyAlignment="1" pivotButton="0" quotePrefix="0" xfId="1">
      <alignment horizontal="center" vertical="center" wrapText="1"/>
    </xf>
    <xf numFmtId="164" fontId="4" fillId="6" borderId="20" applyAlignment="1" pivotButton="0" quotePrefix="0" xfId="1">
      <alignment horizontal="center" vertical="center" wrapText="1"/>
    </xf>
    <xf numFmtId="166" fontId="2" fillId="0" borderId="0" applyAlignment="1" pivotButton="0" quotePrefix="0" xfId="0">
      <alignment vertical="center" wrapText="1"/>
    </xf>
    <xf numFmtId="164" fontId="4" fillId="5" borderId="6" applyAlignment="1" pivotButton="0" quotePrefix="0" xfId="1">
      <alignment vertical="center" wrapText="1"/>
    </xf>
    <xf numFmtId="164" fontId="4" fillId="5" borderId="6" applyAlignment="1" pivotButton="0" quotePrefix="0" xfId="1">
      <alignment horizontal="center" vertical="center" wrapText="1"/>
    </xf>
    <xf numFmtId="164" fontId="4" fillId="5" borderId="7" applyAlignment="1" pivotButton="0" quotePrefix="0" xfId="1">
      <alignment horizontal="center" vertical="center" wrapText="1"/>
    </xf>
    <xf numFmtId="164" fontId="4" fillId="2" borderId="15" applyAlignment="1" pivotButton="0" quotePrefix="0" xfId="1">
      <alignment horizontal="center" vertical="center" wrapText="1"/>
    </xf>
    <xf numFmtId="164" fontId="2" fillId="2" borderId="17" applyAlignment="1" pivotButton="0" quotePrefix="0" xfId="1">
      <alignment horizontal="center" vertical="center" wrapText="1"/>
    </xf>
    <xf numFmtId="164" fontId="8" fillId="5" borderId="17" applyAlignment="1" pivotButton="0" quotePrefix="0" xfId="1">
      <alignment horizontal="center" vertical="center" wrapText="1"/>
    </xf>
    <xf numFmtId="164" fontId="7" fillId="7" borderId="2" applyAlignment="1" pivotButton="0" quotePrefix="0" xfId="1">
      <alignment vertical="center" wrapText="1"/>
    </xf>
    <xf numFmtId="164" fontId="7" fillId="7" borderId="2" applyAlignment="1" pivotButton="0" quotePrefix="0" xfId="1">
      <alignment horizontal="center" vertical="center" wrapText="1"/>
    </xf>
    <xf numFmtId="164" fontId="7" fillId="0" borderId="2" applyAlignment="1" pivotButton="0" quotePrefix="0" xfId="1">
      <alignment vertical="center" wrapText="1"/>
    </xf>
    <xf numFmtId="164" fontId="7" fillId="0" borderId="2" applyAlignment="1" pivotButton="0" quotePrefix="0" xfId="1">
      <alignment horizontal="center" vertical="center" wrapText="1"/>
    </xf>
    <xf numFmtId="164" fontId="7" fillId="0" borderId="1" applyAlignment="1" pivotButton="0" quotePrefix="0" xfId="1">
      <alignment vertical="center" wrapText="1"/>
    </xf>
    <xf numFmtId="164" fontId="7" fillId="0" borderId="1" applyAlignment="1" pivotButton="0" quotePrefix="0" xfId="1">
      <alignment horizontal="center" vertical="center" wrapText="1"/>
    </xf>
    <xf numFmtId="164" fontId="7" fillId="0" borderId="23" applyAlignment="1" pivotButton="0" quotePrefix="0" xfId="1">
      <alignment vertical="center" wrapText="1"/>
    </xf>
    <xf numFmtId="164" fontId="7" fillId="0" borderId="23" applyAlignment="1" pivotButton="0" quotePrefix="0" xfId="1">
      <alignment horizontal="center" vertical="center" wrapText="1"/>
    </xf>
    <xf numFmtId="164" fontId="7" fillId="0" borderId="24" applyAlignment="1" pivotButton="0" quotePrefix="0" xfId="1">
      <alignment horizontal="center" vertical="center" wrapText="1"/>
    </xf>
    <xf numFmtId="164" fontId="2" fillId="2" borderId="25" applyAlignment="1" pivotButton="0" quotePrefix="0" xfId="1">
      <alignment horizontal="center" vertical="center" wrapText="1"/>
    </xf>
    <xf numFmtId="164" fontId="4" fillId="0" borderId="0" applyAlignment="1" pivotButton="0" quotePrefix="0" xfId="1">
      <alignment horizontal="center" vertical="center" wrapText="1"/>
    </xf>
    <xf numFmtId="164" fontId="4" fillId="6" borderId="19" applyAlignment="1" pivotButton="0" quotePrefix="0" xfId="0">
      <alignment vertical="center" wrapText="1"/>
    </xf>
    <xf numFmtId="164" fontId="4" fillId="6" borderId="20" applyAlignment="1" pivotButton="0" quotePrefix="0" xfId="0">
      <alignment vertical="center" wrapText="1"/>
    </xf>
    <xf numFmtId="164" fontId="2" fillId="0" borderId="28" applyAlignment="1" pivotButton="0" quotePrefix="0" xfId="0">
      <alignment vertical="center" wrapText="1"/>
    </xf>
    <xf numFmtId="164" fontId="2" fillId="0" borderId="15" applyAlignment="1" pivotButton="0" quotePrefix="0" xfId="0">
      <alignment vertical="center" wrapText="1"/>
    </xf>
    <xf numFmtId="164" fontId="2" fillId="0" borderId="17" applyAlignment="1" pivotButton="0" quotePrefix="0" xfId="0">
      <alignment vertical="center" wrapText="1"/>
    </xf>
    <xf numFmtId="164" fontId="2" fillId="0" borderId="2" applyAlignment="1" pivotButton="0" quotePrefix="0" xfId="0">
      <alignment vertical="center" wrapText="1"/>
    </xf>
    <xf numFmtId="164" fontId="2" fillId="0" borderId="9" applyAlignment="1" pivotButton="0" quotePrefix="0" xfId="0">
      <alignment vertical="center" wrapText="1"/>
    </xf>
    <xf numFmtId="164" fontId="2" fillId="6" borderId="19" applyAlignment="1" pivotButton="0" quotePrefix="0" xfId="1">
      <alignment vertical="center" wrapText="1"/>
    </xf>
    <xf numFmtId="164" fontId="2" fillId="6" borderId="20" applyAlignment="1" pivotButton="0" quotePrefix="0" xfId="1">
      <alignment vertical="center" wrapText="1"/>
    </xf>
    <xf numFmtId="38" fontId="3" fillId="0" borderId="1" applyAlignment="1" pivotButton="0" quotePrefix="0" xfId="1">
      <alignment vertical="center" wrapText="1"/>
    </xf>
    <xf numFmtId="0" fontId="11" fillId="0" borderId="0" pivotButton="0" quotePrefix="0" xfId="0"/>
    <xf numFmtId="0" fontId="12" fillId="8" borderId="0" pivotButton="0" quotePrefix="0" xfId="0"/>
    <xf numFmtId="0" fontId="13" fillId="0" borderId="29" pivotButton="0" quotePrefix="0" xfId="0"/>
    <xf numFmtId="0" fontId="0" fillId="0" borderId="29" pivotButton="0" quotePrefix="0" xfId="0"/>
    <xf numFmtId="0" fontId="14" fillId="9" borderId="29" pivotButton="0" quotePrefix="0" xfId="0"/>
    <xf numFmtId="0" fontId="15" fillId="10" borderId="29" pivotButton="0" quotePrefix="0" xfId="0"/>
    <xf numFmtId="0" fontId="16" fillId="10" borderId="0" pivotButton="0" quotePrefix="0" xfId="0"/>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15</col>
      <colOff>0</colOff>
      <row>2</row>
      <rowOff>0</rowOff>
    </from>
    <to>
      <col>25</col>
      <colOff>310683</colOff>
      <row>21</row>
      <rowOff>72086</rowOff>
    </to>
    <pic>
      <nvPicPr>
        <cNvPr id="2" name="Picture 1"/>
        <cNvPicPr>
          <a:picLocks noChangeAspect="1"/>
        </cNvPicPr>
      </nvPicPr>
      <blipFill>
        <a:blip r:embed="rId1"/>
        <a:stretch>
          <a:fillRect/>
        </a:stretch>
      </blipFill>
      <spPr>
        <a:xfrm>
          <a:off x="14871700" y="330200"/>
          <a:ext cx="6832133" cy="5488636"/>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magnisave.sharepoint.com/Users/Joe/Desktop/Moneysave%20Capital/Project%20F/Copy%20of%20RSME%20Calculator.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FFFF00"/>
    <outlinePr summaryBelow="1" summaryRight="1"/>
    <pageSetUpPr fitToPage="1"/>
  </sheetPr>
  <dimension ref="A1:X96"/>
  <sheetViews>
    <sheetView showGridLines="0" tabSelected="1" topLeftCell="A24" zoomScaleNormal="100" workbookViewId="0">
      <selection activeCell="C24" sqref="C24:G53"/>
    </sheetView>
  </sheetViews>
  <sheetFormatPr baseColWidth="10" defaultColWidth="9.1640625" defaultRowHeight="14" outlineLevelRow="1"/>
  <cols>
    <col width="9.1640625" customWidth="1" style="1" min="1" max="1"/>
    <col width="35.33203125" customWidth="1" style="1" min="2" max="2"/>
    <col width="13.33203125" customWidth="1" style="1" min="3" max="6"/>
    <col width="13.33203125" customWidth="1" style="115" min="7" max="7"/>
    <col width="13.33203125" customWidth="1" style="1" min="8" max="14"/>
    <col width="9.1640625" customWidth="1" style="1" min="15" max="16"/>
    <col width="10.6640625" bestFit="1" customWidth="1" style="1" min="17" max="17"/>
    <col width="9.1640625" customWidth="1" style="1" min="18" max="26"/>
    <col width="9.1640625" customWidth="1" style="1" min="27" max="27"/>
    <col width="9.1640625" customWidth="1" style="1" min="28" max="16384"/>
  </cols>
  <sheetData>
    <row r="1"/>
    <row r="2" ht="15" customHeight="1">
      <c r="C2" s="2" t="n"/>
      <c r="D2" s="2" t="n"/>
      <c r="E2" s="2" t="inlineStr">
        <is>
          <t xml:space="preserve">Full year </t>
        </is>
      </c>
      <c r="F2" s="2" t="inlineStr">
        <is>
          <t>5 months</t>
        </is>
      </c>
      <c r="G2" s="3" t="n">
        <v>150</v>
      </c>
      <c r="H2" s="2" t="inlineStr">
        <is>
          <t>No of days</t>
        </is>
      </c>
    </row>
    <row r="3" ht="15" customHeight="1">
      <c r="B3" s="4" t="inlineStr">
        <is>
          <t>Audited / Mgmt Account</t>
        </is>
      </c>
      <c r="C3" s="5" t="inlineStr">
        <is>
          <t>Audited</t>
        </is>
      </c>
      <c r="D3" s="5" t="inlineStr">
        <is>
          <t>Audited</t>
        </is>
      </c>
      <c r="E3" s="5" t="inlineStr">
        <is>
          <t>Mgmt Acc</t>
        </is>
      </c>
      <c r="F3" s="5" t="inlineStr">
        <is>
          <t>Mgmt Acc</t>
        </is>
      </c>
      <c r="G3" s="116" t="inlineStr">
        <is>
          <t>Annualised</t>
        </is>
      </c>
      <c r="H3" s="2" t="n"/>
      <c r="J3" s="5">
        <f>C3</f>
        <v/>
      </c>
      <c r="K3" s="5">
        <f>D3</f>
        <v/>
      </c>
      <c r="L3" s="5">
        <f>E3</f>
        <v/>
      </c>
      <c r="M3" s="5">
        <f>F3</f>
        <v/>
      </c>
      <c r="N3" s="5">
        <f>G3</f>
        <v/>
      </c>
      <c r="X3" s="1" t="inlineStr">
        <is>
          <t>Yes</t>
        </is>
      </c>
    </row>
    <row r="4" ht="12.75" customHeight="1">
      <c r="B4" s="7" t="inlineStr">
        <is>
          <t>Profit &amp; Loss</t>
        </is>
      </c>
      <c r="C4" s="117" t="inlineStr">
        <is>
          <t>30/04/2023</t>
        </is>
      </c>
      <c r="D4" s="117" t="inlineStr">
        <is>
          <t>30/04/2024</t>
        </is>
      </c>
      <c r="E4" s="117" t="inlineStr">
        <is>
          <t>30/04/2025</t>
        </is>
      </c>
      <c r="F4" s="117" t="inlineStr">
        <is>
          <t>30/09/2025</t>
        </is>
      </c>
      <c r="G4" s="117">
        <f>F4</f>
        <v/>
      </c>
      <c r="I4" s="7" t="inlineStr">
        <is>
          <t>Financial Ratio</t>
        </is>
      </c>
      <c r="J4" s="117">
        <f>C4</f>
        <v/>
      </c>
      <c r="K4" s="117">
        <f>D4</f>
        <v/>
      </c>
      <c r="L4" s="117">
        <f>E4</f>
        <v/>
      </c>
      <c r="M4" s="117">
        <f>F4</f>
        <v/>
      </c>
      <c r="N4" s="117">
        <f>G4</f>
        <v/>
      </c>
      <c r="X4" s="1" t="inlineStr">
        <is>
          <t>No</t>
        </is>
      </c>
    </row>
    <row r="5" outlineLevel="1" ht="39" customHeight="1">
      <c r="B5" s="7" t="inlineStr">
        <is>
          <t>Profit &amp; Loss (REF)</t>
        </is>
      </c>
      <c r="C5" s="117">
        <f>C3&amp;"-"&amp;(TEXT(C4,"DDMMYYYY"))</f>
        <v/>
      </c>
      <c r="D5" s="117">
        <f>D3&amp;"-"&amp;(TEXT(D4,"DDMMYYYY"))</f>
        <v/>
      </c>
      <c r="E5" s="117">
        <f>E3&amp;"-"&amp;(TEXT(E4,"DDMMYYYY"))</f>
        <v/>
      </c>
      <c r="F5" s="117">
        <f>F3&amp;"-"&amp;(TEXT(F4,"DDMMYYYY"))</f>
        <v/>
      </c>
      <c r="G5" s="117">
        <f>G3&amp;"-"&amp;(TEXT(G4,"DDMMYYYY"))</f>
        <v/>
      </c>
      <c r="I5" s="7" t="inlineStr">
        <is>
          <t>Financial Ratio (REF)</t>
        </is>
      </c>
      <c r="J5" s="117">
        <f>C5</f>
        <v/>
      </c>
      <c r="K5" s="117">
        <f>D5</f>
        <v/>
      </c>
      <c r="L5" s="117">
        <f>E5</f>
        <v/>
      </c>
      <c r="M5" s="117">
        <f>F5</f>
        <v/>
      </c>
      <c r="N5" s="117">
        <f>G5</f>
        <v/>
      </c>
      <c r="X5" s="1" t="inlineStr">
        <is>
          <t>N/A</t>
        </is>
      </c>
    </row>
    <row r="6" ht="25.5" customHeight="1">
      <c r="B6" s="9" t="inlineStr">
        <is>
          <t>Revenue</t>
        </is>
      </c>
      <c r="C6" s="118" t="n">
        <v>17978860</v>
      </c>
      <c r="D6" s="118" t="n">
        <v>27983932</v>
      </c>
      <c r="E6" s="119" t="n"/>
      <c r="F6" s="119" t="n"/>
      <c r="G6" s="11" t="n"/>
      <c r="I6" s="9" t="inlineStr">
        <is>
          <t>Revenue Growth</t>
        </is>
      </c>
      <c r="J6" s="12" t="inlineStr">
        <is>
          <t>N/A</t>
        </is>
      </c>
      <c r="K6" s="12">
        <f>(D6-C6)/C6</f>
        <v/>
      </c>
      <c r="L6" s="12">
        <f>(E6-D6)/D6</f>
        <v/>
      </c>
      <c r="M6" s="12">
        <f>(F6-E6)/E6</f>
        <v/>
      </c>
      <c r="N6" s="12">
        <f>(G6-E6)/E6</f>
        <v/>
      </c>
    </row>
    <row r="7" ht="15" customHeight="1">
      <c r="B7" s="9" t="inlineStr">
        <is>
          <t>Cost of sales</t>
        </is>
      </c>
      <c r="C7" s="118" t="n">
        <v>15376899</v>
      </c>
      <c r="D7" s="118" t="n">
        <v>24122517</v>
      </c>
      <c r="E7" s="119" t="n"/>
      <c r="F7" s="119" t="n"/>
      <c r="G7" s="11" t="n"/>
      <c r="I7" s="9" t="inlineStr">
        <is>
          <t>Gross margin</t>
        </is>
      </c>
      <c r="J7" s="12">
        <f>C8/C6</f>
        <v/>
      </c>
      <c r="K7" s="12">
        <f>D8/D6</f>
        <v/>
      </c>
      <c r="L7" s="12">
        <f>E8/E6</f>
        <v/>
      </c>
      <c r="M7" s="12">
        <f>F8/F6</f>
        <v/>
      </c>
      <c r="N7" s="12">
        <f>G8/G6</f>
        <v/>
      </c>
    </row>
    <row r="8" ht="12.75" customHeight="1">
      <c r="B8" s="13" t="inlineStr">
        <is>
          <t>Gross Profit</t>
        </is>
      </c>
      <c r="C8" s="120" t="n">
        <v>2601961</v>
      </c>
      <c r="D8" s="120" t="n">
        <v>3861415</v>
      </c>
      <c r="E8" s="14" t="n"/>
      <c r="F8" s="14" t="n"/>
      <c r="G8" s="14" t="n"/>
      <c r="I8" s="9" t="inlineStr">
        <is>
          <t>Net Margin</t>
        </is>
      </c>
      <c r="J8" s="12">
        <f>C17/C6</f>
        <v/>
      </c>
      <c r="K8" s="12">
        <f>D17/D6</f>
        <v/>
      </c>
      <c r="L8" s="15">
        <f>E17/E6</f>
        <v/>
      </c>
      <c r="M8" s="12">
        <f>F17/F6</f>
        <v/>
      </c>
      <c r="N8" s="12">
        <f>G17/G6</f>
        <v/>
      </c>
    </row>
    <row r="9" ht="15" customHeight="1">
      <c r="B9" s="9" t="inlineStr">
        <is>
          <t>Depreciation</t>
        </is>
      </c>
      <c r="C9" s="118" t="n">
        <v>131587</v>
      </c>
      <c r="D9" s="118" t="n">
        <v>149887</v>
      </c>
      <c r="E9" s="119" t="n"/>
      <c r="F9" s="119" t="n"/>
      <c r="G9" s="11" t="n"/>
      <c r="I9" s="9" t="inlineStr">
        <is>
          <t>Current Ratio</t>
        </is>
      </c>
      <c r="J9" s="121">
        <f>C25/C39</f>
        <v/>
      </c>
      <c r="K9" s="121">
        <f>D25/D39</f>
        <v/>
      </c>
      <c r="L9" s="121">
        <f>E25/E39</f>
        <v/>
      </c>
      <c r="M9" s="121">
        <f>F25/F39</f>
        <v/>
      </c>
      <c r="N9" s="121">
        <f>G25/G39</f>
        <v/>
      </c>
    </row>
    <row r="10" ht="12.75" customHeight="1">
      <c r="B10" s="9" t="inlineStr">
        <is>
          <t>Staff Cost</t>
        </is>
      </c>
      <c r="C10" s="118" t="n">
        <v>637563</v>
      </c>
      <c r="D10" s="118" t="n">
        <v>822562</v>
      </c>
      <c r="E10" s="119" t="n"/>
      <c r="F10" s="17" t="n"/>
      <c r="G10" s="11" t="n"/>
      <c r="H10" s="122" t="n"/>
      <c r="I10" s="9" t="inlineStr">
        <is>
          <t>Quick Ratio</t>
        </is>
      </c>
      <c r="J10" s="121">
        <f>(C25-C32)/C39</f>
        <v/>
      </c>
      <c r="K10" s="121">
        <f>(D25-D32)/D39</f>
        <v/>
      </c>
      <c r="L10" s="121">
        <f>(E25-E32)/E39</f>
        <v/>
      </c>
      <c r="M10" s="121">
        <f>(F25-F32)/F39</f>
        <v/>
      </c>
      <c r="N10" s="121">
        <f>(G25-G32)/G39</f>
        <v/>
      </c>
    </row>
    <row r="11" ht="15" customHeight="1">
      <c r="B11" s="9" t="inlineStr">
        <is>
          <t>Other Operating Expenses</t>
        </is>
      </c>
      <c r="C11" s="118" t="n">
        <v>1007204</v>
      </c>
      <c r="D11" s="118" t="n">
        <v>1676656</v>
      </c>
      <c r="E11" s="119" t="n"/>
      <c r="F11" s="17" t="n"/>
      <c r="G11" s="11" t="n"/>
      <c r="H11" s="122" t="n"/>
      <c r="I11" s="9" t="inlineStr">
        <is>
          <t>Gearing Ratio</t>
        </is>
      </c>
      <c r="J11" s="121">
        <f>(C36+C37+C46+C47)/(C49-C56)</f>
        <v/>
      </c>
      <c r="K11" s="121">
        <f>(D36+D37+D46+D47)/(D49-D56)</f>
        <v/>
      </c>
      <c r="L11" s="121">
        <f>(E36+E37+E46+E47)/(E49-E56)</f>
        <v/>
      </c>
      <c r="M11" s="121">
        <f>(F36+F37+F46+F47)/(F49-F56)</f>
        <v/>
      </c>
      <c r="N11" s="121">
        <f>(G36+G37+G46+G47)/(G49-F56)</f>
        <v/>
      </c>
    </row>
    <row r="12" ht="12.75" customHeight="1">
      <c r="B12" s="13" t="inlineStr">
        <is>
          <t>Operating Profit</t>
        </is>
      </c>
      <c r="C12" s="123" t="n">
        <v>825607</v>
      </c>
      <c r="D12" s="123" t="n">
        <v>1212310</v>
      </c>
      <c r="E12" s="19" t="n"/>
      <c r="F12" s="19" t="n"/>
      <c r="G12" s="19" t="n"/>
      <c r="I12" s="9" t="inlineStr">
        <is>
          <t>Pre-Tax Interest Coverage</t>
        </is>
      </c>
      <c r="J12" s="124">
        <f>C14/C15</f>
        <v/>
      </c>
      <c r="K12" s="124">
        <f>D14/D15</f>
        <v/>
      </c>
      <c r="L12" s="124">
        <f>E14/E15</f>
        <v/>
      </c>
      <c r="M12" s="124">
        <f>F14/F15</f>
        <v/>
      </c>
      <c r="N12" s="124">
        <f>G14/G15</f>
        <v/>
      </c>
    </row>
    <row r="13" ht="30" customHeight="1">
      <c r="B13" s="9" t="inlineStr">
        <is>
          <t>Add : Other Income</t>
        </is>
      </c>
      <c r="C13" s="118" t="n">
        <v>44343</v>
      </c>
      <c r="D13" s="118" t="n">
        <v>209614</v>
      </c>
      <c r="E13" s="119" t="n"/>
      <c r="F13" s="119" t="n"/>
      <c r="G13" s="11" t="n"/>
      <c r="I13" s="9" t="inlineStr">
        <is>
          <t>Return (before Tax) on Net Worth</t>
        </is>
      </c>
      <c r="J13" s="12">
        <f>(C14-C15)/C49</f>
        <v/>
      </c>
      <c r="K13" s="12">
        <f>(D14-D15)/D49</f>
        <v/>
      </c>
      <c r="L13" s="12">
        <f>(E14-E15)/E49</f>
        <v/>
      </c>
      <c r="M13" s="12">
        <f>(F14-F15)/F49</f>
        <v/>
      </c>
      <c r="N13" s="12">
        <f>(G14-G15)/G49</f>
        <v/>
      </c>
    </row>
    <row r="14" ht="38.25" customHeight="1">
      <c r="B14" s="13" t="inlineStr">
        <is>
          <t>EBIT</t>
        </is>
      </c>
      <c r="C14" s="123" t="n">
        <v>869950</v>
      </c>
      <c r="D14" s="123" t="n">
        <v>1421924</v>
      </c>
      <c r="E14" s="19" t="n"/>
      <c r="F14" s="19" t="n"/>
      <c r="G14" s="19" t="n"/>
      <c r="H14" s="21" t="n"/>
      <c r="I14" s="22" t="inlineStr">
        <is>
          <t>Inventory Turnover (Days)</t>
        </is>
      </c>
      <c r="J14" s="23" t="inlineStr">
        <is>
          <t>N/A</t>
        </is>
      </c>
      <c r="K14" s="24">
        <f>((C32+D32)/2)/D7*365</f>
        <v/>
      </c>
      <c r="L14" s="24">
        <f>((D32+E32)/2)/E7*365</f>
        <v/>
      </c>
      <c r="M14" s="24">
        <f>((E32+F32)/2)/F7*365</f>
        <v/>
      </c>
      <c r="N14" s="25">
        <f>((F32+G32)/2)/G7*365</f>
        <v/>
      </c>
    </row>
    <row r="15" ht="30" customHeight="1">
      <c r="B15" s="9" t="inlineStr">
        <is>
          <t>Interest</t>
        </is>
      </c>
      <c r="C15" s="118" t="n">
        <v>708836</v>
      </c>
      <c r="D15" s="118" t="n">
        <v>643421</v>
      </c>
      <c r="E15" s="119" t="n"/>
      <c r="F15" s="119" t="n"/>
      <c r="G15" s="11" t="n"/>
      <c r="H15" s="125" t="n"/>
      <c r="I15" s="9" t="inlineStr">
        <is>
          <t>Receivables Turnover (Days)</t>
        </is>
      </c>
      <c r="J15" s="27">
        <f>C26/C6*365</f>
        <v/>
      </c>
      <c r="K15" s="28">
        <f>D26/D6*365</f>
        <v/>
      </c>
      <c r="L15" s="28">
        <f>E26/E6*365</f>
        <v/>
      </c>
      <c r="M15" s="28">
        <f>F26/F6*365</f>
        <v/>
      </c>
      <c r="N15" s="27">
        <f>G26/G6*365</f>
        <v/>
      </c>
    </row>
    <row r="16" ht="30" customHeight="1">
      <c r="B16" s="9" t="inlineStr">
        <is>
          <t>Taxes</t>
        </is>
      </c>
      <c r="C16" s="118" t="n">
        <v>131554</v>
      </c>
      <c r="D16" s="118" t="n">
        <v>254114</v>
      </c>
      <c r="E16" s="119" t="n"/>
      <c r="F16" s="119" t="n"/>
      <c r="G16" s="11" t="n"/>
      <c r="I16" s="9" t="inlineStr">
        <is>
          <t>Payable Turnover (Days)</t>
        </is>
      </c>
      <c r="J16" s="27">
        <f>C40/C7*365</f>
        <v/>
      </c>
      <c r="K16" s="28">
        <f>D40/D7*365</f>
        <v/>
      </c>
      <c r="L16" s="28">
        <f>E40/E7*365</f>
        <v/>
      </c>
      <c r="M16" s="28">
        <f>F40/F7*365</f>
        <v/>
      </c>
      <c r="N16" s="27">
        <f>G40/G7*365</f>
        <v/>
      </c>
    </row>
    <row r="17" ht="30" customHeight="1">
      <c r="B17" s="29" t="inlineStr">
        <is>
          <t>Net Profit (Loss) for the Year</t>
        </is>
      </c>
      <c r="C17" s="126" t="n">
        <v>29560</v>
      </c>
      <c r="D17" s="126" t="n">
        <v>524389</v>
      </c>
      <c r="E17" s="30" t="n"/>
      <c r="F17" s="30" t="n"/>
      <c r="G17" s="30" t="n"/>
      <c r="I17" s="31" t="inlineStr">
        <is>
          <t>Working Capital Turnover (Days)</t>
        </is>
      </c>
      <c r="J17" s="9" t="inlineStr">
        <is>
          <t>N/A</t>
        </is>
      </c>
      <c r="K17" s="32">
        <f>K14+K15-K16</f>
        <v/>
      </c>
      <c r="L17" s="32">
        <f>L14+L15-L16</f>
        <v/>
      </c>
      <c r="M17" s="32">
        <f>M14+M15-M16</f>
        <v/>
      </c>
      <c r="N17" s="33">
        <f>N14+N15-N16</f>
        <v/>
      </c>
    </row>
    <row r="18" ht="30" customHeight="1">
      <c r="B18" s="9" t="inlineStr">
        <is>
          <t>Dividend Payout</t>
        </is>
      </c>
      <c r="C18" s="118" t="n">
        <v>0</v>
      </c>
      <c r="D18" s="118" t="n">
        <v>0</v>
      </c>
      <c r="E18" s="119" t="n"/>
      <c r="F18" s="119" t="n"/>
      <c r="G18" s="127" t="n"/>
      <c r="I18" s="9" t="inlineStr">
        <is>
          <t>Asset Turnover Ratio</t>
        </is>
      </c>
      <c r="J18" s="35" t="inlineStr">
        <is>
          <t>N/A</t>
        </is>
      </c>
      <c r="K18" s="36">
        <f>D6/((D34+C34)/2)</f>
        <v/>
      </c>
      <c r="L18" s="36">
        <f>E6/((E34+D34)/2)</f>
        <v/>
      </c>
      <c r="M18" s="36">
        <f>F6/((F34+E34)/2)</f>
        <v/>
      </c>
      <c r="N18" s="36">
        <f>G6/((G34+F34)/2)</f>
        <v/>
      </c>
    </row>
    <row r="19" ht="30" customHeight="1">
      <c r="B19" s="9" t="inlineStr">
        <is>
          <t xml:space="preserve">PBT </t>
        </is>
      </c>
      <c r="C19" s="128" t="n">
        <v>161114</v>
      </c>
      <c r="D19" s="128" t="n">
        <v>778503</v>
      </c>
      <c r="E19" s="129" t="n"/>
      <c r="F19" s="129" t="n"/>
      <c r="G19" s="130" t="n"/>
      <c r="I19" s="39" t="inlineStr">
        <is>
          <t>Return on Equity (ROE)</t>
        </is>
      </c>
      <c r="J19" s="32">
        <f>IF(C49&lt;0,"N/A",C17/C49)</f>
        <v/>
      </c>
      <c r="K19" s="32">
        <f>IF(D49&lt;0,"N/A",D17/D49)</f>
        <v/>
      </c>
      <c r="L19" s="32">
        <f>IF(E49&lt;0,"N/A",E17/E49)</f>
        <v/>
      </c>
      <c r="M19" s="32">
        <f>IF(F49&lt;0,"N/A",F17/F49)</f>
        <v/>
      </c>
      <c r="N19" s="32">
        <f>IF(G49&lt;0,"N/A",G17/G49)</f>
        <v/>
      </c>
    </row>
    <row r="20" ht="26.25" customHeight="1" thickBot="1">
      <c r="C20" s="131" t="n"/>
      <c r="D20" s="131" t="n"/>
      <c r="E20" s="131" t="n"/>
      <c r="F20" s="131" t="n"/>
      <c r="G20" s="132" t="n"/>
      <c r="I20" s="31" t="inlineStr">
        <is>
          <t>Return on Assets (ROA)</t>
        </is>
      </c>
      <c r="J20" s="32">
        <f>C17/C34</f>
        <v/>
      </c>
      <c r="K20" s="32">
        <f>D17/D34</f>
        <v/>
      </c>
      <c r="L20" s="32">
        <f>E17/E34</f>
        <v/>
      </c>
      <c r="M20" s="32">
        <f>F17/F34</f>
        <v/>
      </c>
      <c r="N20" s="32">
        <f>G17/G34</f>
        <v/>
      </c>
    </row>
    <row r="21" ht="27.5" customHeight="1">
      <c r="B21" s="42" t="inlineStr">
        <is>
          <t>Balance Sheet</t>
        </is>
      </c>
      <c r="C21" s="133">
        <f>C4</f>
        <v/>
      </c>
      <c r="D21" s="133">
        <f>D4</f>
        <v/>
      </c>
      <c r="E21" s="133">
        <f>E4</f>
        <v/>
      </c>
      <c r="F21" s="133">
        <f>F4</f>
        <v/>
      </c>
      <c r="G21" s="134">
        <f>G4</f>
        <v/>
      </c>
      <c r="I21" s="31" t="inlineStr">
        <is>
          <t>Dividend Pay-out Ratio</t>
        </is>
      </c>
      <c r="J21" s="9">
        <f>C18/(C17)</f>
        <v/>
      </c>
      <c r="K21" s="9">
        <f>D18/(D17)</f>
        <v/>
      </c>
      <c r="L21" s="9">
        <f>E18/(E17)</f>
        <v/>
      </c>
      <c r="M21" s="9">
        <f>F18/(F17)</f>
        <v/>
      </c>
      <c r="N21" s="9">
        <f>G18/(G17)</f>
        <v/>
      </c>
    </row>
    <row r="22" outlineLevel="1" ht="27.5" customHeight="1">
      <c r="B22" s="45" t="inlineStr">
        <is>
          <t>Balance Sheet (REF)</t>
        </is>
      </c>
      <c r="C22" s="117">
        <f>C5</f>
        <v/>
      </c>
      <c r="D22" s="117">
        <f>D5</f>
        <v/>
      </c>
      <c r="E22" s="117">
        <f>E5</f>
        <v/>
      </c>
      <c r="F22" s="117">
        <f>F5</f>
        <v/>
      </c>
      <c r="G22" s="135">
        <f>G5</f>
        <v/>
      </c>
      <c r="I22" s="47" t="inlineStr">
        <is>
          <t>Earnings per Share</t>
        </is>
      </c>
      <c r="J22" s="48">
        <f>C17/C63</f>
        <v/>
      </c>
      <c r="K22" s="48">
        <f>D17/D63</f>
        <v/>
      </c>
      <c r="L22" s="48">
        <f>E17/E63</f>
        <v/>
      </c>
      <c r="M22" s="48">
        <f>F17/F63</f>
        <v/>
      </c>
      <c r="N22" s="48">
        <f>G17/G63</f>
        <v/>
      </c>
    </row>
    <row r="23" outlineLevel="1" ht="31" customHeight="1" thickBot="1">
      <c r="A23" s="49" t="n">
        <v>2</v>
      </c>
      <c r="B23" s="50" t="inlineStr">
        <is>
          <t>Unqualified Reports</t>
        </is>
      </c>
      <c r="C23" s="136" t="inlineStr">
        <is>
          <t>Yes</t>
        </is>
      </c>
      <c r="D23" s="136" t="inlineStr">
        <is>
          <t>Yes</t>
        </is>
      </c>
      <c r="E23" s="137" t="inlineStr">
        <is>
          <t>Yes</t>
        </is>
      </c>
      <c r="F23" s="137" t="inlineStr">
        <is>
          <t>N/A</t>
        </is>
      </c>
      <c r="G23" s="138" t="inlineStr">
        <is>
          <t>N/A</t>
        </is>
      </c>
      <c r="I23" s="53" t="inlineStr">
        <is>
          <t>Dividend per Share</t>
        </is>
      </c>
      <c r="J23" s="54">
        <f>C18/C63</f>
        <v/>
      </c>
      <c r="K23" s="54">
        <f>D18/D63</f>
        <v/>
      </c>
      <c r="L23" s="54">
        <f>E18/E63</f>
        <v/>
      </c>
      <c r="M23" s="54">
        <f>F18/F63</f>
        <v/>
      </c>
      <c r="N23" s="54">
        <f>G18/G63</f>
        <v/>
      </c>
    </row>
    <row r="24" ht="25.5" customHeight="1">
      <c r="A24" s="1" t="n">
        <v>3</v>
      </c>
      <c r="B24" s="55" t="inlineStr">
        <is>
          <t>Non Current Asset</t>
        </is>
      </c>
      <c r="C24" s="139" t="n">
        <v>3472711</v>
      </c>
      <c r="D24" s="139" t="n">
        <v>4452653</v>
      </c>
      <c r="E24" s="140" t="n"/>
      <c r="F24" s="140" t="n"/>
      <c r="G24" s="141" t="n"/>
      <c r="I24" s="9" t="inlineStr">
        <is>
          <t>PBT Margin</t>
        </is>
      </c>
      <c r="J24" s="58">
        <f>C19/C6</f>
        <v/>
      </c>
      <c r="K24" s="58">
        <f>D19/D6</f>
        <v/>
      </c>
      <c r="L24" s="58">
        <f>E19/E6</f>
        <v/>
      </c>
      <c r="M24" s="58">
        <f>F19/F6</f>
        <v/>
      </c>
      <c r="N24" s="58">
        <f>G19/G6</f>
        <v/>
      </c>
    </row>
    <row r="25" ht="15" customHeight="1">
      <c r="A25" s="49" t="n">
        <v>4</v>
      </c>
      <c r="B25" s="59" t="inlineStr">
        <is>
          <t>Current Asset</t>
        </is>
      </c>
      <c r="C25" s="142" t="n">
        <v>12267460</v>
      </c>
      <c r="D25" s="142" t="n">
        <v>16525354</v>
      </c>
      <c r="E25" s="143" t="n"/>
      <c r="F25" s="143" t="n"/>
      <c r="G25" s="144" t="n"/>
    </row>
    <row r="26" ht="12.75" customHeight="1">
      <c r="A26" s="1" t="n">
        <v>5</v>
      </c>
      <c r="B26" s="62" t="inlineStr">
        <is>
          <t>Trade Receivables</t>
        </is>
      </c>
      <c r="C26" s="145" t="n">
        <v>2127384</v>
      </c>
      <c r="D26" s="145" t="n">
        <v>5322743</v>
      </c>
      <c r="E26" s="146" t="n"/>
      <c r="F26" s="147" t="n"/>
      <c r="G26" s="148" t="n"/>
    </row>
    <row r="27" ht="15" customHeight="1">
      <c r="A27" s="49" t="n">
        <v>6</v>
      </c>
      <c r="B27" s="66" t="inlineStr">
        <is>
          <t>Other Receivables and Prepayments</t>
        </is>
      </c>
      <c r="C27" s="149" t="n">
        <v>2357685</v>
      </c>
      <c r="D27" s="149" t="n">
        <v>2515534</v>
      </c>
      <c r="E27" s="150" t="n"/>
      <c r="F27" s="150" t="n"/>
      <c r="G27" s="151" t="n"/>
    </row>
    <row r="28" ht="12.75" customHeight="1">
      <c r="A28" s="1" t="n">
        <v>7</v>
      </c>
      <c r="B28" s="69" t="inlineStr">
        <is>
          <t>Other Receivables</t>
        </is>
      </c>
      <c r="C28" s="146" t="n"/>
      <c r="D28" s="152" t="n">
        <v>1648324</v>
      </c>
      <c r="E28" s="147" t="n"/>
      <c r="F28" s="146" t="n"/>
      <c r="G28" s="153" t="n"/>
    </row>
    <row r="29" ht="15" customHeight="1">
      <c r="A29" s="49" t="n">
        <v>8</v>
      </c>
      <c r="B29" s="69" t="inlineStr">
        <is>
          <t>Amount Due from Directors</t>
        </is>
      </c>
      <c r="C29" s="145" t="n">
        <v>179905</v>
      </c>
      <c r="D29" s="145" t="n">
        <v>262055</v>
      </c>
      <c r="E29" s="147" t="n"/>
      <c r="F29" s="146" t="n"/>
      <c r="G29" s="153" t="n"/>
    </row>
    <row r="30" ht="12.75" customHeight="1">
      <c r="A30" s="1" t="n">
        <v>9</v>
      </c>
      <c r="B30" s="69" t="inlineStr">
        <is>
          <t>Amount Due from Related Companies</t>
        </is>
      </c>
      <c r="C30" s="147" t="n"/>
      <c r="D30" s="145" t="n">
        <v>524171</v>
      </c>
      <c r="E30" s="147" t="n"/>
      <c r="F30" s="146" t="n"/>
      <c r="G30" s="153" t="n"/>
    </row>
    <row r="31" ht="15" customHeight="1">
      <c r="A31" s="49" t="n">
        <v>10</v>
      </c>
      <c r="B31" s="69" t="inlineStr">
        <is>
          <t>Others</t>
        </is>
      </c>
      <c r="C31" s="147" t="n"/>
      <c r="D31" s="145" t="n">
        <v>80984</v>
      </c>
      <c r="E31" s="147" t="n"/>
      <c r="F31" s="146" t="n"/>
      <c r="G31" s="153" t="n"/>
    </row>
    <row r="32" ht="12.75" customHeight="1">
      <c r="A32" s="1" t="n">
        <v>11</v>
      </c>
      <c r="B32" s="71" t="inlineStr">
        <is>
          <t>Stock</t>
        </is>
      </c>
      <c r="C32" s="145" t="n">
        <v>6285035</v>
      </c>
      <c r="D32" s="145" t="n">
        <v>7254613</v>
      </c>
      <c r="E32" s="147" t="n"/>
      <c r="F32" s="146" t="n"/>
      <c r="G32" s="154" t="n"/>
    </row>
    <row r="33" ht="16" customHeight="1" thickBot="1">
      <c r="A33" s="49" t="n">
        <v>12</v>
      </c>
      <c r="B33" s="71" t="inlineStr">
        <is>
          <t>Cash &amp; Cash At Bank</t>
        </is>
      </c>
      <c r="C33" s="152" t="n">
        <v>957356</v>
      </c>
      <c r="D33" s="152" t="n">
        <v>1432464</v>
      </c>
      <c r="E33" s="146" t="n"/>
      <c r="F33" s="146" t="n"/>
      <c r="G33" s="153" t="n"/>
    </row>
    <row r="34" ht="13.5" customHeight="1" thickBot="1">
      <c r="A34" s="1" t="n">
        <v>13</v>
      </c>
      <c r="B34" s="73" t="inlineStr">
        <is>
          <t>Total Asset</t>
        </is>
      </c>
      <c r="C34" s="155" t="n">
        <v>15739349</v>
      </c>
      <c r="D34" s="155" t="n">
        <v>20978007</v>
      </c>
      <c r="E34" s="156" t="n"/>
      <c r="F34" s="156" t="n"/>
      <c r="G34" s="157" t="n"/>
      <c r="H34" s="158" t="n"/>
      <c r="I34" s="125" t="n"/>
      <c r="J34" s="125" t="n"/>
      <c r="K34" s="125" t="n"/>
      <c r="L34" s="125" t="n"/>
    </row>
    <row r="35" ht="15" customHeight="1">
      <c r="A35" s="49" t="n">
        <v>14</v>
      </c>
      <c r="B35" s="77" t="inlineStr">
        <is>
          <t>Non Current Liabilities</t>
        </is>
      </c>
      <c r="C35" s="159" t="n">
        <v>3843051</v>
      </c>
      <c r="D35" s="159" t="n">
        <v>3364658</v>
      </c>
      <c r="E35" s="160" t="n"/>
      <c r="F35" s="160" t="n"/>
      <c r="G35" s="161" t="n"/>
    </row>
    <row r="36" ht="12.75" customHeight="1">
      <c r="A36" s="1" t="n">
        <v>15</v>
      </c>
      <c r="B36" s="62" t="inlineStr">
        <is>
          <t>Bank/FI/Non-FI borrowings</t>
        </is>
      </c>
      <c r="C36" s="145" t="n">
        <v>3683876</v>
      </c>
      <c r="D36" s="145" t="n">
        <v>3261796</v>
      </c>
      <c r="E36" s="147" t="n"/>
      <c r="F36" s="147" t="n"/>
      <c r="G36" s="162" t="n"/>
      <c r="M36" s="1" t="inlineStr">
        <is>
          <t>principal</t>
        </is>
      </c>
      <c r="N36" s="1" t="inlineStr">
        <is>
          <t>interest</t>
        </is>
      </c>
      <c r="O36" s="1" t="inlineStr">
        <is>
          <t>installment</t>
        </is>
      </c>
      <c r="P36" s="1" t="inlineStr">
        <is>
          <t>balance</t>
        </is>
      </c>
      <c r="Q36" s="1" t="inlineStr">
        <is>
          <t>balance</t>
        </is>
      </c>
    </row>
    <row r="37" ht="15" customHeight="1">
      <c r="A37" s="49" t="n">
        <v>16</v>
      </c>
      <c r="B37" s="62" t="inlineStr">
        <is>
          <t>Hire Purchase Payable</t>
        </is>
      </c>
      <c r="C37" s="145" t="n">
        <v>102822</v>
      </c>
      <c r="D37" s="145" t="n">
        <v>39595</v>
      </c>
      <c r="E37" s="147" t="n"/>
      <c r="F37" s="147" t="n"/>
      <c r="G37" s="162" t="n"/>
      <c r="M37" s="81" t="n">
        <v>83333.33</v>
      </c>
      <c r="N37" s="81" t="n">
        <v>5333.33</v>
      </c>
      <c r="O37" s="81">
        <f>SUM(M37:N37)</f>
        <v/>
      </c>
      <c r="P37" s="1" t="n">
        <v>4</v>
      </c>
      <c r="Q37" s="122">
        <f>O37*P37</f>
        <v/>
      </c>
    </row>
    <row r="38" ht="12.75" customHeight="1">
      <c r="A38" s="1" t="n">
        <v>17</v>
      </c>
      <c r="B38" s="62" t="inlineStr">
        <is>
          <t>Other Payables</t>
        </is>
      </c>
      <c r="C38" s="145" t="n">
        <v>56353</v>
      </c>
      <c r="D38" s="145" t="n">
        <v>63267</v>
      </c>
      <c r="E38" s="147" t="n"/>
      <c r="F38" s="147" t="n"/>
      <c r="G38" s="162" t="n"/>
      <c r="J38" s="1">
        <f>(F36+F37+F46+F47)/(F49+F43)</f>
        <v/>
      </c>
      <c r="M38" s="81" t="n">
        <v>83333.33</v>
      </c>
      <c r="N38" s="81" t="n">
        <v>5333.33</v>
      </c>
      <c r="O38" s="81">
        <f>SUM(M38:N38)</f>
        <v/>
      </c>
      <c r="P38" s="1" t="n">
        <v>4</v>
      </c>
      <c r="Q38" s="122">
        <f>O38*P38</f>
        <v/>
      </c>
    </row>
    <row r="39" ht="15" customHeight="1">
      <c r="A39" s="49" t="n">
        <v>18</v>
      </c>
      <c r="B39" s="59" t="inlineStr">
        <is>
          <t>Current Liabilities</t>
        </is>
      </c>
      <c r="C39" s="142" t="n">
        <v>9213865</v>
      </c>
      <c r="D39" s="142" t="n">
        <v>13374961</v>
      </c>
      <c r="E39" s="143" t="n"/>
      <c r="F39" s="143" t="n"/>
      <c r="G39" s="144" t="n"/>
      <c r="H39" s="82" t="n"/>
      <c r="M39" s="81" t="n">
        <v>40000</v>
      </c>
      <c r="N39" s="81" t="n">
        <v>2560</v>
      </c>
      <c r="O39" s="81">
        <f>SUM(M39:N39)</f>
        <v/>
      </c>
      <c r="P39" s="1" t="n">
        <v>6</v>
      </c>
      <c r="Q39" s="122">
        <f>O39*P39</f>
        <v/>
      </c>
    </row>
    <row r="40" ht="12.75" customHeight="1">
      <c r="A40" s="1" t="n">
        <v>19</v>
      </c>
      <c r="B40" s="62" t="inlineStr">
        <is>
          <t xml:space="preserve">Trade Payables </t>
        </is>
      </c>
      <c r="C40" s="145" t="n">
        <v>2667653</v>
      </c>
      <c r="D40" s="145" t="n">
        <v>5878219</v>
      </c>
      <c r="E40" s="147" t="n"/>
      <c r="F40" s="147" t="n"/>
      <c r="G40" s="163" t="n"/>
      <c r="O40" s="81">
        <f>SUM(M40:N40)</f>
        <v/>
      </c>
      <c r="Q40" s="158">
        <f>SUM(Q37:Q39)</f>
        <v/>
      </c>
    </row>
    <row r="41" ht="15" customHeight="1">
      <c r="A41" s="49" t="n">
        <v>20</v>
      </c>
      <c r="B41" s="66" t="inlineStr">
        <is>
          <t>Other Payables &amp; Accruals</t>
        </is>
      </c>
      <c r="C41" s="149" t="n">
        <v>441947</v>
      </c>
      <c r="D41" s="149" t="n">
        <v>628601</v>
      </c>
      <c r="E41" s="150" t="n"/>
      <c r="F41" s="150" t="n"/>
      <c r="G41" s="164" t="n"/>
      <c r="J41" s="125">
        <f>F37+F46+600000</f>
        <v/>
      </c>
    </row>
    <row r="42" ht="12.75" customHeight="1">
      <c r="A42" s="1" t="n">
        <v>21</v>
      </c>
      <c r="B42" s="85" t="inlineStr">
        <is>
          <t>Other Payables</t>
        </is>
      </c>
      <c r="C42" s="147" t="n"/>
      <c r="D42" s="145" t="n">
        <v>263585</v>
      </c>
      <c r="E42" s="147" t="n"/>
      <c r="F42" s="147" t="n"/>
      <c r="G42" s="163" t="n"/>
      <c r="J42" s="1">
        <f>J41/F49</f>
        <v/>
      </c>
    </row>
    <row r="43" ht="15" customHeight="1">
      <c r="A43" s="49" t="n">
        <v>22</v>
      </c>
      <c r="B43" s="85" t="inlineStr">
        <is>
          <t>Amount Due to Director</t>
        </is>
      </c>
      <c r="C43" s="147" t="n"/>
      <c r="D43" s="147" t="n"/>
      <c r="E43" s="147" t="n"/>
      <c r="F43" s="147" t="n"/>
      <c r="G43" s="163" t="n"/>
    </row>
    <row r="44" ht="15" customHeight="1">
      <c r="A44" s="1" t="n">
        <v>23</v>
      </c>
      <c r="B44" s="85" t="inlineStr">
        <is>
          <t>Amount Due to Related Companies</t>
        </is>
      </c>
      <c r="C44" s="147" t="n"/>
      <c r="D44" s="147" t="n"/>
      <c r="E44" s="147" t="n"/>
      <c r="F44" s="147" t="n"/>
      <c r="G44" s="163" t="n"/>
    </row>
    <row r="45" ht="15" customHeight="1">
      <c r="A45" s="49" t="n">
        <v>24</v>
      </c>
      <c r="B45" s="85" t="inlineStr">
        <is>
          <t>Others</t>
        </is>
      </c>
      <c r="C45" s="145" t="n">
        <v>65433</v>
      </c>
      <c r="D45" s="145" t="n">
        <v>365016</v>
      </c>
      <c r="E45" s="147" t="n"/>
      <c r="F45" s="147" t="n"/>
      <c r="G45" s="163" t="n"/>
    </row>
    <row r="46" ht="15" customHeight="1">
      <c r="A46" s="1" t="n">
        <v>25</v>
      </c>
      <c r="B46" s="62" t="inlineStr">
        <is>
          <t>Bank/FI/Non-FI borrowings</t>
        </is>
      </c>
      <c r="C46" s="145" t="n">
        <v>6059168</v>
      </c>
      <c r="D46" s="145" t="n">
        <v>6824486</v>
      </c>
      <c r="E46" s="147" t="n"/>
      <c r="F46" s="147" t="n"/>
      <c r="G46" s="163" t="n"/>
    </row>
    <row r="47" ht="16" customHeight="1" thickBot="1">
      <c r="A47" s="49" t="n">
        <v>26</v>
      </c>
      <c r="B47" s="62" t="inlineStr">
        <is>
          <t>Hire Purchase Payable</t>
        </is>
      </c>
      <c r="C47" s="145" t="n">
        <v>45097</v>
      </c>
      <c r="D47" s="145" t="n">
        <v>43655</v>
      </c>
      <c r="E47" s="147" t="n"/>
      <c r="F47" s="147" t="n"/>
      <c r="G47" s="163" t="n"/>
    </row>
    <row r="48" ht="16" customHeight="1" thickBot="1">
      <c r="A48" s="1" t="n">
        <v>27</v>
      </c>
      <c r="B48" s="73" t="inlineStr">
        <is>
          <t>Total Liabilities</t>
        </is>
      </c>
      <c r="C48" s="155" t="n">
        <v>13056916</v>
      </c>
      <c r="D48" s="155" t="n">
        <v>16739619</v>
      </c>
      <c r="E48" s="156" t="n"/>
      <c r="F48" s="156" t="n"/>
      <c r="G48" s="157" t="n"/>
    </row>
    <row r="49" ht="15" customHeight="1">
      <c r="A49" s="49" t="n">
        <v>28</v>
      </c>
      <c r="B49" s="86" t="inlineStr">
        <is>
          <t>Equity</t>
        </is>
      </c>
      <c r="C49" s="165" t="n">
        <v>2682433</v>
      </c>
      <c r="D49" s="165" t="n">
        <v>4238388</v>
      </c>
      <c r="E49" s="166" t="n"/>
      <c r="F49" s="166" t="n"/>
      <c r="G49" s="166" t="n"/>
      <c r="H49" s="88" t="n"/>
    </row>
    <row r="50" ht="15" customHeight="1">
      <c r="A50" s="1" t="n">
        <v>29</v>
      </c>
      <c r="B50" s="89" t="inlineStr">
        <is>
          <t>Share Capital</t>
        </is>
      </c>
      <c r="C50" s="167" t="n">
        <v>1000000</v>
      </c>
      <c r="D50" s="167" t="n">
        <v>1000000</v>
      </c>
      <c r="E50" s="168" t="n"/>
      <c r="F50" s="168" t="n"/>
      <c r="G50" s="163" t="n"/>
    </row>
    <row r="51" ht="15" customHeight="1">
      <c r="A51" s="1" t="n">
        <v>30</v>
      </c>
      <c r="B51" s="91" t="inlineStr">
        <is>
          <t>Retained Earnings</t>
        </is>
      </c>
      <c r="C51" s="167" t="n">
        <v>1682433</v>
      </c>
      <c r="D51" s="169" t="n">
        <v>2181822</v>
      </c>
      <c r="E51" s="170" t="n"/>
      <c r="F51" s="170" t="n"/>
      <c r="G51" s="163" t="n"/>
      <c r="I51" s="125">
        <f>E51+F17</f>
        <v/>
      </c>
    </row>
    <row r="52" ht="16" customHeight="1" thickBot="1">
      <c r="A52" s="1" t="n">
        <v>31</v>
      </c>
      <c r="B52" s="93" t="inlineStr">
        <is>
          <t>Revaluation Reserve</t>
        </is>
      </c>
      <c r="C52" s="168" t="n"/>
      <c r="D52" s="171" t="n">
        <v>1056566</v>
      </c>
      <c r="E52" s="172" t="n"/>
      <c r="F52" s="173" t="n"/>
      <c r="G52" s="174" t="n"/>
    </row>
    <row r="53" ht="16" customHeight="1" thickBot="1">
      <c r="A53" s="1" t="n">
        <v>32</v>
      </c>
      <c r="B53" s="97" t="inlineStr">
        <is>
          <t>Total Liabilities and Equity</t>
        </is>
      </c>
      <c r="C53" s="155" t="n">
        <v>15739349</v>
      </c>
      <c r="D53" s="155" t="n">
        <v>20978007</v>
      </c>
      <c r="E53" s="156" t="n"/>
      <c r="F53" s="156" t="n"/>
      <c r="G53" s="157" t="n"/>
    </row>
    <row r="54">
      <c r="B54" s="98" t="n"/>
      <c r="C54" s="175">
        <f>C34-C53</f>
        <v/>
      </c>
      <c r="D54" s="175">
        <f>D34-D53</f>
        <v/>
      </c>
      <c r="E54" s="175">
        <f>E34-E53</f>
        <v/>
      </c>
      <c r="F54" s="175">
        <f>F34-F53</f>
        <v/>
      </c>
      <c r="G54" s="175" t="n"/>
    </row>
    <row r="55" ht="15" customHeight="1" thickBot="1">
      <c r="B55" s="98" t="n"/>
      <c r="C55" s="175" t="n"/>
      <c r="D55" s="175" t="n"/>
      <c r="E55" s="175" t="n"/>
      <c r="F55" s="175" t="n"/>
      <c r="G55" s="175" t="n"/>
    </row>
    <row r="56" ht="16" customHeight="1" thickBot="1">
      <c r="B56" s="73" t="inlineStr">
        <is>
          <t xml:space="preserve">Intangible Asset </t>
        </is>
      </c>
      <c r="C56" s="176">
        <f>SUM(C57:C60)</f>
        <v/>
      </c>
      <c r="D56" s="176">
        <f>SUM(D57:D60)</f>
        <v/>
      </c>
      <c r="E56" s="176">
        <f>SUM(E57:E60)</f>
        <v/>
      </c>
      <c r="F56" s="177">
        <f>SUM(F57:F60)</f>
        <v/>
      </c>
    </row>
    <row r="57" ht="15" customHeight="1">
      <c r="B57" s="103" t="inlineStr">
        <is>
          <t>Goodwill</t>
        </is>
      </c>
      <c r="C57" s="178" t="n"/>
      <c r="D57" s="178" t="n"/>
      <c r="E57" s="178" t="n"/>
      <c r="F57" s="179" t="n"/>
    </row>
    <row r="58" ht="15" customHeight="1">
      <c r="B58" s="106" t="inlineStr">
        <is>
          <t xml:space="preserve">Patent </t>
        </is>
      </c>
      <c r="C58" s="128" t="n"/>
      <c r="D58" s="128" t="n"/>
      <c r="E58" s="128" t="n"/>
      <c r="F58" s="180" t="n"/>
    </row>
    <row r="59" ht="15" customHeight="1">
      <c r="B59" s="106" t="inlineStr">
        <is>
          <t>Trademarks</t>
        </is>
      </c>
      <c r="C59" s="128" t="n"/>
      <c r="D59" s="128" t="n"/>
      <c r="E59" s="128" t="n"/>
      <c r="F59" s="180" t="n"/>
    </row>
    <row r="60" ht="16" customHeight="1" thickBot="1">
      <c r="B60" s="109" t="inlineStr">
        <is>
          <t>Copyrights</t>
        </is>
      </c>
      <c r="C60" s="181" t="n"/>
      <c r="D60" s="181" t="n"/>
      <c r="E60" s="181" t="n"/>
      <c r="F60" s="182" t="n"/>
    </row>
    <row r="61" ht="16" customHeight="1" thickBot="1">
      <c r="B61" s="73" t="inlineStr">
        <is>
          <t>Net Tangible Asset</t>
        </is>
      </c>
      <c r="C61" s="176">
        <f>C34-C48-C56</f>
        <v/>
      </c>
      <c r="D61" s="176">
        <f>D34-D48-D56</f>
        <v/>
      </c>
      <c r="E61" s="176">
        <f>E34-E48-E56</f>
        <v/>
      </c>
      <c r="F61" s="176">
        <f>F34-F48-F56</f>
        <v/>
      </c>
    </row>
    <row r="62" ht="49" customHeight="1" thickBot="1">
      <c r="B62" s="112" t="inlineStr">
        <is>
          <t>NTA = Total Assets - Total Liabilities - Intangible Assets ;
Where: Intangible Assets include non-physical assets like goodwill, patents, trademarks, and copyrights.</t>
        </is>
      </c>
      <c r="C62" s="125" t="n"/>
      <c r="D62" s="125" t="n"/>
      <c r="E62" s="125" t="n"/>
      <c r="F62" s="125" t="n"/>
    </row>
    <row r="63" ht="16" customHeight="1" thickBot="1">
      <c r="B63" s="73" t="inlineStr">
        <is>
          <t>Number of Shares</t>
        </is>
      </c>
      <c r="C63" s="183" t="n">
        <v>650000</v>
      </c>
      <c r="D63" s="183" t="n">
        <v>650000</v>
      </c>
      <c r="E63" s="183" t="n">
        <v>650000</v>
      </c>
      <c r="F63" s="184" t="n">
        <v>650000</v>
      </c>
    </row>
    <row r="64">
      <c r="B64" s="98" t="n"/>
      <c r="C64" s="115" t="n"/>
      <c r="D64" s="115" t="n"/>
      <c r="E64" s="115" t="n"/>
    </row>
    <row r="65">
      <c r="C65" s="115" t="n"/>
      <c r="D65" s="115" t="n"/>
      <c r="E65" s="115" t="n"/>
      <c r="F65" s="115" t="n"/>
    </row>
    <row r="66">
      <c r="C66" s="115" t="n"/>
      <c r="D66" s="115" t="n"/>
      <c r="E66" s="115" t="n"/>
    </row>
    <row r="67">
      <c r="C67" s="115" t="n"/>
      <c r="D67" s="115" t="n"/>
      <c r="E67" s="115" t="n"/>
    </row>
    <row r="68" ht="15" customHeight="1" thickBot="1">
      <c r="C68" s="115" t="n"/>
      <c r="D68" s="115" t="n"/>
      <c r="E68" s="115" t="n"/>
      <c r="F68" s="125">
        <f>E51+F17</f>
        <v/>
      </c>
    </row>
    <row r="69" ht="15" customHeight="1">
      <c r="B69" s="42" t="inlineStr">
        <is>
          <t>Balance Sheet</t>
        </is>
      </c>
      <c r="C69" s="133">
        <f>C21</f>
        <v/>
      </c>
      <c r="D69" s="133">
        <f>D21</f>
        <v/>
      </c>
      <c r="E69" s="133">
        <f>E21</f>
        <v/>
      </c>
      <c r="F69" s="133">
        <f>F21</f>
        <v/>
      </c>
      <c r="G69" s="134">
        <f>G21</f>
        <v/>
      </c>
    </row>
    <row r="70" ht="30" customHeight="1">
      <c r="B70" s="45" t="inlineStr">
        <is>
          <t>Balance Sheet (REF)</t>
        </is>
      </c>
      <c r="C70" s="117">
        <f>C22</f>
        <v/>
      </c>
      <c r="D70" s="117">
        <f>D22</f>
        <v/>
      </c>
      <c r="E70" s="117">
        <f>E22</f>
        <v/>
      </c>
      <c r="F70" s="117">
        <f>F22</f>
        <v/>
      </c>
      <c r="G70" s="135">
        <f>G22</f>
        <v/>
      </c>
    </row>
    <row r="71" ht="16" customHeight="1" thickBot="1">
      <c r="A71" s="49" t="n">
        <v>2</v>
      </c>
      <c r="B71" s="50" t="inlineStr">
        <is>
          <t>Unqualified Reports</t>
        </is>
      </c>
      <c r="C71" s="136" t="inlineStr">
        <is>
          <t>Yes</t>
        </is>
      </c>
      <c r="D71" s="136" t="inlineStr">
        <is>
          <t>Yes</t>
        </is>
      </c>
      <c r="E71" s="137">
        <f>E23</f>
        <v/>
      </c>
      <c r="F71" s="137">
        <f>F23</f>
        <v/>
      </c>
      <c r="G71" s="138">
        <f>G23</f>
        <v/>
      </c>
    </row>
    <row r="72" ht="15" customHeight="1">
      <c r="A72" s="1">
        <f>A71+1</f>
        <v/>
      </c>
      <c r="B72" s="55" t="inlineStr">
        <is>
          <t>Non Current Asset</t>
        </is>
      </c>
      <c r="C72" s="139" t="n">
        <v>3472711</v>
      </c>
      <c r="D72" s="139" t="n">
        <v>4452653</v>
      </c>
      <c r="E72" s="140">
        <f>E24</f>
        <v/>
      </c>
      <c r="F72" s="140">
        <f>F24</f>
        <v/>
      </c>
      <c r="G72" s="141">
        <f>G24</f>
        <v/>
      </c>
    </row>
    <row r="73" ht="16" customHeight="1" thickBot="1">
      <c r="A73" s="1">
        <f>A72+1</f>
        <v/>
      </c>
      <c r="B73" s="59" t="inlineStr">
        <is>
          <t>Current Asset</t>
        </is>
      </c>
      <c r="C73" s="142" t="n">
        <v>12267460</v>
      </c>
      <c r="D73" s="142" t="n">
        <v>16525354</v>
      </c>
      <c r="E73" s="143">
        <f>E25</f>
        <v/>
      </c>
      <c r="F73" s="143">
        <f>F25</f>
        <v/>
      </c>
      <c r="G73" s="144">
        <f>G25</f>
        <v/>
      </c>
    </row>
    <row r="74" ht="16" customHeight="1" thickBot="1">
      <c r="A74" s="1">
        <f>A73+1</f>
        <v/>
      </c>
      <c r="B74" s="73" t="inlineStr">
        <is>
          <t>Total Asset</t>
        </is>
      </c>
      <c r="C74" s="155" t="n">
        <v>15739349</v>
      </c>
      <c r="D74" s="155" t="n">
        <v>20978007</v>
      </c>
      <c r="E74" s="156">
        <f>E34</f>
        <v/>
      </c>
      <c r="F74" s="156">
        <f>F34</f>
        <v/>
      </c>
      <c r="G74" s="157">
        <f>G34</f>
        <v/>
      </c>
    </row>
    <row r="75" ht="15" customHeight="1">
      <c r="A75" s="1">
        <f>A74+1</f>
        <v/>
      </c>
      <c r="B75" s="77" t="inlineStr">
        <is>
          <t>Non Current Liabilities</t>
        </is>
      </c>
      <c r="C75" s="159" t="n">
        <v>3843051</v>
      </c>
      <c r="D75" s="159" t="n">
        <v>3364658</v>
      </c>
      <c r="E75" s="160">
        <f>E35</f>
        <v/>
      </c>
      <c r="F75" s="160">
        <f>F35</f>
        <v/>
      </c>
      <c r="G75" s="161">
        <f>G35</f>
        <v/>
      </c>
    </row>
    <row r="76" ht="16" customHeight="1" thickBot="1">
      <c r="A76" s="1">
        <f>A75+1</f>
        <v/>
      </c>
      <c r="B76" s="59" t="inlineStr">
        <is>
          <t>Current Liabilities</t>
        </is>
      </c>
      <c r="C76" s="142" t="n">
        <v>9213865</v>
      </c>
      <c r="D76" s="142" t="n">
        <v>13374961</v>
      </c>
      <c r="E76" s="143">
        <f>E39</f>
        <v/>
      </c>
      <c r="F76" s="143">
        <f>F39</f>
        <v/>
      </c>
      <c r="G76" s="144">
        <f>G39</f>
        <v/>
      </c>
    </row>
    <row r="77" ht="16" customHeight="1" thickBot="1">
      <c r="A77" s="1">
        <f>A76+1</f>
        <v/>
      </c>
      <c r="B77" s="73" t="inlineStr">
        <is>
          <t>Total Liabilities</t>
        </is>
      </c>
      <c r="C77" s="155" t="n">
        <v>13056916</v>
      </c>
      <c r="D77" s="155" t="n">
        <v>16739619</v>
      </c>
      <c r="E77" s="156">
        <f>E48</f>
        <v/>
      </c>
      <c r="F77" s="156">
        <f>F48</f>
        <v/>
      </c>
      <c r="G77" s="157">
        <f>G48</f>
        <v/>
      </c>
    </row>
    <row r="78" ht="15" customHeight="1">
      <c r="A78" s="1" t="n">
        <v>9</v>
      </c>
      <c r="B78" s="89" t="inlineStr">
        <is>
          <t>Share Capital</t>
        </is>
      </c>
      <c r="C78" s="169" t="n">
        <v>1000000</v>
      </c>
      <c r="D78" s="169" t="n">
        <v>1000000</v>
      </c>
      <c r="E78" s="168">
        <f>E50</f>
        <v/>
      </c>
      <c r="F78" s="168">
        <f>F50</f>
        <v/>
      </c>
      <c r="G78" s="163">
        <f>G50</f>
        <v/>
      </c>
    </row>
    <row r="79" ht="15" customHeight="1">
      <c r="A79" s="1" t="n">
        <v>10</v>
      </c>
      <c r="B79" s="91" t="inlineStr">
        <is>
          <t>Reserve</t>
        </is>
      </c>
      <c r="C79" s="170">
        <f>C52</f>
        <v/>
      </c>
      <c r="D79" s="169" t="n">
        <v>1056566</v>
      </c>
      <c r="E79" s="170">
        <f>E52</f>
        <v/>
      </c>
      <c r="F79" s="170">
        <f>F52</f>
        <v/>
      </c>
      <c r="G79" s="163">
        <f>G52</f>
        <v/>
      </c>
    </row>
    <row r="80" ht="15" customHeight="1">
      <c r="A80" s="1">
        <f>A79+1</f>
        <v/>
      </c>
      <c r="B80" s="91" t="inlineStr">
        <is>
          <t>Retained Earning</t>
        </is>
      </c>
      <c r="C80" s="169" t="n">
        <v>1682433</v>
      </c>
      <c r="D80" s="169" t="n">
        <v>2181822</v>
      </c>
      <c r="E80" s="170">
        <f>E51</f>
        <v/>
      </c>
      <c r="F80" s="170">
        <f>F51</f>
        <v/>
      </c>
      <c r="G80" s="163">
        <f>G51</f>
        <v/>
      </c>
    </row>
    <row r="81" ht="15" customHeight="1">
      <c r="A81" s="1">
        <f>A80+1</f>
        <v/>
      </c>
      <c r="B81" s="91" t="inlineStr">
        <is>
          <t>Minority Interest</t>
        </is>
      </c>
      <c r="C81" s="170" t="n">
        <v>0</v>
      </c>
      <c r="D81" s="170" t="n">
        <v>0</v>
      </c>
      <c r="E81" s="170" t="n">
        <v>0</v>
      </c>
      <c r="F81" s="170" t="n">
        <v>0</v>
      </c>
      <c r="G81" s="163" t="n">
        <v>0</v>
      </c>
    </row>
    <row r="82" ht="16" customHeight="1" thickBot="1">
      <c r="A82" s="1" t="n">
        <v>13</v>
      </c>
      <c r="B82" s="86" t="inlineStr">
        <is>
          <t>Equity</t>
        </is>
      </c>
      <c r="C82" s="165" t="n">
        <v>2682433</v>
      </c>
      <c r="D82" s="165" t="n">
        <v>4238388</v>
      </c>
      <c r="E82" s="166">
        <f>SUM(E78:E81)</f>
        <v/>
      </c>
      <c r="F82" s="166">
        <f>SUM(F78:F81)</f>
        <v/>
      </c>
      <c r="G82" s="144">
        <f>SUM(G78:G81)</f>
        <v/>
      </c>
    </row>
    <row r="83" ht="16" customHeight="1" thickBot="1">
      <c r="A83" s="1" t="n">
        <v>14</v>
      </c>
      <c r="B83" s="73" t="inlineStr">
        <is>
          <t>Total Liabilities and Equity</t>
        </is>
      </c>
      <c r="C83" s="155" t="n">
        <v>15739349</v>
      </c>
      <c r="D83" s="155" t="n">
        <v>20978007</v>
      </c>
      <c r="E83" s="156">
        <f>E53</f>
        <v/>
      </c>
      <c r="F83" s="156">
        <f>F53</f>
        <v/>
      </c>
      <c r="G83" s="156">
        <f>G53</f>
        <v/>
      </c>
    </row>
    <row r="84"/>
    <row r="85">
      <c r="C85" s="1">
        <f>C74=C83</f>
        <v/>
      </c>
      <c r="D85" s="1">
        <f>D74=D83</f>
        <v/>
      </c>
      <c r="E85" s="1">
        <f>E74=E83</f>
        <v/>
      </c>
      <c r="F85" s="1">
        <f>F74=F83</f>
        <v/>
      </c>
      <c r="G85" s="1">
        <f>G74=G83</f>
        <v/>
      </c>
    </row>
    <row r="86"/>
    <row r="87"/>
    <row r="88"/>
    <row r="89" ht="15" customHeight="1">
      <c r="B89" s="4" t="inlineStr">
        <is>
          <t>Audited / Mgmt Account</t>
        </is>
      </c>
      <c r="C89" s="5">
        <f>C3</f>
        <v/>
      </c>
      <c r="D89" s="5">
        <f>D3</f>
        <v/>
      </c>
      <c r="E89" s="5">
        <f>E3</f>
        <v/>
      </c>
      <c r="F89" s="5">
        <f>F3</f>
        <v/>
      </c>
      <c r="G89" s="116">
        <f>G3</f>
        <v/>
      </c>
    </row>
    <row r="90" ht="15" customHeight="1">
      <c r="B90" s="7" t="inlineStr">
        <is>
          <t>Profit &amp; Loss</t>
        </is>
      </c>
      <c r="C90" s="5">
        <f>C4</f>
        <v/>
      </c>
      <c r="D90" s="5">
        <f>D4</f>
        <v/>
      </c>
      <c r="E90" s="117">
        <f>E4</f>
        <v/>
      </c>
      <c r="F90" s="117">
        <f>F4</f>
        <v/>
      </c>
      <c r="G90" s="117">
        <f>G4</f>
        <v/>
      </c>
    </row>
    <row r="91" ht="30" customHeight="1">
      <c r="B91" s="7" t="inlineStr">
        <is>
          <t>Profit &amp; Loss (REF)</t>
        </is>
      </c>
      <c r="C91" s="117">
        <f>C5</f>
        <v/>
      </c>
      <c r="D91" s="117">
        <f>D5</f>
        <v/>
      </c>
      <c r="E91" s="117">
        <f>E5</f>
        <v/>
      </c>
      <c r="F91" s="117">
        <f>F5</f>
        <v/>
      </c>
      <c r="G91" s="117">
        <f>G5</f>
        <v/>
      </c>
    </row>
    <row r="92" ht="15" customHeight="1">
      <c r="A92" s="1" t="n">
        <v>2</v>
      </c>
      <c r="B92" s="9" t="inlineStr">
        <is>
          <t>Revenue</t>
        </is>
      </c>
      <c r="C92" s="185" t="n">
        <v>17978860</v>
      </c>
      <c r="D92" s="185" t="n">
        <v>27983932</v>
      </c>
      <c r="E92" s="17">
        <f>E6</f>
        <v/>
      </c>
      <c r="F92" s="17">
        <f>F6</f>
        <v/>
      </c>
      <c r="G92" s="11">
        <f>IF($G$2&lt;365,$F92*365/$G$2,$F92)</f>
        <v/>
      </c>
    </row>
    <row r="93" ht="15" customHeight="1">
      <c r="A93" s="1" t="n">
        <v>3</v>
      </c>
      <c r="B93" s="29" t="inlineStr">
        <is>
          <t>Net Profit (Loss) Before Tax</t>
        </is>
      </c>
      <c r="C93" s="126" t="n">
        <v>161114</v>
      </c>
      <c r="D93" s="126" t="n">
        <v>778503</v>
      </c>
      <c r="E93" s="30">
        <f>SUM(E16:E17)</f>
        <v/>
      </c>
      <c r="F93" s="30">
        <f>SUM(F16:F17)</f>
        <v/>
      </c>
      <c r="G93" s="30">
        <f>SUM(G16:G17)</f>
        <v/>
      </c>
    </row>
    <row r="94" ht="15" customHeight="1">
      <c r="A94" s="1" t="n">
        <v>4</v>
      </c>
      <c r="B94" s="29" t="inlineStr">
        <is>
          <t>Net Profit (Loss) After Tax</t>
        </is>
      </c>
      <c r="C94" s="126" t="n">
        <v>29560</v>
      </c>
      <c r="D94" s="126" t="n">
        <v>524389</v>
      </c>
      <c r="E94" s="30">
        <f>E17</f>
        <v/>
      </c>
      <c r="F94" s="30">
        <f>F17</f>
        <v/>
      </c>
      <c r="G94" s="30">
        <f>G17</f>
        <v/>
      </c>
    </row>
    <row r="95" ht="15" customHeight="1">
      <c r="A95" s="1" t="n">
        <v>5</v>
      </c>
      <c r="B95" s="9" t="inlineStr">
        <is>
          <t>Net Dividend</t>
        </is>
      </c>
      <c r="C95" s="118" t="n">
        <v>0</v>
      </c>
      <c r="D95" s="118" t="n">
        <v>0</v>
      </c>
      <c r="E95" s="119">
        <f>E18</f>
        <v/>
      </c>
      <c r="F95" s="119">
        <f>F18</f>
        <v/>
      </c>
      <c r="G95" s="127">
        <f>G18</f>
        <v/>
      </c>
    </row>
    <row r="96" ht="15" customHeight="1">
      <c r="A96" s="1" t="n">
        <v>6</v>
      </c>
      <c r="B96" s="9" t="inlineStr">
        <is>
          <t>Miniority Interest</t>
        </is>
      </c>
      <c r="C96" s="118" t="n">
        <v>0</v>
      </c>
      <c r="D96" s="118" t="n">
        <v>0</v>
      </c>
      <c r="E96" s="119" t="n">
        <v>0</v>
      </c>
      <c r="F96" s="119" t="n">
        <v>0</v>
      </c>
      <c r="G96" s="127" t="n">
        <v>0</v>
      </c>
    </row>
  </sheetData>
  <dataValidations count="1">
    <dataValidation sqref="C23:G23 C71:G71 J29" showDropDown="0" showInputMessage="1" showErrorMessage="1" allowBlank="1" type="list">
      <formula1>$X$3:$X$5</formula1>
    </dataValidation>
  </dataValidations>
  <pageMargins left="0.1181102362204725" right="0.1181102362204725" top="0.1574803149606299" bottom="0.1574803149606299" header="0.3149606299212598" footer="0.3149606299212598"/>
  <pageSetup orientation="landscape" paperSize="9" scale="44" fitToHeight="7"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2" customWidth="1" min="1" max="1"/>
    <col width="60" customWidth="1" min="2" max="2"/>
  </cols>
  <sheetData>
    <row r="1">
      <c r="A1" s="186" t="inlineStr">
        <is>
          <t>UNQUALIFIED</t>
        </is>
      </c>
    </row>
    <row r="3">
      <c r="A3" s="187" t="inlineStr">
        <is>
          <t>AUDIT OPINION</t>
        </is>
      </c>
    </row>
    <row r="4">
      <c r="A4" s="188" t="inlineStr">
        <is>
          <t>Opinion Classification</t>
        </is>
      </c>
      <c r="B4" s="189" t="inlineStr">
        <is>
          <t>UNQUALIFIED</t>
        </is>
      </c>
    </row>
    <row r="5">
      <c r="A5" s="188" t="inlineStr">
        <is>
          <t>True and Fair View</t>
        </is>
      </c>
      <c r="B5" s="189" t="inlineStr">
        <is>
          <t>YES</t>
        </is>
      </c>
    </row>
    <row r="6">
      <c r="A6" s="188" t="inlineStr">
        <is>
          <t>Evidence</t>
        </is>
      </c>
      <c r="B6" s="189" t="inlineStr">
        <is>
          <t>In our opinion, the accompanying financial statements give a true and fair view of the financial position of the Company as at 30 April 2024, and of its financial performance and its cash flows for the year then ended in accordance with Malaysian Private Entities Reporting Standard and the requirements of the Companies Act, 2016 in Malaysia.</t>
        </is>
      </c>
    </row>
    <row r="8">
      <c r="A8" s="187" t="inlineStr">
        <is>
          <t>AUDITOR INFORMATION</t>
        </is>
      </c>
    </row>
    <row r="9">
      <c r="A9" s="188" t="inlineStr">
        <is>
          <t>Auditor Firm Name</t>
        </is>
      </c>
      <c r="B9" s="189" t="inlineStr">
        <is>
          <t>JC &amp; ASSOCIATES</t>
        </is>
      </c>
    </row>
    <row r="10">
      <c r="A10" s="188" t="inlineStr">
        <is>
          <t>Signing Accountant</t>
        </is>
      </c>
      <c r="B10" s="189" t="inlineStr">
        <is>
          <t>CHU WOOI SIONG</t>
        </is>
      </c>
    </row>
    <row r="11">
      <c r="A11" s="188" t="inlineStr">
        <is>
          <t>MIA / AF Number</t>
        </is>
      </c>
      <c r="B11" s="189" t="inlineStr">
        <is>
          <t>AF 002208</t>
        </is>
      </c>
    </row>
    <row r="12">
      <c r="A12" s="188" t="inlineStr">
        <is>
          <t>Signature Date</t>
        </is>
      </c>
      <c r="B12" s="189" t="inlineStr">
        <is>
          <t>29 October 2024</t>
        </is>
      </c>
    </row>
    <row r="14">
      <c r="A14" s="187" t="inlineStr">
        <is>
          <t>BLACKLIST CHECK</t>
        </is>
      </c>
    </row>
    <row r="15">
      <c r="A15" s="188" t="inlineStr">
        <is>
          <t>Firm — Blacklist Status</t>
        </is>
      </c>
      <c r="B15" s="189" t="inlineStr">
        <is>
          <t>CLEAN</t>
        </is>
      </c>
    </row>
    <row r="16">
      <c r="A16" s="188" t="inlineStr">
        <is>
          <t>Firm — Search Query</t>
        </is>
      </c>
      <c r="B16" s="189" t="inlineStr">
        <is>
          <t>"JC &amp; ASSOCIATES" blacklisted MIA Malaysia accountant disciplinary</t>
        </is>
      </c>
    </row>
    <row r="17">
      <c r="A17" s="188" t="inlineStr">
        <is>
          <t>Firm — Evidence</t>
        </is>
      </c>
      <c r="B17" s="189" t="inlineStr">
        <is>
          <t>Found 2 positive indicator(s)</t>
        </is>
      </c>
    </row>
    <row r="18">
      <c r="A18" s="188" t="inlineStr">
        <is>
          <t>Accountant — Blacklist Status</t>
        </is>
      </c>
      <c r="B18" s="189" t="inlineStr">
        <is>
          <t>INCONCLUSIVE</t>
        </is>
      </c>
    </row>
    <row r="19">
      <c r="A19" s="188" t="inlineStr">
        <is>
          <t>Accountant — Search Query</t>
        </is>
      </c>
      <c r="B19" s="189" t="inlineStr">
        <is>
          <t>"CHU WOOI SIONG" MIA Malaysia disciplinary accountant suspended</t>
        </is>
      </c>
    </row>
    <row r="20">
      <c r="A20" s="188" t="inlineStr">
        <is>
          <t>Accountant — Evidence</t>
        </is>
      </c>
      <c r="B20" s="189" t="inlineStr">
        <is>
          <t>Results found but no clear flag or positive signal</t>
        </is>
      </c>
    </row>
    <row r="22">
      <c r="A22" s="187" t="inlineStr">
        <is>
          <t>SIGNATURE CONSISTENCY</t>
        </is>
      </c>
    </row>
    <row r="23">
      <c r="A23" s="188" t="inlineStr">
        <is>
          <t>Directors Report</t>
        </is>
      </c>
      <c r="B23" s="189" t="inlineStr">
        <is>
          <t>29 OCT 2024</t>
        </is>
      </c>
    </row>
    <row r="24">
      <c r="A24" s="188" t="inlineStr">
        <is>
          <t>Statement by Directors</t>
        </is>
      </c>
      <c r="B24" s="189" t="inlineStr">
        <is>
          <t>29 OCT 2024</t>
        </is>
      </c>
    </row>
    <row r="25">
      <c r="A25" s="188" t="inlineStr">
        <is>
          <t>Auditors Report</t>
        </is>
      </c>
      <c r="B25" s="189" t="inlineStr">
        <is>
          <t>29 October 2024</t>
        </is>
      </c>
    </row>
    <row r="26">
      <c r="A26" s="188" t="inlineStr">
        <is>
          <t>Consistency Check</t>
        </is>
      </c>
      <c r="B26" s="189" t="inlineStr">
        <is>
          <t>CONSISTENT (Auditors signed: 29 October 2024)</t>
        </is>
      </c>
    </row>
    <row r="28">
      <c r="A28" s="187" t="inlineStr">
        <is>
          <t>STATUTORY DECLARATION</t>
        </is>
      </c>
    </row>
    <row r="29">
      <c r="A29" s="188" t="inlineStr">
        <is>
          <t>COP Name</t>
        </is>
      </c>
      <c r="B29" s="189" t="inlineStr">
        <is>
          <t>NG RANG</t>
        </is>
      </c>
    </row>
    <row r="30">
      <c r="A30" s="188" t="inlineStr">
        <is>
          <t>COP Date</t>
        </is>
      </c>
      <c r="B30" s="189" t="inlineStr">
        <is>
          <t>29 OCT 2024</t>
        </is>
      </c>
    </row>
    <row r="31">
      <c r="A31" s="188" t="inlineStr">
        <is>
          <t>Date Consistent</t>
        </is>
      </c>
      <c r="B31" s="189" t="inlineStr">
        <is>
          <t>YES</t>
        </is>
      </c>
    </row>
    <row r="32">
      <c r="A32" s="188" t="inlineStr">
        <is>
          <t>Status</t>
        </is>
      </c>
      <c r="B32" s="189" t="inlineStr">
        <is>
          <t>VALID</t>
        </is>
      </c>
    </row>
    <row r="33">
      <c r="A33" s="188" t="inlineStr">
        <is>
          <t>Notes</t>
        </is>
      </c>
      <c r="B33" s="189" t="inlineStr"/>
    </row>
  </sheetData>
  <mergeCells count="5">
    <mergeCell ref="A28:B28"/>
    <mergeCell ref="A14:B14"/>
    <mergeCell ref="A8:B8"/>
    <mergeCell ref="A3:B3"/>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8" customWidth="1" min="1" max="1"/>
    <col width="20" customWidth="1" min="2" max="2"/>
    <col width="50" customWidth="1" min="3" max="3"/>
  </cols>
  <sheetData>
    <row r="1">
      <c r="A1" s="187" t="inlineStr">
        <is>
          <t>CREDIT ANALYST — FLAG SUMMARY</t>
        </is>
      </c>
    </row>
    <row r="3">
      <c r="A3" s="188" t="inlineStr">
        <is>
          <t>Audit Opinion</t>
        </is>
      </c>
      <c r="B3" s="190" t="inlineStr">
        <is>
          <t>UNQUALIFIED</t>
        </is>
      </c>
      <c r="C3" s="189" t="inlineStr">
        <is>
          <t>In our opinion, the accompanying financial statements give a true and fair view of the financial pos</t>
        </is>
      </c>
    </row>
    <row r="4">
      <c r="A4" s="188" t="inlineStr">
        <is>
          <t>True and Fair View</t>
        </is>
      </c>
      <c r="B4" s="190" t="inlineStr">
        <is>
          <t>YES</t>
        </is>
      </c>
      <c r="C4" s="189" t="inlineStr"/>
    </row>
    <row r="5">
      <c r="A5" s="188" t="inlineStr">
        <is>
          <t>Auditor Firm Blacklist</t>
        </is>
      </c>
      <c r="B5" s="190" t="inlineStr">
        <is>
          <t>CLEAN</t>
        </is>
      </c>
      <c r="C5" s="189" t="inlineStr">
        <is>
          <t>Found 2 positive indicator(s)</t>
        </is>
      </c>
    </row>
    <row r="6">
      <c r="A6" s="188" t="inlineStr">
        <is>
          <t>Accountant Blacklist</t>
        </is>
      </c>
      <c r="B6" s="191" t="inlineStr">
        <is>
          <t>INCONCLUSIVE</t>
        </is>
      </c>
      <c r="C6" s="189" t="inlineStr">
        <is>
          <t>Results found but no clear flag or positive signal</t>
        </is>
      </c>
    </row>
    <row r="7">
      <c r="A7" s="188" t="inlineStr">
        <is>
          <t>Signature Consistency</t>
        </is>
      </c>
      <c r="B7" s="190" t="inlineStr">
        <is>
          <t>CONSISTENT</t>
        </is>
      </c>
      <c r="C7" s="189" t="inlineStr"/>
    </row>
    <row r="8">
      <c r="A8" s="188" t="inlineStr">
        <is>
          <t>Statutory Declaration</t>
        </is>
      </c>
      <c r="B8" s="190" t="inlineStr">
        <is>
          <t>VALID</t>
        </is>
      </c>
      <c r="C8" s="189" t="inlineStr"/>
    </row>
    <row r="9">
      <c r="A9" s="188" t="inlineStr">
        <is>
          <t>Net Profit = Total Comprehensive Income</t>
        </is>
      </c>
      <c r="B9" s="191" t="inlineStr">
        <is>
          <t>MISMATCH</t>
        </is>
      </c>
      <c r="C9" s="189" t="inlineStr"/>
    </row>
    <row r="11">
      <c r="A11" s="187" t="inlineStr">
        <is>
          <t>ARITHMETIC VALIDATION</t>
        </is>
      </c>
    </row>
    <row r="12">
      <c r="A12" s="188" t="inlineStr">
        <is>
          <t>Gross Profit = Revenue - COS</t>
        </is>
      </c>
      <c r="B12" s="190" t="inlineStr">
        <is>
          <t>PASS</t>
        </is>
      </c>
      <c r="C12" s="189" t="inlineStr"/>
    </row>
    <row r="13">
      <c r="A13" s="188" t="inlineStr">
        <is>
          <t>Total Assets = Liabilities + Equity</t>
        </is>
      </c>
      <c r="B13" s="190" t="inlineStr">
        <is>
          <t>PASS</t>
        </is>
      </c>
      <c r="C13" s="189" t="inlineStr"/>
    </row>
    <row r="14">
      <c r="A14" s="188" t="inlineStr">
        <is>
          <t>NCA + CA = Total Assets</t>
        </is>
      </c>
      <c r="B14" s="190" t="inlineStr">
        <is>
          <t>PASS</t>
        </is>
      </c>
      <c r="C14" s="189" t="inlineStr"/>
    </row>
    <row r="15">
      <c r="A15" s="188" t="inlineStr">
        <is>
          <t>NCL + CL = Total Liabilities</t>
        </is>
      </c>
      <c r="B15" s="190" t="inlineStr">
        <is>
          <t>PASS</t>
        </is>
      </c>
      <c r="C15" s="189" t="inlineStr"/>
    </row>
    <row r="18">
      <c r="A18" s="187" t="inlineStr">
        <is>
          <t>OVERALL RECOMMENDATION</t>
        </is>
      </c>
    </row>
    <row r="19">
      <c r="A19" s="192" t="inlineStr">
        <is>
          <t>ESCALATE</t>
        </is>
      </c>
    </row>
  </sheetData>
  <mergeCells count="4">
    <mergeCell ref="A1:C1"/>
    <mergeCell ref="A18:C18"/>
    <mergeCell ref="A19:C19"/>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Lim Kian Hou</dc:creator>
  <dcterms:created xsi:type="dcterms:W3CDTF">2026-04-23T07:59:28Z</dcterms:created>
  <dcterms:modified xsi:type="dcterms:W3CDTF">2026-04-26T08:56:23Z</dcterms:modified>
  <cp:lastModifiedBy>Szekiat</cp:lastModifiedBy>
</cp:coreProperties>
</file>