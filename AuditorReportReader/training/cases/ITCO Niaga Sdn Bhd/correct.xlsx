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ms-excel.sheet.macroEnabled.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7.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persons/person.xml" ContentType="application/vnd.ms-excel.person+xml"/>
  <Override PartName="/xl/featurePropertyBag/featurePropertyBag.xml" ContentType="application/vnd.ms-excel.featurepropertyba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vbaProject.bin" ContentType="application/vnd.ms-office.vbaProject"/>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codeName="{DC747B9D-DBBB-FA85-71B4-595EBAB97821}"/>
  <workbookPr codeName="ThisWorkbook" defaultThemeVersion="166925"/>
  <mc:AlternateContent xmlns:mc="http://schemas.openxmlformats.org/markup-compatibility/2006">
    <mc:Choice Requires="x15">
      <x15ac:absPath xmlns:x15ac="http://schemas.microsoft.com/office/spreadsheetml/2010/11/ac" url="https://magnisave.sharepoint.com/sites/Moneysave/Shared Documents/MS - Credit/Approved/ITCO Niaga Sdn Bhd/Credit Underwriting/"/>
    </mc:Choice>
  </mc:AlternateContent>
  <xr:revisionPtr revIDLastSave="768" documentId="8_{847A712C-2712-42E2-A0F0-200E288FE17E}" xr6:coauthVersionLast="47" xr6:coauthVersionMax="47" xr10:uidLastSave="{6DDA4177-7273-4559-B162-7BFCEF47C17A}"/>
  <bookViews>
    <workbookView xWindow="6924" yWindow="0" windowWidth="16116" windowHeight="12960" tabRatio="653" firstSheet="3" activeTab="5" xr2:uid="{8CE87ACF-2151-4FBA-8A97-59EAD2955569}"/>
  </bookViews>
  <sheets>
    <sheet name="Mapping - Interest" sheetId="10" state="hidden" r:id="rId1"/>
    <sheet name="Mapping - Payment Status" sheetId="11" state="hidden" r:id="rId2"/>
    <sheet name="Notes" sheetId="3" state="hidden" r:id="rId3"/>
    <sheet name="Interest Rate" sheetId="25" r:id="rId4"/>
    <sheet name="Effective Rate" sheetId="32" r:id="rId5"/>
    <sheet name="Knock-Out (v2)" sheetId="43" r:id="rId6"/>
    <sheet name="Credit Evaluation" sheetId="45" r:id="rId7"/>
    <sheet name="Drawdown Checklist (v2)" sheetId="41" r:id="rId8"/>
    <sheet name="Risk Loading (v2)" sheetId="42" r:id="rId9"/>
    <sheet name="Bank Statement" sheetId="16" r:id="rId10"/>
    <sheet name="Summary" sheetId="8" r:id="rId11"/>
    <sheet name="For Factsheet Purpose (NEW)" sheetId="39" r:id="rId12"/>
    <sheet name="Summary of Information" sheetId="14" r:id="rId13"/>
    <sheet name="Working Capital Required" sheetId="9" r:id="rId14"/>
    <sheet name="Debt Service - Company" sheetId="15" r:id="rId15"/>
    <sheet name="Debt Service - Individual 1" sheetId="6" state="hidden" r:id="rId16"/>
    <sheet name="Debt Service - Company (TBD)" sheetId="12" state="hidden" r:id="rId17"/>
    <sheet name="Debt Service - Individual (TBD)" sheetId="13" state="hidden" r:id="rId18"/>
    <sheet name="Debt Service - Individual 2" sheetId="21" state="hidden" r:id="rId19"/>
    <sheet name="N.Margin (Ind. Benchmark)" sheetId="2" r:id="rId20"/>
    <sheet name="Mapping &amp; Selection" sheetId="4" r:id="rId21"/>
    <sheet name="Bank Facilities" sheetId="34" r:id="rId22"/>
    <sheet name="Buyers and Sellers" sheetId="35" r:id="rId23"/>
    <sheet name="Debtors and Creditors" sheetId="33" r:id="rId24"/>
  </sheets>
  <externalReferences>
    <externalReference r:id="rId25"/>
    <externalReference r:id="rId26"/>
  </externalReferences>
  <definedNames>
    <definedName name="_xlnm._FilterDatabase" localSheetId="21" hidden="1">'Bank Facilities'!$A$2:$G$20</definedName>
    <definedName name="_TL2" localSheetId="11">[1]validate!$C$70:$C$85</definedName>
    <definedName name="_TL2">[2]validate!$C$70:$C$85</definedName>
    <definedName name="_TR2" localSheetId="11">[1]validate!$C$113:$C$128</definedName>
    <definedName name="_TR2">[2]validate!$C$113:$C$128</definedName>
    <definedName name="BAc" localSheetId="11">[1]validate!$C$225:$C$240</definedName>
    <definedName name="BAc">[2]validate!$C$225:$C$240</definedName>
    <definedName name="CCC" localSheetId="11">[1]validate!$C$164:$C$194</definedName>
    <definedName name="CCC">[2]validate!$C$164:$C$194</definedName>
    <definedName name="HP" localSheetId="11">[1]validate!$C$131:$C$161</definedName>
    <definedName name="HP">[2]validate!$C$131:$C$161</definedName>
    <definedName name="ODRS2" localSheetId="11">[1]validate!$C$95:$C$110</definedName>
    <definedName name="ODRS2">[2]validate!$C$95:$C$110</definedName>
    <definedName name="OverD" localSheetId="11">[1]validate!$C$36:$C$51</definedName>
    <definedName name="OverD">[2]validate!$C$36:$C$51</definedName>
    <definedName name="_xlnm.Print_Area" localSheetId="6">'Credit Evaluation'!$A$1:$H$79</definedName>
    <definedName name="_xlnm.Print_Area" localSheetId="7">'Drawdown Checklist (v2)'!$A$1:$M$94</definedName>
    <definedName name="_xlnm.Print_Area" localSheetId="3">'Interest Rate'!$B$3:$Q$63,'Interest Rate'!#REF!,'Interest Rate'!#REF!,'Interest Rate'!#REF!</definedName>
    <definedName name="_xlnm.Print_Area" localSheetId="5">'Knock-Out (v2)'!$B$1:$U$101</definedName>
    <definedName name="_xlnm.Print_Area" localSheetId="8">'Risk Loading (v2)'!$B$1:$N$77</definedName>
    <definedName name="Sources" localSheetId="11">[1]validate!$C$87:$C$93</definedName>
    <definedName name="Sources">[2]validate!$C$87:$C$93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E31" i="14" l="1"/>
  <c r="E46" i="14"/>
  <c r="E36" i="14"/>
  <c r="E11" i="14"/>
  <c r="E10" i="14"/>
  <c r="D47" i="14"/>
  <c r="D46" i="14"/>
  <c r="C46" i="14"/>
  <c r="D45" i="14"/>
  <c r="C45" i="14"/>
  <c r="D36" i="14"/>
  <c r="D31" i="14"/>
  <c r="C31" i="14"/>
  <c r="D11" i="14"/>
  <c r="D10" i="14"/>
  <c r="C10" i="14"/>
  <c r="C11" i="14" s="1"/>
  <c r="I53" i="16"/>
  <c r="O38" i="43"/>
  <c r="I50" i="16" l="1"/>
  <c r="I48" i="16"/>
  <c r="I49" i="16" s="1"/>
  <c r="I51" i="16" l="1"/>
  <c r="O39" i="43"/>
  <c r="S58" i="43" l="1"/>
  <c r="M39" i="43" l="1"/>
  <c r="M38" i="43"/>
  <c r="Q58" i="43" l="1"/>
  <c r="O58" i="43"/>
  <c r="M58" i="43"/>
  <c r="L51" i="42"/>
  <c r="L56" i="42" s="1"/>
  <c r="M51" i="42"/>
  <c r="I55" i="42"/>
  <c r="L55" i="42"/>
  <c r="I56" i="42"/>
  <c r="F11" i="16"/>
  <c r="L57" i="42" l="1"/>
  <c r="G6" i="14"/>
  <c r="I52" i="16" s="1"/>
  <c r="E5" i="14" l="1"/>
  <c r="D5" i="14"/>
  <c r="F73" i="14"/>
  <c r="D21" i="14" l="1"/>
  <c r="E21" i="14"/>
  <c r="M17" i="14"/>
  <c r="M16" i="14"/>
  <c r="L6" i="14" l="1"/>
  <c r="G8" i="9"/>
  <c r="A16" i="39" l="1"/>
  <c r="A17" i="39" s="1"/>
  <c r="A15" i="39"/>
  <c r="F13" i="39"/>
  <c r="E13" i="39"/>
  <c r="D13" i="39"/>
  <c r="C13" i="39"/>
  <c r="F12" i="39"/>
  <c r="E12" i="39"/>
  <c r="D12" i="39"/>
  <c r="C12" i="39"/>
  <c r="A8" i="39"/>
  <c r="A7" i="39"/>
  <c r="F88" i="14"/>
  <c r="E88" i="14"/>
  <c r="D88" i="14"/>
  <c r="C88" i="14"/>
  <c r="F85" i="14"/>
  <c r="G85" i="14" s="1"/>
  <c r="E85" i="14"/>
  <c r="D85" i="14"/>
  <c r="C85" i="14"/>
  <c r="F83" i="14"/>
  <c r="E83" i="14"/>
  <c r="D83" i="14"/>
  <c r="C83" i="14"/>
  <c r="G82" i="14"/>
  <c r="F82" i="14"/>
  <c r="E82" i="14"/>
  <c r="D82" i="14"/>
  <c r="C82" i="14"/>
  <c r="E73" i="14"/>
  <c r="D73" i="14"/>
  <c r="C73" i="14"/>
  <c r="A73" i="14"/>
  <c r="A74" i="14" s="1"/>
  <c r="F72" i="14"/>
  <c r="E72" i="14"/>
  <c r="D72" i="14"/>
  <c r="C72" i="14"/>
  <c r="F71" i="14"/>
  <c r="E71" i="14"/>
  <c r="D71" i="14"/>
  <c r="C71" i="14"/>
  <c r="F65" i="14"/>
  <c r="E65" i="14"/>
  <c r="D65" i="14"/>
  <c r="C65" i="14"/>
  <c r="A65" i="14"/>
  <c r="A66" i="14" s="1"/>
  <c r="A67" i="14" s="1"/>
  <c r="A68" i="14" s="1"/>
  <c r="A69" i="14" s="1"/>
  <c r="A70" i="14" s="1"/>
  <c r="G64" i="14"/>
  <c r="F64" i="14"/>
  <c r="E64" i="14"/>
  <c r="D64" i="14"/>
  <c r="C64" i="14"/>
  <c r="C75" i="14" l="1"/>
  <c r="D75" i="14"/>
  <c r="E75" i="14"/>
  <c r="F75" i="14"/>
  <c r="A18" i="39"/>
  <c r="A9" i="39"/>
  <c r="A10" i="39" l="1"/>
  <c r="A19" i="39"/>
  <c r="A20" i="39" l="1"/>
  <c r="F49" i="14"/>
  <c r="D49" i="14"/>
  <c r="E49" i="14"/>
  <c r="L12" i="14" s="1"/>
  <c r="C49" i="14"/>
  <c r="G52" i="14"/>
  <c r="G72" i="14" s="1"/>
  <c r="M12" i="14" l="1"/>
  <c r="K22" i="42" s="1"/>
  <c r="A21" i="39"/>
  <c r="G15" i="14"/>
  <c r="G9" i="14"/>
  <c r="BA43" i="25"/>
  <c r="BA38" i="25" s="1"/>
  <c r="BA22" i="25"/>
  <c r="AZ17" i="25" s="1"/>
  <c r="AW5" i="25"/>
  <c r="AW4" i="25"/>
  <c r="AH43" i="25"/>
  <c r="AH38" i="25" s="1"/>
  <c r="AH22" i="25"/>
  <c r="AG17" i="25" s="1"/>
  <c r="AD5" i="25"/>
  <c r="AD4" i="25"/>
  <c r="L24" i="14"/>
  <c r="G51" i="14"/>
  <c r="G73" i="14" s="1"/>
  <c r="G50" i="14"/>
  <c r="G71" i="14" s="1"/>
  <c r="G56" i="14"/>
  <c r="M15" i="14"/>
  <c r="M18" i="14" s="1"/>
  <c r="F8" i="14"/>
  <c r="F12" i="14" s="1"/>
  <c r="F14" i="14" s="1"/>
  <c r="F17" i="14" s="1"/>
  <c r="C8" i="14"/>
  <c r="K15" i="14"/>
  <c r="L15" i="14"/>
  <c r="K16" i="14"/>
  <c r="J24" i="14"/>
  <c r="E8" i="14"/>
  <c r="E12" i="14" s="1"/>
  <c r="D8" i="14"/>
  <c r="D12" i="14" s="1"/>
  <c r="D14" i="14" s="1"/>
  <c r="D17" i="14" s="1"/>
  <c r="D19" i="14" s="1"/>
  <c r="M20" i="14" l="1"/>
  <c r="I51" i="14"/>
  <c r="G75" i="14"/>
  <c r="D58" i="14"/>
  <c r="D86" i="14"/>
  <c r="D87" i="14"/>
  <c r="A22" i="39"/>
  <c r="G49" i="14"/>
  <c r="F19" i="14"/>
  <c r="K20" i="14"/>
  <c r="K22" i="14"/>
  <c r="M13" i="14"/>
  <c r="C12" i="14"/>
  <c r="C14" i="14" s="1"/>
  <c r="C17" i="14" s="1"/>
  <c r="C19" i="14" s="1"/>
  <c r="E14" i="14"/>
  <c r="E17" i="14" s="1"/>
  <c r="E19" i="14" s="1"/>
  <c r="E58" i="14" l="1"/>
  <c r="L25" i="14"/>
  <c r="E87" i="14"/>
  <c r="E86" i="14"/>
  <c r="K25" i="14"/>
  <c r="C86" i="14"/>
  <c r="C87" i="14"/>
  <c r="F86" i="14"/>
  <c r="F87" i="14"/>
  <c r="A23" i="39"/>
  <c r="F61" i="14"/>
  <c r="M22" i="14"/>
  <c r="F58" i="14"/>
  <c r="L22" i="14"/>
  <c r="L23" i="14"/>
  <c r="L20" i="14"/>
  <c r="J22" i="14"/>
  <c r="J23" i="14"/>
  <c r="J25" i="14" l="1"/>
  <c r="M25" i="14"/>
  <c r="A24" i="39"/>
  <c r="K24" i="14"/>
  <c r="M24" i="14"/>
  <c r="K23" i="14"/>
  <c r="M23" i="14"/>
  <c r="G18" i="14"/>
  <c r="J16" i="14"/>
  <c r="J20" i="14"/>
  <c r="N24" i="14" l="1"/>
  <c r="G88" i="14"/>
  <c r="A25" i="39"/>
  <c r="A26" i="39" l="1"/>
  <c r="G4" i="14"/>
  <c r="G16" i="14"/>
  <c r="H8" i="9"/>
  <c r="G7" i="14"/>
  <c r="H9" i="9" s="1"/>
  <c r="H17" i="9" s="1"/>
  <c r="Z9" i="15"/>
  <c r="D11" i="15" s="1"/>
  <c r="F11" i="15" s="1"/>
  <c r="F23" i="8" s="1"/>
  <c r="Z8" i="15"/>
  <c r="D10" i="15" s="1"/>
  <c r="F10" i="15" s="1"/>
  <c r="F22" i="8" s="1"/>
  <c r="G10" i="14"/>
  <c r="G11" i="14"/>
  <c r="G13" i="14"/>
  <c r="W9" i="15"/>
  <c r="W8" i="15"/>
  <c r="X9" i="15"/>
  <c r="X8" i="15"/>
  <c r="C27" i="14"/>
  <c r="Y8" i="15"/>
  <c r="Y9" i="15"/>
  <c r="G40" i="14"/>
  <c r="F5" i="14"/>
  <c r="F35" i="14"/>
  <c r="F68" i="14" s="1"/>
  <c r="F41" i="14"/>
  <c r="E35" i="14"/>
  <c r="E68" i="14" s="1"/>
  <c r="E41" i="14"/>
  <c r="E39" i="14" s="1"/>
  <c r="G29" i="14"/>
  <c r="G43" i="14"/>
  <c r="G44" i="14"/>
  <c r="J13" i="14"/>
  <c r="C5" i="14"/>
  <c r="E27" i="14"/>
  <c r="E25" i="14" s="1"/>
  <c r="E66" i="14" s="1"/>
  <c r="G26" i="14"/>
  <c r="H10" i="9" s="1"/>
  <c r="H12" i="9" s="1"/>
  <c r="H14" i="9" s="1"/>
  <c r="G28" i="14"/>
  <c r="G30" i="14"/>
  <c r="G31" i="14"/>
  <c r="G32" i="14"/>
  <c r="H11" i="9" s="1"/>
  <c r="G33" i="14"/>
  <c r="G42" i="14"/>
  <c r="G45" i="14"/>
  <c r="G46" i="14"/>
  <c r="G47" i="14"/>
  <c r="G36" i="14"/>
  <c r="G37" i="14"/>
  <c r="G38" i="14"/>
  <c r="L16" i="14"/>
  <c r="L17" i="14"/>
  <c r="G24" i="14"/>
  <c r="G65" i="14" s="1"/>
  <c r="C41" i="14"/>
  <c r="C39" i="14" s="1"/>
  <c r="C69" i="14" s="1"/>
  <c r="D27" i="14"/>
  <c r="D25" i="14" s="1"/>
  <c r="D66" i="14" s="1"/>
  <c r="D41" i="14"/>
  <c r="D39" i="14" s="1"/>
  <c r="D69" i="14" s="1"/>
  <c r="C35" i="14"/>
  <c r="C68" i="14" s="1"/>
  <c r="D35" i="14"/>
  <c r="D68" i="14" s="1"/>
  <c r="J12" i="14"/>
  <c r="K12" i="14"/>
  <c r="J17" i="14"/>
  <c r="K17" i="14"/>
  <c r="K6" i="14"/>
  <c r="F27" i="14"/>
  <c r="F25" i="14" s="1"/>
  <c r="N3" i="14"/>
  <c r="M3" i="14"/>
  <c r="L3" i="14"/>
  <c r="K3" i="14"/>
  <c r="J3" i="14"/>
  <c r="D12" i="15"/>
  <c r="F12" i="15" s="1"/>
  <c r="F24" i="8" s="1"/>
  <c r="M6" i="14"/>
  <c r="O43" i="25"/>
  <c r="O38" i="25" s="1"/>
  <c r="O22" i="25" s="1"/>
  <c r="N17" i="25" s="1"/>
  <c r="H11" i="16"/>
  <c r="F20" i="16"/>
  <c r="I20" i="16" s="1"/>
  <c r="I22" i="16"/>
  <c r="H22" i="16"/>
  <c r="P24" i="33"/>
  <c r="O24" i="33"/>
  <c r="N24" i="33"/>
  <c r="M24" i="33"/>
  <c r="L24" i="33"/>
  <c r="K24" i="33"/>
  <c r="J24" i="33"/>
  <c r="I24" i="33"/>
  <c r="H24" i="33"/>
  <c r="G24" i="33"/>
  <c r="F24" i="33"/>
  <c r="E24" i="33"/>
  <c r="D24" i="33"/>
  <c r="C24" i="33"/>
  <c r="Q23" i="33"/>
  <c r="Q22" i="33"/>
  <c r="Q21" i="33"/>
  <c r="Q20" i="33"/>
  <c r="Q19" i="33"/>
  <c r="Q18" i="33"/>
  <c r="P12" i="33"/>
  <c r="O12" i="33"/>
  <c r="N12" i="33"/>
  <c r="M12" i="33"/>
  <c r="L12" i="33"/>
  <c r="K12" i="33"/>
  <c r="J12" i="33"/>
  <c r="I12" i="33"/>
  <c r="H12" i="33"/>
  <c r="G12" i="33"/>
  <c r="F12" i="33"/>
  <c r="E12" i="33"/>
  <c r="D12" i="33"/>
  <c r="Q10" i="33"/>
  <c r="Q9" i="33"/>
  <c r="Q8" i="33"/>
  <c r="Q7" i="33"/>
  <c r="Q6" i="33"/>
  <c r="Q5" i="33"/>
  <c r="Q4" i="33"/>
  <c r="Q3" i="33"/>
  <c r="F46" i="15"/>
  <c r="H46" i="15" s="1"/>
  <c r="F47" i="15"/>
  <c r="H47" i="15" s="1"/>
  <c r="F48" i="15"/>
  <c r="H48" i="15" s="1"/>
  <c r="F49" i="15"/>
  <c r="H49" i="15" s="1"/>
  <c r="F50" i="15"/>
  <c r="H50" i="15" s="1"/>
  <c r="F51" i="15"/>
  <c r="H51" i="15" s="1"/>
  <c r="F52" i="15"/>
  <c r="H52" i="15" s="1"/>
  <c r="F53" i="15"/>
  <c r="H53" i="15" s="1"/>
  <c r="F221" i="15"/>
  <c r="F54" i="15" s="1"/>
  <c r="H54" i="15" s="1"/>
  <c r="I54" i="15" s="1"/>
  <c r="F239" i="15"/>
  <c r="F55" i="15" s="1"/>
  <c r="H55" i="15" s="1"/>
  <c r="I55" i="15" s="1"/>
  <c r="F257" i="15"/>
  <c r="F56" i="15" s="1"/>
  <c r="F57" i="15"/>
  <c r="H57" i="15" s="1"/>
  <c r="F293" i="15"/>
  <c r="F58" i="15" s="1"/>
  <c r="P46" i="15"/>
  <c r="R46" i="15" s="1"/>
  <c r="P47" i="15"/>
  <c r="R47" i="15" s="1"/>
  <c r="P48" i="15"/>
  <c r="R48" i="15" s="1"/>
  <c r="P49" i="15"/>
  <c r="R49" i="15" s="1"/>
  <c r="P50" i="15"/>
  <c r="R50" i="15" s="1"/>
  <c r="P51" i="15"/>
  <c r="R51" i="15" s="1"/>
  <c r="P52" i="15"/>
  <c r="R52" i="15" s="1"/>
  <c r="P53" i="15"/>
  <c r="R53" i="15" s="1"/>
  <c r="P221" i="15"/>
  <c r="P54" i="15" s="1"/>
  <c r="R54" i="15" s="1"/>
  <c r="P239" i="15"/>
  <c r="P55" i="15" s="1"/>
  <c r="R55" i="15" s="1"/>
  <c r="P257" i="15"/>
  <c r="P56" i="15" s="1"/>
  <c r="R56" i="15" s="1"/>
  <c r="P57" i="15"/>
  <c r="R57" i="15" s="1"/>
  <c r="P293" i="15"/>
  <c r="P58" i="15" s="1"/>
  <c r="R58" i="15" s="1"/>
  <c r="H62" i="15"/>
  <c r="I62" i="15" s="1"/>
  <c r="H63" i="15"/>
  <c r="I63" i="15" s="1"/>
  <c r="H64" i="15"/>
  <c r="I64" i="15" s="1"/>
  <c r="H65" i="15"/>
  <c r="I65" i="15" s="1"/>
  <c r="H66" i="15"/>
  <c r="I66" i="15" s="1"/>
  <c r="H67" i="15"/>
  <c r="I67" i="15" s="1"/>
  <c r="H68" i="15"/>
  <c r="I68" i="15" s="1"/>
  <c r="H69" i="15"/>
  <c r="I69" i="15" s="1"/>
  <c r="H70" i="15"/>
  <c r="I70" i="15" s="1"/>
  <c r="H71" i="15"/>
  <c r="I71" i="15" s="1"/>
  <c r="H72" i="15"/>
  <c r="I72" i="15" s="1"/>
  <c r="H73" i="15"/>
  <c r="I73" i="15" s="1"/>
  <c r="H74" i="15"/>
  <c r="I74" i="15" s="1"/>
  <c r="H75" i="15"/>
  <c r="I75" i="15" s="1"/>
  <c r="H76" i="15"/>
  <c r="I76" i="15" s="1"/>
  <c r="H80" i="15"/>
  <c r="I80" i="15" s="1"/>
  <c r="H81" i="15"/>
  <c r="I81" i="15" s="1"/>
  <c r="H82" i="15"/>
  <c r="I82" i="15" s="1"/>
  <c r="H83" i="15"/>
  <c r="I83" i="15" s="1"/>
  <c r="H84" i="15"/>
  <c r="I84" i="15" s="1"/>
  <c r="H85" i="15"/>
  <c r="I85" i="15" s="1"/>
  <c r="H86" i="15"/>
  <c r="I86" i="15" s="1"/>
  <c r="H87" i="15"/>
  <c r="I87" i="15" s="1"/>
  <c r="H88" i="15"/>
  <c r="I88" i="15" s="1"/>
  <c r="H89" i="15"/>
  <c r="I89" i="15" s="1"/>
  <c r="H90" i="15"/>
  <c r="I90" i="15" s="1"/>
  <c r="H91" i="15"/>
  <c r="I91" i="15" s="1"/>
  <c r="H92" i="15"/>
  <c r="I92" i="15" s="1"/>
  <c r="H93" i="15"/>
  <c r="I93" i="15" s="1"/>
  <c r="H94" i="15"/>
  <c r="I94" i="15" s="1"/>
  <c r="H98" i="15"/>
  <c r="I98" i="15" s="1"/>
  <c r="H99" i="15"/>
  <c r="I99" i="15" s="1"/>
  <c r="H100" i="15"/>
  <c r="I100" i="15" s="1"/>
  <c r="H101" i="15"/>
  <c r="I101" i="15" s="1"/>
  <c r="H102" i="15"/>
  <c r="I102" i="15" s="1"/>
  <c r="H103" i="15"/>
  <c r="I103" i="15" s="1"/>
  <c r="H104" i="15"/>
  <c r="I104" i="15" s="1"/>
  <c r="H105" i="15"/>
  <c r="I105" i="15" s="1"/>
  <c r="H106" i="15"/>
  <c r="I106" i="15" s="1"/>
  <c r="H107" i="15"/>
  <c r="I107" i="15" s="1"/>
  <c r="H108" i="15"/>
  <c r="I108" i="15" s="1"/>
  <c r="H109" i="15"/>
  <c r="I109" i="15" s="1"/>
  <c r="H110" i="15"/>
  <c r="I110" i="15" s="1"/>
  <c r="H111" i="15"/>
  <c r="I111" i="15" s="1"/>
  <c r="H112" i="15"/>
  <c r="I112" i="15" s="1"/>
  <c r="H116" i="15"/>
  <c r="I116" i="15" s="1"/>
  <c r="H117" i="15"/>
  <c r="I117" i="15" s="1"/>
  <c r="H118" i="15"/>
  <c r="I118" i="15" s="1"/>
  <c r="H119" i="15"/>
  <c r="I119" i="15" s="1"/>
  <c r="H120" i="15"/>
  <c r="I120" i="15" s="1"/>
  <c r="H121" i="15"/>
  <c r="I121" i="15" s="1"/>
  <c r="H122" i="15"/>
  <c r="I122" i="15" s="1"/>
  <c r="H123" i="15"/>
  <c r="I123" i="15" s="1"/>
  <c r="H124" i="15"/>
  <c r="I124" i="15" s="1"/>
  <c r="H125" i="15"/>
  <c r="I125" i="15" s="1"/>
  <c r="H126" i="15"/>
  <c r="I126" i="15" s="1"/>
  <c r="H127" i="15"/>
  <c r="I127" i="15" s="1"/>
  <c r="H128" i="15"/>
  <c r="I128" i="15" s="1"/>
  <c r="H129" i="15"/>
  <c r="I129" i="15" s="1"/>
  <c r="H130" i="15"/>
  <c r="I130" i="15" s="1"/>
  <c r="H134" i="15"/>
  <c r="I134" i="15" s="1"/>
  <c r="H135" i="15"/>
  <c r="I135" i="15" s="1"/>
  <c r="H136" i="15"/>
  <c r="I136" i="15" s="1"/>
  <c r="H137" i="15"/>
  <c r="I137" i="15" s="1"/>
  <c r="H138" i="15"/>
  <c r="I138" i="15" s="1"/>
  <c r="H139" i="15"/>
  <c r="I139" i="15" s="1"/>
  <c r="H140" i="15"/>
  <c r="I140" i="15" s="1"/>
  <c r="H141" i="15"/>
  <c r="I141" i="15" s="1"/>
  <c r="H142" i="15"/>
  <c r="I142" i="15" s="1"/>
  <c r="H143" i="15"/>
  <c r="I143" i="15" s="1"/>
  <c r="H144" i="15"/>
  <c r="I144" i="15" s="1"/>
  <c r="H145" i="15"/>
  <c r="I145" i="15" s="1"/>
  <c r="H146" i="15"/>
  <c r="I146" i="15" s="1"/>
  <c r="H147" i="15"/>
  <c r="I147" i="15" s="1"/>
  <c r="H148" i="15"/>
  <c r="I148" i="15" s="1"/>
  <c r="H152" i="15"/>
  <c r="I152" i="15" s="1"/>
  <c r="H153" i="15"/>
  <c r="I153" i="15" s="1"/>
  <c r="H154" i="15"/>
  <c r="I154" i="15" s="1"/>
  <c r="H155" i="15"/>
  <c r="I155" i="15" s="1"/>
  <c r="H156" i="15"/>
  <c r="I156" i="15" s="1"/>
  <c r="H157" i="15"/>
  <c r="I157" i="15" s="1"/>
  <c r="H158" i="15"/>
  <c r="I158" i="15" s="1"/>
  <c r="H159" i="15"/>
  <c r="I159" i="15" s="1"/>
  <c r="H160" i="15"/>
  <c r="I160" i="15" s="1"/>
  <c r="H161" i="15"/>
  <c r="I161" i="15" s="1"/>
  <c r="H162" i="15"/>
  <c r="I162" i="15" s="1"/>
  <c r="H163" i="15"/>
  <c r="I163" i="15" s="1"/>
  <c r="H164" i="15"/>
  <c r="I164" i="15" s="1"/>
  <c r="H165" i="15"/>
  <c r="I165" i="15" s="1"/>
  <c r="H166" i="15"/>
  <c r="I166" i="15" s="1"/>
  <c r="H170" i="15"/>
  <c r="I170" i="15" s="1"/>
  <c r="H171" i="15"/>
  <c r="I171" i="15" s="1"/>
  <c r="H172" i="15"/>
  <c r="I172" i="15" s="1"/>
  <c r="H173" i="15"/>
  <c r="I173" i="15" s="1"/>
  <c r="H174" i="15"/>
  <c r="I174" i="15" s="1"/>
  <c r="H175" i="15"/>
  <c r="I175" i="15" s="1"/>
  <c r="H176" i="15"/>
  <c r="I176" i="15" s="1"/>
  <c r="H177" i="15"/>
  <c r="I177" i="15" s="1"/>
  <c r="H178" i="15"/>
  <c r="I178" i="15" s="1"/>
  <c r="H179" i="15"/>
  <c r="I179" i="15" s="1"/>
  <c r="H180" i="15"/>
  <c r="I180" i="15" s="1"/>
  <c r="H181" i="15"/>
  <c r="I181" i="15" s="1"/>
  <c r="H182" i="15"/>
  <c r="I182" i="15" s="1"/>
  <c r="H183" i="15"/>
  <c r="I183" i="15" s="1"/>
  <c r="H184" i="15"/>
  <c r="I184" i="15" s="1"/>
  <c r="H188" i="15"/>
  <c r="I188" i="15" s="1"/>
  <c r="H189" i="15"/>
  <c r="I189" i="15" s="1"/>
  <c r="H190" i="15"/>
  <c r="I190" i="15" s="1"/>
  <c r="H191" i="15"/>
  <c r="I191" i="15" s="1"/>
  <c r="H192" i="15"/>
  <c r="I192" i="15" s="1"/>
  <c r="H193" i="15"/>
  <c r="I193" i="15" s="1"/>
  <c r="H194" i="15"/>
  <c r="I194" i="15" s="1"/>
  <c r="H195" i="15"/>
  <c r="I195" i="15" s="1"/>
  <c r="H196" i="15"/>
  <c r="I196" i="15" s="1"/>
  <c r="H197" i="15"/>
  <c r="I197" i="15" s="1"/>
  <c r="H198" i="15"/>
  <c r="I198" i="15" s="1"/>
  <c r="H199" i="15"/>
  <c r="I199" i="15" s="1"/>
  <c r="H200" i="15"/>
  <c r="I200" i="15" s="1"/>
  <c r="H201" i="15"/>
  <c r="I201" i="15" s="1"/>
  <c r="H202" i="15"/>
  <c r="I202" i="15" s="1"/>
  <c r="G54" i="15"/>
  <c r="G55" i="15"/>
  <c r="G56" i="15"/>
  <c r="I260" i="15"/>
  <c r="H261" i="15"/>
  <c r="I261" i="15" s="1"/>
  <c r="H262" i="15"/>
  <c r="I262" i="15" s="1"/>
  <c r="H263" i="15"/>
  <c r="I263" i="15" s="1"/>
  <c r="H264" i="15"/>
  <c r="I264" i="15" s="1"/>
  <c r="H265" i="15"/>
  <c r="I265" i="15" s="1"/>
  <c r="H266" i="15"/>
  <c r="I266" i="15" s="1"/>
  <c r="H267" i="15"/>
  <c r="I267" i="15" s="1"/>
  <c r="H268" i="15"/>
  <c r="I268" i="15" s="1"/>
  <c r="H269" i="15"/>
  <c r="I269" i="15" s="1"/>
  <c r="H270" i="15"/>
  <c r="I270" i="15" s="1"/>
  <c r="H271" i="15"/>
  <c r="I271" i="15" s="1"/>
  <c r="H272" i="15"/>
  <c r="I272" i="15" s="1"/>
  <c r="H273" i="15"/>
  <c r="I273" i="15" s="1"/>
  <c r="H274" i="15"/>
  <c r="I274" i="15" s="1"/>
  <c r="G58" i="15"/>
  <c r="R62" i="15"/>
  <c r="S62" i="15" s="1"/>
  <c r="R63" i="15"/>
  <c r="S63" i="15" s="1"/>
  <c r="R64" i="15"/>
  <c r="S64" i="15" s="1"/>
  <c r="R65" i="15"/>
  <c r="S65" i="15" s="1"/>
  <c r="R66" i="15"/>
  <c r="S66" i="15" s="1"/>
  <c r="R67" i="15"/>
  <c r="S67" i="15" s="1"/>
  <c r="R68" i="15"/>
  <c r="S68" i="15" s="1"/>
  <c r="R69" i="15"/>
  <c r="S69" i="15" s="1"/>
  <c r="R70" i="15"/>
  <c r="S70" i="15" s="1"/>
  <c r="R71" i="15"/>
  <c r="S71" i="15" s="1"/>
  <c r="R72" i="15"/>
  <c r="S72" i="15" s="1"/>
  <c r="R73" i="15"/>
  <c r="S73" i="15" s="1"/>
  <c r="R74" i="15"/>
  <c r="S74" i="15" s="1"/>
  <c r="R75" i="15"/>
  <c r="S75" i="15" s="1"/>
  <c r="R76" i="15"/>
  <c r="S76" i="15" s="1"/>
  <c r="R80" i="15"/>
  <c r="S80" i="15" s="1"/>
  <c r="R81" i="15"/>
  <c r="S81" i="15" s="1"/>
  <c r="R82" i="15"/>
  <c r="S82" i="15" s="1"/>
  <c r="R83" i="15"/>
  <c r="S83" i="15" s="1"/>
  <c r="R84" i="15"/>
  <c r="S84" i="15" s="1"/>
  <c r="R85" i="15"/>
  <c r="S85" i="15" s="1"/>
  <c r="R86" i="15"/>
  <c r="S86" i="15" s="1"/>
  <c r="R87" i="15"/>
  <c r="S87" i="15" s="1"/>
  <c r="R88" i="15"/>
  <c r="S88" i="15" s="1"/>
  <c r="R89" i="15"/>
  <c r="S89" i="15" s="1"/>
  <c r="R90" i="15"/>
  <c r="S90" i="15" s="1"/>
  <c r="R91" i="15"/>
  <c r="S91" i="15" s="1"/>
  <c r="R92" i="15"/>
  <c r="S92" i="15" s="1"/>
  <c r="R93" i="15"/>
  <c r="S93" i="15" s="1"/>
  <c r="R94" i="15"/>
  <c r="S94" i="15" s="1"/>
  <c r="R98" i="15"/>
  <c r="S98" i="15" s="1"/>
  <c r="R99" i="15"/>
  <c r="S99" i="15" s="1"/>
  <c r="R100" i="15"/>
  <c r="S100" i="15"/>
  <c r="R101" i="15"/>
  <c r="S101" i="15" s="1"/>
  <c r="R102" i="15"/>
  <c r="S102" i="15" s="1"/>
  <c r="R103" i="15"/>
  <c r="S103" i="15" s="1"/>
  <c r="R104" i="15"/>
  <c r="S104" i="15" s="1"/>
  <c r="R105" i="15"/>
  <c r="S105" i="15" s="1"/>
  <c r="R106" i="15"/>
  <c r="S106" i="15" s="1"/>
  <c r="R107" i="15"/>
  <c r="S107" i="15" s="1"/>
  <c r="R108" i="15"/>
  <c r="S108" i="15" s="1"/>
  <c r="R109" i="15"/>
  <c r="S109" i="15" s="1"/>
  <c r="R110" i="15"/>
  <c r="S110" i="15" s="1"/>
  <c r="R111" i="15"/>
  <c r="S111" i="15" s="1"/>
  <c r="R112" i="15"/>
  <c r="S112" i="15" s="1"/>
  <c r="R116" i="15"/>
  <c r="S116" i="15" s="1"/>
  <c r="R117" i="15"/>
  <c r="S117" i="15"/>
  <c r="R118" i="15"/>
  <c r="S118" i="15" s="1"/>
  <c r="R119" i="15"/>
  <c r="S119" i="15"/>
  <c r="R120" i="15"/>
  <c r="S120" i="15" s="1"/>
  <c r="R121" i="15"/>
  <c r="S121" i="15" s="1"/>
  <c r="R122" i="15"/>
  <c r="S122" i="15" s="1"/>
  <c r="R123" i="15"/>
  <c r="S123" i="15" s="1"/>
  <c r="R124" i="15"/>
  <c r="S124" i="15" s="1"/>
  <c r="R125" i="15"/>
  <c r="S125" i="15" s="1"/>
  <c r="R126" i="15"/>
  <c r="S126" i="15"/>
  <c r="R127" i="15"/>
  <c r="S127" i="15" s="1"/>
  <c r="R128" i="15"/>
  <c r="S128" i="15" s="1"/>
  <c r="R129" i="15"/>
  <c r="S129" i="15" s="1"/>
  <c r="R130" i="15"/>
  <c r="S130" i="15" s="1"/>
  <c r="R134" i="15"/>
  <c r="S134" i="15" s="1"/>
  <c r="R135" i="15"/>
  <c r="S135" i="15" s="1"/>
  <c r="R136" i="15"/>
  <c r="S136" i="15" s="1"/>
  <c r="R137" i="15"/>
  <c r="S137" i="15" s="1"/>
  <c r="R138" i="15"/>
  <c r="S138" i="15" s="1"/>
  <c r="R139" i="15"/>
  <c r="S139" i="15" s="1"/>
  <c r="R140" i="15"/>
  <c r="S140" i="15" s="1"/>
  <c r="R141" i="15"/>
  <c r="S141" i="15" s="1"/>
  <c r="R142" i="15"/>
  <c r="S142" i="15" s="1"/>
  <c r="R143" i="15"/>
  <c r="S143" i="15" s="1"/>
  <c r="R144" i="15"/>
  <c r="S144" i="15" s="1"/>
  <c r="R145" i="15"/>
  <c r="S145" i="15" s="1"/>
  <c r="R146" i="15"/>
  <c r="S146" i="15" s="1"/>
  <c r="R147" i="15"/>
  <c r="S147" i="15" s="1"/>
  <c r="R148" i="15"/>
  <c r="S148" i="15" s="1"/>
  <c r="R152" i="15"/>
  <c r="S152" i="15" s="1"/>
  <c r="R153" i="15"/>
  <c r="S153" i="15" s="1"/>
  <c r="R154" i="15"/>
  <c r="S154" i="15" s="1"/>
  <c r="R155" i="15"/>
  <c r="S155" i="15" s="1"/>
  <c r="R156" i="15"/>
  <c r="S156" i="15" s="1"/>
  <c r="R157" i="15"/>
  <c r="S157" i="15" s="1"/>
  <c r="R158" i="15"/>
  <c r="S158" i="15" s="1"/>
  <c r="R159" i="15"/>
  <c r="S159" i="15" s="1"/>
  <c r="R160" i="15"/>
  <c r="S160" i="15" s="1"/>
  <c r="R161" i="15"/>
  <c r="S161" i="15" s="1"/>
  <c r="R162" i="15"/>
  <c r="S162" i="15" s="1"/>
  <c r="R163" i="15"/>
  <c r="S163" i="15" s="1"/>
  <c r="R164" i="15"/>
  <c r="S164" i="15" s="1"/>
  <c r="R165" i="15"/>
  <c r="S165" i="15" s="1"/>
  <c r="R166" i="15"/>
  <c r="S166" i="15" s="1"/>
  <c r="R170" i="15"/>
  <c r="S170" i="15" s="1"/>
  <c r="R171" i="15"/>
  <c r="S171" i="15" s="1"/>
  <c r="R172" i="15"/>
  <c r="S172" i="15" s="1"/>
  <c r="R173" i="15"/>
  <c r="S173" i="15" s="1"/>
  <c r="R174" i="15"/>
  <c r="S174" i="15" s="1"/>
  <c r="R175" i="15"/>
  <c r="S175" i="15" s="1"/>
  <c r="R176" i="15"/>
  <c r="S176" i="15" s="1"/>
  <c r="R177" i="15"/>
  <c r="S177" i="15" s="1"/>
  <c r="R178" i="15"/>
  <c r="S178" i="15" s="1"/>
  <c r="R179" i="15"/>
  <c r="S179" i="15" s="1"/>
  <c r="R180" i="15"/>
  <c r="S180" i="15" s="1"/>
  <c r="R181" i="15"/>
  <c r="S181" i="15" s="1"/>
  <c r="R182" i="15"/>
  <c r="S182" i="15" s="1"/>
  <c r="R183" i="15"/>
  <c r="S183" i="15" s="1"/>
  <c r="R184" i="15"/>
  <c r="S184" i="15" s="1"/>
  <c r="R188" i="15"/>
  <c r="S188" i="15" s="1"/>
  <c r="R189" i="15"/>
  <c r="S189" i="15" s="1"/>
  <c r="R190" i="15"/>
  <c r="S190" i="15" s="1"/>
  <c r="R191" i="15"/>
  <c r="S191" i="15" s="1"/>
  <c r="R192" i="15"/>
  <c r="S192" i="15" s="1"/>
  <c r="R193" i="15"/>
  <c r="S193" i="15" s="1"/>
  <c r="R194" i="15"/>
  <c r="S194" i="15" s="1"/>
  <c r="R195" i="15"/>
  <c r="S195" i="15" s="1"/>
  <c r="R196" i="15"/>
  <c r="S196" i="15" s="1"/>
  <c r="R197" i="15"/>
  <c r="S197" i="15" s="1"/>
  <c r="R198" i="15"/>
  <c r="S198" i="15" s="1"/>
  <c r="R199" i="15"/>
  <c r="S199" i="15" s="1"/>
  <c r="R200" i="15"/>
  <c r="S200" i="15" s="1"/>
  <c r="R201" i="15"/>
  <c r="S201" i="15" s="1"/>
  <c r="R202" i="15"/>
  <c r="S202" i="15" s="1"/>
  <c r="Q54" i="15"/>
  <c r="Q55" i="15"/>
  <c r="Q56" i="15"/>
  <c r="S260" i="15"/>
  <c r="R261" i="15"/>
  <c r="S261" i="15" s="1"/>
  <c r="R262" i="15"/>
  <c r="S262" i="15" s="1"/>
  <c r="R263" i="15"/>
  <c r="S263" i="15" s="1"/>
  <c r="R264" i="15"/>
  <c r="S264" i="15" s="1"/>
  <c r="R265" i="15"/>
  <c r="S265" i="15" s="1"/>
  <c r="R266" i="15"/>
  <c r="S266" i="15" s="1"/>
  <c r="R267" i="15"/>
  <c r="S267" i="15" s="1"/>
  <c r="R268" i="15"/>
  <c r="S268" i="15" s="1"/>
  <c r="R269" i="15"/>
  <c r="S269" i="15" s="1"/>
  <c r="R270" i="15"/>
  <c r="S270" i="15" s="1"/>
  <c r="R271" i="15"/>
  <c r="S271" i="15" s="1"/>
  <c r="R272" i="15"/>
  <c r="S272" i="15" s="1"/>
  <c r="R273" i="15"/>
  <c r="S273" i="15" s="1"/>
  <c r="R274" i="15"/>
  <c r="S274" i="15" s="1"/>
  <c r="Q58" i="15"/>
  <c r="S44" i="6"/>
  <c r="S45" i="6"/>
  <c r="S46" i="6"/>
  <c r="S59" i="6"/>
  <c r="Q32" i="6"/>
  <c r="Q41" i="6"/>
  <c r="D8" i="6"/>
  <c r="D6" i="6"/>
  <c r="J6" i="6"/>
  <c r="F18" i="8"/>
  <c r="D13" i="15"/>
  <c r="E29" i="16"/>
  <c r="D29" i="16"/>
  <c r="P24" i="16"/>
  <c r="P25" i="16"/>
  <c r="P26" i="16"/>
  <c r="P27" i="16"/>
  <c r="P28" i="16"/>
  <c r="P23" i="16"/>
  <c r="P15" i="16"/>
  <c r="P16" i="16"/>
  <c r="P17" i="16"/>
  <c r="P18" i="16"/>
  <c r="P19" i="16"/>
  <c r="P14" i="16"/>
  <c r="E20" i="16"/>
  <c r="D20" i="16"/>
  <c r="C9" i="32"/>
  <c r="C11" i="32"/>
  <c r="C8" i="32"/>
  <c r="C7" i="32"/>
  <c r="F29" i="16"/>
  <c r="I29" i="16" s="1"/>
  <c r="K5" i="25"/>
  <c r="K4" i="25"/>
  <c r="B7" i="25"/>
  <c r="D6" i="9"/>
  <c r="A39" i="6"/>
  <c r="D133" i="6"/>
  <c r="G6" i="9"/>
  <c r="A39" i="21"/>
  <c r="F185" i="21"/>
  <c r="E185" i="21"/>
  <c r="D185" i="21"/>
  <c r="F185" i="6"/>
  <c r="E185" i="6"/>
  <c r="D185" i="6"/>
  <c r="D39" i="6"/>
  <c r="E39" i="6"/>
  <c r="BI203" i="21"/>
  <c r="BH203" i="21"/>
  <c r="AZ203" i="21"/>
  <c r="AY203" i="21"/>
  <c r="AY40" i="21"/>
  <c r="AQ203" i="21"/>
  <c r="AQ40" i="21"/>
  <c r="AP203" i="21"/>
  <c r="AH203" i="21"/>
  <c r="AG203" i="21"/>
  <c r="Y203" i="21"/>
  <c r="X203" i="21"/>
  <c r="O203" i="21"/>
  <c r="N203" i="21"/>
  <c r="N40" i="21"/>
  <c r="E203" i="21"/>
  <c r="E40" i="21"/>
  <c r="D203" i="21"/>
  <c r="BM202" i="21"/>
  <c r="BD202" i="21"/>
  <c r="AU202" i="21"/>
  <c r="AL202" i="21"/>
  <c r="AC202" i="21"/>
  <c r="S202" i="21"/>
  <c r="I202" i="21"/>
  <c r="BM201" i="21"/>
  <c r="BD201" i="21"/>
  <c r="AU201" i="21"/>
  <c r="AL201" i="21"/>
  <c r="AC201" i="21"/>
  <c r="S201" i="21"/>
  <c r="I201" i="21"/>
  <c r="BM200" i="21"/>
  <c r="BD200" i="21"/>
  <c r="AU200" i="21"/>
  <c r="AL200" i="21"/>
  <c r="AC200" i="21"/>
  <c r="S200" i="21"/>
  <c r="I200" i="21"/>
  <c r="BM199" i="21"/>
  <c r="BD199" i="21"/>
  <c r="AU199" i="21"/>
  <c r="AL199" i="21"/>
  <c r="AC199" i="21"/>
  <c r="S199" i="21"/>
  <c r="I199" i="21"/>
  <c r="BM198" i="21"/>
  <c r="BD198" i="21"/>
  <c r="AU198" i="21"/>
  <c r="AL198" i="21"/>
  <c r="AC198" i="21"/>
  <c r="S198" i="21"/>
  <c r="I198" i="21"/>
  <c r="BM197" i="21"/>
  <c r="BD197" i="21"/>
  <c r="AU197" i="21"/>
  <c r="AL197" i="21"/>
  <c r="AC197" i="21"/>
  <c r="S197" i="21"/>
  <c r="I197" i="21"/>
  <c r="BM196" i="21"/>
  <c r="BD196" i="21"/>
  <c r="AU196" i="21"/>
  <c r="AL196" i="21"/>
  <c r="AC196" i="21"/>
  <c r="S196" i="21"/>
  <c r="I196" i="21"/>
  <c r="BM195" i="21"/>
  <c r="BD195" i="21"/>
  <c r="AU195" i="21"/>
  <c r="AL195" i="21"/>
  <c r="AC195" i="21"/>
  <c r="S195" i="21"/>
  <c r="I195" i="21"/>
  <c r="BM194" i="21"/>
  <c r="BD194" i="21"/>
  <c r="AU194" i="21"/>
  <c r="AL194" i="21"/>
  <c r="AC194" i="21"/>
  <c r="S194" i="21"/>
  <c r="I194" i="21"/>
  <c r="BM193" i="21"/>
  <c r="BD193" i="21"/>
  <c r="AU193" i="21"/>
  <c r="AL193" i="21"/>
  <c r="AC193" i="21"/>
  <c r="S193" i="21"/>
  <c r="I193" i="21"/>
  <c r="BM192" i="21"/>
  <c r="BD192" i="21"/>
  <c r="AU192" i="21"/>
  <c r="AL192" i="21"/>
  <c r="AC192" i="21"/>
  <c r="S192" i="21"/>
  <c r="I192" i="21"/>
  <c r="BM191" i="21"/>
  <c r="BD191" i="21"/>
  <c r="AU191" i="21"/>
  <c r="AL191" i="21"/>
  <c r="AC191" i="21"/>
  <c r="S191" i="21"/>
  <c r="I191" i="21"/>
  <c r="BM190" i="21"/>
  <c r="BD190" i="21"/>
  <c r="AU190" i="21"/>
  <c r="AL190" i="21"/>
  <c r="AC190" i="21"/>
  <c r="S190" i="21"/>
  <c r="I190" i="21"/>
  <c r="BM189" i="21"/>
  <c r="BD189" i="21"/>
  <c r="AU189" i="21"/>
  <c r="AL189" i="21"/>
  <c r="AC189" i="21"/>
  <c r="S189" i="21"/>
  <c r="I189" i="21"/>
  <c r="BM188" i="21"/>
  <c r="BD188" i="21"/>
  <c r="AU188" i="21"/>
  <c r="AL188" i="21"/>
  <c r="AC188" i="21"/>
  <c r="AC203" i="21"/>
  <c r="AA40" i="21"/>
  <c r="S188" i="21"/>
  <c r="I188" i="21"/>
  <c r="BM187" i="21"/>
  <c r="BL187" i="21"/>
  <c r="BK187" i="21"/>
  <c r="BJ187" i="21"/>
  <c r="BI187" i="21"/>
  <c r="BH187" i="21"/>
  <c r="BG187" i="21"/>
  <c r="BD187" i="21"/>
  <c r="BC187" i="21"/>
  <c r="BB187" i="21"/>
  <c r="BA187" i="21"/>
  <c r="AZ187" i="21"/>
  <c r="AY187" i="21"/>
  <c r="AX187" i="21"/>
  <c r="AU187" i="21"/>
  <c r="AT187" i="21"/>
  <c r="AS187" i="21"/>
  <c r="AR187" i="21"/>
  <c r="AQ187" i="21"/>
  <c r="AP187" i="21"/>
  <c r="AO187" i="21"/>
  <c r="AL187" i="21"/>
  <c r="AK187" i="21"/>
  <c r="AJ187" i="21"/>
  <c r="AI187" i="21"/>
  <c r="AH187" i="21"/>
  <c r="AG187" i="21"/>
  <c r="AF187" i="21"/>
  <c r="AC187" i="21"/>
  <c r="AB187" i="21"/>
  <c r="AA187" i="21"/>
  <c r="Z187" i="21"/>
  <c r="Y187" i="21"/>
  <c r="X187" i="21"/>
  <c r="W187" i="21"/>
  <c r="S187" i="21"/>
  <c r="R187" i="21"/>
  <c r="Q187" i="21"/>
  <c r="P187" i="21"/>
  <c r="O187" i="21"/>
  <c r="N187" i="21"/>
  <c r="M187" i="21"/>
  <c r="I187" i="21"/>
  <c r="H187" i="21"/>
  <c r="G187" i="21"/>
  <c r="F187" i="21"/>
  <c r="E187" i="21"/>
  <c r="D187" i="21"/>
  <c r="C187" i="21"/>
  <c r="BJ185" i="21"/>
  <c r="BA185" i="21"/>
  <c r="BA39" i="21"/>
  <c r="AR185" i="21"/>
  <c r="AI185" i="21"/>
  <c r="Z185" i="21"/>
  <c r="Z39" i="21"/>
  <c r="AB39" i="21"/>
  <c r="P185" i="21"/>
  <c r="O185" i="21"/>
  <c r="N185" i="21"/>
  <c r="N39" i="21"/>
  <c r="BM169" i="21"/>
  <c r="BL169" i="21"/>
  <c r="BK169" i="21"/>
  <c r="BJ169" i="21"/>
  <c r="BI169" i="21"/>
  <c r="BH169" i="21"/>
  <c r="BG169" i="21"/>
  <c r="BD169" i="21"/>
  <c r="BC169" i="21"/>
  <c r="BB169" i="21"/>
  <c r="BA169" i="21"/>
  <c r="AZ169" i="21"/>
  <c r="AY169" i="21"/>
  <c r="AX169" i="21"/>
  <c r="AU169" i="21"/>
  <c r="AT169" i="21"/>
  <c r="AS169" i="21"/>
  <c r="AR169" i="21"/>
  <c r="AQ169" i="21"/>
  <c r="AP169" i="21"/>
  <c r="AO169" i="21"/>
  <c r="AL169" i="21"/>
  <c r="AK169" i="21"/>
  <c r="AJ169" i="21"/>
  <c r="AI169" i="21"/>
  <c r="AH169" i="21"/>
  <c r="AG169" i="21"/>
  <c r="AF169" i="21"/>
  <c r="AC169" i="21"/>
  <c r="AB169" i="21"/>
  <c r="AA169" i="21"/>
  <c r="Z169" i="21"/>
  <c r="Y169" i="21"/>
  <c r="X169" i="21"/>
  <c r="W169" i="21"/>
  <c r="S169" i="21"/>
  <c r="R169" i="21"/>
  <c r="Q169" i="21"/>
  <c r="P169" i="21"/>
  <c r="O169" i="21"/>
  <c r="N169" i="21"/>
  <c r="M169" i="21"/>
  <c r="I169" i="21"/>
  <c r="H169" i="21"/>
  <c r="G169" i="21"/>
  <c r="F169" i="21"/>
  <c r="E169" i="21"/>
  <c r="D169" i="21"/>
  <c r="C169" i="21"/>
  <c r="BI167" i="21"/>
  <c r="BI38" i="21"/>
  <c r="AZ167" i="21"/>
  <c r="AQ167" i="21"/>
  <c r="AQ38" i="21"/>
  <c r="AH167" i="21"/>
  <c r="AH38" i="21"/>
  <c r="Y167" i="21"/>
  <c r="Y38" i="21"/>
  <c r="O167" i="21"/>
  <c r="N167" i="21"/>
  <c r="N38" i="21"/>
  <c r="E167" i="21"/>
  <c r="D167" i="21"/>
  <c r="BM166" i="21"/>
  <c r="BD166" i="21"/>
  <c r="AU166" i="21"/>
  <c r="AL166" i="21"/>
  <c r="AC166" i="21"/>
  <c r="S166" i="21"/>
  <c r="I166" i="21"/>
  <c r="BM165" i="21"/>
  <c r="BD165" i="21"/>
  <c r="AU165" i="21"/>
  <c r="AL165" i="21"/>
  <c r="AC165" i="21"/>
  <c r="S165" i="21"/>
  <c r="I165" i="21"/>
  <c r="BM164" i="21"/>
  <c r="BD164" i="21"/>
  <c r="AU164" i="21"/>
  <c r="AL164" i="21"/>
  <c r="AC164" i="21"/>
  <c r="S164" i="21"/>
  <c r="I164" i="21"/>
  <c r="BM163" i="21"/>
  <c r="BD163" i="21"/>
  <c r="AU163" i="21"/>
  <c r="AL163" i="21"/>
  <c r="AC163" i="21"/>
  <c r="S163" i="21"/>
  <c r="I163" i="21"/>
  <c r="BM162" i="21"/>
  <c r="BD162" i="21"/>
  <c r="AU162" i="21"/>
  <c r="AL162" i="21"/>
  <c r="AC162" i="21"/>
  <c r="S162" i="21"/>
  <c r="I162" i="21"/>
  <c r="BM161" i="21"/>
  <c r="BD161" i="21"/>
  <c r="AU161" i="21"/>
  <c r="AL161" i="21"/>
  <c r="AC161" i="21"/>
  <c r="S161" i="21"/>
  <c r="I161" i="21"/>
  <c r="BM160" i="21"/>
  <c r="BD160" i="21"/>
  <c r="AU160" i="21"/>
  <c r="AL160" i="21"/>
  <c r="AC160" i="21"/>
  <c r="S160" i="21"/>
  <c r="I160" i="21"/>
  <c r="BM159" i="21"/>
  <c r="BD159" i="21"/>
  <c r="AU159" i="21"/>
  <c r="AL159" i="21"/>
  <c r="AC159" i="21"/>
  <c r="S159" i="21"/>
  <c r="I159" i="21"/>
  <c r="BM158" i="21"/>
  <c r="BD158" i="21"/>
  <c r="AU158" i="21"/>
  <c r="AL158" i="21"/>
  <c r="AC158" i="21"/>
  <c r="S158" i="21"/>
  <c r="I158" i="21"/>
  <c r="BM157" i="21"/>
  <c r="BD157" i="21"/>
  <c r="AU157" i="21"/>
  <c r="AL157" i="21"/>
  <c r="AC157" i="21"/>
  <c r="S157" i="21"/>
  <c r="I157" i="21"/>
  <c r="BM156" i="21"/>
  <c r="BD156" i="21"/>
  <c r="AU156" i="21"/>
  <c r="AL156" i="21"/>
  <c r="AC156" i="21"/>
  <c r="S156" i="21"/>
  <c r="I156" i="21"/>
  <c r="BM155" i="21"/>
  <c r="BD155" i="21"/>
  <c r="AU155" i="21"/>
  <c r="AL155" i="21"/>
  <c r="AC155" i="21"/>
  <c r="S155" i="21"/>
  <c r="I155" i="21"/>
  <c r="BM154" i="21"/>
  <c r="BD154" i="21"/>
  <c r="AU154" i="21"/>
  <c r="AL154" i="21"/>
  <c r="AC154" i="21"/>
  <c r="S154" i="21"/>
  <c r="I154" i="21"/>
  <c r="BM153" i="21"/>
  <c r="BD153" i="21"/>
  <c r="AU153" i="21"/>
  <c r="AL153" i="21"/>
  <c r="AC153" i="21"/>
  <c r="S153" i="21"/>
  <c r="I153" i="21"/>
  <c r="BM152" i="21"/>
  <c r="BD152" i="21"/>
  <c r="AU152" i="21"/>
  <c r="AL152" i="21"/>
  <c r="AC152" i="21"/>
  <c r="S152" i="21"/>
  <c r="I152" i="21"/>
  <c r="BM151" i="21"/>
  <c r="BL151" i="21"/>
  <c r="BK151" i="21"/>
  <c r="BJ151" i="21"/>
  <c r="BI151" i="21"/>
  <c r="BH151" i="21"/>
  <c r="BG151" i="21"/>
  <c r="BD151" i="21"/>
  <c r="BC151" i="21"/>
  <c r="BB151" i="21"/>
  <c r="BA151" i="21"/>
  <c r="AZ151" i="21"/>
  <c r="AY151" i="21"/>
  <c r="AX151" i="21"/>
  <c r="AU151" i="21"/>
  <c r="AT151" i="21"/>
  <c r="AS151" i="21"/>
  <c r="AR151" i="21"/>
  <c r="AQ151" i="21"/>
  <c r="AP151" i="21"/>
  <c r="AO151" i="21"/>
  <c r="AL151" i="21"/>
  <c r="AK151" i="21"/>
  <c r="AJ151" i="21"/>
  <c r="AI151" i="21"/>
  <c r="AH151" i="21"/>
  <c r="AG151" i="21"/>
  <c r="AF151" i="21"/>
  <c r="AC151" i="21"/>
  <c r="AB151" i="21"/>
  <c r="AA151" i="21"/>
  <c r="Z151" i="21"/>
  <c r="Y151" i="21"/>
  <c r="X151" i="21"/>
  <c r="W151" i="21"/>
  <c r="S151" i="21"/>
  <c r="R151" i="21"/>
  <c r="Q151" i="21"/>
  <c r="P151" i="21"/>
  <c r="O151" i="21"/>
  <c r="N151" i="21"/>
  <c r="M151" i="21"/>
  <c r="I151" i="21"/>
  <c r="H151" i="21"/>
  <c r="G151" i="21"/>
  <c r="F151" i="21"/>
  <c r="E151" i="21"/>
  <c r="D151" i="21"/>
  <c r="C151" i="21"/>
  <c r="BJ149" i="21"/>
  <c r="BA149" i="21"/>
  <c r="BA37" i="21"/>
  <c r="BC37" i="21"/>
  <c r="AR149" i="21"/>
  <c r="AI149" i="21"/>
  <c r="Z149" i="21"/>
  <c r="P149" i="21"/>
  <c r="P37" i="21"/>
  <c r="O149" i="21"/>
  <c r="N149" i="21"/>
  <c r="N37" i="21"/>
  <c r="F149" i="21"/>
  <c r="F37" i="21"/>
  <c r="H37" i="21"/>
  <c r="E149" i="21"/>
  <c r="E37" i="21"/>
  <c r="E209" i="21"/>
  <c r="D149" i="21"/>
  <c r="D37" i="21"/>
  <c r="D209" i="21"/>
  <c r="BM133" i="21"/>
  <c r="BL133" i="21"/>
  <c r="BK133" i="21"/>
  <c r="BJ133" i="21"/>
  <c r="BI133" i="21"/>
  <c r="BH133" i="21"/>
  <c r="BG133" i="21"/>
  <c r="BD133" i="21"/>
  <c r="BC133" i="21"/>
  <c r="BB133" i="21"/>
  <c r="BA133" i="21"/>
  <c r="AZ133" i="21"/>
  <c r="AY133" i="21"/>
  <c r="AX133" i="21"/>
  <c r="AU133" i="21"/>
  <c r="AT133" i="21"/>
  <c r="AS133" i="21"/>
  <c r="AR133" i="21"/>
  <c r="AQ133" i="21"/>
  <c r="AP133" i="21"/>
  <c r="AO133" i="21"/>
  <c r="AL133" i="21"/>
  <c r="AK133" i="21"/>
  <c r="AJ133" i="21"/>
  <c r="AI133" i="21"/>
  <c r="AH133" i="21"/>
  <c r="AG133" i="21"/>
  <c r="AF133" i="21"/>
  <c r="AC133" i="21"/>
  <c r="AB133" i="21"/>
  <c r="AA133" i="21"/>
  <c r="Z133" i="21"/>
  <c r="Y133" i="21"/>
  <c r="X133" i="21"/>
  <c r="W133" i="21"/>
  <c r="S133" i="21"/>
  <c r="R133" i="21"/>
  <c r="Q133" i="21"/>
  <c r="P133" i="21"/>
  <c r="O133" i="21"/>
  <c r="N133" i="21"/>
  <c r="M133" i="21"/>
  <c r="I133" i="21"/>
  <c r="H133" i="21"/>
  <c r="G133" i="21"/>
  <c r="F133" i="21"/>
  <c r="E133" i="21"/>
  <c r="D133" i="21"/>
  <c r="C133" i="21"/>
  <c r="BJ131" i="21"/>
  <c r="BA131" i="21"/>
  <c r="BA36" i="21"/>
  <c r="BC36" i="21"/>
  <c r="AR131" i="21"/>
  <c r="AI131" i="21"/>
  <c r="AI36" i="21"/>
  <c r="AK36" i="21"/>
  <c r="Z131" i="21"/>
  <c r="Z36" i="21"/>
  <c r="AB36" i="21"/>
  <c r="P131" i="21"/>
  <c r="O131" i="21"/>
  <c r="O36" i="21"/>
  <c r="N131" i="21"/>
  <c r="N36" i="21"/>
  <c r="F131" i="21"/>
  <c r="E131" i="21"/>
  <c r="E36" i="21"/>
  <c r="D131" i="21"/>
  <c r="D39" i="21"/>
  <c r="BM115" i="21"/>
  <c r="BL115" i="21"/>
  <c r="BK115" i="21"/>
  <c r="BJ115" i="21"/>
  <c r="BI115" i="21"/>
  <c r="BH115" i="21"/>
  <c r="BG115" i="21"/>
  <c r="BD115" i="21"/>
  <c r="BC115" i="21"/>
  <c r="BB115" i="21"/>
  <c r="BA115" i="21"/>
  <c r="AZ115" i="21"/>
  <c r="AY115" i="21"/>
  <c r="AX115" i="21"/>
  <c r="AU115" i="21"/>
  <c r="AT115" i="21"/>
  <c r="AS115" i="21"/>
  <c r="AR115" i="21"/>
  <c r="AQ115" i="21"/>
  <c r="AP115" i="21"/>
  <c r="AO115" i="21"/>
  <c r="AL115" i="21"/>
  <c r="AK115" i="21"/>
  <c r="AJ115" i="21"/>
  <c r="AI115" i="21"/>
  <c r="AH115" i="21"/>
  <c r="AG115" i="21"/>
  <c r="AF115" i="21"/>
  <c r="AC115" i="21"/>
  <c r="AB115" i="21"/>
  <c r="AA115" i="21"/>
  <c r="Z115" i="21"/>
  <c r="Y115" i="21"/>
  <c r="X115" i="21"/>
  <c r="W115" i="21"/>
  <c r="S115" i="21"/>
  <c r="R115" i="21"/>
  <c r="Q115" i="21"/>
  <c r="P115" i="21"/>
  <c r="O115" i="21"/>
  <c r="N115" i="21"/>
  <c r="M115" i="21"/>
  <c r="I115" i="21"/>
  <c r="H115" i="21"/>
  <c r="G115" i="21"/>
  <c r="F115" i="21"/>
  <c r="E115" i="21"/>
  <c r="D115" i="21"/>
  <c r="C115" i="21"/>
  <c r="BI113" i="21"/>
  <c r="BI35" i="21"/>
  <c r="BH113" i="21"/>
  <c r="BH35" i="21"/>
  <c r="AZ113" i="21"/>
  <c r="AY113" i="21"/>
  <c r="AQ113" i="21"/>
  <c r="AQ35" i="21"/>
  <c r="AP113" i="21"/>
  <c r="AH113" i="21"/>
  <c r="AG113" i="21"/>
  <c r="AG35" i="21"/>
  <c r="Y113" i="21"/>
  <c r="Y35" i="21"/>
  <c r="X113" i="21"/>
  <c r="O113" i="21"/>
  <c r="N113" i="21"/>
  <c r="N35" i="21"/>
  <c r="E113" i="21"/>
  <c r="E35" i="21"/>
  <c r="D113" i="21"/>
  <c r="BM112" i="21"/>
  <c r="BD112" i="21"/>
  <c r="AU112" i="21"/>
  <c r="AL112" i="21"/>
  <c r="AC112" i="21"/>
  <c r="S112" i="21"/>
  <c r="I112" i="21"/>
  <c r="BM111" i="21"/>
  <c r="BD111" i="21"/>
  <c r="AU111" i="21"/>
  <c r="AL111" i="21"/>
  <c r="AC111" i="21"/>
  <c r="S111" i="21"/>
  <c r="I111" i="21"/>
  <c r="BM110" i="21"/>
  <c r="BD110" i="21"/>
  <c r="AU110" i="21"/>
  <c r="AL110" i="21"/>
  <c r="AC110" i="21"/>
  <c r="S110" i="21"/>
  <c r="I110" i="21"/>
  <c r="BM109" i="21"/>
  <c r="BD109" i="21"/>
  <c r="AU109" i="21"/>
  <c r="AL109" i="21"/>
  <c r="AC109" i="21"/>
  <c r="S109" i="21"/>
  <c r="I109" i="21"/>
  <c r="BM108" i="21"/>
  <c r="BD108" i="21"/>
  <c r="AU108" i="21"/>
  <c r="AL108" i="21"/>
  <c r="AC108" i="21"/>
  <c r="S108" i="21"/>
  <c r="I108" i="21"/>
  <c r="BM107" i="21"/>
  <c r="BD107" i="21"/>
  <c r="AU107" i="21"/>
  <c r="AL107" i="21"/>
  <c r="AC107" i="21"/>
  <c r="S107" i="21"/>
  <c r="I107" i="21"/>
  <c r="BM106" i="21"/>
  <c r="BD106" i="21"/>
  <c r="AU106" i="21"/>
  <c r="AL106" i="21"/>
  <c r="AC106" i="21"/>
  <c r="S106" i="21"/>
  <c r="I106" i="21"/>
  <c r="BM105" i="21"/>
  <c r="BD105" i="21"/>
  <c r="AU105" i="21"/>
  <c r="AL105" i="21"/>
  <c r="AC105" i="21"/>
  <c r="S105" i="21"/>
  <c r="I105" i="21"/>
  <c r="BM104" i="21"/>
  <c r="BD104" i="21"/>
  <c r="AU104" i="21"/>
  <c r="AL104" i="21"/>
  <c r="AC104" i="21"/>
  <c r="S104" i="21"/>
  <c r="I104" i="21"/>
  <c r="BM103" i="21"/>
  <c r="BD103" i="21"/>
  <c r="AU103" i="21"/>
  <c r="AL103" i="21"/>
  <c r="AC103" i="21"/>
  <c r="S103" i="21"/>
  <c r="I103" i="21"/>
  <c r="BM102" i="21"/>
  <c r="BD102" i="21"/>
  <c r="AU102" i="21"/>
  <c r="AL102" i="21"/>
  <c r="AC102" i="21"/>
  <c r="S102" i="21"/>
  <c r="I102" i="21"/>
  <c r="BM101" i="21"/>
  <c r="BD101" i="21"/>
  <c r="AU101" i="21"/>
  <c r="AL101" i="21"/>
  <c r="AC101" i="21"/>
  <c r="S101" i="21"/>
  <c r="I101" i="21"/>
  <c r="BM100" i="21"/>
  <c r="BD100" i="21"/>
  <c r="AU100" i="21"/>
  <c r="AL100" i="21"/>
  <c r="AC100" i="21"/>
  <c r="S100" i="21"/>
  <c r="I100" i="21"/>
  <c r="BM99" i="21"/>
  <c r="BD99" i="21"/>
  <c r="AU99" i="21"/>
  <c r="AL99" i="21"/>
  <c r="AC99" i="21"/>
  <c r="S99" i="21"/>
  <c r="I99" i="21"/>
  <c r="BM98" i="21"/>
  <c r="BD98" i="21"/>
  <c r="AU98" i="21"/>
  <c r="AL98" i="21"/>
  <c r="AC98" i="21"/>
  <c r="S98" i="21"/>
  <c r="I98" i="21"/>
  <c r="BM97" i="21"/>
  <c r="BL97" i="21"/>
  <c r="BK97" i="21"/>
  <c r="BJ97" i="21"/>
  <c r="BI97" i="21"/>
  <c r="BH97" i="21"/>
  <c r="BG97" i="21"/>
  <c r="BD97" i="21"/>
  <c r="BC97" i="21"/>
  <c r="BB97" i="21"/>
  <c r="BA97" i="21"/>
  <c r="AZ97" i="21"/>
  <c r="AY97" i="21"/>
  <c r="AX97" i="21"/>
  <c r="AU97" i="21"/>
  <c r="AT97" i="21"/>
  <c r="AS97" i="21"/>
  <c r="AR97" i="21"/>
  <c r="AQ97" i="21"/>
  <c r="AP97" i="21"/>
  <c r="AO97" i="21"/>
  <c r="AL97" i="21"/>
  <c r="AK97" i="21"/>
  <c r="AJ97" i="21"/>
  <c r="AI97" i="21"/>
  <c r="AH97" i="21"/>
  <c r="AG97" i="21"/>
  <c r="AF97" i="21"/>
  <c r="AC97" i="21"/>
  <c r="AB97" i="21"/>
  <c r="AA97" i="21"/>
  <c r="Z97" i="21"/>
  <c r="Y97" i="21"/>
  <c r="X97" i="21"/>
  <c r="W97" i="21"/>
  <c r="S97" i="21"/>
  <c r="R97" i="21"/>
  <c r="Q97" i="21"/>
  <c r="P97" i="21"/>
  <c r="O97" i="21"/>
  <c r="N97" i="21"/>
  <c r="M97" i="21"/>
  <c r="I97" i="21"/>
  <c r="H97" i="21"/>
  <c r="G97" i="21"/>
  <c r="F97" i="21"/>
  <c r="E97" i="21"/>
  <c r="D97" i="21"/>
  <c r="C97" i="21"/>
  <c r="BI95" i="21"/>
  <c r="BI34" i="21"/>
  <c r="BH95" i="21"/>
  <c r="AZ95" i="21"/>
  <c r="AZ34" i="21"/>
  <c r="AY95" i="21"/>
  <c r="AQ95" i="21"/>
  <c r="AP95" i="21"/>
  <c r="AH95" i="21"/>
  <c r="AH34" i="21"/>
  <c r="AG95" i="21"/>
  <c r="Y95" i="21"/>
  <c r="X95" i="21"/>
  <c r="X34" i="21"/>
  <c r="O95" i="21"/>
  <c r="O34" i="21"/>
  <c r="N95" i="21"/>
  <c r="E95" i="21"/>
  <c r="E34" i="21"/>
  <c r="D95" i="21"/>
  <c r="BM94" i="21"/>
  <c r="BD94" i="21"/>
  <c r="AU94" i="21"/>
  <c r="AL94" i="21"/>
  <c r="AC94" i="21"/>
  <c r="S94" i="21"/>
  <c r="I94" i="21"/>
  <c r="BM93" i="21"/>
  <c r="BD93" i="21"/>
  <c r="AU93" i="21"/>
  <c r="AL93" i="21"/>
  <c r="AC93" i="21"/>
  <c r="S93" i="21"/>
  <c r="I93" i="21"/>
  <c r="BM92" i="21"/>
  <c r="BD92" i="21"/>
  <c r="AU92" i="21"/>
  <c r="AL92" i="21"/>
  <c r="AC92" i="21"/>
  <c r="S92" i="21"/>
  <c r="I92" i="21"/>
  <c r="BM91" i="21"/>
  <c r="BD91" i="21"/>
  <c r="AU91" i="21"/>
  <c r="AL91" i="21"/>
  <c r="AC91" i="21"/>
  <c r="S91" i="21"/>
  <c r="I91" i="21"/>
  <c r="BM90" i="21"/>
  <c r="BD90" i="21"/>
  <c r="AU90" i="21"/>
  <c r="AL90" i="21"/>
  <c r="AC90" i="21"/>
  <c r="S90" i="21"/>
  <c r="I90" i="21"/>
  <c r="BM89" i="21"/>
  <c r="BD89" i="21"/>
  <c r="AU89" i="21"/>
  <c r="AL89" i="21"/>
  <c r="AC89" i="21"/>
  <c r="S89" i="21"/>
  <c r="I89" i="21"/>
  <c r="BM88" i="21"/>
  <c r="BD88" i="21"/>
  <c r="AU88" i="21"/>
  <c r="AL88" i="21"/>
  <c r="AC88" i="21"/>
  <c r="S88" i="21"/>
  <c r="I88" i="21"/>
  <c r="BM87" i="21"/>
  <c r="BD87" i="21"/>
  <c r="AU87" i="21"/>
  <c r="AL87" i="21"/>
  <c r="AC87" i="21"/>
  <c r="S87" i="21"/>
  <c r="I87" i="21"/>
  <c r="BM86" i="21"/>
  <c r="BD86" i="21"/>
  <c r="AU86" i="21"/>
  <c r="AL86" i="21"/>
  <c r="AC86" i="21"/>
  <c r="S86" i="21"/>
  <c r="I86" i="21"/>
  <c r="BM85" i="21"/>
  <c r="BD85" i="21"/>
  <c r="AU85" i="21"/>
  <c r="AL85" i="21"/>
  <c r="AC85" i="21"/>
  <c r="S85" i="21"/>
  <c r="I85" i="21"/>
  <c r="BM84" i="21"/>
  <c r="BD84" i="21"/>
  <c r="AU84" i="21"/>
  <c r="AL84" i="21"/>
  <c r="AC84" i="21"/>
  <c r="S84" i="21"/>
  <c r="I84" i="21"/>
  <c r="BM83" i="21"/>
  <c r="BD83" i="21"/>
  <c r="AU83" i="21"/>
  <c r="AL83" i="21"/>
  <c r="AC83" i="21"/>
  <c r="S83" i="21"/>
  <c r="I83" i="21"/>
  <c r="BM82" i="21"/>
  <c r="BD82" i="21"/>
  <c r="AU82" i="21"/>
  <c r="AL82" i="21"/>
  <c r="AC82" i="21"/>
  <c r="S82" i="21"/>
  <c r="I82" i="21"/>
  <c r="BM81" i="21"/>
  <c r="BD81" i="21"/>
  <c r="AU81" i="21"/>
  <c r="AL81" i="21"/>
  <c r="AC81" i="21"/>
  <c r="S81" i="21"/>
  <c r="I81" i="21"/>
  <c r="BM80" i="21"/>
  <c r="BM95" i="21"/>
  <c r="BK34" i="21"/>
  <c r="BD80" i="21"/>
  <c r="AU80" i="21"/>
  <c r="AL80" i="21"/>
  <c r="AC80" i="21"/>
  <c r="S80" i="21"/>
  <c r="I80" i="21"/>
  <c r="BM79" i="21"/>
  <c r="BL79" i="21"/>
  <c r="BK79" i="21"/>
  <c r="BJ79" i="21"/>
  <c r="BI79" i="21"/>
  <c r="BH79" i="21"/>
  <c r="BG79" i="21"/>
  <c r="BD79" i="21"/>
  <c r="BC79" i="21"/>
  <c r="BB79" i="21"/>
  <c r="BA79" i="21"/>
  <c r="AZ79" i="21"/>
  <c r="AY79" i="21"/>
  <c r="AX79" i="21"/>
  <c r="AU79" i="21"/>
  <c r="AT79" i="21"/>
  <c r="AS79" i="21"/>
  <c r="AR79" i="21"/>
  <c r="AQ79" i="21"/>
  <c r="AP79" i="21"/>
  <c r="AO79" i="21"/>
  <c r="AL79" i="21"/>
  <c r="AK79" i="21"/>
  <c r="AJ79" i="21"/>
  <c r="AI79" i="21"/>
  <c r="AH79" i="21"/>
  <c r="AG79" i="21"/>
  <c r="AF79" i="21"/>
  <c r="AC79" i="21"/>
  <c r="AB79" i="21"/>
  <c r="AA79" i="21"/>
  <c r="Z79" i="21"/>
  <c r="Y79" i="21"/>
  <c r="X79" i="21"/>
  <c r="W79" i="21"/>
  <c r="S79" i="21"/>
  <c r="R79" i="21"/>
  <c r="Q79" i="21"/>
  <c r="P79" i="21"/>
  <c r="O79" i="21"/>
  <c r="N79" i="21"/>
  <c r="M79" i="21"/>
  <c r="I79" i="21"/>
  <c r="H79" i="21"/>
  <c r="G79" i="21"/>
  <c r="F79" i="21"/>
  <c r="E79" i="21"/>
  <c r="D79" i="21"/>
  <c r="C79" i="21"/>
  <c r="BJ77" i="21"/>
  <c r="BJ33" i="21"/>
  <c r="BI77" i="21"/>
  <c r="BH77" i="21"/>
  <c r="BH33" i="21"/>
  <c r="BA77" i="21"/>
  <c r="BA33" i="21"/>
  <c r="AZ77" i="21"/>
  <c r="AZ33" i="21"/>
  <c r="AY77" i="21"/>
  <c r="AR77" i="21"/>
  <c r="AQ77" i="21"/>
  <c r="AQ33" i="21"/>
  <c r="AP77" i="21"/>
  <c r="AP33" i="21"/>
  <c r="AI77" i="21"/>
  <c r="AH77" i="21"/>
  <c r="AG77" i="21"/>
  <c r="AG33" i="21"/>
  <c r="Z77" i="21"/>
  <c r="Z33" i="21"/>
  <c r="AB33" i="21"/>
  <c r="Y77" i="21"/>
  <c r="X77" i="21"/>
  <c r="P77" i="21"/>
  <c r="P33" i="21"/>
  <c r="R33" i="21"/>
  <c r="O77" i="21"/>
  <c r="O33" i="21"/>
  <c r="N77" i="21"/>
  <c r="F77" i="21"/>
  <c r="F33" i="21"/>
  <c r="H33" i="21"/>
  <c r="E77" i="21"/>
  <c r="E33" i="21"/>
  <c r="D77" i="21"/>
  <c r="D33" i="21"/>
  <c r="BM61" i="21"/>
  <c r="BL61" i="21"/>
  <c r="BK61" i="21"/>
  <c r="BJ61" i="21"/>
  <c r="BI61" i="21"/>
  <c r="BH61" i="21"/>
  <c r="BG61" i="21"/>
  <c r="BD61" i="21"/>
  <c r="BC61" i="21"/>
  <c r="BB61" i="21"/>
  <c r="BA61" i="21"/>
  <c r="AZ61" i="21"/>
  <c r="AY61" i="21"/>
  <c r="AX61" i="21"/>
  <c r="AU61" i="21"/>
  <c r="AT61" i="21"/>
  <c r="AS61" i="21"/>
  <c r="AR61" i="21"/>
  <c r="AQ61" i="21"/>
  <c r="AP61" i="21"/>
  <c r="AO61" i="21"/>
  <c r="AL61" i="21"/>
  <c r="AK61" i="21"/>
  <c r="AJ61" i="21"/>
  <c r="AI61" i="21"/>
  <c r="AH61" i="21"/>
  <c r="AG61" i="21"/>
  <c r="AF61" i="21"/>
  <c r="AC61" i="21"/>
  <c r="AB61" i="21"/>
  <c r="AA61" i="21"/>
  <c r="Z61" i="21"/>
  <c r="Y61" i="21"/>
  <c r="X61" i="21"/>
  <c r="W61" i="21"/>
  <c r="S61" i="21"/>
  <c r="R61" i="21"/>
  <c r="Q61" i="21"/>
  <c r="P61" i="21"/>
  <c r="O61" i="21"/>
  <c r="N61" i="21"/>
  <c r="M61" i="21"/>
  <c r="I61" i="21"/>
  <c r="H61" i="21"/>
  <c r="G61" i="21"/>
  <c r="F61" i="21"/>
  <c r="E61" i="21"/>
  <c r="D61" i="21"/>
  <c r="C61" i="21"/>
  <c r="BI59" i="21"/>
  <c r="BI32" i="21"/>
  <c r="BH59" i="21"/>
  <c r="AZ59" i="21"/>
  <c r="AY59" i="21"/>
  <c r="AY32" i="21"/>
  <c r="AY41" i="21"/>
  <c r="AQ59" i="21"/>
  <c r="AQ32" i="21"/>
  <c r="AP59" i="21"/>
  <c r="AH59" i="21"/>
  <c r="AG59" i="21"/>
  <c r="AG32" i="21"/>
  <c r="Y59" i="21"/>
  <c r="Y32" i="21"/>
  <c r="X59" i="21"/>
  <c r="O59" i="21"/>
  <c r="N59" i="21"/>
  <c r="N32" i="21"/>
  <c r="E59" i="21"/>
  <c r="E32" i="21"/>
  <c r="D59" i="21"/>
  <c r="BM58" i="21"/>
  <c r="BD58" i="21"/>
  <c r="AU58" i="21"/>
  <c r="AL58" i="21"/>
  <c r="AC58" i="21"/>
  <c r="S58" i="21"/>
  <c r="I58" i="21"/>
  <c r="BM57" i="21"/>
  <c r="BD57" i="21"/>
  <c r="AU57" i="21"/>
  <c r="AL57" i="21"/>
  <c r="AC57" i="21"/>
  <c r="S57" i="21"/>
  <c r="I57" i="21"/>
  <c r="BM56" i="21"/>
  <c r="BD56" i="21"/>
  <c r="AU56" i="21"/>
  <c r="AL56" i="21"/>
  <c r="AC56" i="21"/>
  <c r="S56" i="21"/>
  <c r="I56" i="21"/>
  <c r="BM55" i="21"/>
  <c r="BD55" i="21"/>
  <c r="AU55" i="21"/>
  <c r="AL55" i="21"/>
  <c r="AC55" i="21"/>
  <c r="S55" i="21"/>
  <c r="I55" i="21"/>
  <c r="BM54" i="21"/>
  <c r="BD54" i="21"/>
  <c r="AU54" i="21"/>
  <c r="AL54" i="21"/>
  <c r="AC54" i="21"/>
  <c r="S54" i="21"/>
  <c r="I54" i="21"/>
  <c r="BM53" i="21"/>
  <c r="BD53" i="21"/>
  <c r="AU53" i="21"/>
  <c r="AL53" i="21"/>
  <c r="AC53" i="21"/>
  <c r="S53" i="21"/>
  <c r="I53" i="21"/>
  <c r="BM52" i="21"/>
  <c r="BD52" i="21"/>
  <c r="AU52" i="21"/>
  <c r="AL52" i="21"/>
  <c r="AC52" i="21"/>
  <c r="S52" i="21"/>
  <c r="I52" i="21"/>
  <c r="BM51" i="21"/>
  <c r="BD51" i="21"/>
  <c r="AU51" i="21"/>
  <c r="AL51" i="21"/>
  <c r="AC51" i="21"/>
  <c r="S51" i="21"/>
  <c r="I51" i="21"/>
  <c r="BM50" i="21"/>
  <c r="BD50" i="21"/>
  <c r="AU50" i="21"/>
  <c r="AL50" i="21"/>
  <c r="AC50" i="21"/>
  <c r="S50" i="21"/>
  <c r="I50" i="21"/>
  <c r="BM49" i="21"/>
  <c r="BD49" i="21"/>
  <c r="AU49" i="21"/>
  <c r="AL49" i="21"/>
  <c r="AC49" i="21"/>
  <c r="S49" i="21"/>
  <c r="I49" i="21"/>
  <c r="BM48" i="21"/>
  <c r="BD48" i="21"/>
  <c r="AU48" i="21"/>
  <c r="AL48" i="21"/>
  <c r="AC48" i="21"/>
  <c r="S48" i="21"/>
  <c r="I48" i="21"/>
  <c r="BM47" i="21"/>
  <c r="BD47" i="21"/>
  <c r="AU47" i="21"/>
  <c r="AL47" i="21"/>
  <c r="AC47" i="21"/>
  <c r="S47" i="21"/>
  <c r="I47" i="21"/>
  <c r="BM46" i="21"/>
  <c r="BD46" i="21"/>
  <c r="AU46" i="21"/>
  <c r="AL46" i="21"/>
  <c r="AC46" i="21"/>
  <c r="S46" i="21"/>
  <c r="I46" i="21"/>
  <c r="BM45" i="21"/>
  <c r="BD45" i="21"/>
  <c r="AU45" i="21"/>
  <c r="AL45" i="21"/>
  <c r="AC45" i="21"/>
  <c r="S45" i="21"/>
  <c r="I45" i="21"/>
  <c r="BM44" i="21"/>
  <c r="BD44" i="21"/>
  <c r="BD59" i="21"/>
  <c r="BB32" i="21"/>
  <c r="AU44" i="21"/>
  <c r="AL44" i="21"/>
  <c r="AC44" i="21"/>
  <c r="S44" i="21"/>
  <c r="I44" i="21"/>
  <c r="BJ40" i="21"/>
  <c r="BL40" i="21"/>
  <c r="BI40" i="21"/>
  <c r="BH40" i="21"/>
  <c r="BC40" i="21"/>
  <c r="BA40" i="21"/>
  <c r="AZ40" i="21"/>
  <c r="AR40" i="21"/>
  <c r="AT40" i="21"/>
  <c r="AP40" i="21"/>
  <c r="AI40" i="21"/>
  <c r="AK40" i="21"/>
  <c r="AH40" i="21"/>
  <c r="AG40" i="21"/>
  <c r="Z40" i="21"/>
  <c r="AB40" i="21"/>
  <c r="Y40" i="21"/>
  <c r="X40" i="21"/>
  <c r="R40" i="21"/>
  <c r="P40" i="21"/>
  <c r="O40" i="21"/>
  <c r="H40" i="21"/>
  <c r="F40" i="21"/>
  <c r="D40" i="21"/>
  <c r="B40" i="21"/>
  <c r="A40" i="21"/>
  <c r="BK39" i="21"/>
  <c r="BJ39" i="21"/>
  <c r="BL39" i="21"/>
  <c r="BI39" i="21"/>
  <c r="BH39" i="21"/>
  <c r="BC39" i="21"/>
  <c r="BB39" i="21"/>
  <c r="AZ39" i="21"/>
  <c r="AY39" i="21"/>
  <c r="AS39" i="21"/>
  <c r="AR39" i="21"/>
  <c r="AT39" i="21"/>
  <c r="AQ39" i="21"/>
  <c r="AP39" i="21"/>
  <c r="AJ39" i="21"/>
  <c r="AI39" i="21"/>
  <c r="AK39" i="21"/>
  <c r="AL39" i="21"/>
  <c r="AH39" i="21"/>
  <c r="AG39" i="21"/>
  <c r="AA39" i="21"/>
  <c r="Y39" i="21"/>
  <c r="X39" i="21"/>
  <c r="Q39" i="21"/>
  <c r="P39" i="21"/>
  <c r="R39" i="21"/>
  <c r="S39" i="21"/>
  <c r="O39" i="21"/>
  <c r="G39" i="21"/>
  <c r="B39" i="21"/>
  <c r="BJ38" i="21"/>
  <c r="BL38" i="21"/>
  <c r="BH38" i="21"/>
  <c r="BF38" i="21"/>
  <c r="BA38" i="21"/>
  <c r="BC38" i="21"/>
  <c r="AZ38" i="21"/>
  <c r="AY38" i="21"/>
  <c r="AW38" i="21"/>
  <c r="AT38" i="21"/>
  <c r="AR38" i="21"/>
  <c r="AP38" i="21"/>
  <c r="AN38" i="21"/>
  <c r="AK38" i="21"/>
  <c r="AI38" i="21"/>
  <c r="AG38" i="21"/>
  <c r="AE38" i="21"/>
  <c r="Z38" i="21"/>
  <c r="AB38" i="21"/>
  <c r="X38" i="21"/>
  <c r="V38" i="21"/>
  <c r="P38" i="21"/>
  <c r="R38" i="21"/>
  <c r="O38" i="21"/>
  <c r="L38" i="21"/>
  <c r="F38" i="21"/>
  <c r="H38" i="21"/>
  <c r="E38" i="21"/>
  <c r="E210" i="21"/>
  <c r="D38" i="21"/>
  <c r="D210" i="21"/>
  <c r="B38" i="21"/>
  <c r="A38" i="21"/>
  <c r="C210" i="21"/>
  <c r="BK37" i="21"/>
  <c r="BJ37" i="21"/>
  <c r="BL37" i="21"/>
  <c r="BM37" i="21"/>
  <c r="BI37" i="21"/>
  <c r="BH37" i="21"/>
  <c r="BF37" i="21"/>
  <c r="BB37" i="21"/>
  <c r="BD37" i="21"/>
  <c r="AZ37" i="21"/>
  <c r="AY37" i="21"/>
  <c r="AW37" i="21"/>
  <c r="AT37" i="21"/>
  <c r="AS37" i="21"/>
  <c r="AR37" i="21"/>
  <c r="AQ37" i="21"/>
  <c r="AP37" i="21"/>
  <c r="AN37" i="21"/>
  <c r="AJ37" i="21"/>
  <c r="AI37" i="21"/>
  <c r="AK37" i="21"/>
  <c r="AL37" i="21"/>
  <c r="AH37" i="21"/>
  <c r="AG37" i="21"/>
  <c r="AE37" i="21"/>
  <c r="AC37" i="21"/>
  <c r="AB37" i="21"/>
  <c r="AA37" i="21"/>
  <c r="Z37" i="21"/>
  <c r="Y37" i="21"/>
  <c r="X37" i="21"/>
  <c r="V37" i="21"/>
  <c r="R37" i="21"/>
  <c r="Q37" i="21"/>
  <c r="O37" i="21"/>
  <c r="L37" i="21"/>
  <c r="G37" i="21"/>
  <c r="B37" i="21"/>
  <c r="A37" i="21"/>
  <c r="C209" i="21"/>
  <c r="BK36" i="21"/>
  <c r="BJ36" i="21"/>
  <c r="BL36" i="21"/>
  <c r="BI36" i="21"/>
  <c r="BH36" i="21"/>
  <c r="BF36" i="21"/>
  <c r="BB36" i="21"/>
  <c r="BD36" i="21"/>
  <c r="AZ36" i="21"/>
  <c r="AY36" i="21"/>
  <c r="AW36" i="21"/>
  <c r="AT36" i="21"/>
  <c r="AU36" i="21"/>
  <c r="AS36" i="21"/>
  <c r="AR36" i="21"/>
  <c r="AQ36" i="21"/>
  <c r="AP36" i="21"/>
  <c r="AN36" i="21"/>
  <c r="AJ36" i="21"/>
  <c r="AL36" i="21"/>
  <c r="AH36" i="21"/>
  <c r="AG36" i="21"/>
  <c r="AE36" i="21"/>
  <c r="AA36" i="21"/>
  <c r="Y36" i="21"/>
  <c r="X36" i="21"/>
  <c r="V36" i="21"/>
  <c r="Q36" i="21"/>
  <c r="S36" i="21"/>
  <c r="P36" i="21"/>
  <c r="R36" i="21"/>
  <c r="L36" i="21"/>
  <c r="G36" i="21"/>
  <c r="F36" i="21"/>
  <c r="H36" i="21"/>
  <c r="I36" i="21"/>
  <c r="B36" i="21"/>
  <c r="A36" i="21"/>
  <c r="BJ35" i="21"/>
  <c r="BL35" i="21"/>
  <c r="BF35" i="21"/>
  <c r="BC35" i="21"/>
  <c r="BA35" i="21"/>
  <c r="AZ35" i="21"/>
  <c r="AY35" i="21"/>
  <c r="AW35" i="21"/>
  <c r="AR35" i="21"/>
  <c r="AT35" i="21"/>
  <c r="AP35" i="21"/>
  <c r="AN35" i="21"/>
  <c r="AI35" i="21"/>
  <c r="AK35" i="21"/>
  <c r="AH35" i="21"/>
  <c r="AE35" i="21"/>
  <c r="Z35" i="21"/>
  <c r="AB35" i="21"/>
  <c r="X35" i="21"/>
  <c r="V35" i="21"/>
  <c r="P35" i="21"/>
  <c r="R35" i="21"/>
  <c r="O35" i="21"/>
  <c r="L35" i="21"/>
  <c r="F35" i="21"/>
  <c r="H35" i="21"/>
  <c r="D35" i="21"/>
  <c r="B35" i="21"/>
  <c r="A35" i="21"/>
  <c r="BJ34" i="21"/>
  <c r="BL34" i="21"/>
  <c r="BH34" i="21"/>
  <c r="BF34" i="21"/>
  <c r="BA34" i="21"/>
  <c r="BC34" i="21"/>
  <c r="AY34" i="21"/>
  <c r="AW34" i="21"/>
  <c r="AT34" i="21"/>
  <c r="AR34" i="21"/>
  <c r="AQ34" i="21"/>
  <c r="AP34" i="21"/>
  <c r="AN34" i="21"/>
  <c r="AK34" i="21"/>
  <c r="AI34" i="21"/>
  <c r="AG34" i="21"/>
  <c r="AE34" i="21"/>
  <c r="Z34" i="21"/>
  <c r="AB34" i="21"/>
  <c r="Y34" i="21"/>
  <c r="V34" i="21"/>
  <c r="P34" i="21"/>
  <c r="R34" i="21"/>
  <c r="N34" i="21"/>
  <c r="L34" i="21"/>
  <c r="F34" i="21"/>
  <c r="H34" i="21"/>
  <c r="D34" i="21"/>
  <c r="B34" i="21"/>
  <c r="A34" i="21"/>
  <c r="BK33" i="21"/>
  <c r="BI33" i="21"/>
  <c r="BF33" i="21"/>
  <c r="BC33" i="21"/>
  <c r="BB33" i="21"/>
  <c r="AY33" i="21"/>
  <c r="AW33" i="21"/>
  <c r="AT33" i="21"/>
  <c r="AS33" i="21"/>
  <c r="AR33" i="21"/>
  <c r="AN33" i="21"/>
  <c r="AJ33" i="21"/>
  <c r="AL33" i="21"/>
  <c r="AI33" i="21"/>
  <c r="AK33" i="21"/>
  <c r="AH33" i="21"/>
  <c r="AE33" i="21"/>
  <c r="AA33" i="21"/>
  <c r="Y33" i="21"/>
  <c r="X33" i="21"/>
  <c r="V33" i="21"/>
  <c r="Q33" i="21"/>
  <c r="N33" i="21"/>
  <c r="L33" i="21"/>
  <c r="G33" i="21"/>
  <c r="B33" i="21"/>
  <c r="A33" i="21"/>
  <c r="BJ32" i="21"/>
  <c r="BL32" i="21"/>
  <c r="BH32" i="21"/>
  <c r="BF32" i="21"/>
  <c r="BA32" i="21"/>
  <c r="AZ32" i="21"/>
  <c r="AW32" i="21"/>
  <c r="AR32" i="21"/>
  <c r="AP32" i="21"/>
  <c r="AN32" i="21"/>
  <c r="AK32" i="21"/>
  <c r="AI32" i="21"/>
  <c r="AH32" i="21"/>
  <c r="AE32" i="21"/>
  <c r="Z32" i="21"/>
  <c r="AB32" i="21"/>
  <c r="X32" i="21"/>
  <c r="X41" i="21"/>
  <c r="V32" i="21"/>
  <c r="P32" i="21"/>
  <c r="R32" i="21"/>
  <c r="O32" i="21"/>
  <c r="L32" i="21"/>
  <c r="H32" i="21"/>
  <c r="F32" i="21"/>
  <c r="D32" i="21"/>
  <c r="B32" i="21"/>
  <c r="A32" i="21"/>
  <c r="I27" i="21"/>
  <c r="I5" i="21"/>
  <c r="H27" i="21"/>
  <c r="G27" i="21"/>
  <c r="G5" i="21"/>
  <c r="F27" i="21"/>
  <c r="F5" i="21"/>
  <c r="E27" i="21"/>
  <c r="E5" i="21"/>
  <c r="D27" i="21"/>
  <c r="D5" i="21"/>
  <c r="J5" i="21"/>
  <c r="C27" i="21"/>
  <c r="C5" i="21"/>
  <c r="J26" i="21"/>
  <c r="J25" i="21"/>
  <c r="J24" i="21"/>
  <c r="J23" i="21"/>
  <c r="J22" i="21"/>
  <c r="J21" i="21"/>
  <c r="J20" i="21"/>
  <c r="J19" i="21"/>
  <c r="J18" i="21"/>
  <c r="J17" i="21"/>
  <c r="J16" i="21"/>
  <c r="J15" i="21"/>
  <c r="J14" i="21"/>
  <c r="J13" i="21"/>
  <c r="J12" i="21"/>
  <c r="H5" i="21"/>
  <c r="BH41" i="21"/>
  <c r="AL59" i="21"/>
  <c r="AJ32" i="21"/>
  <c r="AU113" i="21"/>
  <c r="AS35" i="21"/>
  <c r="BD113" i="21"/>
  <c r="BB35" i="21"/>
  <c r="BD35" i="21"/>
  <c r="J27" i="21"/>
  <c r="BD33" i="21"/>
  <c r="BM167" i="21"/>
  <c r="BK38" i="21"/>
  <c r="BM38" i="21"/>
  <c r="BM34" i="21"/>
  <c r="AC167" i="21"/>
  <c r="AA38" i="21"/>
  <c r="I59" i="21"/>
  <c r="G32" i="21"/>
  <c r="AG41" i="21"/>
  <c r="I113" i="21"/>
  <c r="G35" i="21"/>
  <c r="I35" i="21"/>
  <c r="S113" i="21"/>
  <c r="Q35" i="21"/>
  <c r="S35" i="21"/>
  <c r="AP41" i="21"/>
  <c r="O41" i="21"/>
  <c r="I33" i="21"/>
  <c r="Y41" i="21"/>
  <c r="BD39" i="21"/>
  <c r="Z41" i="21"/>
  <c r="AR41" i="21"/>
  <c r="BM59" i="21"/>
  <c r="BK32" i="21"/>
  <c r="BM32" i="21"/>
  <c r="AH41" i="21"/>
  <c r="AC33" i="21"/>
  <c r="AC95" i="21"/>
  <c r="AA34" i="21"/>
  <c r="AC113" i="21"/>
  <c r="AA35" i="21"/>
  <c r="AC35" i="21"/>
  <c r="BM203" i="21"/>
  <c r="BK40" i="21"/>
  <c r="AK41" i="21"/>
  <c r="F7" i="21"/>
  <c r="I95" i="21"/>
  <c r="G34" i="21"/>
  <c r="I34" i="21"/>
  <c r="I167" i="21"/>
  <c r="G38" i="21"/>
  <c r="I38" i="21"/>
  <c r="S37" i="21"/>
  <c r="AC59" i="21"/>
  <c r="AA32" i="21"/>
  <c r="AC32" i="21"/>
  <c r="AU59" i="21"/>
  <c r="AS32" i="21"/>
  <c r="AQ41" i="21"/>
  <c r="AU95" i="21"/>
  <c r="AS34" i="21"/>
  <c r="AU34" i="21"/>
  <c r="AL113" i="21"/>
  <c r="AJ35" i="21"/>
  <c r="AL35" i="21"/>
  <c r="N41" i="21"/>
  <c r="AL167" i="21"/>
  <c r="AJ38" i="21"/>
  <c r="AL38" i="21"/>
  <c r="S95" i="21"/>
  <c r="Q34" i="21"/>
  <c r="S34" i="21"/>
  <c r="S59" i="21"/>
  <c r="Q32" i="21"/>
  <c r="S32" i="21"/>
  <c r="D36" i="21"/>
  <c r="D208" i="21"/>
  <c r="I37" i="21"/>
  <c r="F39" i="21"/>
  <c r="H39" i="21"/>
  <c r="H41" i="21"/>
  <c r="C7" i="21"/>
  <c r="E39" i="21"/>
  <c r="E41" i="21"/>
  <c r="C208" i="21"/>
  <c r="AL32" i="21"/>
  <c r="I32" i="21"/>
  <c r="BJ41" i="21"/>
  <c r="BL33" i="21"/>
  <c r="E211" i="21"/>
  <c r="AC38" i="21"/>
  <c r="BM40" i="21"/>
  <c r="AA41" i="21"/>
  <c r="E8" i="21"/>
  <c r="AC34" i="21"/>
  <c r="D211" i="21"/>
  <c r="D41" i="21"/>
  <c r="R41" i="21"/>
  <c r="D7" i="21"/>
  <c r="AB41" i="21"/>
  <c r="E7" i="21"/>
  <c r="AT32" i="21"/>
  <c r="AT41" i="21"/>
  <c r="G7" i="21"/>
  <c r="BC32" i="21"/>
  <c r="BC41" i="21"/>
  <c r="H7" i="21"/>
  <c r="BA41" i="21"/>
  <c r="S33" i="21"/>
  <c r="AC36" i="21"/>
  <c r="AC40" i="21"/>
  <c r="AL95" i="21"/>
  <c r="AJ34" i="21"/>
  <c r="AL34" i="21"/>
  <c r="AU35" i="21"/>
  <c r="AC39" i="21"/>
  <c r="BM39" i="21"/>
  <c r="AI41" i="21"/>
  <c r="BI41" i="21"/>
  <c r="C211" i="21"/>
  <c r="BM36" i="21"/>
  <c r="AU37" i="21"/>
  <c r="P41" i="21"/>
  <c r="BD95" i="21"/>
  <c r="BB34" i="21"/>
  <c r="BD34" i="21"/>
  <c r="AU167" i="21"/>
  <c r="AS38" i="21"/>
  <c r="AU38" i="21"/>
  <c r="E208" i="21"/>
  <c r="E213" i="21"/>
  <c r="S203" i="21"/>
  <c r="Q40" i="21"/>
  <c r="S40" i="21"/>
  <c r="BD203" i="21"/>
  <c r="BB40" i="21"/>
  <c r="BD40" i="21"/>
  <c r="BM113" i="21"/>
  <c r="BK35" i="21"/>
  <c r="BM35" i="21"/>
  <c r="S167" i="21"/>
  <c r="Q38" i="21"/>
  <c r="S38" i="21"/>
  <c r="BD167" i="21"/>
  <c r="BB38" i="21"/>
  <c r="BD38" i="21"/>
  <c r="AL203" i="21"/>
  <c r="AJ40" i="21"/>
  <c r="AL40" i="21"/>
  <c r="I203" i="21"/>
  <c r="G40" i="21"/>
  <c r="I40" i="21"/>
  <c r="AU203" i="21"/>
  <c r="AS40" i="21"/>
  <c r="AU40" i="21"/>
  <c r="AZ41" i="21"/>
  <c r="AU33" i="21"/>
  <c r="AU39" i="21"/>
  <c r="D11" i="16"/>
  <c r="D213" i="21"/>
  <c r="F41" i="21"/>
  <c r="C213" i="21"/>
  <c r="I39" i="21"/>
  <c r="I41" i="21"/>
  <c r="Q41" i="21"/>
  <c r="D8" i="21"/>
  <c r="D6" i="21"/>
  <c r="D9" i="21"/>
  <c r="BL41" i="21"/>
  <c r="I7" i="21"/>
  <c r="BM33" i="21"/>
  <c r="BM41" i="21"/>
  <c r="AC41" i="21"/>
  <c r="S41" i="21"/>
  <c r="BK41" i="21"/>
  <c r="I8" i="21"/>
  <c r="G41" i="21"/>
  <c r="C8" i="21"/>
  <c r="C6" i="21"/>
  <c r="G6" i="21"/>
  <c r="G9" i="21"/>
  <c r="AU32" i="21"/>
  <c r="AU41" i="21"/>
  <c r="BB41" i="21"/>
  <c r="H8" i="21"/>
  <c r="H6" i="21"/>
  <c r="H9" i="21"/>
  <c r="AL41" i="21"/>
  <c r="E6" i="21"/>
  <c r="E9" i="21"/>
  <c r="AS41" i="21"/>
  <c r="G8" i="21"/>
  <c r="BD32" i="21"/>
  <c r="BD41" i="21"/>
  <c r="AJ41" i="21"/>
  <c r="F8" i="21"/>
  <c r="F6" i="21"/>
  <c r="F9" i="21"/>
  <c r="C9" i="21"/>
  <c r="I6" i="21"/>
  <c r="I9" i="21"/>
  <c r="J7" i="21"/>
  <c r="J8" i="21"/>
  <c r="J6" i="21"/>
  <c r="J9" i="21"/>
  <c r="P10" i="16"/>
  <c r="P9" i="16"/>
  <c r="P8" i="16"/>
  <c r="P7" i="16"/>
  <c r="P6" i="16"/>
  <c r="P5" i="16"/>
  <c r="AB10" i="15"/>
  <c r="AB9" i="15"/>
  <c r="N68" i="9"/>
  <c r="F22" i="9" s="1"/>
  <c r="E11" i="16"/>
  <c r="M4" i="14"/>
  <c r="L4" i="14"/>
  <c r="K4" i="14"/>
  <c r="G36" i="16"/>
  <c r="F36" i="16"/>
  <c r="P13" i="16"/>
  <c r="P22" i="16" s="1"/>
  <c r="F13" i="16"/>
  <c r="F22" i="16" s="1"/>
  <c r="R28" i="16"/>
  <c r="O28" i="16"/>
  <c r="N28" i="16"/>
  <c r="R27" i="16"/>
  <c r="O27" i="16"/>
  <c r="N27" i="16"/>
  <c r="R26" i="16"/>
  <c r="O26" i="16"/>
  <c r="N26" i="16"/>
  <c r="R25" i="16"/>
  <c r="O25" i="16"/>
  <c r="N25" i="16"/>
  <c r="R24" i="16"/>
  <c r="O24" i="16"/>
  <c r="N24" i="16"/>
  <c r="R23" i="16"/>
  <c r="S29" i="16" s="1"/>
  <c r="O23" i="16"/>
  <c r="N23" i="16"/>
  <c r="R19" i="16"/>
  <c r="O19" i="16"/>
  <c r="N19" i="16"/>
  <c r="R18" i="16"/>
  <c r="O18" i="16"/>
  <c r="N18" i="16"/>
  <c r="R17" i="16"/>
  <c r="O17" i="16"/>
  <c r="N17" i="16"/>
  <c r="R16" i="16"/>
  <c r="O16" i="16"/>
  <c r="N16" i="16"/>
  <c r="R15" i="16"/>
  <c r="O15" i="16"/>
  <c r="N15" i="16"/>
  <c r="R14" i="16"/>
  <c r="S20" i="16" s="1"/>
  <c r="O14" i="16"/>
  <c r="N14" i="16"/>
  <c r="R10" i="16"/>
  <c r="O10" i="16"/>
  <c r="N10" i="16"/>
  <c r="R9" i="16"/>
  <c r="O9" i="16"/>
  <c r="N9" i="16"/>
  <c r="R8" i="16"/>
  <c r="O8" i="16"/>
  <c r="N8" i="16"/>
  <c r="R7" i="16"/>
  <c r="O7" i="16"/>
  <c r="N7" i="16"/>
  <c r="R6" i="16"/>
  <c r="O6" i="16"/>
  <c r="N6" i="16"/>
  <c r="R5" i="16"/>
  <c r="S11" i="16" s="1"/>
  <c r="O5" i="16"/>
  <c r="N5" i="16"/>
  <c r="M29" i="16"/>
  <c r="M28" i="16"/>
  <c r="M27" i="16"/>
  <c r="M26" i="16"/>
  <c r="M25" i="16"/>
  <c r="M24" i="16"/>
  <c r="M23" i="16"/>
  <c r="M20" i="16"/>
  <c r="M19" i="16"/>
  <c r="M18" i="16"/>
  <c r="M17" i="16"/>
  <c r="M16" i="16"/>
  <c r="M15" i="16"/>
  <c r="M14" i="16"/>
  <c r="M13" i="16"/>
  <c r="M11" i="16"/>
  <c r="M10" i="16"/>
  <c r="M9" i="16"/>
  <c r="M8" i="16"/>
  <c r="M7" i="16"/>
  <c r="M6" i="16"/>
  <c r="M5" i="16"/>
  <c r="M4" i="16"/>
  <c r="I11" i="16"/>
  <c r="H29" i="16"/>
  <c r="H20" i="16"/>
  <c r="H36" i="16"/>
  <c r="D36" i="16"/>
  <c r="E36" i="16"/>
  <c r="B40" i="6"/>
  <c r="B39" i="6"/>
  <c r="A40" i="6"/>
  <c r="A38" i="6"/>
  <c r="C210" i="6"/>
  <c r="A37" i="6"/>
  <c r="C209" i="6"/>
  <c r="A36" i="6"/>
  <c r="A35" i="6"/>
  <c r="A34" i="6"/>
  <c r="A33" i="6"/>
  <c r="A32" i="6"/>
  <c r="C211" i="6"/>
  <c r="F308" i="15"/>
  <c r="A58" i="15"/>
  <c r="A57" i="15"/>
  <c r="A56" i="15"/>
  <c r="A55" i="15"/>
  <c r="C304" i="15" s="1"/>
  <c r="A54" i="15"/>
  <c r="A53" i="15"/>
  <c r="C305" i="15" s="1"/>
  <c r="A52" i="15"/>
  <c r="A51" i="15"/>
  <c r="A50" i="15"/>
  <c r="A49" i="15"/>
  <c r="A48" i="15"/>
  <c r="A47" i="15"/>
  <c r="A46" i="15"/>
  <c r="F131" i="6"/>
  <c r="E131" i="6"/>
  <c r="D131" i="6"/>
  <c r="O131" i="6"/>
  <c r="N131" i="6"/>
  <c r="G7" i="9"/>
  <c r="F7" i="9"/>
  <c r="E7" i="9"/>
  <c r="D7" i="9"/>
  <c r="F6" i="9"/>
  <c r="E6" i="9"/>
  <c r="G13" i="9"/>
  <c r="G9" i="9"/>
  <c r="F13" i="9"/>
  <c r="L13" i="9" s="1"/>
  <c r="E9" i="9"/>
  <c r="F9" i="9"/>
  <c r="E13" i="9"/>
  <c r="D13" i="9"/>
  <c r="G11" i="9"/>
  <c r="F11" i="9"/>
  <c r="L11" i="9" s="1"/>
  <c r="E11" i="9"/>
  <c r="D11" i="9"/>
  <c r="D10" i="9"/>
  <c r="G10" i="9"/>
  <c r="F10" i="9"/>
  <c r="L10" i="9" s="1"/>
  <c r="E10" i="9"/>
  <c r="D9" i="9"/>
  <c r="F8" i="9"/>
  <c r="E8" i="9"/>
  <c r="D8" i="9"/>
  <c r="O149" i="6"/>
  <c r="N149" i="6"/>
  <c r="E149" i="6"/>
  <c r="D149" i="6"/>
  <c r="O167" i="6"/>
  <c r="N167" i="6"/>
  <c r="E167" i="6"/>
  <c r="D167" i="6"/>
  <c r="C208" i="6"/>
  <c r="C213" i="6"/>
  <c r="P185" i="6"/>
  <c r="O185" i="6"/>
  <c r="N185" i="6"/>
  <c r="F21" i="14"/>
  <c r="F62" i="14" s="1"/>
  <c r="N67" i="9"/>
  <c r="N66" i="9"/>
  <c r="N65" i="9"/>
  <c r="J4" i="14"/>
  <c r="E62" i="14"/>
  <c r="D62" i="14"/>
  <c r="C21" i="14"/>
  <c r="C62" i="14" s="1"/>
  <c r="Z293" i="15"/>
  <c r="Z58" i="15" s="1"/>
  <c r="AB58" i="15" s="1"/>
  <c r="Y293" i="15"/>
  <c r="Y58" i="15" s="1"/>
  <c r="X293" i="15"/>
  <c r="X58" i="15" s="1"/>
  <c r="Y275" i="15"/>
  <c r="Y57" i="15" s="1"/>
  <c r="X275" i="15"/>
  <c r="X57" i="15" s="1"/>
  <c r="AB274" i="15"/>
  <c r="AC274" i="15" s="1"/>
  <c r="AB273" i="15"/>
  <c r="AC273" i="15" s="1"/>
  <c r="AB272" i="15"/>
  <c r="AC272" i="15" s="1"/>
  <c r="AB271" i="15"/>
  <c r="AC271" i="15" s="1"/>
  <c r="AB270" i="15"/>
  <c r="AC270" i="15" s="1"/>
  <c r="AB269" i="15"/>
  <c r="AC269" i="15" s="1"/>
  <c r="AB268" i="15"/>
  <c r="AC268" i="15" s="1"/>
  <c r="AB267" i="15"/>
  <c r="AC267" i="15" s="1"/>
  <c r="AB266" i="15"/>
  <c r="AC266" i="15" s="1"/>
  <c r="AB265" i="15"/>
  <c r="AC265" i="15" s="1"/>
  <c r="AB264" i="15"/>
  <c r="AC264" i="15" s="1"/>
  <c r="AB263" i="15"/>
  <c r="AC263" i="15" s="1"/>
  <c r="AB262" i="15"/>
  <c r="AC262" i="15" s="1"/>
  <c r="AB261" i="15"/>
  <c r="AC261" i="15" s="1"/>
  <c r="AB260" i="15"/>
  <c r="AC260" i="15" s="1"/>
  <c r="Z257" i="15"/>
  <c r="Z56" i="15" s="1"/>
  <c r="Y257" i="15"/>
  <c r="Y56" i="15" s="1"/>
  <c r="X257" i="15"/>
  <c r="X56" i="15" s="1"/>
  <c r="Z239" i="15"/>
  <c r="Z55" i="15" s="1"/>
  <c r="AB55" i="15" s="1"/>
  <c r="Y239" i="15"/>
  <c r="Y55" i="15" s="1"/>
  <c r="X239" i="15"/>
  <c r="X55" i="15" s="1"/>
  <c r="Z221" i="15"/>
  <c r="Z54" i="15" s="1"/>
  <c r="AB54" i="15" s="1"/>
  <c r="Y221" i="15"/>
  <c r="Y54" i="15" s="1"/>
  <c r="X221" i="15"/>
  <c r="X54" i="15" s="1"/>
  <c r="Y203" i="15"/>
  <c r="Y53" i="15" s="1"/>
  <c r="X203" i="15"/>
  <c r="X53" i="15" s="1"/>
  <c r="AB202" i="15"/>
  <c r="AC202" i="15" s="1"/>
  <c r="AB201" i="15"/>
  <c r="AC201" i="15" s="1"/>
  <c r="AB200" i="15"/>
  <c r="AC200" i="15" s="1"/>
  <c r="AB199" i="15"/>
  <c r="AC199" i="15" s="1"/>
  <c r="AB198" i="15"/>
  <c r="AC198" i="15" s="1"/>
  <c r="AB197" i="15"/>
  <c r="AC197" i="15" s="1"/>
  <c r="AB196" i="15"/>
  <c r="AC196" i="15" s="1"/>
  <c r="AB195" i="15"/>
  <c r="AC195" i="15" s="1"/>
  <c r="AB194" i="15"/>
  <c r="AC194" i="15" s="1"/>
  <c r="AB193" i="15"/>
  <c r="AC193" i="15" s="1"/>
  <c r="AB192" i="15"/>
  <c r="AC192" i="15" s="1"/>
  <c r="AB191" i="15"/>
  <c r="AC191" i="15" s="1"/>
  <c r="AB190" i="15"/>
  <c r="AC190" i="15" s="1"/>
  <c r="AB189" i="15"/>
  <c r="AC189" i="15" s="1"/>
  <c r="AB188" i="15"/>
  <c r="AC188" i="15" s="1"/>
  <c r="Y185" i="15"/>
  <c r="Y52" i="15" s="1"/>
  <c r="X185" i="15"/>
  <c r="X52" i="15" s="1"/>
  <c r="AB184" i="15"/>
  <c r="AC184" i="15" s="1"/>
  <c r="AB183" i="15"/>
  <c r="AC183" i="15" s="1"/>
  <c r="AB182" i="15"/>
  <c r="AC182" i="15" s="1"/>
  <c r="AB181" i="15"/>
  <c r="AC181" i="15" s="1"/>
  <c r="AB180" i="15"/>
  <c r="AC180" i="15" s="1"/>
  <c r="AB179" i="15"/>
  <c r="AC179" i="15" s="1"/>
  <c r="AB178" i="15"/>
  <c r="AC178" i="15" s="1"/>
  <c r="AB177" i="15"/>
  <c r="AC177" i="15" s="1"/>
  <c r="AB176" i="15"/>
  <c r="AC176" i="15" s="1"/>
  <c r="AB175" i="15"/>
  <c r="AC175" i="15" s="1"/>
  <c r="AB174" i="15"/>
  <c r="AC174" i="15" s="1"/>
  <c r="AB173" i="15"/>
  <c r="AC173" i="15" s="1"/>
  <c r="AB172" i="15"/>
  <c r="AC172" i="15" s="1"/>
  <c r="AB171" i="15"/>
  <c r="AC171" i="15" s="1"/>
  <c r="AB170" i="15"/>
  <c r="AC170" i="15" s="1"/>
  <c r="Y167" i="15"/>
  <c r="Y51" i="15" s="1"/>
  <c r="X167" i="15"/>
  <c r="X51" i="15" s="1"/>
  <c r="AB166" i="15"/>
  <c r="AC166" i="15" s="1"/>
  <c r="AB165" i="15"/>
  <c r="AC165" i="15" s="1"/>
  <c r="AB164" i="15"/>
  <c r="AC164" i="15" s="1"/>
  <c r="AB163" i="15"/>
  <c r="AC163" i="15" s="1"/>
  <c r="AB162" i="15"/>
  <c r="AC162" i="15" s="1"/>
  <c r="AB161" i="15"/>
  <c r="AC161" i="15" s="1"/>
  <c r="AB160" i="15"/>
  <c r="AC160" i="15" s="1"/>
  <c r="AB159" i="15"/>
  <c r="AC159" i="15" s="1"/>
  <c r="AB158" i="15"/>
  <c r="AC158" i="15" s="1"/>
  <c r="AB157" i="15"/>
  <c r="AC157" i="15" s="1"/>
  <c r="AB156" i="15"/>
  <c r="AC156" i="15" s="1"/>
  <c r="AB155" i="15"/>
  <c r="AC155" i="15" s="1"/>
  <c r="AB154" i="15"/>
  <c r="AC154" i="15" s="1"/>
  <c r="AB153" i="15"/>
  <c r="AC153" i="15" s="1"/>
  <c r="AB152" i="15"/>
  <c r="AC152" i="15" s="1"/>
  <c r="Y149" i="15"/>
  <c r="Y50" i="15" s="1"/>
  <c r="X149" i="15"/>
  <c r="X50" i="15" s="1"/>
  <c r="AB148" i="15"/>
  <c r="AC148" i="15" s="1"/>
  <c r="AB147" i="15"/>
  <c r="AC147" i="15" s="1"/>
  <c r="AB146" i="15"/>
  <c r="AC146" i="15" s="1"/>
  <c r="AB145" i="15"/>
  <c r="AC145" i="15" s="1"/>
  <c r="AB144" i="15"/>
  <c r="AC144" i="15" s="1"/>
  <c r="AB143" i="15"/>
  <c r="AC143" i="15" s="1"/>
  <c r="AB142" i="15"/>
  <c r="AC142" i="15" s="1"/>
  <c r="AB141" i="15"/>
  <c r="AC141" i="15" s="1"/>
  <c r="AB140" i="15"/>
  <c r="AC140" i="15" s="1"/>
  <c r="AB139" i="15"/>
  <c r="AC139" i="15" s="1"/>
  <c r="AB138" i="15"/>
  <c r="AC138" i="15" s="1"/>
  <c r="AB137" i="15"/>
  <c r="AC137" i="15" s="1"/>
  <c r="AB136" i="15"/>
  <c r="AC136" i="15" s="1"/>
  <c r="AB135" i="15"/>
  <c r="AC135" i="15" s="1"/>
  <c r="AB134" i="15"/>
  <c r="AC134" i="15" s="1"/>
  <c r="Y131" i="15"/>
  <c r="Y49" i="15" s="1"/>
  <c r="X131" i="15"/>
  <c r="X49" i="15" s="1"/>
  <c r="AB130" i="15"/>
  <c r="AC130" i="15" s="1"/>
  <c r="AB129" i="15"/>
  <c r="AC129" i="15" s="1"/>
  <c r="AB128" i="15"/>
  <c r="AC128" i="15" s="1"/>
  <c r="AB127" i="15"/>
  <c r="AC127" i="15" s="1"/>
  <c r="AB126" i="15"/>
  <c r="AC126" i="15" s="1"/>
  <c r="AB125" i="15"/>
  <c r="AC125" i="15" s="1"/>
  <c r="AB124" i="15"/>
  <c r="AC124" i="15" s="1"/>
  <c r="AB123" i="15"/>
  <c r="AC123" i="15" s="1"/>
  <c r="AB122" i="15"/>
  <c r="AC122" i="15" s="1"/>
  <c r="AB121" i="15"/>
  <c r="AC121" i="15" s="1"/>
  <c r="AB120" i="15"/>
  <c r="AC120" i="15" s="1"/>
  <c r="AB119" i="15"/>
  <c r="AC119" i="15" s="1"/>
  <c r="AB118" i="15"/>
  <c r="AC118" i="15" s="1"/>
  <c r="AB117" i="15"/>
  <c r="AC117" i="15" s="1"/>
  <c r="AB116" i="15"/>
  <c r="AC116" i="15" s="1"/>
  <c r="Y113" i="15"/>
  <c r="Y48" i="15" s="1"/>
  <c r="X113" i="15"/>
  <c r="X48" i="15" s="1"/>
  <c r="AB112" i="15"/>
  <c r="AC112" i="15" s="1"/>
  <c r="AB111" i="15"/>
  <c r="AC111" i="15" s="1"/>
  <c r="AB110" i="15"/>
  <c r="AC110" i="15" s="1"/>
  <c r="AB109" i="15"/>
  <c r="AC109" i="15" s="1"/>
  <c r="AB108" i="15"/>
  <c r="AC108" i="15" s="1"/>
  <c r="AB107" i="15"/>
  <c r="AC107" i="15" s="1"/>
  <c r="AB106" i="15"/>
  <c r="AC106" i="15" s="1"/>
  <c r="AB105" i="15"/>
  <c r="AC105" i="15" s="1"/>
  <c r="AB104" i="15"/>
  <c r="AC104" i="15" s="1"/>
  <c r="AB103" i="15"/>
  <c r="AC103" i="15" s="1"/>
  <c r="AB102" i="15"/>
  <c r="AC102" i="15" s="1"/>
  <c r="AB101" i="15"/>
  <c r="AC101" i="15" s="1"/>
  <c r="AB100" i="15"/>
  <c r="AC100" i="15" s="1"/>
  <c r="AB99" i="15"/>
  <c r="AC99" i="15" s="1"/>
  <c r="AB98" i="15"/>
  <c r="AC98" i="15" s="1"/>
  <c r="Y95" i="15"/>
  <c r="Y47" i="15" s="1"/>
  <c r="X95" i="15"/>
  <c r="X47" i="15" s="1"/>
  <c r="AB94" i="15"/>
  <c r="AC94" i="15" s="1"/>
  <c r="AB93" i="15"/>
  <c r="AC93" i="15" s="1"/>
  <c r="AB92" i="15"/>
  <c r="AC92" i="15" s="1"/>
  <c r="AB91" i="15"/>
  <c r="AC91" i="15" s="1"/>
  <c r="AB90" i="15"/>
  <c r="AC90" i="15" s="1"/>
  <c r="AB89" i="15"/>
  <c r="AC89" i="15" s="1"/>
  <c r="AB88" i="15"/>
  <c r="AC88" i="15" s="1"/>
  <c r="AB87" i="15"/>
  <c r="AC87" i="15" s="1"/>
  <c r="AB86" i="15"/>
  <c r="AC86" i="15" s="1"/>
  <c r="AB85" i="15"/>
  <c r="AC85" i="15" s="1"/>
  <c r="AB84" i="15"/>
  <c r="AC84" i="15" s="1"/>
  <c r="AB83" i="15"/>
  <c r="AC83" i="15" s="1"/>
  <c r="AB82" i="15"/>
  <c r="AC82" i="15" s="1"/>
  <c r="AB81" i="15"/>
  <c r="AC81" i="15" s="1"/>
  <c r="AB80" i="15"/>
  <c r="AC80" i="15" s="1"/>
  <c r="Y77" i="15"/>
  <c r="Y46" i="15" s="1"/>
  <c r="X77" i="15"/>
  <c r="X46" i="15" s="1"/>
  <c r="AB76" i="15"/>
  <c r="AC76" i="15" s="1"/>
  <c r="AB75" i="15"/>
  <c r="AC75" i="15" s="1"/>
  <c r="AB74" i="15"/>
  <c r="AC74" i="15" s="1"/>
  <c r="AB73" i="15"/>
  <c r="AC73" i="15" s="1"/>
  <c r="AB72" i="15"/>
  <c r="AC72" i="15" s="1"/>
  <c r="AB71" i="15"/>
  <c r="AC71" i="15" s="1"/>
  <c r="AB70" i="15"/>
  <c r="AC70" i="15" s="1"/>
  <c r="AB69" i="15"/>
  <c r="AC69" i="15" s="1"/>
  <c r="AB68" i="15"/>
  <c r="AC68" i="15" s="1"/>
  <c r="AB67" i="15"/>
  <c r="AC67" i="15" s="1"/>
  <c r="AB66" i="15"/>
  <c r="AC66" i="15" s="1"/>
  <c r="AB65" i="15"/>
  <c r="AC65" i="15" s="1"/>
  <c r="AB64" i="15"/>
  <c r="AC64" i="15" s="1"/>
  <c r="AB63" i="15"/>
  <c r="AC63" i="15" s="1"/>
  <c r="AB62" i="15"/>
  <c r="AC62" i="15" s="1"/>
  <c r="W59" i="15"/>
  <c r="V59" i="15"/>
  <c r="AA58" i="15"/>
  <c r="W58" i="15"/>
  <c r="Z57" i="15"/>
  <c r="AB57" i="15" s="1"/>
  <c r="W57" i="15"/>
  <c r="AA56" i="15"/>
  <c r="W56" i="15"/>
  <c r="AA55" i="15"/>
  <c r="W55" i="15"/>
  <c r="AA54" i="15"/>
  <c r="W54" i="15"/>
  <c r="Z53" i="15"/>
  <c r="AB53" i="15"/>
  <c r="W53" i="15"/>
  <c r="Z52" i="15"/>
  <c r="AB52" i="15" s="1"/>
  <c r="W52" i="15"/>
  <c r="Z51" i="15"/>
  <c r="AB51" i="15" s="1"/>
  <c r="W51" i="15"/>
  <c r="Z50" i="15"/>
  <c r="AB50" i="15" s="1"/>
  <c r="W50" i="15"/>
  <c r="Z49" i="15"/>
  <c r="AB49" i="15" s="1"/>
  <c r="W49" i="15"/>
  <c r="Z48" i="15"/>
  <c r="AB48" i="15" s="1"/>
  <c r="W48" i="15"/>
  <c r="Z47" i="15"/>
  <c r="AB47" i="15" s="1"/>
  <c r="W47" i="15"/>
  <c r="Z46" i="15"/>
  <c r="AB46" i="15" s="1"/>
  <c r="W46" i="15"/>
  <c r="AF59" i="15"/>
  <c r="M59" i="15"/>
  <c r="L59" i="15"/>
  <c r="M58" i="15"/>
  <c r="M57" i="15"/>
  <c r="M56" i="15"/>
  <c r="M55" i="15"/>
  <c r="M54" i="15"/>
  <c r="M53" i="15"/>
  <c r="M52" i="15"/>
  <c r="M51" i="15"/>
  <c r="M50" i="15"/>
  <c r="M49" i="15"/>
  <c r="M48" i="15"/>
  <c r="M47" i="15"/>
  <c r="M46" i="15"/>
  <c r="T45" i="15"/>
  <c r="AD45" i="15" s="1"/>
  <c r="S45" i="15"/>
  <c r="AC45" i="15" s="1"/>
  <c r="R45" i="15"/>
  <c r="AB45" i="15" s="1"/>
  <c r="Q45" i="15"/>
  <c r="AA45" i="15" s="1"/>
  <c r="P45" i="15"/>
  <c r="Z45" i="15" s="1"/>
  <c r="O45" i="15"/>
  <c r="Y45" i="15" s="1"/>
  <c r="N45" i="15"/>
  <c r="X45" i="15" s="1"/>
  <c r="M45" i="15"/>
  <c r="W45" i="15"/>
  <c r="L277" i="15"/>
  <c r="L259" i="15"/>
  <c r="L241" i="15"/>
  <c r="L257" i="15" s="1"/>
  <c r="L223" i="15"/>
  <c r="L239" i="15" s="1"/>
  <c r="L205" i="15"/>
  <c r="L221" i="15" s="1"/>
  <c r="L187" i="15"/>
  <c r="V187" i="15" s="1"/>
  <c r="V203" i="15" s="1"/>
  <c r="L169" i="15"/>
  <c r="V169" i="15" s="1"/>
  <c r="V185" i="15" s="1"/>
  <c r="L151" i="15"/>
  <c r="L167" i="15" s="1"/>
  <c r="L133" i="15"/>
  <c r="L149" i="15" s="1"/>
  <c r="L115" i="15"/>
  <c r="L97" i="15"/>
  <c r="L113" i="15" s="1"/>
  <c r="L79" i="15"/>
  <c r="V79" i="15" s="1"/>
  <c r="V95" i="15" s="1"/>
  <c r="T61" i="15"/>
  <c r="AD61" i="15" s="1"/>
  <c r="S61" i="15"/>
  <c r="AC61" i="15" s="1"/>
  <c r="R61" i="15"/>
  <c r="AB61" i="15" s="1"/>
  <c r="Q61" i="15"/>
  <c r="AA61" i="15" s="1"/>
  <c r="P61" i="15"/>
  <c r="Z61" i="15" s="1"/>
  <c r="O61" i="15"/>
  <c r="Y61" i="15" s="1"/>
  <c r="N61" i="15"/>
  <c r="X61" i="15" s="1"/>
  <c r="M61" i="15"/>
  <c r="W61" i="15" s="1"/>
  <c r="L61" i="15"/>
  <c r="L77" i="15" s="1"/>
  <c r="O293" i="15"/>
  <c r="O58" i="15" s="1"/>
  <c r="N293" i="15"/>
  <c r="N58" i="15" s="1"/>
  <c r="O275" i="15"/>
  <c r="O57" i="15" s="1"/>
  <c r="N275" i="15"/>
  <c r="N57" i="15" s="1"/>
  <c r="O257" i="15"/>
  <c r="O56" i="15" s="1"/>
  <c r="N257" i="15"/>
  <c r="N56" i="15" s="1"/>
  <c r="O239" i="15"/>
  <c r="O55" i="15" s="1"/>
  <c r="N239" i="15"/>
  <c r="N55" i="15" s="1"/>
  <c r="O221" i="15"/>
  <c r="O54" i="15" s="1"/>
  <c r="N221" i="15"/>
  <c r="N54" i="15" s="1"/>
  <c r="O203" i="15"/>
  <c r="O53" i="15" s="1"/>
  <c r="N203" i="15"/>
  <c r="N53" i="15" s="1"/>
  <c r="O185" i="15"/>
  <c r="O52" i="15" s="1"/>
  <c r="N185" i="15"/>
  <c r="N52" i="15" s="1"/>
  <c r="O167" i="15"/>
  <c r="O51" i="15" s="1"/>
  <c r="N167" i="15"/>
  <c r="N51" i="15" s="1"/>
  <c r="O149" i="15"/>
  <c r="O50" i="15" s="1"/>
  <c r="N149" i="15"/>
  <c r="N50" i="15" s="1"/>
  <c r="O131" i="15"/>
  <c r="O49" i="15" s="1"/>
  <c r="N131" i="15"/>
  <c r="N49" i="15" s="1"/>
  <c r="O113" i="15"/>
  <c r="O48" i="15" s="1"/>
  <c r="N113" i="15"/>
  <c r="N48" i="15" s="1"/>
  <c r="O95" i="15"/>
  <c r="O47" i="15" s="1"/>
  <c r="N95" i="15"/>
  <c r="N47" i="15" s="1"/>
  <c r="O77" i="15"/>
  <c r="O46" i="15" s="1"/>
  <c r="N77" i="15"/>
  <c r="N46" i="15" s="1"/>
  <c r="J277" i="15"/>
  <c r="T277" i="15" s="1"/>
  <c r="AD277" i="15" s="1"/>
  <c r="J259" i="15"/>
  <c r="T259" i="15" s="1"/>
  <c r="AD259" i="15" s="1"/>
  <c r="J241" i="15"/>
  <c r="T241" i="15"/>
  <c r="AD241" i="15" s="1"/>
  <c r="J223" i="15"/>
  <c r="T223" i="15" s="1"/>
  <c r="AD223" i="15" s="1"/>
  <c r="J205" i="15"/>
  <c r="T205" i="15" s="1"/>
  <c r="AD205" i="15" s="1"/>
  <c r="J187" i="15"/>
  <c r="T187" i="15" s="1"/>
  <c r="AD187" i="15" s="1"/>
  <c r="J169" i="15"/>
  <c r="T169" i="15" s="1"/>
  <c r="AD169" i="15" s="1"/>
  <c r="J151" i="15"/>
  <c r="T151" i="15" s="1"/>
  <c r="AD151" i="15" s="1"/>
  <c r="J133" i="15"/>
  <c r="T133" i="15" s="1"/>
  <c r="AD133" i="15" s="1"/>
  <c r="J115" i="15"/>
  <c r="T115" i="15" s="1"/>
  <c r="AD115" i="15" s="1"/>
  <c r="J97" i="15"/>
  <c r="T97" i="15" s="1"/>
  <c r="AD97" i="15" s="1"/>
  <c r="J79" i="15"/>
  <c r="T79" i="15" s="1"/>
  <c r="AD79" i="15" s="1"/>
  <c r="B58" i="15"/>
  <c r="L58" i="15" s="1"/>
  <c r="B57" i="15"/>
  <c r="V57" i="15" s="1"/>
  <c r="L293" i="15"/>
  <c r="V277" i="15"/>
  <c r="V293" i="15" s="1"/>
  <c r="L185" i="15"/>
  <c r="L275" i="15"/>
  <c r="V259" i="15"/>
  <c r="V275" i="15" s="1"/>
  <c r="B293" i="15"/>
  <c r="B275" i="15"/>
  <c r="B257" i="15"/>
  <c r="B239" i="15"/>
  <c r="B221" i="15"/>
  <c r="B203" i="15"/>
  <c r="B185" i="15"/>
  <c r="B167" i="15"/>
  <c r="B149" i="15"/>
  <c r="B131" i="15"/>
  <c r="B113" i="15"/>
  <c r="B95" i="15"/>
  <c r="B77" i="15"/>
  <c r="I58" i="15"/>
  <c r="E293" i="15"/>
  <c r="E58" i="15" s="1"/>
  <c r="D293" i="15"/>
  <c r="D58" i="15" s="1"/>
  <c r="E275" i="15"/>
  <c r="E57" i="15" s="1"/>
  <c r="D275" i="15"/>
  <c r="D57" i="15" s="1"/>
  <c r="E257" i="15"/>
  <c r="E56" i="15" s="1"/>
  <c r="D257" i="15"/>
  <c r="D56" i="15" s="1"/>
  <c r="D203" i="15"/>
  <c r="D53" i="15" s="1"/>
  <c r="D305" i="15" s="1"/>
  <c r="E185" i="15"/>
  <c r="E52" i="15" s="1"/>
  <c r="D185" i="15"/>
  <c r="D52" i="15" s="1"/>
  <c r="E167" i="15"/>
  <c r="E51" i="15" s="1"/>
  <c r="D167" i="15"/>
  <c r="D51" i="15" s="1"/>
  <c r="E149" i="15"/>
  <c r="E50" i="15" s="1"/>
  <c r="D149" i="15"/>
  <c r="D50" i="15" s="1"/>
  <c r="E131" i="15"/>
  <c r="E49" i="15" s="1"/>
  <c r="D131" i="15"/>
  <c r="D49" i="15" s="1"/>
  <c r="E113" i="15"/>
  <c r="E48" i="15" s="1"/>
  <c r="D113" i="15"/>
  <c r="D48" i="15" s="1"/>
  <c r="E95" i="15"/>
  <c r="E47" i="15" s="1"/>
  <c r="D95" i="15"/>
  <c r="D47" i="15" s="1"/>
  <c r="I277" i="15"/>
  <c r="S277" i="15" s="1"/>
  <c r="AC277" i="15" s="1"/>
  <c r="H277" i="15"/>
  <c r="R277" i="15" s="1"/>
  <c r="AB277" i="15" s="1"/>
  <c r="G277" i="15"/>
  <c r="Q277" i="15" s="1"/>
  <c r="AA277" i="15" s="1"/>
  <c r="F277" i="15"/>
  <c r="P277" i="15" s="1"/>
  <c r="Z277" i="15" s="1"/>
  <c r="E277" i="15"/>
  <c r="O277" i="15" s="1"/>
  <c r="Y277" i="15" s="1"/>
  <c r="D277" i="15"/>
  <c r="N277" i="15" s="1"/>
  <c r="X277" i="15" s="1"/>
  <c r="C277" i="15"/>
  <c r="M277" i="15" s="1"/>
  <c r="W277" i="15" s="1"/>
  <c r="B52" i="15"/>
  <c r="V52" i="15" s="1"/>
  <c r="I169" i="15"/>
  <c r="S169" i="15" s="1"/>
  <c r="AC169" i="15" s="1"/>
  <c r="H169" i="15"/>
  <c r="R169" i="15" s="1"/>
  <c r="AB169" i="15" s="1"/>
  <c r="G169" i="15"/>
  <c r="Q169" i="15" s="1"/>
  <c r="AA169" i="15" s="1"/>
  <c r="F169" i="15"/>
  <c r="P169" i="15" s="1"/>
  <c r="Z169" i="15" s="1"/>
  <c r="E169" i="15"/>
  <c r="O169" i="15" s="1"/>
  <c r="Y169" i="15" s="1"/>
  <c r="D169" i="15"/>
  <c r="N169" i="15" s="1"/>
  <c r="X169" i="15" s="1"/>
  <c r="C169" i="15"/>
  <c r="M169" i="15" s="1"/>
  <c r="W169" i="15" s="1"/>
  <c r="B51" i="15"/>
  <c r="L51" i="15" s="1"/>
  <c r="I151" i="15"/>
  <c r="S151" i="15" s="1"/>
  <c r="AC151" i="15" s="1"/>
  <c r="H151" i="15"/>
  <c r="R151" i="15" s="1"/>
  <c r="AB151" i="15" s="1"/>
  <c r="G151" i="15"/>
  <c r="Q151" i="15" s="1"/>
  <c r="AA151" i="15" s="1"/>
  <c r="F151" i="15"/>
  <c r="P151" i="15" s="1"/>
  <c r="Z151" i="15" s="1"/>
  <c r="E151" i="15"/>
  <c r="O151" i="15" s="1"/>
  <c r="Y151" i="15" s="1"/>
  <c r="D151" i="15"/>
  <c r="N151" i="15" s="1"/>
  <c r="X151" i="15" s="1"/>
  <c r="C151" i="15"/>
  <c r="M151" i="15" s="1"/>
  <c r="W151" i="15" s="1"/>
  <c r="B50" i="15"/>
  <c r="L50" i="15" s="1"/>
  <c r="I133" i="15"/>
  <c r="S133" i="15" s="1"/>
  <c r="AC133" i="15" s="1"/>
  <c r="H133" i="15"/>
  <c r="R133" i="15" s="1"/>
  <c r="AB133" i="15" s="1"/>
  <c r="G133" i="15"/>
  <c r="Q133" i="15" s="1"/>
  <c r="AA133" i="15" s="1"/>
  <c r="F133" i="15"/>
  <c r="P133" i="15" s="1"/>
  <c r="Z133" i="15" s="1"/>
  <c r="E133" i="15"/>
  <c r="O133" i="15" s="1"/>
  <c r="Y133" i="15" s="1"/>
  <c r="D133" i="15"/>
  <c r="N133" i="15" s="1"/>
  <c r="X133" i="15" s="1"/>
  <c r="C133" i="15"/>
  <c r="M133" i="15" s="1"/>
  <c r="W133" i="15" s="1"/>
  <c r="V50" i="15"/>
  <c r="E77" i="15"/>
  <c r="E46" i="15" s="1"/>
  <c r="I259" i="15"/>
  <c r="S259" i="15" s="1"/>
  <c r="AC259" i="15" s="1"/>
  <c r="H259" i="15"/>
  <c r="R259" i="15" s="1"/>
  <c r="AB259" i="15" s="1"/>
  <c r="G259" i="15"/>
  <c r="Q259" i="15" s="1"/>
  <c r="AA259" i="15" s="1"/>
  <c r="F259" i="15"/>
  <c r="P259" i="15" s="1"/>
  <c r="Z259" i="15" s="1"/>
  <c r="E259" i="15"/>
  <c r="O259" i="15" s="1"/>
  <c r="Y259" i="15" s="1"/>
  <c r="D259" i="15"/>
  <c r="N259" i="15" s="1"/>
  <c r="X259" i="15" s="1"/>
  <c r="C259" i="15"/>
  <c r="M259" i="15" s="1"/>
  <c r="W259" i="15" s="1"/>
  <c r="I241" i="15"/>
  <c r="S241" i="15" s="1"/>
  <c r="AC241" i="15" s="1"/>
  <c r="H241" i="15"/>
  <c r="R241" i="15" s="1"/>
  <c r="AB241" i="15" s="1"/>
  <c r="G241" i="15"/>
  <c r="Q241" i="15" s="1"/>
  <c r="AA241" i="15" s="1"/>
  <c r="F241" i="15"/>
  <c r="P241" i="15" s="1"/>
  <c r="Z241" i="15" s="1"/>
  <c r="E241" i="15"/>
  <c r="O241" i="15" s="1"/>
  <c r="Y241" i="15" s="1"/>
  <c r="D241" i="15"/>
  <c r="N241" i="15" s="1"/>
  <c r="X241" i="15" s="1"/>
  <c r="C241" i="15"/>
  <c r="M241" i="15" s="1"/>
  <c r="W241" i="15" s="1"/>
  <c r="E203" i="15"/>
  <c r="E53" i="15" s="1"/>
  <c r="E305" i="15" s="1"/>
  <c r="I187" i="15"/>
  <c r="S187" i="15" s="1"/>
  <c r="AC187" i="15" s="1"/>
  <c r="H187" i="15"/>
  <c r="R187" i="15" s="1"/>
  <c r="AB187" i="15" s="1"/>
  <c r="G187" i="15"/>
  <c r="Q187" i="15" s="1"/>
  <c r="AA187" i="15" s="1"/>
  <c r="F187" i="15"/>
  <c r="P187" i="15" s="1"/>
  <c r="Z187" i="15" s="1"/>
  <c r="E187" i="15"/>
  <c r="O187" i="15" s="1"/>
  <c r="Y187" i="15" s="1"/>
  <c r="D187" i="15"/>
  <c r="N187" i="15" s="1"/>
  <c r="X187" i="15" s="1"/>
  <c r="C187" i="15"/>
  <c r="M187" i="15" s="1"/>
  <c r="W187" i="15" s="1"/>
  <c r="E239" i="15"/>
  <c r="E55" i="15" s="1"/>
  <c r="E304" i="15" s="1"/>
  <c r="D239" i="15"/>
  <c r="D55" i="15" s="1"/>
  <c r="D304" i="15" s="1"/>
  <c r="I223" i="15"/>
  <c r="S223" i="15" s="1"/>
  <c r="AC223" i="15" s="1"/>
  <c r="H223" i="15"/>
  <c r="R223" i="15" s="1"/>
  <c r="AB223" i="15" s="1"/>
  <c r="G223" i="15"/>
  <c r="Q223" i="15" s="1"/>
  <c r="AA223" i="15" s="1"/>
  <c r="F223" i="15"/>
  <c r="P223" i="15" s="1"/>
  <c r="Z223" i="15" s="1"/>
  <c r="E223" i="15"/>
  <c r="O223" i="15" s="1"/>
  <c r="Y223" i="15" s="1"/>
  <c r="D223" i="15"/>
  <c r="N223" i="15" s="1"/>
  <c r="X223" i="15" s="1"/>
  <c r="C223" i="15"/>
  <c r="M223" i="15" s="1"/>
  <c r="W223" i="15" s="1"/>
  <c r="E221" i="15"/>
  <c r="E54" i="15" s="1"/>
  <c r="D221" i="15"/>
  <c r="D54" i="15" s="1"/>
  <c r="I205" i="15"/>
  <c r="S205" i="15" s="1"/>
  <c r="AC205" i="15" s="1"/>
  <c r="H205" i="15"/>
  <c r="R205" i="15" s="1"/>
  <c r="AB205" i="15" s="1"/>
  <c r="G205" i="15"/>
  <c r="Q205" i="15" s="1"/>
  <c r="AA205" i="15" s="1"/>
  <c r="F205" i="15"/>
  <c r="P205" i="15" s="1"/>
  <c r="Z205" i="15" s="1"/>
  <c r="E205" i="15"/>
  <c r="O205" i="15" s="1"/>
  <c r="Y205" i="15" s="1"/>
  <c r="D205" i="15"/>
  <c r="N205" i="15" s="1"/>
  <c r="X205" i="15" s="1"/>
  <c r="C205" i="15"/>
  <c r="M205" i="15" s="1"/>
  <c r="W205" i="15" s="1"/>
  <c r="I115" i="15"/>
  <c r="S115" i="15" s="1"/>
  <c r="AC115" i="15" s="1"/>
  <c r="H115" i="15"/>
  <c r="R115" i="15" s="1"/>
  <c r="AB115" i="15" s="1"/>
  <c r="G115" i="15"/>
  <c r="Q115" i="15" s="1"/>
  <c r="AA115" i="15" s="1"/>
  <c r="F115" i="15"/>
  <c r="P115" i="15" s="1"/>
  <c r="Z115" i="15" s="1"/>
  <c r="E115" i="15"/>
  <c r="O115" i="15" s="1"/>
  <c r="Y115" i="15" s="1"/>
  <c r="D115" i="15"/>
  <c r="N115" i="15" s="1"/>
  <c r="X115" i="15" s="1"/>
  <c r="C115" i="15"/>
  <c r="M115" i="15" s="1"/>
  <c r="W115" i="15" s="1"/>
  <c r="I97" i="15"/>
  <c r="S97" i="15" s="1"/>
  <c r="AC97" i="15" s="1"/>
  <c r="H97" i="15"/>
  <c r="R97" i="15" s="1"/>
  <c r="AB97" i="15" s="1"/>
  <c r="G97" i="15"/>
  <c r="Q97" i="15" s="1"/>
  <c r="AA97" i="15" s="1"/>
  <c r="F97" i="15"/>
  <c r="P97" i="15" s="1"/>
  <c r="Z97" i="15" s="1"/>
  <c r="E97" i="15"/>
  <c r="O97" i="15" s="1"/>
  <c r="Y97" i="15" s="1"/>
  <c r="D97" i="15"/>
  <c r="N97" i="15" s="1"/>
  <c r="X97" i="15" s="1"/>
  <c r="C97" i="15"/>
  <c r="M97" i="15" s="1"/>
  <c r="W97" i="15" s="1"/>
  <c r="I79" i="15"/>
  <c r="S79" i="15" s="1"/>
  <c r="AC79" i="15" s="1"/>
  <c r="H79" i="15"/>
  <c r="R79" i="15" s="1"/>
  <c r="AB79" i="15" s="1"/>
  <c r="G79" i="15"/>
  <c r="Q79" i="15" s="1"/>
  <c r="AA79" i="15" s="1"/>
  <c r="F79" i="15"/>
  <c r="P79" i="15" s="1"/>
  <c r="Z79" i="15" s="1"/>
  <c r="E79" i="15"/>
  <c r="O79" i="15" s="1"/>
  <c r="Y79" i="15" s="1"/>
  <c r="D79" i="15"/>
  <c r="N79" i="15" s="1"/>
  <c r="X79" i="15" s="1"/>
  <c r="C79" i="15"/>
  <c r="M79" i="15" s="1"/>
  <c r="W79" i="15" s="1"/>
  <c r="D77" i="15"/>
  <c r="D46" i="15" s="1"/>
  <c r="B56" i="15"/>
  <c r="V56" i="15" s="1"/>
  <c r="B53" i="15"/>
  <c r="V53" i="15" s="1"/>
  <c r="B55" i="15"/>
  <c r="L55" i="15" s="1"/>
  <c r="B54" i="15"/>
  <c r="L54" i="15" s="1"/>
  <c r="B49" i="15"/>
  <c r="L49" i="15" s="1"/>
  <c r="B48" i="15"/>
  <c r="L48" i="15" s="1"/>
  <c r="B47" i="15"/>
  <c r="V47" i="15" s="1"/>
  <c r="B46" i="15"/>
  <c r="L46" i="15" s="1"/>
  <c r="BG203" i="13"/>
  <c r="BF203" i="13"/>
  <c r="AX203" i="13"/>
  <c r="AW203" i="13"/>
  <c r="AW40" i="13"/>
  <c r="AO203" i="13"/>
  <c r="AO40" i="13"/>
  <c r="AN203" i="13"/>
  <c r="AF203" i="13"/>
  <c r="AE203" i="13"/>
  <c r="W203" i="13"/>
  <c r="V203" i="13"/>
  <c r="N203" i="13"/>
  <c r="M203" i="13"/>
  <c r="M40" i="13"/>
  <c r="E203" i="13"/>
  <c r="E40" i="13"/>
  <c r="D203" i="13"/>
  <c r="BK202" i="13"/>
  <c r="BB202" i="13"/>
  <c r="AS202" i="13"/>
  <c r="AJ202" i="13"/>
  <c r="AA202" i="13"/>
  <c r="R202" i="13"/>
  <c r="I202" i="13"/>
  <c r="BK201" i="13"/>
  <c r="BB201" i="13"/>
  <c r="AS201" i="13"/>
  <c r="AJ201" i="13"/>
  <c r="AA201" i="13"/>
  <c r="R201" i="13"/>
  <c r="I201" i="13"/>
  <c r="BK200" i="13"/>
  <c r="BB200" i="13"/>
  <c r="AS200" i="13"/>
  <c r="AJ200" i="13"/>
  <c r="AA200" i="13"/>
  <c r="R200" i="13"/>
  <c r="I200" i="13"/>
  <c r="BK199" i="13"/>
  <c r="BB199" i="13"/>
  <c r="AS199" i="13"/>
  <c r="AJ199" i="13"/>
  <c r="AA199" i="13"/>
  <c r="R199" i="13"/>
  <c r="I199" i="13"/>
  <c r="BK198" i="13"/>
  <c r="BB198" i="13"/>
  <c r="AS198" i="13"/>
  <c r="AJ198" i="13"/>
  <c r="AA198" i="13"/>
  <c r="R198" i="13"/>
  <c r="I198" i="13"/>
  <c r="BK197" i="13"/>
  <c r="BB197" i="13"/>
  <c r="AS197" i="13"/>
  <c r="AJ197" i="13"/>
  <c r="AA197" i="13"/>
  <c r="R197" i="13"/>
  <c r="I197" i="13"/>
  <c r="BK196" i="13"/>
  <c r="BB196" i="13"/>
  <c r="AS196" i="13"/>
  <c r="AJ196" i="13"/>
  <c r="AA196" i="13"/>
  <c r="R196" i="13"/>
  <c r="I196" i="13"/>
  <c r="BK195" i="13"/>
  <c r="BB195" i="13"/>
  <c r="AS195" i="13"/>
  <c r="AJ195" i="13"/>
  <c r="AA195" i="13"/>
  <c r="R195" i="13"/>
  <c r="I195" i="13"/>
  <c r="BK194" i="13"/>
  <c r="BB194" i="13"/>
  <c r="AS194" i="13"/>
  <c r="AJ194" i="13"/>
  <c r="AA194" i="13"/>
  <c r="R194" i="13"/>
  <c r="I194" i="13"/>
  <c r="BK193" i="13"/>
  <c r="BB193" i="13"/>
  <c r="AS193" i="13"/>
  <c r="AJ193" i="13"/>
  <c r="AA193" i="13"/>
  <c r="R193" i="13"/>
  <c r="I193" i="13"/>
  <c r="BK192" i="13"/>
  <c r="BB192" i="13"/>
  <c r="AS192" i="13"/>
  <c r="AJ192" i="13"/>
  <c r="AA192" i="13"/>
  <c r="R192" i="13"/>
  <c r="I192" i="13"/>
  <c r="BK191" i="13"/>
  <c r="BB191" i="13"/>
  <c r="AS191" i="13"/>
  <c r="AJ191" i="13"/>
  <c r="AA191" i="13"/>
  <c r="R191" i="13"/>
  <c r="I191" i="13"/>
  <c r="BK190" i="13"/>
  <c r="BB190" i="13"/>
  <c r="AS190" i="13"/>
  <c r="AJ190" i="13"/>
  <c r="AA190" i="13"/>
  <c r="R190" i="13"/>
  <c r="I190" i="13"/>
  <c r="BK189" i="13"/>
  <c r="BB189" i="13"/>
  <c r="AS189" i="13"/>
  <c r="AJ189" i="13"/>
  <c r="AA189" i="13"/>
  <c r="R189" i="13"/>
  <c r="I189" i="13"/>
  <c r="BK188" i="13"/>
  <c r="BB188" i="13"/>
  <c r="AS188" i="13"/>
  <c r="AJ188" i="13"/>
  <c r="AA188" i="13"/>
  <c r="AA203" i="13"/>
  <c r="Y40" i="13"/>
  <c r="R188" i="13"/>
  <c r="I188" i="13"/>
  <c r="BK187" i="13"/>
  <c r="BJ187" i="13"/>
  <c r="BI187" i="13"/>
  <c r="BH187" i="13"/>
  <c r="BG187" i="13"/>
  <c r="BF187" i="13"/>
  <c r="BE187" i="13"/>
  <c r="BB187" i="13"/>
  <c r="BA187" i="13"/>
  <c r="AZ187" i="13"/>
  <c r="AY187" i="13"/>
  <c r="AX187" i="13"/>
  <c r="AW187" i="13"/>
  <c r="AV187" i="13"/>
  <c r="AS187" i="13"/>
  <c r="AR187" i="13"/>
  <c r="AQ187" i="13"/>
  <c r="AP187" i="13"/>
  <c r="AO187" i="13"/>
  <c r="AN187" i="13"/>
  <c r="AM187" i="13"/>
  <c r="AJ187" i="13"/>
  <c r="AI187" i="13"/>
  <c r="AH187" i="13"/>
  <c r="AG187" i="13"/>
  <c r="AF187" i="13"/>
  <c r="AE187" i="13"/>
  <c r="AD187" i="13"/>
  <c r="AA187" i="13"/>
  <c r="Z187" i="13"/>
  <c r="Y187" i="13"/>
  <c r="X187" i="13"/>
  <c r="W187" i="13"/>
  <c r="V187" i="13"/>
  <c r="U187" i="13"/>
  <c r="R187" i="13"/>
  <c r="Q187" i="13"/>
  <c r="P187" i="13"/>
  <c r="O187" i="13"/>
  <c r="N187" i="13"/>
  <c r="M187" i="13"/>
  <c r="L187" i="13"/>
  <c r="I187" i="13"/>
  <c r="H187" i="13"/>
  <c r="G187" i="13"/>
  <c r="F187" i="13"/>
  <c r="E187" i="13"/>
  <c r="D187" i="13"/>
  <c r="C187" i="13"/>
  <c r="BH185" i="13"/>
  <c r="BH39" i="13"/>
  <c r="BJ39" i="13"/>
  <c r="AY185" i="13"/>
  <c r="AP185" i="13"/>
  <c r="AG185" i="13"/>
  <c r="X185" i="13"/>
  <c r="X39" i="13"/>
  <c r="Z39" i="13"/>
  <c r="O185" i="13"/>
  <c r="F185" i="13"/>
  <c r="F39" i="13"/>
  <c r="H39" i="13"/>
  <c r="BK169" i="13"/>
  <c r="BJ169" i="13"/>
  <c r="BI169" i="13"/>
  <c r="BH169" i="13"/>
  <c r="BG169" i="13"/>
  <c r="BF169" i="13"/>
  <c r="BE169" i="13"/>
  <c r="BB169" i="13"/>
  <c r="BA169" i="13"/>
  <c r="AZ169" i="13"/>
  <c r="AY169" i="13"/>
  <c r="AX169" i="13"/>
  <c r="AW169" i="13"/>
  <c r="AV169" i="13"/>
  <c r="AS169" i="13"/>
  <c r="AR169" i="13"/>
  <c r="AQ169" i="13"/>
  <c r="AP169" i="13"/>
  <c r="AO169" i="13"/>
  <c r="AN169" i="13"/>
  <c r="AM169" i="13"/>
  <c r="AJ169" i="13"/>
  <c r="AI169" i="13"/>
  <c r="AH169" i="13"/>
  <c r="AG169" i="13"/>
  <c r="AF169" i="13"/>
  <c r="AE169" i="13"/>
  <c r="AD169" i="13"/>
  <c r="AA169" i="13"/>
  <c r="Z169" i="13"/>
  <c r="Y169" i="13"/>
  <c r="X169" i="13"/>
  <c r="W169" i="13"/>
  <c r="V169" i="13"/>
  <c r="U169" i="13"/>
  <c r="R169" i="13"/>
  <c r="Q169" i="13"/>
  <c r="P169" i="13"/>
  <c r="O169" i="13"/>
  <c r="N169" i="13"/>
  <c r="M169" i="13"/>
  <c r="L169" i="13"/>
  <c r="I169" i="13"/>
  <c r="H169" i="13"/>
  <c r="G169" i="13"/>
  <c r="F169" i="13"/>
  <c r="E169" i="13"/>
  <c r="D169" i="13"/>
  <c r="C169" i="13"/>
  <c r="BG167" i="13"/>
  <c r="AX167" i="13"/>
  <c r="AO167" i="13"/>
  <c r="AF167" i="13"/>
  <c r="AF38" i="13"/>
  <c r="W167" i="13"/>
  <c r="W38" i="13"/>
  <c r="N167" i="13"/>
  <c r="E167" i="13"/>
  <c r="BK166" i="13"/>
  <c r="BB166" i="13"/>
  <c r="AS166" i="13"/>
  <c r="AJ166" i="13"/>
  <c r="AA166" i="13"/>
  <c r="R166" i="13"/>
  <c r="I166" i="13"/>
  <c r="BK165" i="13"/>
  <c r="BB165" i="13"/>
  <c r="AS165" i="13"/>
  <c r="AJ165" i="13"/>
  <c r="AA165" i="13"/>
  <c r="R165" i="13"/>
  <c r="I165" i="13"/>
  <c r="BK164" i="13"/>
  <c r="BB164" i="13"/>
  <c r="AS164" i="13"/>
  <c r="AJ164" i="13"/>
  <c r="AA164" i="13"/>
  <c r="R164" i="13"/>
  <c r="I164" i="13"/>
  <c r="BK163" i="13"/>
  <c r="BB163" i="13"/>
  <c r="AS163" i="13"/>
  <c r="AJ163" i="13"/>
  <c r="AA163" i="13"/>
  <c r="R163" i="13"/>
  <c r="I163" i="13"/>
  <c r="BK162" i="13"/>
  <c r="BB162" i="13"/>
  <c r="AS162" i="13"/>
  <c r="AJ162" i="13"/>
  <c r="AA162" i="13"/>
  <c r="R162" i="13"/>
  <c r="I162" i="13"/>
  <c r="BK161" i="13"/>
  <c r="BB161" i="13"/>
  <c r="AS161" i="13"/>
  <c r="AJ161" i="13"/>
  <c r="AA161" i="13"/>
  <c r="R161" i="13"/>
  <c r="I161" i="13"/>
  <c r="BK160" i="13"/>
  <c r="BB160" i="13"/>
  <c r="AS160" i="13"/>
  <c r="AJ160" i="13"/>
  <c r="AA160" i="13"/>
  <c r="R160" i="13"/>
  <c r="I160" i="13"/>
  <c r="BK159" i="13"/>
  <c r="BB159" i="13"/>
  <c r="AS159" i="13"/>
  <c r="AJ159" i="13"/>
  <c r="AA159" i="13"/>
  <c r="R159" i="13"/>
  <c r="I159" i="13"/>
  <c r="BK158" i="13"/>
  <c r="BB158" i="13"/>
  <c r="AS158" i="13"/>
  <c r="AJ158" i="13"/>
  <c r="AA158" i="13"/>
  <c r="R158" i="13"/>
  <c r="I158" i="13"/>
  <c r="BK157" i="13"/>
  <c r="BB157" i="13"/>
  <c r="AS157" i="13"/>
  <c r="AJ157" i="13"/>
  <c r="AA157" i="13"/>
  <c r="R157" i="13"/>
  <c r="I157" i="13"/>
  <c r="BK156" i="13"/>
  <c r="BB156" i="13"/>
  <c r="AS156" i="13"/>
  <c r="AJ156" i="13"/>
  <c r="AA156" i="13"/>
  <c r="R156" i="13"/>
  <c r="I156" i="13"/>
  <c r="BK155" i="13"/>
  <c r="BB155" i="13"/>
  <c r="AS155" i="13"/>
  <c r="AJ155" i="13"/>
  <c r="AA155" i="13"/>
  <c r="R155" i="13"/>
  <c r="I155" i="13"/>
  <c r="BK154" i="13"/>
  <c r="BB154" i="13"/>
  <c r="AS154" i="13"/>
  <c r="AJ154" i="13"/>
  <c r="AA154" i="13"/>
  <c r="R154" i="13"/>
  <c r="I154" i="13"/>
  <c r="BK153" i="13"/>
  <c r="BB153" i="13"/>
  <c r="AS153" i="13"/>
  <c r="AJ153" i="13"/>
  <c r="AA153" i="13"/>
  <c r="R153" i="13"/>
  <c r="I153" i="13"/>
  <c r="BK152" i="13"/>
  <c r="BB152" i="13"/>
  <c r="AS152" i="13"/>
  <c r="AJ152" i="13"/>
  <c r="AA152" i="13"/>
  <c r="R152" i="13"/>
  <c r="I152" i="13"/>
  <c r="BK151" i="13"/>
  <c r="BJ151" i="13"/>
  <c r="BI151" i="13"/>
  <c r="BH151" i="13"/>
  <c r="BG151" i="13"/>
  <c r="BF151" i="13"/>
  <c r="BE151" i="13"/>
  <c r="BB151" i="13"/>
  <c r="BA151" i="13"/>
  <c r="AZ151" i="13"/>
  <c r="AY151" i="13"/>
  <c r="AX151" i="13"/>
  <c r="AW151" i="13"/>
  <c r="AV151" i="13"/>
  <c r="AS151" i="13"/>
  <c r="AR151" i="13"/>
  <c r="AQ151" i="13"/>
  <c r="AP151" i="13"/>
  <c r="AO151" i="13"/>
  <c r="AN151" i="13"/>
  <c r="AM151" i="13"/>
  <c r="AJ151" i="13"/>
  <c r="AI151" i="13"/>
  <c r="AH151" i="13"/>
  <c r="AG151" i="13"/>
  <c r="AF151" i="13"/>
  <c r="AE151" i="13"/>
  <c r="AD151" i="13"/>
  <c r="AA151" i="13"/>
  <c r="Z151" i="13"/>
  <c r="Y151" i="13"/>
  <c r="X151" i="13"/>
  <c r="W151" i="13"/>
  <c r="V151" i="13"/>
  <c r="U151" i="13"/>
  <c r="R151" i="13"/>
  <c r="Q151" i="13"/>
  <c r="P151" i="13"/>
  <c r="O151" i="13"/>
  <c r="N151" i="13"/>
  <c r="M151" i="13"/>
  <c r="L151" i="13"/>
  <c r="I151" i="13"/>
  <c r="H151" i="13"/>
  <c r="G151" i="13"/>
  <c r="F151" i="13"/>
  <c r="E151" i="13"/>
  <c r="D151" i="13"/>
  <c r="C151" i="13"/>
  <c r="BH149" i="13"/>
  <c r="BH37" i="13"/>
  <c r="BJ37" i="13"/>
  <c r="AY149" i="13"/>
  <c r="AP149" i="13"/>
  <c r="AG149" i="13"/>
  <c r="AG37" i="13"/>
  <c r="AI37" i="13"/>
  <c r="X149" i="13"/>
  <c r="O149" i="13"/>
  <c r="F149" i="13"/>
  <c r="BK133" i="13"/>
  <c r="BJ133" i="13"/>
  <c r="BI133" i="13"/>
  <c r="BH133" i="13"/>
  <c r="BG133" i="13"/>
  <c r="BF133" i="13"/>
  <c r="BE133" i="13"/>
  <c r="BB133" i="13"/>
  <c r="BA133" i="13"/>
  <c r="AZ133" i="13"/>
  <c r="AY133" i="13"/>
  <c r="AX133" i="13"/>
  <c r="AW133" i="13"/>
  <c r="AV133" i="13"/>
  <c r="AS133" i="13"/>
  <c r="AR133" i="13"/>
  <c r="AQ133" i="13"/>
  <c r="AP133" i="13"/>
  <c r="AO133" i="13"/>
  <c r="AN133" i="13"/>
  <c r="AM133" i="13"/>
  <c r="AJ133" i="13"/>
  <c r="AI133" i="13"/>
  <c r="AH133" i="13"/>
  <c r="AG133" i="13"/>
  <c r="AF133" i="13"/>
  <c r="AE133" i="13"/>
  <c r="AD133" i="13"/>
  <c r="AA133" i="13"/>
  <c r="Z133" i="13"/>
  <c r="Y133" i="13"/>
  <c r="X133" i="13"/>
  <c r="W133" i="13"/>
  <c r="V133" i="13"/>
  <c r="U133" i="13"/>
  <c r="R133" i="13"/>
  <c r="Q133" i="13"/>
  <c r="P133" i="13"/>
  <c r="O133" i="13"/>
  <c r="N133" i="13"/>
  <c r="M133" i="13"/>
  <c r="L133" i="13"/>
  <c r="I133" i="13"/>
  <c r="H133" i="13"/>
  <c r="G133" i="13"/>
  <c r="F133" i="13"/>
  <c r="E133" i="13"/>
  <c r="D133" i="13"/>
  <c r="C133" i="13"/>
  <c r="BH131" i="13"/>
  <c r="BH36" i="13"/>
  <c r="BJ36" i="13"/>
  <c r="AY131" i="13"/>
  <c r="AP131" i="13"/>
  <c r="AP36" i="13"/>
  <c r="AR36" i="13"/>
  <c r="AS36" i="13"/>
  <c r="AG131" i="13"/>
  <c r="AG36" i="13"/>
  <c r="AI36" i="13"/>
  <c r="X131" i="13"/>
  <c r="O131" i="13"/>
  <c r="F131" i="13"/>
  <c r="F36" i="13"/>
  <c r="H36" i="13"/>
  <c r="BK115" i="13"/>
  <c r="BJ115" i="13"/>
  <c r="BI115" i="13"/>
  <c r="BH115" i="13"/>
  <c r="BG115" i="13"/>
  <c r="BF115" i="13"/>
  <c r="BE115" i="13"/>
  <c r="BB115" i="13"/>
  <c r="BA115" i="13"/>
  <c r="AZ115" i="13"/>
  <c r="AY115" i="13"/>
  <c r="AX115" i="13"/>
  <c r="AW115" i="13"/>
  <c r="AV115" i="13"/>
  <c r="AS115" i="13"/>
  <c r="AR115" i="13"/>
  <c r="AQ115" i="13"/>
  <c r="AP115" i="13"/>
  <c r="AO115" i="13"/>
  <c r="AN115" i="13"/>
  <c r="AM115" i="13"/>
  <c r="AJ115" i="13"/>
  <c r="AI115" i="13"/>
  <c r="AH115" i="13"/>
  <c r="AG115" i="13"/>
  <c r="AF115" i="13"/>
  <c r="AE115" i="13"/>
  <c r="AD115" i="13"/>
  <c r="AA115" i="13"/>
  <c r="Z115" i="13"/>
  <c r="Y115" i="13"/>
  <c r="X115" i="13"/>
  <c r="W115" i="13"/>
  <c r="V115" i="13"/>
  <c r="U115" i="13"/>
  <c r="R115" i="13"/>
  <c r="Q115" i="13"/>
  <c r="P115" i="13"/>
  <c r="O115" i="13"/>
  <c r="N115" i="13"/>
  <c r="M115" i="13"/>
  <c r="L115" i="13"/>
  <c r="I115" i="13"/>
  <c r="H115" i="13"/>
  <c r="G115" i="13"/>
  <c r="F115" i="13"/>
  <c r="E115" i="13"/>
  <c r="D115" i="13"/>
  <c r="C115" i="13"/>
  <c r="BG113" i="13"/>
  <c r="BF113" i="13"/>
  <c r="AX113" i="13"/>
  <c r="AX35" i="13"/>
  <c r="AW113" i="13"/>
  <c r="AW35" i="13"/>
  <c r="AO113" i="13"/>
  <c r="AN113" i="13"/>
  <c r="AF113" i="13"/>
  <c r="AE113" i="13"/>
  <c r="W113" i="13"/>
  <c r="V113" i="13"/>
  <c r="V35" i="13"/>
  <c r="N113" i="13"/>
  <c r="N35" i="13"/>
  <c r="M113" i="13"/>
  <c r="M35" i="13"/>
  <c r="E113" i="13"/>
  <c r="D113" i="13"/>
  <c r="BK112" i="13"/>
  <c r="BB112" i="13"/>
  <c r="AS112" i="13"/>
  <c r="AJ112" i="13"/>
  <c r="AA112" i="13"/>
  <c r="R112" i="13"/>
  <c r="I112" i="13"/>
  <c r="BK111" i="13"/>
  <c r="BB111" i="13"/>
  <c r="AS111" i="13"/>
  <c r="AJ111" i="13"/>
  <c r="AA111" i="13"/>
  <c r="R111" i="13"/>
  <c r="I111" i="13"/>
  <c r="BK110" i="13"/>
  <c r="BB110" i="13"/>
  <c r="AS110" i="13"/>
  <c r="AJ110" i="13"/>
  <c r="AA110" i="13"/>
  <c r="R110" i="13"/>
  <c r="I110" i="13"/>
  <c r="BK109" i="13"/>
  <c r="BB109" i="13"/>
  <c r="AS109" i="13"/>
  <c r="AJ109" i="13"/>
  <c r="AA109" i="13"/>
  <c r="R109" i="13"/>
  <c r="I109" i="13"/>
  <c r="BK108" i="13"/>
  <c r="BB108" i="13"/>
  <c r="AS108" i="13"/>
  <c r="AJ108" i="13"/>
  <c r="AA108" i="13"/>
  <c r="R108" i="13"/>
  <c r="I108" i="13"/>
  <c r="BK107" i="13"/>
  <c r="BB107" i="13"/>
  <c r="AS107" i="13"/>
  <c r="AJ107" i="13"/>
  <c r="AA107" i="13"/>
  <c r="R107" i="13"/>
  <c r="I107" i="13"/>
  <c r="BK106" i="13"/>
  <c r="BB106" i="13"/>
  <c r="AS106" i="13"/>
  <c r="AJ106" i="13"/>
  <c r="AA106" i="13"/>
  <c r="R106" i="13"/>
  <c r="I106" i="13"/>
  <c r="BK105" i="13"/>
  <c r="BB105" i="13"/>
  <c r="AS105" i="13"/>
  <c r="AJ105" i="13"/>
  <c r="AA105" i="13"/>
  <c r="R105" i="13"/>
  <c r="I105" i="13"/>
  <c r="BK104" i="13"/>
  <c r="BB104" i="13"/>
  <c r="AS104" i="13"/>
  <c r="AJ104" i="13"/>
  <c r="AA104" i="13"/>
  <c r="R104" i="13"/>
  <c r="I104" i="13"/>
  <c r="BK103" i="13"/>
  <c r="BB103" i="13"/>
  <c r="AS103" i="13"/>
  <c r="AJ103" i="13"/>
  <c r="AA103" i="13"/>
  <c r="R103" i="13"/>
  <c r="I103" i="13"/>
  <c r="BK102" i="13"/>
  <c r="BB102" i="13"/>
  <c r="AS102" i="13"/>
  <c r="AJ102" i="13"/>
  <c r="AA102" i="13"/>
  <c r="R102" i="13"/>
  <c r="I102" i="13"/>
  <c r="BK101" i="13"/>
  <c r="BB101" i="13"/>
  <c r="AS101" i="13"/>
  <c r="AJ101" i="13"/>
  <c r="AA101" i="13"/>
  <c r="R101" i="13"/>
  <c r="I101" i="13"/>
  <c r="BK100" i="13"/>
  <c r="BB100" i="13"/>
  <c r="AS100" i="13"/>
  <c r="AJ100" i="13"/>
  <c r="AA100" i="13"/>
  <c r="R100" i="13"/>
  <c r="I100" i="13"/>
  <c r="BK99" i="13"/>
  <c r="BB99" i="13"/>
  <c r="AS99" i="13"/>
  <c r="AJ99" i="13"/>
  <c r="AA99" i="13"/>
  <c r="R99" i="13"/>
  <c r="I99" i="13"/>
  <c r="BK98" i="13"/>
  <c r="BB98" i="13"/>
  <c r="AS98" i="13"/>
  <c r="AJ98" i="13"/>
  <c r="AJ113" i="13"/>
  <c r="AH35" i="13"/>
  <c r="AA98" i="13"/>
  <c r="R98" i="13"/>
  <c r="I98" i="13"/>
  <c r="BK97" i="13"/>
  <c r="BJ97" i="13"/>
  <c r="BI97" i="13"/>
  <c r="BH97" i="13"/>
  <c r="BG97" i="13"/>
  <c r="BF97" i="13"/>
  <c r="BE97" i="13"/>
  <c r="BB97" i="13"/>
  <c r="BA97" i="13"/>
  <c r="AZ97" i="13"/>
  <c r="AY97" i="13"/>
  <c r="AX97" i="13"/>
  <c r="AW97" i="13"/>
  <c r="AV97" i="13"/>
  <c r="AS97" i="13"/>
  <c r="AR97" i="13"/>
  <c r="AQ97" i="13"/>
  <c r="AP97" i="13"/>
  <c r="AO97" i="13"/>
  <c r="AN97" i="13"/>
  <c r="AM97" i="13"/>
  <c r="AJ97" i="13"/>
  <c r="AI97" i="13"/>
  <c r="AH97" i="13"/>
  <c r="AG97" i="13"/>
  <c r="AF97" i="13"/>
  <c r="AE97" i="13"/>
  <c r="AD97" i="13"/>
  <c r="AA97" i="13"/>
  <c r="Z97" i="13"/>
  <c r="Y97" i="13"/>
  <c r="X97" i="13"/>
  <c r="W97" i="13"/>
  <c r="V97" i="13"/>
  <c r="U97" i="13"/>
  <c r="R97" i="13"/>
  <c r="Q97" i="13"/>
  <c r="P97" i="13"/>
  <c r="O97" i="13"/>
  <c r="N97" i="13"/>
  <c r="M97" i="13"/>
  <c r="L97" i="13"/>
  <c r="I97" i="13"/>
  <c r="H97" i="13"/>
  <c r="G97" i="13"/>
  <c r="F97" i="13"/>
  <c r="E97" i="13"/>
  <c r="D97" i="13"/>
  <c r="C97" i="13"/>
  <c r="BG95" i="13"/>
  <c r="BF95" i="13"/>
  <c r="AX95" i="13"/>
  <c r="AX34" i="13"/>
  <c r="AW95" i="13"/>
  <c r="AW34" i="13"/>
  <c r="AO95" i="13"/>
  <c r="AN95" i="13"/>
  <c r="AF95" i="13"/>
  <c r="AF34" i="13"/>
  <c r="AE95" i="13"/>
  <c r="W95" i="13"/>
  <c r="V95" i="13"/>
  <c r="N95" i="13"/>
  <c r="M95" i="13"/>
  <c r="M34" i="13"/>
  <c r="E95" i="13"/>
  <c r="D95" i="13"/>
  <c r="BK94" i="13"/>
  <c r="BB94" i="13"/>
  <c r="AS94" i="13"/>
  <c r="AJ94" i="13"/>
  <c r="AA94" i="13"/>
  <c r="R94" i="13"/>
  <c r="I94" i="13"/>
  <c r="BK93" i="13"/>
  <c r="BB93" i="13"/>
  <c r="AS93" i="13"/>
  <c r="AJ93" i="13"/>
  <c r="AA93" i="13"/>
  <c r="R93" i="13"/>
  <c r="I93" i="13"/>
  <c r="BK92" i="13"/>
  <c r="BB92" i="13"/>
  <c r="AS92" i="13"/>
  <c r="AJ92" i="13"/>
  <c r="AA92" i="13"/>
  <c r="R92" i="13"/>
  <c r="I92" i="13"/>
  <c r="BK91" i="13"/>
  <c r="BB91" i="13"/>
  <c r="AS91" i="13"/>
  <c r="AJ91" i="13"/>
  <c r="AA91" i="13"/>
  <c r="R91" i="13"/>
  <c r="I91" i="13"/>
  <c r="BK90" i="13"/>
  <c r="BB90" i="13"/>
  <c r="AS90" i="13"/>
  <c r="AJ90" i="13"/>
  <c r="AA90" i="13"/>
  <c r="R90" i="13"/>
  <c r="I90" i="13"/>
  <c r="BK89" i="13"/>
  <c r="BB89" i="13"/>
  <c r="AS89" i="13"/>
  <c r="AJ89" i="13"/>
  <c r="AA89" i="13"/>
  <c r="R89" i="13"/>
  <c r="I89" i="13"/>
  <c r="BK88" i="13"/>
  <c r="BB88" i="13"/>
  <c r="AS88" i="13"/>
  <c r="AJ88" i="13"/>
  <c r="AA88" i="13"/>
  <c r="R88" i="13"/>
  <c r="I88" i="13"/>
  <c r="BK87" i="13"/>
  <c r="BB87" i="13"/>
  <c r="AS87" i="13"/>
  <c r="AJ87" i="13"/>
  <c r="AA87" i="13"/>
  <c r="R87" i="13"/>
  <c r="I87" i="13"/>
  <c r="BK86" i="13"/>
  <c r="BB86" i="13"/>
  <c r="AS86" i="13"/>
  <c r="AJ86" i="13"/>
  <c r="AA86" i="13"/>
  <c r="R86" i="13"/>
  <c r="I86" i="13"/>
  <c r="BK85" i="13"/>
  <c r="BB85" i="13"/>
  <c r="AS85" i="13"/>
  <c r="AJ85" i="13"/>
  <c r="AA85" i="13"/>
  <c r="R85" i="13"/>
  <c r="I85" i="13"/>
  <c r="BK84" i="13"/>
  <c r="BB84" i="13"/>
  <c r="AS84" i="13"/>
  <c r="AJ84" i="13"/>
  <c r="AA84" i="13"/>
  <c r="R84" i="13"/>
  <c r="I84" i="13"/>
  <c r="BK83" i="13"/>
  <c r="BB83" i="13"/>
  <c r="AS83" i="13"/>
  <c r="AJ83" i="13"/>
  <c r="AA83" i="13"/>
  <c r="R83" i="13"/>
  <c r="I83" i="13"/>
  <c r="BK82" i="13"/>
  <c r="BB82" i="13"/>
  <c r="AS82" i="13"/>
  <c r="AJ82" i="13"/>
  <c r="AA82" i="13"/>
  <c r="R82" i="13"/>
  <c r="I82" i="13"/>
  <c r="BK81" i="13"/>
  <c r="BB81" i="13"/>
  <c r="AS81" i="13"/>
  <c r="AJ81" i="13"/>
  <c r="AA81" i="13"/>
  <c r="R81" i="13"/>
  <c r="I81" i="13"/>
  <c r="BK80" i="13"/>
  <c r="BB80" i="13"/>
  <c r="AS80" i="13"/>
  <c r="AJ80" i="13"/>
  <c r="AA80" i="13"/>
  <c r="R80" i="13"/>
  <c r="I80" i="13"/>
  <c r="BK79" i="13"/>
  <c r="BJ79" i="13"/>
  <c r="BI79" i="13"/>
  <c r="BH79" i="13"/>
  <c r="BG79" i="13"/>
  <c r="BF79" i="13"/>
  <c r="BE79" i="13"/>
  <c r="BB79" i="13"/>
  <c r="BA79" i="13"/>
  <c r="AZ79" i="13"/>
  <c r="AY79" i="13"/>
  <c r="AX79" i="13"/>
  <c r="AW79" i="13"/>
  <c r="AV79" i="13"/>
  <c r="AS79" i="13"/>
  <c r="AR79" i="13"/>
  <c r="AQ79" i="13"/>
  <c r="AP79" i="13"/>
  <c r="AO79" i="13"/>
  <c r="AN79" i="13"/>
  <c r="AM79" i="13"/>
  <c r="AJ79" i="13"/>
  <c r="AI79" i="13"/>
  <c r="AH79" i="13"/>
  <c r="AG79" i="13"/>
  <c r="AF79" i="13"/>
  <c r="AE79" i="13"/>
  <c r="AD79" i="13"/>
  <c r="AA79" i="13"/>
  <c r="Z79" i="13"/>
  <c r="Y79" i="13"/>
  <c r="X79" i="13"/>
  <c r="W79" i="13"/>
  <c r="V79" i="13"/>
  <c r="U79" i="13"/>
  <c r="R79" i="13"/>
  <c r="Q79" i="13"/>
  <c r="P79" i="13"/>
  <c r="O79" i="13"/>
  <c r="N79" i="13"/>
  <c r="M79" i="13"/>
  <c r="L79" i="13"/>
  <c r="I79" i="13"/>
  <c r="H79" i="13"/>
  <c r="G79" i="13"/>
  <c r="F79" i="13"/>
  <c r="E79" i="13"/>
  <c r="D79" i="13"/>
  <c r="C79" i="13"/>
  <c r="BH77" i="13"/>
  <c r="BG77" i="13"/>
  <c r="BF77" i="13"/>
  <c r="BF33" i="13"/>
  <c r="AY77" i="13"/>
  <c r="AY33" i="13"/>
  <c r="BA33" i="13"/>
  <c r="AX77" i="13"/>
  <c r="AW77" i="13"/>
  <c r="AP77" i="13"/>
  <c r="AO77" i="13"/>
  <c r="AN77" i="13"/>
  <c r="AG77" i="13"/>
  <c r="AF77" i="13"/>
  <c r="AF33" i="13"/>
  <c r="AE77" i="13"/>
  <c r="AE33" i="13"/>
  <c r="X77" i="13"/>
  <c r="W77" i="13"/>
  <c r="W33" i="13"/>
  <c r="V77" i="13"/>
  <c r="O77" i="13"/>
  <c r="O33" i="13"/>
  <c r="Q33" i="13"/>
  <c r="R33" i="13"/>
  <c r="N77" i="13"/>
  <c r="N33" i="13"/>
  <c r="M77" i="13"/>
  <c r="F77" i="13"/>
  <c r="F33" i="13"/>
  <c r="H33" i="13"/>
  <c r="E77" i="13"/>
  <c r="E33" i="13"/>
  <c r="D77" i="13"/>
  <c r="BK61" i="13"/>
  <c r="BJ61" i="13"/>
  <c r="BI61" i="13"/>
  <c r="BH61" i="13"/>
  <c r="BG61" i="13"/>
  <c r="BF61" i="13"/>
  <c r="BE61" i="13"/>
  <c r="BB61" i="13"/>
  <c r="BA61" i="13"/>
  <c r="AZ61" i="13"/>
  <c r="AY61" i="13"/>
  <c r="AX61" i="13"/>
  <c r="AW61" i="13"/>
  <c r="AV61" i="13"/>
  <c r="AS61" i="13"/>
  <c r="AR61" i="13"/>
  <c r="AQ61" i="13"/>
  <c r="AP61" i="13"/>
  <c r="AO61" i="13"/>
  <c r="AN61" i="13"/>
  <c r="AM61" i="13"/>
  <c r="AJ61" i="13"/>
  <c r="AI61" i="13"/>
  <c r="AH61" i="13"/>
  <c r="AG61" i="13"/>
  <c r="AF61" i="13"/>
  <c r="AE61" i="13"/>
  <c r="AD61" i="13"/>
  <c r="AA61" i="13"/>
  <c r="Z61" i="13"/>
  <c r="Y61" i="13"/>
  <c r="X61" i="13"/>
  <c r="W61" i="13"/>
  <c r="V61" i="13"/>
  <c r="U61" i="13"/>
  <c r="R61" i="13"/>
  <c r="Q61" i="13"/>
  <c r="P61" i="13"/>
  <c r="O61" i="13"/>
  <c r="N61" i="13"/>
  <c r="M61" i="13"/>
  <c r="L61" i="13"/>
  <c r="I61" i="13"/>
  <c r="H61" i="13"/>
  <c r="G61" i="13"/>
  <c r="F61" i="13"/>
  <c r="E61" i="13"/>
  <c r="D61" i="13"/>
  <c r="C61" i="13"/>
  <c r="BG59" i="13"/>
  <c r="BF59" i="13"/>
  <c r="BF32" i="13"/>
  <c r="AX59" i="13"/>
  <c r="AX32" i="13"/>
  <c r="AW59" i="13"/>
  <c r="AO59" i="13"/>
  <c r="AO32" i="13"/>
  <c r="AN59" i="13"/>
  <c r="AN32" i="13"/>
  <c r="AN41" i="13"/>
  <c r="AF59" i="13"/>
  <c r="AF32" i="13"/>
  <c r="AE59" i="13"/>
  <c r="W59" i="13"/>
  <c r="V59" i="13"/>
  <c r="V32" i="13"/>
  <c r="N59" i="13"/>
  <c r="N32" i="13"/>
  <c r="M59" i="13"/>
  <c r="E59" i="13"/>
  <c r="E32" i="13"/>
  <c r="D59" i="13"/>
  <c r="D32" i="13"/>
  <c r="BK58" i="13"/>
  <c r="BB58" i="13"/>
  <c r="AS58" i="13"/>
  <c r="AJ58" i="13"/>
  <c r="AA58" i="13"/>
  <c r="R58" i="13"/>
  <c r="I58" i="13"/>
  <c r="BK57" i="13"/>
  <c r="BB57" i="13"/>
  <c r="AS57" i="13"/>
  <c r="AJ57" i="13"/>
  <c r="AA57" i="13"/>
  <c r="R57" i="13"/>
  <c r="I57" i="13"/>
  <c r="BK56" i="13"/>
  <c r="BB56" i="13"/>
  <c r="AS56" i="13"/>
  <c r="AJ56" i="13"/>
  <c r="AA56" i="13"/>
  <c r="R56" i="13"/>
  <c r="I56" i="13"/>
  <c r="BK55" i="13"/>
  <c r="BB55" i="13"/>
  <c r="AS55" i="13"/>
  <c r="AJ55" i="13"/>
  <c r="AA55" i="13"/>
  <c r="R55" i="13"/>
  <c r="I55" i="13"/>
  <c r="BK54" i="13"/>
  <c r="BB54" i="13"/>
  <c r="AS54" i="13"/>
  <c r="AJ54" i="13"/>
  <c r="AA54" i="13"/>
  <c r="R54" i="13"/>
  <c r="I54" i="13"/>
  <c r="BK53" i="13"/>
  <c r="BB53" i="13"/>
  <c r="AS53" i="13"/>
  <c r="AJ53" i="13"/>
  <c r="AA53" i="13"/>
  <c r="R53" i="13"/>
  <c r="I53" i="13"/>
  <c r="BK52" i="13"/>
  <c r="BB52" i="13"/>
  <c r="AS52" i="13"/>
  <c r="AJ52" i="13"/>
  <c r="AA52" i="13"/>
  <c r="R52" i="13"/>
  <c r="I52" i="13"/>
  <c r="BK51" i="13"/>
  <c r="BB51" i="13"/>
  <c r="AS51" i="13"/>
  <c r="AJ51" i="13"/>
  <c r="AA51" i="13"/>
  <c r="R51" i="13"/>
  <c r="I51" i="13"/>
  <c r="BK50" i="13"/>
  <c r="BB50" i="13"/>
  <c r="AS50" i="13"/>
  <c r="AJ50" i="13"/>
  <c r="AA50" i="13"/>
  <c r="R50" i="13"/>
  <c r="I50" i="13"/>
  <c r="BK49" i="13"/>
  <c r="BB49" i="13"/>
  <c r="AS49" i="13"/>
  <c r="AJ49" i="13"/>
  <c r="AA49" i="13"/>
  <c r="R49" i="13"/>
  <c r="I49" i="13"/>
  <c r="BK48" i="13"/>
  <c r="BB48" i="13"/>
  <c r="AS48" i="13"/>
  <c r="AJ48" i="13"/>
  <c r="AA48" i="13"/>
  <c r="R48" i="13"/>
  <c r="I48" i="13"/>
  <c r="BK47" i="13"/>
  <c r="BB47" i="13"/>
  <c r="AS47" i="13"/>
  <c r="AJ47" i="13"/>
  <c r="AA47" i="13"/>
  <c r="R47" i="13"/>
  <c r="I47" i="13"/>
  <c r="BK46" i="13"/>
  <c r="BB46" i="13"/>
  <c r="AS46" i="13"/>
  <c r="AJ46" i="13"/>
  <c r="AA46" i="13"/>
  <c r="R46" i="13"/>
  <c r="I46" i="13"/>
  <c r="BK45" i="13"/>
  <c r="BB45" i="13"/>
  <c r="AS45" i="13"/>
  <c r="AJ45" i="13"/>
  <c r="AA45" i="13"/>
  <c r="AA59" i="13"/>
  <c r="Y32" i="13"/>
  <c r="R45" i="13"/>
  <c r="I45" i="13"/>
  <c r="BK44" i="13"/>
  <c r="BB44" i="13"/>
  <c r="AS44" i="13"/>
  <c r="AJ44" i="13"/>
  <c r="AA44" i="13"/>
  <c r="R44" i="13"/>
  <c r="R59" i="13"/>
  <c r="P32" i="13"/>
  <c r="I44" i="13"/>
  <c r="BH40" i="13"/>
  <c r="BJ40" i="13"/>
  <c r="BG40" i="13"/>
  <c r="BF40" i="13"/>
  <c r="AY40" i="13"/>
  <c r="BA40" i="13"/>
  <c r="AX40" i="13"/>
  <c r="AP40" i="13"/>
  <c r="AR40" i="13"/>
  <c r="AN40" i="13"/>
  <c r="AG40" i="13"/>
  <c r="AI40" i="13"/>
  <c r="AF40" i="13"/>
  <c r="AE40" i="13"/>
  <c r="X40" i="13"/>
  <c r="Z40" i="13"/>
  <c r="W40" i="13"/>
  <c r="V40" i="13"/>
  <c r="O40" i="13"/>
  <c r="Q40" i="13"/>
  <c r="N40" i="13"/>
  <c r="F40" i="13"/>
  <c r="H40" i="13"/>
  <c r="D40" i="13"/>
  <c r="BI39" i="13"/>
  <c r="BK39" i="13"/>
  <c r="BG39" i="13"/>
  <c r="BF39" i="13"/>
  <c r="BA39" i="13"/>
  <c r="AZ39" i="13"/>
  <c r="AY39" i="13"/>
  <c r="AX39" i="13"/>
  <c r="AW39" i="13"/>
  <c r="AQ39" i="13"/>
  <c r="AS39" i="13"/>
  <c r="AP39" i="13"/>
  <c r="AR39" i="13"/>
  <c r="AO39" i="13"/>
  <c r="AN39" i="13"/>
  <c r="AH39" i="13"/>
  <c r="AG39" i="13"/>
  <c r="AI39" i="13"/>
  <c r="AJ39" i="13"/>
  <c r="AF39" i="13"/>
  <c r="AE39" i="13"/>
  <c r="Y39" i="13"/>
  <c r="W39" i="13"/>
  <c r="V39" i="13"/>
  <c r="Q39" i="13"/>
  <c r="P39" i="13"/>
  <c r="R39" i="13"/>
  <c r="O39" i="13"/>
  <c r="N39" i="13"/>
  <c r="M39" i="13"/>
  <c r="G39" i="13"/>
  <c r="E39" i="13"/>
  <c r="D39" i="13"/>
  <c r="BH38" i="13"/>
  <c r="BJ38" i="13"/>
  <c r="BG38" i="13"/>
  <c r="BF38" i="13"/>
  <c r="BD38" i="13"/>
  <c r="AY38" i="13"/>
  <c r="BA38" i="13"/>
  <c r="AX38" i="13"/>
  <c r="AW38" i="13"/>
  <c r="AU38" i="13"/>
  <c r="AP38" i="13"/>
  <c r="AR38" i="13"/>
  <c r="AO38" i="13"/>
  <c r="AN38" i="13"/>
  <c r="AL38" i="13"/>
  <c r="AG38" i="13"/>
  <c r="AI38" i="13"/>
  <c r="AE38" i="13"/>
  <c r="AC38" i="13"/>
  <c r="X38" i="13"/>
  <c r="Z38" i="13"/>
  <c r="V38" i="13"/>
  <c r="T38" i="13"/>
  <c r="O38" i="13"/>
  <c r="Q38" i="13"/>
  <c r="N38" i="13"/>
  <c r="M38" i="13"/>
  <c r="K38" i="13"/>
  <c r="H38" i="13"/>
  <c r="F38" i="13"/>
  <c r="E38" i="13"/>
  <c r="D38" i="13"/>
  <c r="B38" i="13"/>
  <c r="BI37" i="13"/>
  <c r="BK37" i="13"/>
  <c r="BG37" i="13"/>
  <c r="BF37" i="13"/>
  <c r="BD37" i="13"/>
  <c r="AZ37" i="13"/>
  <c r="AY37" i="13"/>
  <c r="BA37" i="13"/>
  <c r="BB37" i="13"/>
  <c r="AX37" i="13"/>
  <c r="AW37" i="13"/>
  <c r="AU37" i="13"/>
  <c r="AQ37" i="13"/>
  <c r="AP37" i="13"/>
  <c r="AR37" i="13"/>
  <c r="AO37" i="13"/>
  <c r="AN37" i="13"/>
  <c r="AL37" i="13"/>
  <c r="AH37" i="13"/>
  <c r="AF37" i="13"/>
  <c r="AE37" i="13"/>
  <c r="AC37" i="13"/>
  <c r="Y37" i="13"/>
  <c r="X37" i="13"/>
  <c r="Z37" i="13"/>
  <c r="W37" i="13"/>
  <c r="V37" i="13"/>
  <c r="T37" i="13"/>
  <c r="P37" i="13"/>
  <c r="O37" i="13"/>
  <c r="Q37" i="13"/>
  <c r="N37" i="13"/>
  <c r="M37" i="13"/>
  <c r="K37" i="13"/>
  <c r="G37" i="13"/>
  <c r="F37" i="13"/>
  <c r="H37" i="13"/>
  <c r="I37" i="13"/>
  <c r="E37" i="13"/>
  <c r="D37" i="13"/>
  <c r="B37" i="13"/>
  <c r="BI36" i="13"/>
  <c r="BG36" i="13"/>
  <c r="BF36" i="13"/>
  <c r="BD36" i="13"/>
  <c r="BA36" i="13"/>
  <c r="AZ36" i="13"/>
  <c r="AY36" i="13"/>
  <c r="AX36" i="13"/>
  <c r="AW36" i="13"/>
  <c r="AU36" i="13"/>
  <c r="AQ36" i="13"/>
  <c r="AO36" i="13"/>
  <c r="AN36" i="13"/>
  <c r="AL36" i="13"/>
  <c r="AH36" i="13"/>
  <c r="AF36" i="13"/>
  <c r="AE36" i="13"/>
  <c r="AC36" i="13"/>
  <c r="Y36" i="13"/>
  <c r="AA36" i="13"/>
  <c r="X36" i="13"/>
  <c r="Z36" i="13"/>
  <c r="W36" i="13"/>
  <c r="V36" i="13"/>
  <c r="T36" i="13"/>
  <c r="P36" i="13"/>
  <c r="O36" i="13"/>
  <c r="Q36" i="13"/>
  <c r="N36" i="13"/>
  <c r="M36" i="13"/>
  <c r="K36" i="13"/>
  <c r="G36" i="13"/>
  <c r="E36" i="13"/>
  <c r="D36" i="13"/>
  <c r="B36" i="13"/>
  <c r="BH35" i="13"/>
  <c r="BJ35" i="13"/>
  <c r="BG35" i="13"/>
  <c r="BF35" i="13"/>
  <c r="BD35" i="13"/>
  <c r="AY35" i="13"/>
  <c r="BA35" i="13"/>
  <c r="AU35" i="13"/>
  <c r="AR35" i="13"/>
  <c r="AP35" i="13"/>
  <c r="AO35" i="13"/>
  <c r="AN35" i="13"/>
  <c r="AL35" i="13"/>
  <c r="AG35" i="13"/>
  <c r="AI35" i="13"/>
  <c r="AF35" i="13"/>
  <c r="AE35" i="13"/>
  <c r="AC35" i="13"/>
  <c r="Z35" i="13"/>
  <c r="X35" i="13"/>
  <c r="W35" i="13"/>
  <c r="T35" i="13"/>
  <c r="O35" i="13"/>
  <c r="Q35" i="13"/>
  <c r="K35" i="13"/>
  <c r="F35" i="13"/>
  <c r="H35" i="13"/>
  <c r="E35" i="13"/>
  <c r="D35" i="13"/>
  <c r="B35" i="13"/>
  <c r="BJ34" i="13"/>
  <c r="BH34" i="13"/>
  <c r="BG34" i="13"/>
  <c r="BF34" i="13"/>
  <c r="BD34" i="13"/>
  <c r="AY34" i="13"/>
  <c r="BA34" i="13"/>
  <c r="AU34" i="13"/>
  <c r="AR34" i="13"/>
  <c r="AP34" i="13"/>
  <c r="AO34" i="13"/>
  <c r="AN34" i="13"/>
  <c r="AL34" i="13"/>
  <c r="AI34" i="13"/>
  <c r="AG34" i="13"/>
  <c r="AE34" i="13"/>
  <c r="AC34" i="13"/>
  <c r="X34" i="13"/>
  <c r="Z34" i="13"/>
  <c r="W34" i="13"/>
  <c r="V34" i="13"/>
  <c r="T34" i="13"/>
  <c r="Q34" i="13"/>
  <c r="O34" i="13"/>
  <c r="N34" i="13"/>
  <c r="K34" i="13"/>
  <c r="F34" i="13"/>
  <c r="H34" i="13"/>
  <c r="E34" i="13"/>
  <c r="D34" i="13"/>
  <c r="B34" i="13"/>
  <c r="BI33" i="13"/>
  <c r="BH33" i="13"/>
  <c r="BJ33" i="13"/>
  <c r="BK33" i="13"/>
  <c r="BG33" i="13"/>
  <c r="BD33" i="13"/>
  <c r="AZ33" i="13"/>
  <c r="AX33" i="13"/>
  <c r="AW33" i="13"/>
  <c r="AU33" i="13"/>
  <c r="AQ33" i="13"/>
  <c r="AP33" i="13"/>
  <c r="AO33" i="13"/>
  <c r="AN33" i="13"/>
  <c r="AL33" i="13"/>
  <c r="AI33" i="13"/>
  <c r="AH33" i="13"/>
  <c r="AJ33" i="13"/>
  <c r="AG33" i="13"/>
  <c r="AC33" i="13"/>
  <c r="Z33" i="13"/>
  <c r="Y33" i="13"/>
  <c r="X33" i="13"/>
  <c r="V33" i="13"/>
  <c r="T33" i="13"/>
  <c r="P33" i="13"/>
  <c r="M33" i="13"/>
  <c r="K33" i="13"/>
  <c r="G33" i="13"/>
  <c r="D33" i="13"/>
  <c r="B33" i="13"/>
  <c r="BH32" i="13"/>
  <c r="BG32" i="13"/>
  <c r="BD32" i="13"/>
  <c r="AY32" i="13"/>
  <c r="BA32" i="13"/>
  <c r="AW32" i="13"/>
  <c r="AU32" i="13"/>
  <c r="AP32" i="13"/>
  <c r="AR32" i="13"/>
  <c r="AL32" i="13"/>
  <c r="AG32" i="13"/>
  <c r="AI32" i="13"/>
  <c r="AE32" i="13"/>
  <c r="AE41" i="13"/>
  <c r="AC32" i="13"/>
  <c r="X32" i="13"/>
  <c r="Z32" i="13"/>
  <c r="W32" i="13"/>
  <c r="T32" i="13"/>
  <c r="O32" i="13"/>
  <c r="M32" i="13"/>
  <c r="K32" i="13"/>
  <c r="F32" i="13"/>
  <c r="B32" i="13"/>
  <c r="I27" i="13"/>
  <c r="I5" i="13"/>
  <c r="H27" i="13"/>
  <c r="G27" i="13"/>
  <c r="G5" i="13"/>
  <c r="F27" i="13"/>
  <c r="F5" i="13"/>
  <c r="E27" i="13"/>
  <c r="E5" i="13"/>
  <c r="D27" i="13"/>
  <c r="C27" i="13"/>
  <c r="C5" i="13"/>
  <c r="J26" i="13"/>
  <c r="J25" i="13"/>
  <c r="J24" i="13"/>
  <c r="J23" i="13"/>
  <c r="J22" i="13"/>
  <c r="J21" i="13"/>
  <c r="J20" i="13"/>
  <c r="J19" i="13"/>
  <c r="J18" i="13"/>
  <c r="J17" i="13"/>
  <c r="J16" i="13"/>
  <c r="J15" i="13"/>
  <c r="J14" i="13"/>
  <c r="J13" i="13"/>
  <c r="J12" i="13"/>
  <c r="H5" i="13"/>
  <c r="D5" i="13"/>
  <c r="W214" i="12"/>
  <c r="V214" i="12"/>
  <c r="N214" i="12"/>
  <c r="N51" i="12"/>
  <c r="M214" i="12"/>
  <c r="E214" i="12"/>
  <c r="E51" i="12"/>
  <c r="D214" i="12"/>
  <c r="AA213" i="12"/>
  <c r="R213" i="12"/>
  <c r="I213" i="12"/>
  <c r="AA212" i="12"/>
  <c r="R212" i="12"/>
  <c r="I212" i="12"/>
  <c r="AA211" i="12"/>
  <c r="R211" i="12"/>
  <c r="I211" i="12"/>
  <c r="AA210" i="12"/>
  <c r="R210" i="12"/>
  <c r="I210" i="12"/>
  <c r="AA209" i="12"/>
  <c r="R209" i="12"/>
  <c r="I209" i="12"/>
  <c r="AA208" i="12"/>
  <c r="R208" i="12"/>
  <c r="I208" i="12"/>
  <c r="AA207" i="12"/>
  <c r="R207" i="12"/>
  <c r="I207" i="12"/>
  <c r="AA206" i="12"/>
  <c r="R206" i="12"/>
  <c r="I206" i="12"/>
  <c r="AA205" i="12"/>
  <c r="R205" i="12"/>
  <c r="I205" i="12"/>
  <c r="AA204" i="12"/>
  <c r="R204" i="12"/>
  <c r="I204" i="12"/>
  <c r="AA203" i="12"/>
  <c r="R203" i="12"/>
  <c r="I203" i="12"/>
  <c r="AA202" i="12"/>
  <c r="R202" i="12"/>
  <c r="I202" i="12"/>
  <c r="AA201" i="12"/>
  <c r="R201" i="12"/>
  <c r="I201" i="12"/>
  <c r="AA200" i="12"/>
  <c r="R200" i="12"/>
  <c r="I200" i="12"/>
  <c r="AA199" i="12"/>
  <c r="R199" i="12"/>
  <c r="I199" i="12"/>
  <c r="AA198" i="12"/>
  <c r="Z198" i="12"/>
  <c r="Y198" i="12"/>
  <c r="X198" i="12"/>
  <c r="W198" i="12"/>
  <c r="V198" i="12"/>
  <c r="U198" i="12"/>
  <c r="R198" i="12"/>
  <c r="Q198" i="12"/>
  <c r="P198" i="12"/>
  <c r="O198" i="12"/>
  <c r="N198" i="12"/>
  <c r="M198" i="12"/>
  <c r="L198" i="12"/>
  <c r="I198" i="12"/>
  <c r="H198" i="12"/>
  <c r="G198" i="12"/>
  <c r="F198" i="12"/>
  <c r="E198" i="12"/>
  <c r="D198" i="12"/>
  <c r="C198" i="12"/>
  <c r="X196" i="12"/>
  <c r="O196" i="12"/>
  <c r="O50" i="12"/>
  <c r="Q50" i="12"/>
  <c r="F196" i="12"/>
  <c r="F50" i="12"/>
  <c r="H50" i="12"/>
  <c r="I50" i="12"/>
  <c r="AA180" i="12"/>
  <c r="Z180" i="12"/>
  <c r="Y180" i="12"/>
  <c r="X180" i="12"/>
  <c r="W180" i="12"/>
  <c r="V180" i="12"/>
  <c r="U180" i="12"/>
  <c r="R180" i="12"/>
  <c r="Q180" i="12"/>
  <c r="P180" i="12"/>
  <c r="O180" i="12"/>
  <c r="N180" i="12"/>
  <c r="M180" i="12"/>
  <c r="L180" i="12"/>
  <c r="I180" i="12"/>
  <c r="H180" i="12"/>
  <c r="G180" i="12"/>
  <c r="F180" i="12"/>
  <c r="E180" i="12"/>
  <c r="D180" i="12"/>
  <c r="C180" i="12"/>
  <c r="W178" i="12"/>
  <c r="N178" i="12"/>
  <c r="N49" i="12"/>
  <c r="E178" i="12"/>
  <c r="E49" i="12"/>
  <c r="AA177" i="12"/>
  <c r="R177" i="12"/>
  <c r="I177" i="12"/>
  <c r="AA176" i="12"/>
  <c r="R176" i="12"/>
  <c r="I176" i="12"/>
  <c r="AA175" i="12"/>
  <c r="R175" i="12"/>
  <c r="I175" i="12"/>
  <c r="AA174" i="12"/>
  <c r="R174" i="12"/>
  <c r="I174" i="12"/>
  <c r="AA173" i="12"/>
  <c r="R173" i="12"/>
  <c r="I173" i="12"/>
  <c r="AA172" i="12"/>
  <c r="R172" i="12"/>
  <c r="I172" i="12"/>
  <c r="AA171" i="12"/>
  <c r="R171" i="12"/>
  <c r="I171" i="12"/>
  <c r="AA170" i="12"/>
  <c r="R170" i="12"/>
  <c r="I170" i="12"/>
  <c r="AA169" i="12"/>
  <c r="R169" i="12"/>
  <c r="I169" i="12"/>
  <c r="AA168" i="12"/>
  <c r="R168" i="12"/>
  <c r="I168" i="12"/>
  <c r="AA167" i="12"/>
  <c r="R167" i="12"/>
  <c r="I167" i="12"/>
  <c r="AA166" i="12"/>
  <c r="R166" i="12"/>
  <c r="I166" i="12"/>
  <c r="AA165" i="12"/>
  <c r="R165" i="12"/>
  <c r="I165" i="12"/>
  <c r="AA164" i="12"/>
  <c r="R164" i="12"/>
  <c r="I164" i="12"/>
  <c r="AA163" i="12"/>
  <c r="R163" i="12"/>
  <c r="I163" i="12"/>
  <c r="AA162" i="12"/>
  <c r="Z162" i="12"/>
  <c r="Y162" i="12"/>
  <c r="X162" i="12"/>
  <c r="W162" i="12"/>
  <c r="V162" i="12"/>
  <c r="U162" i="12"/>
  <c r="R162" i="12"/>
  <c r="Q162" i="12"/>
  <c r="P162" i="12"/>
  <c r="O162" i="12"/>
  <c r="N162" i="12"/>
  <c r="M162" i="12"/>
  <c r="L162" i="12"/>
  <c r="I162" i="12"/>
  <c r="H162" i="12"/>
  <c r="G162" i="12"/>
  <c r="F162" i="12"/>
  <c r="E162" i="12"/>
  <c r="D162" i="12"/>
  <c r="C162" i="12"/>
  <c r="X160" i="12"/>
  <c r="O160" i="12"/>
  <c r="F160" i="12"/>
  <c r="AA144" i="12"/>
  <c r="Z144" i="12"/>
  <c r="Y144" i="12"/>
  <c r="X144" i="12"/>
  <c r="W144" i="12"/>
  <c r="V144" i="12"/>
  <c r="U144" i="12"/>
  <c r="R144" i="12"/>
  <c r="Q144" i="12"/>
  <c r="P144" i="12"/>
  <c r="O144" i="12"/>
  <c r="N144" i="12"/>
  <c r="M144" i="12"/>
  <c r="L144" i="12"/>
  <c r="I144" i="12"/>
  <c r="H144" i="12"/>
  <c r="G144" i="12"/>
  <c r="F144" i="12"/>
  <c r="E144" i="12"/>
  <c r="D144" i="12"/>
  <c r="C144" i="12"/>
  <c r="X142" i="12"/>
  <c r="O142" i="12"/>
  <c r="F142" i="12"/>
  <c r="AA126" i="12"/>
  <c r="Z126" i="12"/>
  <c r="Y126" i="12"/>
  <c r="X126" i="12"/>
  <c r="W126" i="12"/>
  <c r="V126" i="12"/>
  <c r="U126" i="12"/>
  <c r="R126" i="12"/>
  <c r="Q126" i="12"/>
  <c r="P126" i="12"/>
  <c r="O126" i="12"/>
  <c r="N126" i="12"/>
  <c r="M126" i="12"/>
  <c r="L126" i="12"/>
  <c r="I126" i="12"/>
  <c r="H126" i="12"/>
  <c r="G126" i="12"/>
  <c r="F126" i="12"/>
  <c r="E126" i="12"/>
  <c r="D126" i="12"/>
  <c r="C126" i="12"/>
  <c r="W124" i="12"/>
  <c r="W46" i="12"/>
  <c r="V124" i="12"/>
  <c r="V46" i="12"/>
  <c r="N124" i="12"/>
  <c r="N46" i="12"/>
  <c r="M124" i="12"/>
  <c r="E124" i="12"/>
  <c r="E46" i="12"/>
  <c r="D124" i="12"/>
  <c r="D46" i="12"/>
  <c r="AA123" i="12"/>
  <c r="R123" i="12"/>
  <c r="I123" i="12"/>
  <c r="AA122" i="12"/>
  <c r="R122" i="12"/>
  <c r="I122" i="12"/>
  <c r="AA121" i="12"/>
  <c r="R121" i="12"/>
  <c r="I121" i="12"/>
  <c r="AA120" i="12"/>
  <c r="R120" i="12"/>
  <c r="I120" i="12"/>
  <c r="AA119" i="12"/>
  <c r="R119" i="12"/>
  <c r="I119" i="12"/>
  <c r="AA118" i="12"/>
  <c r="R118" i="12"/>
  <c r="I118" i="12"/>
  <c r="AA117" i="12"/>
  <c r="R117" i="12"/>
  <c r="I117" i="12"/>
  <c r="AA116" i="12"/>
  <c r="R116" i="12"/>
  <c r="I116" i="12"/>
  <c r="AA115" i="12"/>
  <c r="R115" i="12"/>
  <c r="I115" i="12"/>
  <c r="AA114" i="12"/>
  <c r="R114" i="12"/>
  <c r="I114" i="12"/>
  <c r="AA113" i="12"/>
  <c r="R113" i="12"/>
  <c r="I113" i="12"/>
  <c r="AA112" i="12"/>
  <c r="R112" i="12"/>
  <c r="I112" i="12"/>
  <c r="AA111" i="12"/>
  <c r="R111" i="12"/>
  <c r="I111" i="12"/>
  <c r="AA110" i="12"/>
  <c r="R110" i="12"/>
  <c r="I110" i="12"/>
  <c r="AA109" i="12"/>
  <c r="R109" i="12"/>
  <c r="I109" i="12"/>
  <c r="AA108" i="12"/>
  <c r="Z108" i="12"/>
  <c r="Y108" i="12"/>
  <c r="X108" i="12"/>
  <c r="W108" i="12"/>
  <c r="V108" i="12"/>
  <c r="U108" i="12"/>
  <c r="R108" i="12"/>
  <c r="Q108" i="12"/>
  <c r="P108" i="12"/>
  <c r="O108" i="12"/>
  <c r="N108" i="12"/>
  <c r="M108" i="12"/>
  <c r="L108" i="12"/>
  <c r="I108" i="12"/>
  <c r="H108" i="12"/>
  <c r="G108" i="12"/>
  <c r="F108" i="12"/>
  <c r="E108" i="12"/>
  <c r="D108" i="12"/>
  <c r="C108" i="12"/>
  <c r="W106" i="12"/>
  <c r="W45" i="12"/>
  <c r="V106" i="12"/>
  <c r="V45" i="12"/>
  <c r="M106" i="12"/>
  <c r="D106" i="12"/>
  <c r="AA105" i="12"/>
  <c r="R105" i="12"/>
  <c r="I105" i="12"/>
  <c r="AA104" i="12"/>
  <c r="R104" i="12"/>
  <c r="I104" i="12"/>
  <c r="AA103" i="12"/>
  <c r="R103" i="12"/>
  <c r="I103" i="12"/>
  <c r="AA102" i="12"/>
  <c r="R102" i="12"/>
  <c r="I102" i="12"/>
  <c r="AA101" i="12"/>
  <c r="R101" i="12"/>
  <c r="I101" i="12"/>
  <c r="AA100" i="12"/>
  <c r="R100" i="12"/>
  <c r="I100" i="12"/>
  <c r="AA99" i="12"/>
  <c r="R99" i="12"/>
  <c r="I99" i="12"/>
  <c r="AA98" i="12"/>
  <c r="R98" i="12"/>
  <c r="I98" i="12"/>
  <c r="AA97" i="12"/>
  <c r="R97" i="12"/>
  <c r="I97" i="12"/>
  <c r="AA96" i="12"/>
  <c r="R96" i="12"/>
  <c r="I96" i="12"/>
  <c r="AA95" i="12"/>
  <c r="R95" i="12"/>
  <c r="I95" i="12"/>
  <c r="AA94" i="12"/>
  <c r="R94" i="12"/>
  <c r="I94" i="12"/>
  <c r="AA93" i="12"/>
  <c r="R93" i="12"/>
  <c r="I93" i="12"/>
  <c r="AA92" i="12"/>
  <c r="R92" i="12"/>
  <c r="I92" i="12"/>
  <c r="AA91" i="12"/>
  <c r="R91" i="12"/>
  <c r="I91" i="12"/>
  <c r="AA90" i="12"/>
  <c r="Z90" i="12"/>
  <c r="Y90" i="12"/>
  <c r="X90" i="12"/>
  <c r="W90" i="12"/>
  <c r="V90" i="12"/>
  <c r="U90" i="12"/>
  <c r="R90" i="12"/>
  <c r="Q90" i="12"/>
  <c r="P90" i="12"/>
  <c r="O90" i="12"/>
  <c r="N90" i="12"/>
  <c r="M90" i="12"/>
  <c r="L90" i="12"/>
  <c r="I90" i="12"/>
  <c r="H90" i="12"/>
  <c r="G90" i="12"/>
  <c r="F90" i="12"/>
  <c r="E90" i="12"/>
  <c r="D90" i="12"/>
  <c r="C90" i="12"/>
  <c r="X88" i="12"/>
  <c r="X44" i="12"/>
  <c r="Z44" i="12"/>
  <c r="W88" i="12"/>
  <c r="W44" i="12"/>
  <c r="V88" i="12"/>
  <c r="O88" i="12"/>
  <c r="O44" i="12"/>
  <c r="Q44" i="12"/>
  <c r="R44" i="12"/>
  <c r="F88" i="12"/>
  <c r="AA72" i="12"/>
  <c r="Z72" i="12"/>
  <c r="Y72" i="12"/>
  <c r="X72" i="12"/>
  <c r="W72" i="12"/>
  <c r="V72" i="12"/>
  <c r="U72" i="12"/>
  <c r="R72" i="12"/>
  <c r="Q72" i="12"/>
  <c r="P72" i="12"/>
  <c r="O72" i="12"/>
  <c r="N72" i="12"/>
  <c r="M72" i="12"/>
  <c r="L72" i="12"/>
  <c r="I72" i="12"/>
  <c r="H72" i="12"/>
  <c r="G72" i="12"/>
  <c r="F72" i="12"/>
  <c r="E72" i="12"/>
  <c r="D72" i="12"/>
  <c r="C72" i="12"/>
  <c r="W70" i="12"/>
  <c r="V70" i="12"/>
  <c r="V43" i="12"/>
  <c r="M70" i="12"/>
  <c r="D70" i="12"/>
  <c r="D43" i="12"/>
  <c r="AA69" i="12"/>
  <c r="R69" i="12"/>
  <c r="I69" i="12"/>
  <c r="AA68" i="12"/>
  <c r="R68" i="12"/>
  <c r="I68" i="12"/>
  <c r="AA67" i="12"/>
  <c r="R67" i="12"/>
  <c r="I67" i="12"/>
  <c r="AA66" i="12"/>
  <c r="R66" i="12"/>
  <c r="I66" i="12"/>
  <c r="AA65" i="12"/>
  <c r="R65" i="12"/>
  <c r="I65" i="12"/>
  <c r="AA64" i="12"/>
  <c r="R64" i="12"/>
  <c r="I64" i="12"/>
  <c r="AA63" i="12"/>
  <c r="R63" i="12"/>
  <c r="I63" i="12"/>
  <c r="AA62" i="12"/>
  <c r="R62" i="12"/>
  <c r="I62" i="12"/>
  <c r="AA61" i="12"/>
  <c r="R61" i="12"/>
  <c r="I61" i="12"/>
  <c r="AA60" i="12"/>
  <c r="R60" i="12"/>
  <c r="I60" i="12"/>
  <c r="AA59" i="12"/>
  <c r="R59" i="12"/>
  <c r="I59" i="12"/>
  <c r="AA58" i="12"/>
  <c r="R58" i="12"/>
  <c r="I58" i="12"/>
  <c r="AA57" i="12"/>
  <c r="R57" i="12"/>
  <c r="I57" i="12"/>
  <c r="AA56" i="12"/>
  <c r="R56" i="12"/>
  <c r="I56" i="12"/>
  <c r="AA55" i="12"/>
  <c r="R55" i="12"/>
  <c r="I55" i="12"/>
  <c r="AD52" i="12"/>
  <c r="X51" i="12"/>
  <c r="Z51" i="12"/>
  <c r="W51" i="12"/>
  <c r="V51" i="12"/>
  <c r="Q51" i="12"/>
  <c r="O51" i="12"/>
  <c r="M51" i="12"/>
  <c r="K51" i="12"/>
  <c r="F51" i="12"/>
  <c r="H51" i="12"/>
  <c r="D51" i="12"/>
  <c r="B51" i="12"/>
  <c r="Y50" i="12"/>
  <c r="X50" i="12"/>
  <c r="Z50" i="12"/>
  <c r="W50" i="12"/>
  <c r="V50" i="12"/>
  <c r="P50" i="12"/>
  <c r="N50" i="12"/>
  <c r="M50" i="12"/>
  <c r="K50" i="12"/>
  <c r="G50" i="12"/>
  <c r="E50" i="12"/>
  <c r="D50" i="12"/>
  <c r="B50" i="12"/>
  <c r="X49" i="12"/>
  <c r="Z49" i="12"/>
  <c r="W49" i="12"/>
  <c r="V49" i="12"/>
  <c r="T49" i="12"/>
  <c r="O49" i="12"/>
  <c r="Q49" i="12"/>
  <c r="M49" i="12"/>
  <c r="K49" i="12"/>
  <c r="F49" i="12"/>
  <c r="H49" i="12"/>
  <c r="D49" i="12"/>
  <c r="B49" i="12"/>
  <c r="Z48" i="12"/>
  <c r="Y48" i="12"/>
  <c r="X48" i="12"/>
  <c r="W48" i="12"/>
  <c r="V48" i="12"/>
  <c r="T48" i="12"/>
  <c r="P48" i="12"/>
  <c r="O48" i="12"/>
  <c r="N48" i="12"/>
  <c r="M48" i="12"/>
  <c r="K48" i="12"/>
  <c r="G48" i="12"/>
  <c r="F48" i="12"/>
  <c r="H48" i="12"/>
  <c r="I48" i="12"/>
  <c r="E48" i="12"/>
  <c r="D48" i="12"/>
  <c r="B48" i="12"/>
  <c r="Z47" i="12"/>
  <c r="Y47" i="12"/>
  <c r="X47" i="12"/>
  <c r="W47" i="12"/>
  <c r="V47" i="12"/>
  <c r="T47" i="12"/>
  <c r="P47" i="12"/>
  <c r="O47" i="12"/>
  <c r="Q47" i="12"/>
  <c r="R47" i="12"/>
  <c r="N47" i="12"/>
  <c r="M47" i="12"/>
  <c r="K47" i="12"/>
  <c r="H47" i="12"/>
  <c r="G47" i="12"/>
  <c r="F47" i="12"/>
  <c r="E47" i="12"/>
  <c r="D47" i="12"/>
  <c r="B47" i="12"/>
  <c r="Z46" i="12"/>
  <c r="X46" i="12"/>
  <c r="T46" i="12"/>
  <c r="Q46" i="12"/>
  <c r="O46" i="12"/>
  <c r="M46" i="12"/>
  <c r="K46" i="12"/>
  <c r="H46" i="12"/>
  <c r="F46" i="12"/>
  <c r="B46" i="12"/>
  <c r="X45" i="12"/>
  <c r="Z45" i="12"/>
  <c r="T45" i="12"/>
  <c r="O45" i="12"/>
  <c r="Q45" i="12"/>
  <c r="N45" i="12"/>
  <c r="M45" i="12"/>
  <c r="K45" i="12"/>
  <c r="F45" i="12"/>
  <c r="H45" i="12"/>
  <c r="E45" i="12"/>
  <c r="D45" i="12"/>
  <c r="B45" i="12"/>
  <c r="Y44" i="12"/>
  <c r="V44" i="12"/>
  <c r="T44" i="12"/>
  <c r="P44" i="12"/>
  <c r="N44" i="12"/>
  <c r="M44" i="12"/>
  <c r="K44" i="12"/>
  <c r="G44" i="12"/>
  <c r="F44" i="12"/>
  <c r="H44" i="12"/>
  <c r="E44" i="12"/>
  <c r="D44" i="12"/>
  <c r="B44" i="12"/>
  <c r="Z43" i="12"/>
  <c r="X43" i="12"/>
  <c r="W43" i="12"/>
  <c r="T43" i="12"/>
  <c r="Q43" i="12"/>
  <c r="O43" i="12"/>
  <c r="N43" i="12"/>
  <c r="M43" i="12"/>
  <c r="K43" i="12"/>
  <c r="F43" i="12"/>
  <c r="E43" i="12"/>
  <c r="B43" i="12"/>
  <c r="F17" i="12"/>
  <c r="F16" i="12"/>
  <c r="F15" i="12"/>
  <c r="F14" i="12"/>
  <c r="F13" i="12"/>
  <c r="F12" i="12"/>
  <c r="F11" i="12"/>
  <c r="D10" i="12"/>
  <c r="D18" i="12"/>
  <c r="F9" i="12"/>
  <c r="F8" i="12"/>
  <c r="I44" i="12"/>
  <c r="E41" i="13"/>
  <c r="AO41" i="13"/>
  <c r="Z41" i="13"/>
  <c r="E7" i="13"/>
  <c r="BB167" i="13"/>
  <c r="AZ38" i="13"/>
  <c r="BB38" i="13"/>
  <c r="I214" i="12"/>
  <c r="G51" i="12"/>
  <c r="I51" i="12"/>
  <c r="J27" i="13"/>
  <c r="BG41" i="13"/>
  <c r="R113" i="13"/>
  <c r="P35" i="13"/>
  <c r="R35" i="13"/>
  <c r="AA113" i="13"/>
  <c r="Y35" i="13"/>
  <c r="AA35" i="13"/>
  <c r="I39" i="13"/>
  <c r="I203" i="13"/>
  <c r="G40" i="13"/>
  <c r="I40" i="13"/>
  <c r="R203" i="13"/>
  <c r="P40" i="13"/>
  <c r="R40" i="13"/>
  <c r="O41" i="13"/>
  <c r="E52" i="12"/>
  <c r="AA44" i="12"/>
  <c r="AA106" i="12"/>
  <c r="Y45" i="12"/>
  <c r="R106" i="12"/>
  <c r="P45" i="12"/>
  <c r="AW41" i="13"/>
  <c r="AA33" i="13"/>
  <c r="BB33" i="13"/>
  <c r="AA95" i="13"/>
  <c r="Y34" i="13"/>
  <c r="AA34" i="13"/>
  <c r="I47" i="12"/>
  <c r="R214" i="12"/>
  <c r="P51" i="12"/>
  <c r="R51" i="12"/>
  <c r="BB95" i="13"/>
  <c r="AZ34" i="13"/>
  <c r="AJ203" i="13"/>
  <c r="AH40" i="13"/>
  <c r="F10" i="12"/>
  <c r="F18" i="12"/>
  <c r="R70" i="12"/>
  <c r="P43" i="12"/>
  <c r="D52" i="12"/>
  <c r="AA214" i="12"/>
  <c r="Y51" i="12"/>
  <c r="AA51" i="12"/>
  <c r="Q32" i="13"/>
  <c r="AP41" i="13"/>
  <c r="AJ59" i="13"/>
  <c r="AH32" i="13"/>
  <c r="AS59" i="13"/>
  <c r="AQ32" i="13"/>
  <c r="I59" i="13"/>
  <c r="G32" i="13"/>
  <c r="BB113" i="13"/>
  <c r="AZ35" i="13"/>
  <c r="BB35" i="13"/>
  <c r="BK113" i="13"/>
  <c r="BI35" i="13"/>
  <c r="AS203" i="13"/>
  <c r="AQ40" i="13"/>
  <c r="AQ41" i="13"/>
  <c r="G8" i="13"/>
  <c r="AA40" i="13"/>
  <c r="AS37" i="13"/>
  <c r="AS95" i="13"/>
  <c r="AQ34" i="13"/>
  <c r="AS34" i="13"/>
  <c r="AS167" i="13"/>
  <c r="AQ38" i="13"/>
  <c r="AS38" i="13"/>
  <c r="F52" i="12"/>
  <c r="M52" i="12"/>
  <c r="AA47" i="12"/>
  <c r="AA48" i="12"/>
  <c r="R50" i="12"/>
  <c r="BH41" i="13"/>
  <c r="BB36" i="13"/>
  <c r="BB39" i="13"/>
  <c r="N41" i="13"/>
  <c r="AX41" i="13"/>
  <c r="BK95" i="13"/>
  <c r="BI34" i="13"/>
  <c r="BK34" i="13"/>
  <c r="R95" i="13"/>
  <c r="P34" i="13"/>
  <c r="R34" i="13"/>
  <c r="AJ95" i="13"/>
  <c r="AH34" i="13"/>
  <c r="AJ34" i="13"/>
  <c r="BK36" i="13"/>
  <c r="BK167" i="13"/>
  <c r="BI38" i="13"/>
  <c r="BB203" i="13"/>
  <c r="AZ40" i="13"/>
  <c r="BB40" i="13"/>
  <c r="AJ36" i="13"/>
  <c r="D41" i="13"/>
  <c r="R124" i="12"/>
  <c r="P46" i="12"/>
  <c r="R46" i="12"/>
  <c r="I124" i="12"/>
  <c r="G46" i="12"/>
  <c r="I46" i="12"/>
  <c r="R178" i="12"/>
  <c r="P49" i="12"/>
  <c r="R49" i="12"/>
  <c r="BB59" i="13"/>
  <c r="AZ32" i="13"/>
  <c r="AZ41" i="13"/>
  <c r="H8" i="13"/>
  <c r="BK59" i="13"/>
  <c r="BI32" i="13"/>
  <c r="V41" i="13"/>
  <c r="I113" i="13"/>
  <c r="G35" i="13"/>
  <c r="AS113" i="13"/>
  <c r="AQ35" i="13"/>
  <c r="AS35" i="13"/>
  <c r="BK203" i="13"/>
  <c r="BI40" i="13"/>
  <c r="M41" i="13"/>
  <c r="I178" i="12"/>
  <c r="G49" i="12"/>
  <c r="I49" i="12"/>
  <c r="O52" i="12"/>
  <c r="I70" i="12"/>
  <c r="G43" i="12"/>
  <c r="I106" i="12"/>
  <c r="G45" i="12"/>
  <c r="I45" i="12"/>
  <c r="AA124" i="12"/>
  <c r="Y46" i="12"/>
  <c r="AA46" i="12"/>
  <c r="AA178" i="12"/>
  <c r="Y49" i="12"/>
  <c r="AA49" i="12"/>
  <c r="X41" i="13"/>
  <c r="AA39" i="13"/>
  <c r="I95" i="13"/>
  <c r="G34" i="13"/>
  <c r="I34" i="13"/>
  <c r="I167" i="13"/>
  <c r="G38" i="13"/>
  <c r="I38" i="13"/>
  <c r="R167" i="13"/>
  <c r="P38" i="13"/>
  <c r="R38" i="13"/>
  <c r="AA167" i="13"/>
  <c r="Y38" i="13"/>
  <c r="AA38" i="13"/>
  <c r="AJ167" i="13"/>
  <c r="AH38" i="13"/>
  <c r="AJ38" i="13"/>
  <c r="V52" i="12"/>
  <c r="X52" i="12"/>
  <c r="AA70" i="12"/>
  <c r="Y43" i="12"/>
  <c r="AA43" i="12"/>
  <c r="F41" i="13"/>
  <c r="R36" i="13"/>
  <c r="I33" i="13"/>
  <c r="AA37" i="13"/>
  <c r="AF41" i="13"/>
  <c r="BA41" i="13"/>
  <c r="H7" i="13"/>
  <c r="R32" i="13"/>
  <c r="AA32" i="13"/>
  <c r="AJ35" i="13"/>
  <c r="J5" i="13"/>
  <c r="AI41" i="13"/>
  <c r="F7" i="13"/>
  <c r="I36" i="13"/>
  <c r="BB34" i="13"/>
  <c r="AJ40" i="13"/>
  <c r="Q41" i="13"/>
  <c r="D7" i="13"/>
  <c r="R37" i="13"/>
  <c r="AJ32" i="13"/>
  <c r="AH41" i="13"/>
  <c r="F8" i="13"/>
  <c r="AS32" i="13"/>
  <c r="BK35" i="13"/>
  <c r="AS40" i="13"/>
  <c r="BK38" i="13"/>
  <c r="W41" i="13"/>
  <c r="AJ37" i="13"/>
  <c r="BI41" i="13"/>
  <c r="I8" i="13"/>
  <c r="BF41" i="13"/>
  <c r="I35" i="13"/>
  <c r="BK40" i="13"/>
  <c r="BJ32" i="13"/>
  <c r="BJ41" i="13"/>
  <c r="I7" i="13"/>
  <c r="AG41" i="13"/>
  <c r="AR33" i="13"/>
  <c r="AS33" i="13"/>
  <c r="AY41" i="13"/>
  <c r="H32" i="13"/>
  <c r="H41" i="13"/>
  <c r="C7" i="13"/>
  <c r="Q52" i="12"/>
  <c r="D26" i="12"/>
  <c r="R48" i="12"/>
  <c r="W52" i="12"/>
  <c r="AA50" i="12"/>
  <c r="AA45" i="12"/>
  <c r="R45" i="12"/>
  <c r="Z52" i="12"/>
  <c r="N52" i="12"/>
  <c r="R43" i="12"/>
  <c r="R52" i="12"/>
  <c r="H43" i="12"/>
  <c r="H52" i="12"/>
  <c r="D21" i="12"/>
  <c r="Q48" i="12"/>
  <c r="B8" i="10"/>
  <c r="B9" i="10"/>
  <c r="B10" i="10"/>
  <c r="B11" i="10"/>
  <c r="B12" i="10"/>
  <c r="B13" i="10"/>
  <c r="B14" i="10"/>
  <c r="B15" i="10"/>
  <c r="G52" i="12"/>
  <c r="D22" i="12"/>
  <c r="F22" i="12"/>
  <c r="Y41" i="13"/>
  <c r="E8" i="13"/>
  <c r="E6" i="13"/>
  <c r="E9" i="13"/>
  <c r="G41" i="13"/>
  <c r="C8" i="13"/>
  <c r="BB32" i="13"/>
  <c r="P41" i="13"/>
  <c r="D8" i="13"/>
  <c r="D6" i="13"/>
  <c r="D9" i="13"/>
  <c r="F6" i="13"/>
  <c r="F9" i="13"/>
  <c r="I6" i="13"/>
  <c r="I9" i="13"/>
  <c r="I32" i="13"/>
  <c r="I41" i="13"/>
  <c r="P52" i="12"/>
  <c r="D27" i="12"/>
  <c r="F27" i="12"/>
  <c r="AJ41" i="13"/>
  <c r="Y52" i="12"/>
  <c r="C6" i="13"/>
  <c r="BK32" i="13"/>
  <c r="BK41" i="13"/>
  <c r="AA41" i="13"/>
  <c r="H6" i="13"/>
  <c r="H9" i="13"/>
  <c r="AS41" i="13"/>
  <c r="BB41" i="13"/>
  <c r="AR41" i="13"/>
  <c r="G7" i="13"/>
  <c r="G6" i="13"/>
  <c r="G9" i="13"/>
  <c r="R41" i="13"/>
  <c r="AA52" i="12"/>
  <c r="D28" i="12"/>
  <c r="F26" i="12"/>
  <c r="F28" i="12"/>
  <c r="D23" i="12"/>
  <c r="D4" i="12"/>
  <c r="F21" i="12"/>
  <c r="F23" i="12"/>
  <c r="I43" i="12"/>
  <c r="I52" i="12"/>
  <c r="G26" i="9"/>
  <c r="J18" i="9"/>
  <c r="G40" i="9"/>
  <c r="E120" i="9"/>
  <c r="E47" i="9"/>
  <c r="E102" i="9"/>
  <c r="E46" i="9"/>
  <c r="E84" i="9"/>
  <c r="E45" i="9"/>
  <c r="E66" i="9"/>
  <c r="E44" i="9"/>
  <c r="J8" i="13"/>
  <c r="F4" i="12"/>
  <c r="E43" i="9"/>
  <c r="J6" i="13"/>
  <c r="J9" i="13"/>
  <c r="C9" i="13"/>
  <c r="J7" i="13"/>
  <c r="F27" i="6"/>
  <c r="F5" i="6"/>
  <c r="BI203" i="6"/>
  <c r="BI40" i="6"/>
  <c r="BH203" i="6"/>
  <c r="BH40" i="6"/>
  <c r="BM202" i="6"/>
  <c r="BM201" i="6"/>
  <c r="BM200" i="6"/>
  <c r="BM199" i="6"/>
  <c r="BM198" i="6"/>
  <c r="BM197" i="6"/>
  <c r="BM196" i="6"/>
  <c r="BM195" i="6"/>
  <c r="BM194" i="6"/>
  <c r="BM193" i="6"/>
  <c r="BM192" i="6"/>
  <c r="BM191" i="6"/>
  <c r="BM190" i="6"/>
  <c r="BM189" i="6"/>
  <c r="BM188" i="6"/>
  <c r="BM187" i="6"/>
  <c r="BL187" i="6"/>
  <c r="BK187" i="6"/>
  <c r="BJ187" i="6"/>
  <c r="BI187" i="6"/>
  <c r="BH187" i="6"/>
  <c r="BG187" i="6"/>
  <c r="BJ185" i="6"/>
  <c r="BJ39" i="6"/>
  <c r="BL39" i="6"/>
  <c r="BM169" i="6"/>
  <c r="BL169" i="6"/>
  <c r="BK169" i="6"/>
  <c r="BJ169" i="6"/>
  <c r="BI169" i="6"/>
  <c r="BH169" i="6"/>
  <c r="BG169" i="6"/>
  <c r="BI167" i="6"/>
  <c r="BI38" i="6"/>
  <c r="BM166" i="6"/>
  <c r="BM165" i="6"/>
  <c r="BM164" i="6"/>
  <c r="BM163" i="6"/>
  <c r="BM162" i="6"/>
  <c r="BM161" i="6"/>
  <c r="BM160" i="6"/>
  <c r="BM159" i="6"/>
  <c r="BM158" i="6"/>
  <c r="BM157" i="6"/>
  <c r="BM156" i="6"/>
  <c r="BM155" i="6"/>
  <c r="BM154" i="6"/>
  <c r="BM153" i="6"/>
  <c r="BM152" i="6"/>
  <c r="BM151" i="6"/>
  <c r="BL151" i="6"/>
  <c r="BK151" i="6"/>
  <c r="BJ151" i="6"/>
  <c r="BI151" i="6"/>
  <c r="BH151" i="6"/>
  <c r="BG151" i="6"/>
  <c r="BJ149" i="6"/>
  <c r="BJ37" i="6"/>
  <c r="BL37" i="6"/>
  <c r="BM133" i="6"/>
  <c r="BL133" i="6"/>
  <c r="BK133" i="6"/>
  <c r="BJ133" i="6"/>
  <c r="BI133" i="6"/>
  <c r="BH133" i="6"/>
  <c r="BG133" i="6"/>
  <c r="BJ131" i="6"/>
  <c r="BJ36" i="6"/>
  <c r="BL36" i="6"/>
  <c r="BM115" i="6"/>
  <c r="BL115" i="6"/>
  <c r="BK115" i="6"/>
  <c r="BJ115" i="6"/>
  <c r="BI115" i="6"/>
  <c r="BH115" i="6"/>
  <c r="BG115" i="6"/>
  <c r="BI113" i="6"/>
  <c r="BI35" i="6"/>
  <c r="BH113" i="6"/>
  <c r="BH35" i="6"/>
  <c r="BM112" i="6"/>
  <c r="BM111" i="6"/>
  <c r="BM110" i="6"/>
  <c r="BM109" i="6"/>
  <c r="BM108" i="6"/>
  <c r="BM107" i="6"/>
  <c r="BM106" i="6"/>
  <c r="BM105" i="6"/>
  <c r="BM104" i="6"/>
  <c r="BM103" i="6"/>
  <c r="BM102" i="6"/>
  <c r="BM101" i="6"/>
  <c r="BM100" i="6"/>
  <c r="BM99" i="6"/>
  <c r="BM98" i="6"/>
  <c r="BM97" i="6"/>
  <c r="BL97" i="6"/>
  <c r="BK97" i="6"/>
  <c r="BJ97" i="6"/>
  <c r="BI97" i="6"/>
  <c r="BH97" i="6"/>
  <c r="BG97" i="6"/>
  <c r="BI95" i="6"/>
  <c r="BI34" i="6"/>
  <c r="BH95" i="6"/>
  <c r="BH34" i="6"/>
  <c r="BM94" i="6"/>
  <c r="BM93" i="6"/>
  <c r="BM92" i="6"/>
  <c r="BM91" i="6"/>
  <c r="BM90" i="6"/>
  <c r="BM89" i="6"/>
  <c r="BM88" i="6"/>
  <c r="BM87" i="6"/>
  <c r="BM86" i="6"/>
  <c r="BM85" i="6"/>
  <c r="BM84" i="6"/>
  <c r="BM83" i="6"/>
  <c r="BM82" i="6"/>
  <c r="BM81" i="6"/>
  <c r="BM80" i="6"/>
  <c r="BM79" i="6"/>
  <c r="BL79" i="6"/>
  <c r="BK79" i="6"/>
  <c r="BJ79" i="6"/>
  <c r="BI79" i="6"/>
  <c r="BH79" i="6"/>
  <c r="BG79" i="6"/>
  <c r="BJ77" i="6"/>
  <c r="BJ33" i="6"/>
  <c r="BL33" i="6"/>
  <c r="BI77" i="6"/>
  <c r="BI33" i="6"/>
  <c r="BH77" i="6"/>
  <c r="BH33" i="6"/>
  <c r="BM61" i="6"/>
  <c r="BL61" i="6"/>
  <c r="BK61" i="6"/>
  <c r="BJ61" i="6"/>
  <c r="BI61" i="6"/>
  <c r="BH61" i="6"/>
  <c r="BG61" i="6"/>
  <c r="BI59" i="6"/>
  <c r="BI32" i="6"/>
  <c r="BH59" i="6"/>
  <c r="BH32" i="6"/>
  <c r="BM58" i="6"/>
  <c r="BM57" i="6"/>
  <c r="BM56" i="6"/>
  <c r="BM55" i="6"/>
  <c r="BM54" i="6"/>
  <c r="BM53" i="6"/>
  <c r="BM52" i="6"/>
  <c r="BM51" i="6"/>
  <c r="BM50" i="6"/>
  <c r="BM49" i="6"/>
  <c r="BM48" i="6"/>
  <c r="BM47" i="6"/>
  <c r="BM46" i="6"/>
  <c r="BM45" i="6"/>
  <c r="BM44" i="6"/>
  <c r="BJ40" i="6"/>
  <c r="BL40" i="6"/>
  <c r="BK39" i="6"/>
  <c r="BI39" i="6"/>
  <c r="BH39" i="6"/>
  <c r="BJ38" i="6"/>
  <c r="BL38" i="6"/>
  <c r="BH38" i="6"/>
  <c r="BF38" i="6"/>
  <c r="BK37" i="6"/>
  <c r="BI37" i="6"/>
  <c r="BH37" i="6"/>
  <c r="BF37" i="6"/>
  <c r="BK36" i="6"/>
  <c r="BI36" i="6"/>
  <c r="BH36" i="6"/>
  <c r="BF36" i="6"/>
  <c r="BJ35" i="6"/>
  <c r="BL35" i="6"/>
  <c r="BF35" i="6"/>
  <c r="BJ34" i="6"/>
  <c r="BL34" i="6"/>
  <c r="BF34" i="6"/>
  <c r="BK33" i="6"/>
  <c r="BF33" i="6"/>
  <c r="BJ32" i="6"/>
  <c r="BF32" i="6"/>
  <c r="AZ203" i="6"/>
  <c r="AZ40" i="6"/>
  <c r="AY203" i="6"/>
  <c r="AY40" i="6"/>
  <c r="BD202" i="6"/>
  <c r="BD201" i="6"/>
  <c r="BD200" i="6"/>
  <c r="BD199" i="6"/>
  <c r="BD198" i="6"/>
  <c r="BD197" i="6"/>
  <c r="BD196" i="6"/>
  <c r="BD195" i="6"/>
  <c r="BD194" i="6"/>
  <c r="BD193" i="6"/>
  <c r="BD192" i="6"/>
  <c r="BD191" i="6"/>
  <c r="BD190" i="6"/>
  <c r="BD189" i="6"/>
  <c r="BD188" i="6"/>
  <c r="BD187" i="6"/>
  <c r="BC187" i="6"/>
  <c r="BB187" i="6"/>
  <c r="BA187" i="6"/>
  <c r="AZ187" i="6"/>
  <c r="AY187" i="6"/>
  <c r="AX187" i="6"/>
  <c r="BA185" i="6"/>
  <c r="BA39" i="6"/>
  <c r="BC39" i="6"/>
  <c r="BD169" i="6"/>
  <c r="BC169" i="6"/>
  <c r="BB169" i="6"/>
  <c r="BA169" i="6"/>
  <c r="AZ169" i="6"/>
  <c r="AY169" i="6"/>
  <c r="AX169" i="6"/>
  <c r="AZ167" i="6"/>
  <c r="AZ38" i="6"/>
  <c r="BD166" i="6"/>
  <c r="BD165" i="6"/>
  <c r="BD164" i="6"/>
  <c r="BD163" i="6"/>
  <c r="BD162" i="6"/>
  <c r="BD161" i="6"/>
  <c r="BD160" i="6"/>
  <c r="BD159" i="6"/>
  <c r="BD158" i="6"/>
  <c r="BD157" i="6"/>
  <c r="BD156" i="6"/>
  <c r="BD155" i="6"/>
  <c r="BD154" i="6"/>
  <c r="BD153" i="6"/>
  <c r="BD152" i="6"/>
  <c r="BD151" i="6"/>
  <c r="BC151" i="6"/>
  <c r="BB151" i="6"/>
  <c r="BA151" i="6"/>
  <c r="AZ151" i="6"/>
  <c r="AY151" i="6"/>
  <c r="AX151" i="6"/>
  <c r="BA149" i="6"/>
  <c r="BA37" i="6"/>
  <c r="BC37" i="6"/>
  <c r="BD133" i="6"/>
  <c r="BC133" i="6"/>
  <c r="BB133" i="6"/>
  <c r="BA133" i="6"/>
  <c r="AZ133" i="6"/>
  <c r="AY133" i="6"/>
  <c r="AX133" i="6"/>
  <c r="BA131" i="6"/>
  <c r="BA36" i="6"/>
  <c r="BC36" i="6"/>
  <c r="BD115" i="6"/>
  <c r="BC115" i="6"/>
  <c r="BB115" i="6"/>
  <c r="BA115" i="6"/>
  <c r="AZ115" i="6"/>
  <c r="AY115" i="6"/>
  <c r="AX115" i="6"/>
  <c r="AZ113" i="6"/>
  <c r="AZ35" i="6"/>
  <c r="AY113" i="6"/>
  <c r="AY35" i="6"/>
  <c r="BD112" i="6"/>
  <c r="BD111" i="6"/>
  <c r="BD110" i="6"/>
  <c r="BD109" i="6"/>
  <c r="BD108" i="6"/>
  <c r="BD107" i="6"/>
  <c r="BD106" i="6"/>
  <c r="BD105" i="6"/>
  <c r="BD104" i="6"/>
  <c r="BD103" i="6"/>
  <c r="BD102" i="6"/>
  <c r="BD101" i="6"/>
  <c r="BD100" i="6"/>
  <c r="BD99" i="6"/>
  <c r="BD98" i="6"/>
  <c r="BD97" i="6"/>
  <c r="BC97" i="6"/>
  <c r="BB97" i="6"/>
  <c r="BA97" i="6"/>
  <c r="AZ97" i="6"/>
  <c r="AY97" i="6"/>
  <c r="AX97" i="6"/>
  <c r="AZ95" i="6"/>
  <c r="AZ34" i="6"/>
  <c r="AY95" i="6"/>
  <c r="AY34" i="6"/>
  <c r="BD94" i="6"/>
  <c r="BD93" i="6"/>
  <c r="BD92" i="6"/>
  <c r="BD91" i="6"/>
  <c r="BD90" i="6"/>
  <c r="BD89" i="6"/>
  <c r="BD88" i="6"/>
  <c r="BD87" i="6"/>
  <c r="BD86" i="6"/>
  <c r="BD85" i="6"/>
  <c r="BD84" i="6"/>
  <c r="BD83" i="6"/>
  <c r="BD82" i="6"/>
  <c r="BD81" i="6"/>
  <c r="BD80" i="6"/>
  <c r="BD79" i="6"/>
  <c r="BC79" i="6"/>
  <c r="BB79" i="6"/>
  <c r="BA79" i="6"/>
  <c r="AZ79" i="6"/>
  <c r="AY79" i="6"/>
  <c r="AX79" i="6"/>
  <c r="BA77" i="6"/>
  <c r="BA33" i="6"/>
  <c r="BC33" i="6"/>
  <c r="AZ77" i="6"/>
  <c r="AZ33" i="6"/>
  <c r="AY77" i="6"/>
  <c r="AY33" i="6"/>
  <c r="BD61" i="6"/>
  <c r="BC61" i="6"/>
  <c r="BB61" i="6"/>
  <c r="BA61" i="6"/>
  <c r="AZ61" i="6"/>
  <c r="AY61" i="6"/>
  <c r="AX61" i="6"/>
  <c r="AZ59" i="6"/>
  <c r="AZ32" i="6"/>
  <c r="AY59" i="6"/>
  <c r="AY32" i="6"/>
  <c r="BD58" i="6"/>
  <c r="BD57" i="6"/>
  <c r="BD56" i="6"/>
  <c r="BD55" i="6"/>
  <c r="BD54" i="6"/>
  <c r="BD53" i="6"/>
  <c r="BD52" i="6"/>
  <c r="BD51" i="6"/>
  <c r="BD50" i="6"/>
  <c r="BD49" i="6"/>
  <c r="BD48" i="6"/>
  <c r="BD47" i="6"/>
  <c r="BD46" i="6"/>
  <c r="BD45" i="6"/>
  <c r="BD44" i="6"/>
  <c r="BA40" i="6"/>
  <c r="BC40" i="6"/>
  <c r="BB39" i="6"/>
  <c r="AZ39" i="6"/>
  <c r="AY39" i="6"/>
  <c r="BA38" i="6"/>
  <c r="BC38" i="6"/>
  <c r="AY38" i="6"/>
  <c r="AW38" i="6"/>
  <c r="BB37" i="6"/>
  <c r="AZ37" i="6"/>
  <c r="AY37" i="6"/>
  <c r="AW37" i="6"/>
  <c r="BB36" i="6"/>
  <c r="AZ36" i="6"/>
  <c r="AY36" i="6"/>
  <c r="AW36" i="6"/>
  <c r="BA35" i="6"/>
  <c r="BC35" i="6"/>
  <c r="AW35" i="6"/>
  <c r="BA34" i="6"/>
  <c r="BC34" i="6"/>
  <c r="AW34" i="6"/>
  <c r="BB33" i="6"/>
  <c r="AW33" i="6"/>
  <c r="BA32" i="6"/>
  <c r="BC32" i="6"/>
  <c r="AW32" i="6"/>
  <c r="AQ203" i="6"/>
  <c r="AP203" i="6"/>
  <c r="AP40" i="6"/>
  <c r="AU202" i="6"/>
  <c r="AU201" i="6"/>
  <c r="AU200" i="6"/>
  <c r="AU199" i="6"/>
  <c r="AU198" i="6"/>
  <c r="AU197" i="6"/>
  <c r="AU196" i="6"/>
  <c r="AU195" i="6"/>
  <c r="AU194" i="6"/>
  <c r="AU193" i="6"/>
  <c r="AU192" i="6"/>
  <c r="AU191" i="6"/>
  <c r="AU190" i="6"/>
  <c r="AU189" i="6"/>
  <c r="AU188" i="6"/>
  <c r="AU187" i="6"/>
  <c r="AT187" i="6"/>
  <c r="AS187" i="6"/>
  <c r="AR187" i="6"/>
  <c r="AQ187" i="6"/>
  <c r="AP187" i="6"/>
  <c r="AO187" i="6"/>
  <c r="AR185" i="6"/>
  <c r="AR39" i="6"/>
  <c r="AT39" i="6"/>
  <c r="AU169" i="6"/>
  <c r="AT169" i="6"/>
  <c r="AS169" i="6"/>
  <c r="AR169" i="6"/>
  <c r="AQ169" i="6"/>
  <c r="AP169" i="6"/>
  <c r="AO169" i="6"/>
  <c r="AQ167" i="6"/>
  <c r="AQ38" i="6"/>
  <c r="AU166" i="6"/>
  <c r="AU165" i="6"/>
  <c r="AU164" i="6"/>
  <c r="AU163" i="6"/>
  <c r="AU162" i="6"/>
  <c r="AU161" i="6"/>
  <c r="AU160" i="6"/>
  <c r="AU159" i="6"/>
  <c r="AU158" i="6"/>
  <c r="AU157" i="6"/>
  <c r="AU156" i="6"/>
  <c r="AU155" i="6"/>
  <c r="AU154" i="6"/>
  <c r="AU153" i="6"/>
  <c r="AU152" i="6"/>
  <c r="AU151" i="6"/>
  <c r="AT151" i="6"/>
  <c r="AS151" i="6"/>
  <c r="AR151" i="6"/>
  <c r="AQ151" i="6"/>
  <c r="AP151" i="6"/>
  <c r="AO151" i="6"/>
  <c r="AR149" i="6"/>
  <c r="AR37" i="6"/>
  <c r="AT37" i="6"/>
  <c r="AU133" i="6"/>
  <c r="AT133" i="6"/>
  <c r="AS133" i="6"/>
  <c r="AR133" i="6"/>
  <c r="AQ133" i="6"/>
  <c r="AP133" i="6"/>
  <c r="AO133" i="6"/>
  <c r="AR131" i="6"/>
  <c r="AR36" i="6"/>
  <c r="AT36" i="6"/>
  <c r="AU115" i="6"/>
  <c r="AT115" i="6"/>
  <c r="AS115" i="6"/>
  <c r="AR115" i="6"/>
  <c r="AQ115" i="6"/>
  <c r="AP115" i="6"/>
  <c r="AO115" i="6"/>
  <c r="AQ113" i="6"/>
  <c r="AQ35" i="6"/>
  <c r="AP113" i="6"/>
  <c r="AP35" i="6"/>
  <c r="AU112" i="6"/>
  <c r="AU111" i="6"/>
  <c r="AU110" i="6"/>
  <c r="AU109" i="6"/>
  <c r="AU108" i="6"/>
  <c r="AU107" i="6"/>
  <c r="AU106" i="6"/>
  <c r="AU105" i="6"/>
  <c r="AU104" i="6"/>
  <c r="AU103" i="6"/>
  <c r="AU102" i="6"/>
  <c r="AU101" i="6"/>
  <c r="AU100" i="6"/>
  <c r="AU99" i="6"/>
  <c r="AU98" i="6"/>
  <c r="AU97" i="6"/>
  <c r="AT97" i="6"/>
  <c r="AS97" i="6"/>
  <c r="AR97" i="6"/>
  <c r="AQ97" i="6"/>
  <c r="AP97" i="6"/>
  <c r="AO97" i="6"/>
  <c r="AQ95" i="6"/>
  <c r="AQ34" i="6"/>
  <c r="AP95" i="6"/>
  <c r="AP34" i="6"/>
  <c r="AU94" i="6"/>
  <c r="AU93" i="6"/>
  <c r="AU92" i="6"/>
  <c r="AU91" i="6"/>
  <c r="AU90" i="6"/>
  <c r="AU89" i="6"/>
  <c r="AU88" i="6"/>
  <c r="AU87" i="6"/>
  <c r="AU86" i="6"/>
  <c r="AU85" i="6"/>
  <c r="AU84" i="6"/>
  <c r="AU83" i="6"/>
  <c r="AU82" i="6"/>
  <c r="AU81" i="6"/>
  <c r="AU80" i="6"/>
  <c r="AU79" i="6"/>
  <c r="AT79" i="6"/>
  <c r="AS79" i="6"/>
  <c r="AR79" i="6"/>
  <c r="AQ79" i="6"/>
  <c r="AP79" i="6"/>
  <c r="AO79" i="6"/>
  <c r="AR77" i="6"/>
  <c r="AR33" i="6"/>
  <c r="AT33" i="6"/>
  <c r="AQ77" i="6"/>
  <c r="AQ33" i="6"/>
  <c r="AP77" i="6"/>
  <c r="AU61" i="6"/>
  <c r="AT61" i="6"/>
  <c r="AS61" i="6"/>
  <c r="AR61" i="6"/>
  <c r="AQ61" i="6"/>
  <c r="AP61" i="6"/>
  <c r="AO61" i="6"/>
  <c r="AQ59" i="6"/>
  <c r="AQ32" i="6"/>
  <c r="AP59" i="6"/>
  <c r="AP32" i="6"/>
  <c r="AU58" i="6"/>
  <c r="AU57" i="6"/>
  <c r="AU56" i="6"/>
  <c r="AU55" i="6"/>
  <c r="AU54" i="6"/>
  <c r="AU53" i="6"/>
  <c r="AU52" i="6"/>
  <c r="AU51" i="6"/>
  <c r="AU50" i="6"/>
  <c r="AU49" i="6"/>
  <c r="AU48" i="6"/>
  <c r="AU47" i="6"/>
  <c r="AU46" i="6"/>
  <c r="AU45" i="6"/>
  <c r="AU44" i="6"/>
  <c r="AR40" i="6"/>
  <c r="AT40" i="6"/>
  <c r="AQ40" i="6"/>
  <c r="AS39" i="6"/>
  <c r="AQ39" i="6"/>
  <c r="AP39" i="6"/>
  <c r="AR38" i="6"/>
  <c r="AT38" i="6"/>
  <c r="AP38" i="6"/>
  <c r="AN38" i="6"/>
  <c r="AS37" i="6"/>
  <c r="AQ37" i="6"/>
  <c r="AP37" i="6"/>
  <c r="AN37" i="6"/>
  <c r="AS36" i="6"/>
  <c r="AQ36" i="6"/>
  <c r="AP36" i="6"/>
  <c r="AN36" i="6"/>
  <c r="AR35" i="6"/>
  <c r="AT35" i="6"/>
  <c r="AN35" i="6"/>
  <c r="AR34" i="6"/>
  <c r="AT34" i="6"/>
  <c r="AN34" i="6"/>
  <c r="AS33" i="6"/>
  <c r="AP33" i="6"/>
  <c r="AN33" i="6"/>
  <c r="AR32" i="6"/>
  <c r="AT32" i="6"/>
  <c r="AN32" i="6"/>
  <c r="AH203" i="6"/>
  <c r="AH40" i="6"/>
  <c r="AG203" i="6"/>
  <c r="AG40" i="6"/>
  <c r="AL202" i="6"/>
  <c r="AL201" i="6"/>
  <c r="AL200" i="6"/>
  <c r="AL199" i="6"/>
  <c r="AL198" i="6"/>
  <c r="AL197" i="6"/>
  <c r="AL196" i="6"/>
  <c r="AL195" i="6"/>
  <c r="AL194" i="6"/>
  <c r="AL193" i="6"/>
  <c r="AL192" i="6"/>
  <c r="AL191" i="6"/>
  <c r="AL190" i="6"/>
  <c r="AL189" i="6"/>
  <c r="AL188" i="6"/>
  <c r="AL187" i="6"/>
  <c r="AK187" i="6"/>
  <c r="AJ187" i="6"/>
  <c r="AI187" i="6"/>
  <c r="AH187" i="6"/>
  <c r="AG187" i="6"/>
  <c r="AF187" i="6"/>
  <c r="AI185" i="6"/>
  <c r="AI39" i="6"/>
  <c r="AK39" i="6"/>
  <c r="AL169" i="6"/>
  <c r="AK169" i="6"/>
  <c r="AJ169" i="6"/>
  <c r="AI169" i="6"/>
  <c r="AH169" i="6"/>
  <c r="AG169" i="6"/>
  <c r="AF169" i="6"/>
  <c r="AH167" i="6"/>
  <c r="AH38" i="6"/>
  <c r="AL166" i="6"/>
  <c r="AL165" i="6"/>
  <c r="AL164" i="6"/>
  <c r="AL163" i="6"/>
  <c r="AL162" i="6"/>
  <c r="AL161" i="6"/>
  <c r="AL160" i="6"/>
  <c r="AL159" i="6"/>
  <c r="AL158" i="6"/>
  <c r="AL157" i="6"/>
  <c r="AL156" i="6"/>
  <c r="AL155" i="6"/>
  <c r="AL154" i="6"/>
  <c r="AL153" i="6"/>
  <c r="AL152" i="6"/>
  <c r="AL151" i="6"/>
  <c r="AK151" i="6"/>
  <c r="AJ151" i="6"/>
  <c r="AI151" i="6"/>
  <c r="AH151" i="6"/>
  <c r="AG151" i="6"/>
  <c r="AF151" i="6"/>
  <c r="AI149" i="6"/>
  <c r="AI37" i="6"/>
  <c r="AK37" i="6"/>
  <c r="AL133" i="6"/>
  <c r="AK133" i="6"/>
  <c r="AJ133" i="6"/>
  <c r="AI133" i="6"/>
  <c r="AH133" i="6"/>
  <c r="AG133" i="6"/>
  <c r="AF133" i="6"/>
  <c r="AI131" i="6"/>
  <c r="AI36" i="6"/>
  <c r="AK36" i="6"/>
  <c r="AL115" i="6"/>
  <c r="AK115" i="6"/>
  <c r="AJ115" i="6"/>
  <c r="AI115" i="6"/>
  <c r="AH115" i="6"/>
  <c r="AG115" i="6"/>
  <c r="AF115" i="6"/>
  <c r="AH113" i="6"/>
  <c r="AH35" i="6"/>
  <c r="AG113" i="6"/>
  <c r="AG35" i="6"/>
  <c r="AL112" i="6"/>
  <c r="AL111" i="6"/>
  <c r="AL110" i="6"/>
  <c r="AL109" i="6"/>
  <c r="AL108" i="6"/>
  <c r="AL107" i="6"/>
  <c r="AL106" i="6"/>
  <c r="AL105" i="6"/>
  <c r="AL104" i="6"/>
  <c r="AL103" i="6"/>
  <c r="AL102" i="6"/>
  <c r="AL101" i="6"/>
  <c r="AL100" i="6"/>
  <c r="AL99" i="6"/>
  <c r="AL98" i="6"/>
  <c r="AL97" i="6"/>
  <c r="AK97" i="6"/>
  <c r="AJ97" i="6"/>
  <c r="AI97" i="6"/>
  <c r="AH97" i="6"/>
  <c r="AG97" i="6"/>
  <c r="AF97" i="6"/>
  <c r="AH95" i="6"/>
  <c r="AH34" i="6"/>
  <c r="AG95" i="6"/>
  <c r="AG34" i="6"/>
  <c r="AL94" i="6"/>
  <c r="AL93" i="6"/>
  <c r="AL92" i="6"/>
  <c r="AL91" i="6"/>
  <c r="AL90" i="6"/>
  <c r="AL89" i="6"/>
  <c r="AL88" i="6"/>
  <c r="AL87" i="6"/>
  <c r="AL86" i="6"/>
  <c r="AL85" i="6"/>
  <c r="AL84" i="6"/>
  <c r="AL83" i="6"/>
  <c r="AL82" i="6"/>
  <c r="AL81" i="6"/>
  <c r="AL80" i="6"/>
  <c r="AL79" i="6"/>
  <c r="AK79" i="6"/>
  <c r="AJ79" i="6"/>
  <c r="AI79" i="6"/>
  <c r="AH79" i="6"/>
  <c r="AG79" i="6"/>
  <c r="AF79" i="6"/>
  <c r="AI77" i="6"/>
  <c r="AI33" i="6"/>
  <c r="AK33" i="6"/>
  <c r="AH77" i="6"/>
  <c r="AH33" i="6"/>
  <c r="AG77" i="6"/>
  <c r="AG33" i="6"/>
  <c r="AL61" i="6"/>
  <c r="AK61" i="6"/>
  <c r="AJ61" i="6"/>
  <c r="AI61" i="6"/>
  <c r="AH61" i="6"/>
  <c r="AG61" i="6"/>
  <c r="AF61" i="6"/>
  <c r="AH59" i="6"/>
  <c r="AG59" i="6"/>
  <c r="AG32" i="6"/>
  <c r="AL58" i="6"/>
  <c r="AL57" i="6"/>
  <c r="AL56" i="6"/>
  <c r="AL55" i="6"/>
  <c r="AL54" i="6"/>
  <c r="AL53" i="6"/>
  <c r="AL52" i="6"/>
  <c r="AL51" i="6"/>
  <c r="AL50" i="6"/>
  <c r="AL49" i="6"/>
  <c r="AL48" i="6"/>
  <c r="AL47" i="6"/>
  <c r="AL46" i="6"/>
  <c r="AL45" i="6"/>
  <c r="AL44" i="6"/>
  <c r="AI40" i="6"/>
  <c r="AK40" i="6"/>
  <c r="AJ39" i="6"/>
  <c r="AH39" i="6"/>
  <c r="AG39" i="6"/>
  <c r="AI38" i="6"/>
  <c r="AK38" i="6"/>
  <c r="AG38" i="6"/>
  <c r="AE38" i="6"/>
  <c r="AJ37" i="6"/>
  <c r="AH37" i="6"/>
  <c r="AG37" i="6"/>
  <c r="AE37" i="6"/>
  <c r="AJ36" i="6"/>
  <c r="AH36" i="6"/>
  <c r="AG36" i="6"/>
  <c r="AE36" i="6"/>
  <c r="AI35" i="6"/>
  <c r="AK35" i="6"/>
  <c r="AE35" i="6"/>
  <c r="AI34" i="6"/>
  <c r="AK34" i="6"/>
  <c r="AE34" i="6"/>
  <c r="AJ33" i="6"/>
  <c r="AE33" i="6"/>
  <c r="AI32" i="6"/>
  <c r="AK32" i="6"/>
  <c r="AH32" i="6"/>
  <c r="AE32" i="6"/>
  <c r="Y203" i="6"/>
  <c r="Y40" i="6"/>
  <c r="X203" i="6"/>
  <c r="X40" i="6"/>
  <c r="AC202" i="6"/>
  <c r="AC201" i="6"/>
  <c r="AC200" i="6"/>
  <c r="AC199" i="6"/>
  <c r="AC198" i="6"/>
  <c r="AC197" i="6"/>
  <c r="AC196" i="6"/>
  <c r="AC195" i="6"/>
  <c r="AC194" i="6"/>
  <c r="AC193" i="6"/>
  <c r="AC192" i="6"/>
  <c r="AC191" i="6"/>
  <c r="AC190" i="6"/>
  <c r="AC189" i="6"/>
  <c r="AC188" i="6"/>
  <c r="AC187" i="6"/>
  <c r="AB187" i="6"/>
  <c r="AA187" i="6"/>
  <c r="Z187" i="6"/>
  <c r="Y187" i="6"/>
  <c r="X187" i="6"/>
  <c r="W187" i="6"/>
  <c r="Z185" i="6"/>
  <c r="Z39" i="6"/>
  <c r="AB39" i="6"/>
  <c r="AC169" i="6"/>
  <c r="AB169" i="6"/>
  <c r="AA169" i="6"/>
  <c r="Z169" i="6"/>
  <c r="Y169" i="6"/>
  <c r="X169" i="6"/>
  <c r="W169" i="6"/>
  <c r="Y167" i="6"/>
  <c r="Y38" i="6"/>
  <c r="AC166" i="6"/>
  <c r="AC165" i="6"/>
  <c r="AC164" i="6"/>
  <c r="AC163" i="6"/>
  <c r="AC162" i="6"/>
  <c r="AC161" i="6"/>
  <c r="AC160" i="6"/>
  <c r="AC159" i="6"/>
  <c r="AC158" i="6"/>
  <c r="AC157" i="6"/>
  <c r="AC156" i="6"/>
  <c r="AC155" i="6"/>
  <c r="AC154" i="6"/>
  <c r="AC153" i="6"/>
  <c r="AC152" i="6"/>
  <c r="AC151" i="6"/>
  <c r="AB151" i="6"/>
  <c r="AA151" i="6"/>
  <c r="Z151" i="6"/>
  <c r="Y151" i="6"/>
  <c r="X151" i="6"/>
  <c r="W151" i="6"/>
  <c r="Z149" i="6"/>
  <c r="Z37" i="6"/>
  <c r="AB37" i="6"/>
  <c r="AC133" i="6"/>
  <c r="AB133" i="6"/>
  <c r="AA133" i="6"/>
  <c r="Z133" i="6"/>
  <c r="Y133" i="6"/>
  <c r="X133" i="6"/>
  <c r="W133" i="6"/>
  <c r="Z131" i="6"/>
  <c r="Z36" i="6"/>
  <c r="AB36" i="6"/>
  <c r="AC115" i="6"/>
  <c r="AB115" i="6"/>
  <c r="AA115" i="6"/>
  <c r="Z115" i="6"/>
  <c r="Y115" i="6"/>
  <c r="X115" i="6"/>
  <c r="W115" i="6"/>
  <c r="Y113" i="6"/>
  <c r="Y35" i="6"/>
  <c r="X113" i="6"/>
  <c r="X35" i="6"/>
  <c r="AC112" i="6"/>
  <c r="AC111" i="6"/>
  <c r="AC110" i="6"/>
  <c r="AC109" i="6"/>
  <c r="AC108" i="6"/>
  <c r="AC107" i="6"/>
  <c r="AC106" i="6"/>
  <c r="AC105" i="6"/>
  <c r="AC104" i="6"/>
  <c r="AC103" i="6"/>
  <c r="AC102" i="6"/>
  <c r="AC101" i="6"/>
  <c r="AC100" i="6"/>
  <c r="AC99" i="6"/>
  <c r="AC98" i="6"/>
  <c r="AC97" i="6"/>
  <c r="AB97" i="6"/>
  <c r="AA97" i="6"/>
  <c r="Z97" i="6"/>
  <c r="Y97" i="6"/>
  <c r="X97" i="6"/>
  <c r="W97" i="6"/>
  <c r="Y95" i="6"/>
  <c r="Y34" i="6"/>
  <c r="X95" i="6"/>
  <c r="X34" i="6"/>
  <c r="AC94" i="6"/>
  <c r="AC93" i="6"/>
  <c r="AC92" i="6"/>
  <c r="AC91" i="6"/>
  <c r="AC90" i="6"/>
  <c r="AC89" i="6"/>
  <c r="AC88" i="6"/>
  <c r="AC87" i="6"/>
  <c r="AC86" i="6"/>
  <c r="AC85" i="6"/>
  <c r="AC84" i="6"/>
  <c r="AC83" i="6"/>
  <c r="AC82" i="6"/>
  <c r="AC81" i="6"/>
  <c r="AC80" i="6"/>
  <c r="AC79" i="6"/>
  <c r="AB79" i="6"/>
  <c r="AA79" i="6"/>
  <c r="Z79" i="6"/>
  <c r="Y79" i="6"/>
  <c r="X79" i="6"/>
  <c r="W79" i="6"/>
  <c r="Z77" i="6"/>
  <c r="Z33" i="6"/>
  <c r="AB33" i="6"/>
  <c r="Y77" i="6"/>
  <c r="Y33" i="6"/>
  <c r="X77" i="6"/>
  <c r="X33" i="6"/>
  <c r="AC61" i="6"/>
  <c r="AB61" i="6"/>
  <c r="AA61" i="6"/>
  <c r="Z61" i="6"/>
  <c r="Y61" i="6"/>
  <c r="X61" i="6"/>
  <c r="W61" i="6"/>
  <c r="Y59" i="6"/>
  <c r="Y32" i="6"/>
  <c r="X59" i="6"/>
  <c r="X32" i="6"/>
  <c r="AC58" i="6"/>
  <c r="AC57" i="6"/>
  <c r="AC56" i="6"/>
  <c r="AC55" i="6"/>
  <c r="AC54" i="6"/>
  <c r="AC53" i="6"/>
  <c r="AC52" i="6"/>
  <c r="AC51" i="6"/>
  <c r="AC50" i="6"/>
  <c r="AC49" i="6"/>
  <c r="AC48" i="6"/>
  <c r="AC47" i="6"/>
  <c r="AC46" i="6"/>
  <c r="AC45" i="6"/>
  <c r="AC44" i="6"/>
  <c r="Z40" i="6"/>
  <c r="AB40" i="6"/>
  <c r="AA39" i="6"/>
  <c r="Y39" i="6"/>
  <c r="X39" i="6"/>
  <c r="Z38" i="6"/>
  <c r="AB38" i="6"/>
  <c r="X38" i="6"/>
  <c r="V38" i="6"/>
  <c r="AA37" i="6"/>
  <c r="Y37" i="6"/>
  <c r="X37" i="6"/>
  <c r="V37" i="6"/>
  <c r="AA36" i="6"/>
  <c r="Y36" i="6"/>
  <c r="X36" i="6"/>
  <c r="V36" i="6"/>
  <c r="Z35" i="6"/>
  <c r="AB35" i="6"/>
  <c r="V35" i="6"/>
  <c r="Z34" i="6"/>
  <c r="AB34" i="6"/>
  <c r="V34" i="6"/>
  <c r="AA33" i="6"/>
  <c r="V33" i="6"/>
  <c r="Z32" i="6"/>
  <c r="AB32" i="6"/>
  <c r="V32" i="6"/>
  <c r="O203" i="6"/>
  <c r="O40" i="6"/>
  <c r="N203" i="6"/>
  <c r="N40" i="6"/>
  <c r="S202" i="6"/>
  <c r="S201" i="6"/>
  <c r="S200" i="6"/>
  <c r="S199" i="6"/>
  <c r="S198" i="6"/>
  <c r="S197" i="6"/>
  <c r="S196" i="6"/>
  <c r="S195" i="6"/>
  <c r="S194" i="6"/>
  <c r="S193" i="6"/>
  <c r="S192" i="6"/>
  <c r="S191" i="6"/>
  <c r="S190" i="6"/>
  <c r="S189" i="6"/>
  <c r="S188" i="6"/>
  <c r="S187" i="6"/>
  <c r="R187" i="6"/>
  <c r="Q187" i="6"/>
  <c r="P187" i="6"/>
  <c r="O187" i="6"/>
  <c r="N187" i="6"/>
  <c r="M187" i="6"/>
  <c r="P39" i="6"/>
  <c r="R39" i="6"/>
  <c r="S169" i="6"/>
  <c r="R169" i="6"/>
  <c r="Q169" i="6"/>
  <c r="P169" i="6"/>
  <c r="O169" i="6"/>
  <c r="N169" i="6"/>
  <c r="M169" i="6"/>
  <c r="O38" i="6"/>
  <c r="S166" i="6"/>
  <c r="S165" i="6"/>
  <c r="S164" i="6"/>
  <c r="S163" i="6"/>
  <c r="S162" i="6"/>
  <c r="S161" i="6"/>
  <c r="S160" i="6"/>
  <c r="S159" i="6"/>
  <c r="S158" i="6"/>
  <c r="S157" i="6"/>
  <c r="S156" i="6"/>
  <c r="S155" i="6"/>
  <c r="S154" i="6"/>
  <c r="S153" i="6"/>
  <c r="S152" i="6"/>
  <c r="S151" i="6"/>
  <c r="R151" i="6"/>
  <c r="Q151" i="6"/>
  <c r="P151" i="6"/>
  <c r="O151" i="6"/>
  <c r="N151" i="6"/>
  <c r="M151" i="6"/>
  <c r="P149" i="6"/>
  <c r="P37" i="6"/>
  <c r="R37" i="6"/>
  <c r="S133" i="6"/>
  <c r="R133" i="6"/>
  <c r="Q133" i="6"/>
  <c r="P133" i="6"/>
  <c r="O133" i="6"/>
  <c r="N133" i="6"/>
  <c r="M133" i="6"/>
  <c r="P131" i="6"/>
  <c r="P36" i="6"/>
  <c r="R36" i="6"/>
  <c r="S115" i="6"/>
  <c r="R115" i="6"/>
  <c r="Q115" i="6"/>
  <c r="P115" i="6"/>
  <c r="O115" i="6"/>
  <c r="N115" i="6"/>
  <c r="M115" i="6"/>
  <c r="O113" i="6"/>
  <c r="O35" i="6"/>
  <c r="N113" i="6"/>
  <c r="N35" i="6"/>
  <c r="S112" i="6"/>
  <c r="S111" i="6"/>
  <c r="S110" i="6"/>
  <c r="S109" i="6"/>
  <c r="S108" i="6"/>
  <c r="S107" i="6"/>
  <c r="S106" i="6"/>
  <c r="S105" i="6"/>
  <c r="S104" i="6"/>
  <c r="S103" i="6"/>
  <c r="S102" i="6"/>
  <c r="S101" i="6"/>
  <c r="S100" i="6"/>
  <c r="S99" i="6"/>
  <c r="S98" i="6"/>
  <c r="S97" i="6"/>
  <c r="R97" i="6"/>
  <c r="Q97" i="6"/>
  <c r="P97" i="6"/>
  <c r="O97" i="6"/>
  <c r="N97" i="6"/>
  <c r="M97" i="6"/>
  <c r="O95" i="6"/>
  <c r="O34" i="6"/>
  <c r="N95" i="6"/>
  <c r="N34" i="6"/>
  <c r="S94" i="6"/>
  <c r="S93" i="6"/>
  <c r="S92" i="6"/>
  <c r="S91" i="6"/>
  <c r="S90" i="6"/>
  <c r="S89" i="6"/>
  <c r="S88" i="6"/>
  <c r="S87" i="6"/>
  <c r="S86" i="6"/>
  <c r="S85" i="6"/>
  <c r="S84" i="6"/>
  <c r="S83" i="6"/>
  <c r="S82" i="6"/>
  <c r="S81" i="6"/>
  <c r="S80" i="6"/>
  <c r="S79" i="6"/>
  <c r="R79" i="6"/>
  <c r="Q79" i="6"/>
  <c r="P79" i="6"/>
  <c r="O79" i="6"/>
  <c r="N79" i="6"/>
  <c r="M79" i="6"/>
  <c r="P77" i="6"/>
  <c r="P33" i="6"/>
  <c r="R33" i="6"/>
  <c r="O77" i="6"/>
  <c r="O33" i="6"/>
  <c r="N77" i="6"/>
  <c r="N33" i="6"/>
  <c r="S61" i="6"/>
  <c r="R61" i="6"/>
  <c r="Q61" i="6"/>
  <c r="P61" i="6"/>
  <c r="O61" i="6"/>
  <c r="N61" i="6"/>
  <c r="M61" i="6"/>
  <c r="O59" i="6"/>
  <c r="O32" i="6"/>
  <c r="N59" i="6"/>
  <c r="N32" i="6"/>
  <c r="S58" i="6"/>
  <c r="S57" i="6"/>
  <c r="S56" i="6"/>
  <c r="S55" i="6"/>
  <c r="S54" i="6"/>
  <c r="S53" i="6"/>
  <c r="S52" i="6"/>
  <c r="S51" i="6"/>
  <c r="S50" i="6"/>
  <c r="S49" i="6"/>
  <c r="S48" i="6"/>
  <c r="S47" i="6"/>
  <c r="P40" i="6"/>
  <c r="R40" i="6"/>
  <c r="Q39" i="6"/>
  <c r="O39" i="6"/>
  <c r="N39" i="6"/>
  <c r="P38" i="6"/>
  <c r="R38" i="6"/>
  <c r="N38" i="6"/>
  <c r="L38" i="6"/>
  <c r="Q37" i="6"/>
  <c r="O37" i="6"/>
  <c r="N37" i="6"/>
  <c r="L37" i="6"/>
  <c r="Q36" i="6"/>
  <c r="O36" i="6"/>
  <c r="N36" i="6"/>
  <c r="L36" i="6"/>
  <c r="P35" i="6"/>
  <c r="R35" i="6"/>
  <c r="L35" i="6"/>
  <c r="P34" i="6"/>
  <c r="R34" i="6"/>
  <c r="L34" i="6"/>
  <c r="Q33" i="6"/>
  <c r="L33" i="6"/>
  <c r="P32" i="6"/>
  <c r="R32" i="6"/>
  <c r="L32" i="6"/>
  <c r="E27" i="6"/>
  <c r="E5" i="6"/>
  <c r="D27" i="6"/>
  <c r="D5" i="6"/>
  <c r="C27" i="6"/>
  <c r="C5" i="6"/>
  <c r="J26" i="6"/>
  <c r="J25" i="6"/>
  <c r="J24" i="6"/>
  <c r="J23" i="6"/>
  <c r="J22" i="6"/>
  <c r="J21" i="6"/>
  <c r="J20" i="6"/>
  <c r="J19" i="6"/>
  <c r="J18" i="6"/>
  <c r="J17" i="6"/>
  <c r="J16" i="6"/>
  <c r="J15" i="6"/>
  <c r="J14" i="6"/>
  <c r="J13" i="6"/>
  <c r="E203" i="6"/>
  <c r="E40" i="6"/>
  <c r="D203" i="6"/>
  <c r="D40" i="6"/>
  <c r="I202" i="6"/>
  <c r="I201" i="6"/>
  <c r="I200" i="6"/>
  <c r="I199" i="6"/>
  <c r="I198" i="6"/>
  <c r="I197" i="6"/>
  <c r="I196" i="6"/>
  <c r="I195" i="6"/>
  <c r="I194" i="6"/>
  <c r="I193" i="6"/>
  <c r="I192" i="6"/>
  <c r="I191" i="6"/>
  <c r="I190" i="6"/>
  <c r="I189" i="6"/>
  <c r="I188" i="6"/>
  <c r="I187" i="6"/>
  <c r="H187" i="6"/>
  <c r="G187" i="6"/>
  <c r="F187" i="6"/>
  <c r="E187" i="6"/>
  <c r="D187" i="6"/>
  <c r="C187" i="6"/>
  <c r="I169" i="6"/>
  <c r="H169" i="6"/>
  <c r="G169" i="6"/>
  <c r="F169" i="6"/>
  <c r="E169" i="6"/>
  <c r="D169" i="6"/>
  <c r="C169" i="6"/>
  <c r="E38" i="6"/>
  <c r="E210" i="6"/>
  <c r="I166" i="6"/>
  <c r="I165" i="6"/>
  <c r="I164" i="6"/>
  <c r="I163" i="6"/>
  <c r="I162" i="6"/>
  <c r="I161" i="6"/>
  <c r="I160" i="6"/>
  <c r="I159" i="6"/>
  <c r="I158" i="6"/>
  <c r="I157" i="6"/>
  <c r="I156" i="6"/>
  <c r="I155" i="6"/>
  <c r="I154" i="6"/>
  <c r="I153" i="6"/>
  <c r="I152" i="6"/>
  <c r="I151" i="6"/>
  <c r="H151" i="6"/>
  <c r="G151" i="6"/>
  <c r="F151" i="6"/>
  <c r="E151" i="6"/>
  <c r="D151" i="6"/>
  <c r="C151" i="6"/>
  <c r="F149" i="6"/>
  <c r="F37" i="6"/>
  <c r="H37" i="6"/>
  <c r="I133" i="6"/>
  <c r="H133" i="6"/>
  <c r="G133" i="6"/>
  <c r="F133" i="6"/>
  <c r="E133" i="6"/>
  <c r="C133" i="6"/>
  <c r="F36" i="6"/>
  <c r="H36" i="6"/>
  <c r="I115" i="6"/>
  <c r="H115" i="6"/>
  <c r="G115" i="6"/>
  <c r="F115" i="6"/>
  <c r="E115" i="6"/>
  <c r="D115" i="6"/>
  <c r="C115" i="6"/>
  <c r="E113" i="6"/>
  <c r="E35" i="6"/>
  <c r="D113" i="6"/>
  <c r="D35" i="6"/>
  <c r="I112" i="6"/>
  <c r="I111" i="6"/>
  <c r="I110" i="6"/>
  <c r="I109" i="6"/>
  <c r="I108" i="6"/>
  <c r="I107" i="6"/>
  <c r="I106" i="6"/>
  <c r="I105" i="6"/>
  <c r="I104" i="6"/>
  <c r="I103" i="6"/>
  <c r="I102" i="6"/>
  <c r="I101" i="6"/>
  <c r="I100" i="6"/>
  <c r="I99" i="6"/>
  <c r="I98" i="6"/>
  <c r="I97" i="6"/>
  <c r="H97" i="6"/>
  <c r="G97" i="6"/>
  <c r="F97" i="6"/>
  <c r="E97" i="6"/>
  <c r="D97" i="6"/>
  <c r="C97" i="6"/>
  <c r="E95" i="6"/>
  <c r="E34" i="6"/>
  <c r="D95" i="6"/>
  <c r="D34" i="6"/>
  <c r="I94" i="6"/>
  <c r="I93" i="6"/>
  <c r="I92" i="6"/>
  <c r="I91" i="6"/>
  <c r="I90" i="6"/>
  <c r="I89" i="6"/>
  <c r="I88" i="6"/>
  <c r="I87" i="6"/>
  <c r="I86" i="6"/>
  <c r="I85" i="6"/>
  <c r="I84" i="6"/>
  <c r="I83" i="6"/>
  <c r="I82" i="6"/>
  <c r="I81" i="6"/>
  <c r="I80" i="6"/>
  <c r="I79" i="6"/>
  <c r="H79" i="6"/>
  <c r="G79" i="6"/>
  <c r="F79" i="6"/>
  <c r="E79" i="6"/>
  <c r="D79" i="6"/>
  <c r="C79" i="6"/>
  <c r="F77" i="6"/>
  <c r="F33" i="6"/>
  <c r="H33" i="6"/>
  <c r="E77" i="6"/>
  <c r="E33" i="6"/>
  <c r="D77" i="6"/>
  <c r="D33" i="6"/>
  <c r="I61" i="6"/>
  <c r="H61" i="6"/>
  <c r="G61" i="6"/>
  <c r="F61" i="6"/>
  <c r="E61" i="6"/>
  <c r="D61" i="6"/>
  <c r="C61" i="6"/>
  <c r="E59" i="6"/>
  <c r="E32" i="6"/>
  <c r="D59" i="6"/>
  <c r="D32" i="6"/>
  <c r="I58" i="6"/>
  <c r="I57" i="6"/>
  <c r="I56" i="6"/>
  <c r="I55" i="6"/>
  <c r="I54" i="6"/>
  <c r="I53" i="6"/>
  <c r="I52" i="6"/>
  <c r="I51" i="6"/>
  <c r="I50" i="6"/>
  <c r="I49" i="6"/>
  <c r="I48" i="6"/>
  <c r="I47" i="6"/>
  <c r="I46" i="6"/>
  <c r="I45" i="6"/>
  <c r="I44" i="6"/>
  <c r="F40" i="6"/>
  <c r="H40" i="6"/>
  <c r="G39" i="6"/>
  <c r="F38" i="6"/>
  <c r="H38" i="6"/>
  <c r="D38" i="6"/>
  <c r="D210" i="6"/>
  <c r="B38" i="6"/>
  <c r="G37" i="6"/>
  <c r="E37" i="6"/>
  <c r="E209" i="6"/>
  <c r="D37" i="6"/>
  <c r="D209" i="6"/>
  <c r="B37" i="6"/>
  <c r="G36" i="6"/>
  <c r="E36" i="6"/>
  <c r="D36" i="6"/>
  <c r="B36" i="6"/>
  <c r="F35" i="6"/>
  <c r="H35" i="6"/>
  <c r="B35" i="6"/>
  <c r="F34" i="6"/>
  <c r="H34" i="6"/>
  <c r="B34" i="6"/>
  <c r="G33" i="6"/>
  <c r="B33" i="6"/>
  <c r="F32" i="6"/>
  <c r="H32" i="6"/>
  <c r="B32" i="6"/>
  <c r="F39" i="6"/>
  <c r="H39" i="6"/>
  <c r="D211" i="6"/>
  <c r="E211" i="6"/>
  <c r="D208" i="6"/>
  <c r="E208" i="6"/>
  <c r="I167" i="6"/>
  <c r="G38" i="6"/>
  <c r="I38" i="6"/>
  <c r="S36" i="6"/>
  <c r="J36" i="9"/>
  <c r="F18" i="9"/>
  <c r="BM39" i="6"/>
  <c r="S33" i="6"/>
  <c r="AL95" i="6"/>
  <c r="AJ34" i="6"/>
  <c r="AL34" i="6"/>
  <c r="AL113" i="6"/>
  <c r="AJ35" i="6"/>
  <c r="AL35" i="6"/>
  <c r="AL36" i="6"/>
  <c r="AL167" i="6"/>
  <c r="AJ38" i="6"/>
  <c r="AL38" i="6"/>
  <c r="I33" i="6"/>
  <c r="AU36" i="6"/>
  <c r="AL39" i="6"/>
  <c r="AC36" i="6"/>
  <c r="BM59" i="6"/>
  <c r="BK32" i="6"/>
  <c r="AC59" i="6"/>
  <c r="AA32" i="6"/>
  <c r="AC32" i="6"/>
  <c r="AU39" i="6"/>
  <c r="AU203" i="6"/>
  <c r="AS40" i="6"/>
  <c r="AU40" i="6"/>
  <c r="BJ41" i="6"/>
  <c r="BM36" i="6"/>
  <c r="AC37" i="6"/>
  <c r="S95" i="6"/>
  <c r="Q34" i="6"/>
  <c r="S34" i="6"/>
  <c r="S113" i="6"/>
  <c r="Q35" i="6"/>
  <c r="S35" i="6"/>
  <c r="S37" i="6"/>
  <c r="S167" i="6"/>
  <c r="Q38" i="6"/>
  <c r="S38" i="6"/>
  <c r="BD59" i="6"/>
  <c r="BB32" i="6"/>
  <c r="BD32" i="6"/>
  <c r="AZ41" i="6"/>
  <c r="BM37" i="6"/>
  <c r="S39" i="6"/>
  <c r="R41" i="6"/>
  <c r="D7" i="6"/>
  <c r="AC203" i="6"/>
  <c r="AA40" i="6"/>
  <c r="AC40" i="6"/>
  <c r="AG41" i="6"/>
  <c r="AQ41" i="6"/>
  <c r="AU95" i="6"/>
  <c r="AS34" i="6"/>
  <c r="AU34" i="6"/>
  <c r="AU113" i="6"/>
  <c r="AS35" i="6"/>
  <c r="AU35" i="6"/>
  <c r="AU167" i="6"/>
  <c r="AS38" i="6"/>
  <c r="AU38" i="6"/>
  <c r="BD36" i="6"/>
  <c r="BD203" i="6"/>
  <c r="BB40" i="6"/>
  <c r="BD40" i="6"/>
  <c r="BL32" i="6"/>
  <c r="BM33" i="6"/>
  <c r="BM203" i="6"/>
  <c r="BK40" i="6"/>
  <c r="BM40" i="6"/>
  <c r="AK41" i="6"/>
  <c r="F7" i="6"/>
  <c r="AL37" i="6"/>
  <c r="I59" i="6"/>
  <c r="G32" i="6"/>
  <c r="I32" i="6"/>
  <c r="S32" i="6"/>
  <c r="AB41" i="6"/>
  <c r="E7" i="6"/>
  <c r="AC39" i="6"/>
  <c r="AC95" i="6"/>
  <c r="AA34" i="6"/>
  <c r="AC34" i="6"/>
  <c r="AC113" i="6"/>
  <c r="AA35" i="6"/>
  <c r="AC35" i="6"/>
  <c r="AC167" i="6"/>
  <c r="AA38" i="6"/>
  <c r="AC38" i="6"/>
  <c r="AL59" i="6"/>
  <c r="AJ32" i="6"/>
  <c r="AL32" i="6"/>
  <c r="AP41" i="6"/>
  <c r="BD39" i="6"/>
  <c r="BD95" i="6"/>
  <c r="BB34" i="6"/>
  <c r="BD34" i="6"/>
  <c r="BD113" i="6"/>
  <c r="BB35" i="6"/>
  <c r="BD35" i="6"/>
  <c r="BD167" i="6"/>
  <c r="BB38" i="6"/>
  <c r="BD38" i="6"/>
  <c r="BM95" i="6"/>
  <c r="BK34" i="6"/>
  <c r="BM34" i="6"/>
  <c r="BM113" i="6"/>
  <c r="BK35" i="6"/>
  <c r="BM35" i="6"/>
  <c r="BM167" i="6"/>
  <c r="BK38" i="6"/>
  <c r="BM38" i="6"/>
  <c r="P41" i="6"/>
  <c r="S203" i="6"/>
  <c r="Q40" i="6"/>
  <c r="S40" i="6"/>
  <c r="X41" i="6"/>
  <c r="AL203" i="6"/>
  <c r="AJ40" i="6"/>
  <c r="AL40" i="6"/>
  <c r="AU59" i="6"/>
  <c r="AS32" i="6"/>
  <c r="AU32" i="6"/>
  <c r="AY41" i="6"/>
  <c r="BH41" i="6"/>
  <c r="BI41" i="6"/>
  <c r="BC41" i="6"/>
  <c r="H7" i="6"/>
  <c r="BD37" i="6"/>
  <c r="BD33" i="6"/>
  <c r="BA41" i="6"/>
  <c r="AT41" i="6"/>
  <c r="G7" i="6"/>
  <c r="AU33" i="6"/>
  <c r="AU37" i="6"/>
  <c r="AR41" i="6"/>
  <c r="AL33" i="6"/>
  <c r="AH41" i="6"/>
  <c r="AI41" i="6"/>
  <c r="AC33" i="6"/>
  <c r="Y41" i="6"/>
  <c r="Z41" i="6"/>
  <c r="N41" i="6"/>
  <c r="O41" i="6"/>
  <c r="I113" i="6"/>
  <c r="G35" i="6"/>
  <c r="I35" i="6"/>
  <c r="I36" i="6"/>
  <c r="I37" i="6"/>
  <c r="I95" i="6"/>
  <c r="G34" i="6"/>
  <c r="I34" i="6"/>
  <c r="E41" i="6"/>
  <c r="I39" i="6"/>
  <c r="I203" i="6"/>
  <c r="G40" i="6"/>
  <c r="I40" i="6"/>
  <c r="H41" i="6"/>
  <c r="C7" i="6"/>
  <c r="D41" i="6"/>
  <c r="F41" i="6"/>
  <c r="D213" i="6"/>
  <c r="E213" i="6"/>
  <c r="G18" i="9"/>
  <c r="L18" i="9"/>
  <c r="F20" i="9"/>
  <c r="D18" i="9"/>
  <c r="E18" i="9"/>
  <c r="AS41" i="6"/>
  <c r="G8" i="6"/>
  <c r="G6" i="6"/>
  <c r="BM32" i="6"/>
  <c r="BM41" i="6"/>
  <c r="BL41" i="6"/>
  <c r="I7" i="6"/>
  <c r="J7" i="6"/>
  <c r="S41" i="6"/>
  <c r="AU41" i="6"/>
  <c r="D9" i="6"/>
  <c r="BK41" i="6"/>
  <c r="I8" i="6"/>
  <c r="AA41" i="6"/>
  <c r="E8" i="6"/>
  <c r="E6" i="6"/>
  <c r="E9" i="6"/>
  <c r="BB41" i="6"/>
  <c r="H8" i="6"/>
  <c r="H6" i="6"/>
  <c r="AC41" i="6"/>
  <c r="AJ41" i="6"/>
  <c r="F8" i="6"/>
  <c r="F6" i="6"/>
  <c r="F9" i="6"/>
  <c r="G27" i="6"/>
  <c r="G5" i="6"/>
  <c r="BD41" i="6"/>
  <c r="AL41" i="6"/>
  <c r="G41" i="6"/>
  <c r="C8" i="6"/>
  <c r="I41" i="6"/>
  <c r="G20" i="9"/>
  <c r="E20" i="9"/>
  <c r="L20" i="9"/>
  <c r="D20" i="9"/>
  <c r="H18" i="9"/>
  <c r="J8" i="6"/>
  <c r="I6" i="6"/>
  <c r="G9" i="6"/>
  <c r="C6" i="6"/>
  <c r="I27" i="6"/>
  <c r="I5" i="6"/>
  <c r="H27" i="6"/>
  <c r="H5" i="6"/>
  <c r="H9" i="6"/>
  <c r="H20" i="9"/>
  <c r="J5" i="6"/>
  <c r="F17" i="8"/>
  <c r="I9" i="6"/>
  <c r="C9" i="6"/>
  <c r="J12" i="6"/>
  <c r="J27" i="6"/>
  <c r="E21" i="2"/>
  <c r="E20" i="2"/>
  <c r="E19" i="2"/>
  <c r="E18" i="2"/>
  <c r="E17" i="2"/>
  <c r="E16" i="2"/>
  <c r="E15" i="2"/>
  <c r="E14" i="2"/>
  <c r="E13" i="2"/>
  <c r="E12" i="2"/>
  <c r="E11" i="2"/>
  <c r="E10" i="2"/>
  <c r="E9" i="2"/>
  <c r="E8" i="2"/>
  <c r="E7" i="2"/>
  <c r="E6" i="2"/>
  <c r="E5" i="2"/>
  <c r="F11" i="8"/>
  <c r="E22" i="2"/>
  <c r="D8" i="15"/>
  <c r="F8" i="15" s="1"/>
  <c r="J9" i="6"/>
  <c r="D7" i="12"/>
  <c r="F7" i="12"/>
  <c r="D16" i="9" l="1"/>
  <c r="P29" i="16"/>
  <c r="N29" i="16"/>
  <c r="F39" i="14"/>
  <c r="F69" i="14" s="1"/>
  <c r="H15" i="9"/>
  <c r="R20" i="16"/>
  <c r="L22" i="9"/>
  <c r="G22" i="9"/>
  <c r="H22" i="9" s="1"/>
  <c r="E22" i="9"/>
  <c r="D22" i="9"/>
  <c r="L95" i="15"/>
  <c r="V223" i="15"/>
  <c r="V239" i="15" s="1"/>
  <c r="L203" i="15"/>
  <c r="V205" i="15"/>
  <c r="V221" i="15" s="1"/>
  <c r="V55" i="15"/>
  <c r="V49" i="15"/>
  <c r="AC55" i="15"/>
  <c r="I95" i="15"/>
  <c r="G47" i="15" s="1"/>
  <c r="I47" i="15" s="1"/>
  <c r="AC77" i="15"/>
  <c r="AA46" i="15" s="1"/>
  <c r="AC149" i="15"/>
  <c r="AA50" i="15" s="1"/>
  <c r="AC50" i="15" s="1"/>
  <c r="S275" i="15"/>
  <c r="Q57" i="15" s="1"/>
  <c r="S57" i="15" s="1"/>
  <c r="S54" i="15"/>
  <c r="AC54" i="15"/>
  <c r="S58" i="15"/>
  <c r="I131" i="15"/>
  <c r="G49" i="15" s="1"/>
  <c r="I49" i="15" s="1"/>
  <c r="AC167" i="15"/>
  <c r="AA51" i="15" s="1"/>
  <c r="AC51" i="15" s="1"/>
  <c r="L52" i="15"/>
  <c r="AC58" i="15"/>
  <c r="R59" i="15"/>
  <c r="D29" i="15" s="1"/>
  <c r="F29" i="15" s="1"/>
  <c r="I185" i="15"/>
  <c r="G52" i="15" s="1"/>
  <c r="I52" i="15" s="1"/>
  <c r="AC185" i="15"/>
  <c r="AA52" i="15" s="1"/>
  <c r="AC52" i="15" s="1"/>
  <c r="AC113" i="15"/>
  <c r="AA48" i="15" s="1"/>
  <c r="AC48" i="15" s="1"/>
  <c r="AC95" i="15"/>
  <c r="AA47" i="15" s="1"/>
  <c r="AC47" i="15" s="1"/>
  <c r="V51" i="15"/>
  <c r="V97" i="15"/>
  <c r="V113" i="15" s="1"/>
  <c r="S203" i="15"/>
  <c r="Q53" i="15" s="1"/>
  <c r="S53" i="15" s="1"/>
  <c r="I203" i="15"/>
  <c r="G53" i="15" s="1"/>
  <c r="I53" i="15" s="1"/>
  <c r="S55" i="15"/>
  <c r="V54" i="15"/>
  <c r="N59" i="15"/>
  <c r="L53" i="15"/>
  <c r="L47" i="15"/>
  <c r="V61" i="15"/>
  <c r="V77" i="15" s="1"/>
  <c r="L57" i="15"/>
  <c r="AC131" i="15"/>
  <c r="AA49" i="15" s="1"/>
  <c r="AC49" i="15" s="1"/>
  <c r="S131" i="15"/>
  <c r="Q49" i="15" s="1"/>
  <c r="S49" i="15" s="1"/>
  <c r="S95" i="15"/>
  <c r="Q47" i="15" s="1"/>
  <c r="S47" i="15" s="1"/>
  <c r="V48" i="15"/>
  <c r="V151" i="15"/>
  <c r="V167" i="15" s="1"/>
  <c r="Y59" i="15"/>
  <c r="V58" i="15"/>
  <c r="S56" i="15"/>
  <c r="I77" i="15"/>
  <c r="G46" i="15" s="1"/>
  <c r="I46" i="15" s="1"/>
  <c r="O59" i="15"/>
  <c r="Z59" i="15"/>
  <c r="AB56" i="15"/>
  <c r="AC56" i="15" s="1"/>
  <c r="I149" i="15"/>
  <c r="G50" i="15" s="1"/>
  <c r="I50" i="15" s="1"/>
  <c r="AC203" i="15"/>
  <c r="AA53" i="15" s="1"/>
  <c r="AC53" i="15" s="1"/>
  <c r="S185" i="15"/>
  <c r="Q52" i="15" s="1"/>
  <c r="S52" i="15" s="1"/>
  <c r="L131" i="15"/>
  <c r="V115" i="15"/>
  <c r="V131" i="15" s="1"/>
  <c r="S77" i="15"/>
  <c r="Q46" i="15" s="1"/>
  <c r="S46" i="15" s="1"/>
  <c r="L56" i="15"/>
  <c r="X59" i="15"/>
  <c r="P59" i="15"/>
  <c r="S167" i="15"/>
  <c r="Q51" i="15" s="1"/>
  <c r="S51" i="15" s="1"/>
  <c r="V46" i="15"/>
  <c r="E307" i="15"/>
  <c r="V133" i="15"/>
  <c r="V149" i="15" s="1"/>
  <c r="V241" i="15"/>
  <c r="V257" i="15" s="1"/>
  <c r="AC275" i="15"/>
  <c r="AA57" i="15" s="1"/>
  <c r="AC57" i="15" s="1"/>
  <c r="I167" i="15"/>
  <c r="G51" i="15" s="1"/>
  <c r="I51" i="15" s="1"/>
  <c r="S149" i="15"/>
  <c r="Q50" i="15" s="1"/>
  <c r="S50" i="15" s="1"/>
  <c r="S113" i="15"/>
  <c r="Q48" i="15" s="1"/>
  <c r="S48" i="15" s="1"/>
  <c r="AC46" i="15"/>
  <c r="I275" i="15"/>
  <c r="G57" i="15" s="1"/>
  <c r="I57" i="15" s="1"/>
  <c r="C306" i="15"/>
  <c r="C307" i="15"/>
  <c r="I113" i="15"/>
  <c r="G48" i="15" s="1"/>
  <c r="I48" i="15" s="1"/>
  <c r="D306" i="15"/>
  <c r="E306" i="15"/>
  <c r="C303" i="15"/>
  <c r="D303" i="15"/>
  <c r="E69" i="14"/>
  <c r="P20" i="16"/>
  <c r="O29" i="16"/>
  <c r="O20" i="16"/>
  <c r="N20" i="16"/>
  <c r="H16" i="9"/>
  <c r="R29" i="16"/>
  <c r="R11" i="16"/>
  <c r="H21" i="9"/>
  <c r="H19" i="9"/>
  <c r="H23" i="9"/>
  <c r="F66" i="14"/>
  <c r="F34" i="14"/>
  <c r="C84" i="14"/>
  <c r="W6" i="15"/>
  <c r="D84" i="14"/>
  <c r="F59" i="15"/>
  <c r="H56" i="15"/>
  <c r="E59" i="15"/>
  <c r="E303" i="15"/>
  <c r="U7" i="25"/>
  <c r="AN7" i="25"/>
  <c r="E84" i="14"/>
  <c r="D307" i="15"/>
  <c r="D59" i="15"/>
  <c r="M5" i="14"/>
  <c r="F84" i="14"/>
  <c r="N4" i="14"/>
  <c r="G83" i="14"/>
  <c r="L18" i="14"/>
  <c r="P11" i="16"/>
  <c r="O11" i="16"/>
  <c r="N11" i="16"/>
  <c r="K18" i="14"/>
  <c r="N15" i="14"/>
  <c r="J14" i="14"/>
  <c r="G5" i="14"/>
  <c r="G21" i="14"/>
  <c r="G62" i="14" s="1"/>
  <c r="E12" i="9"/>
  <c r="E14" i="9" s="1"/>
  <c r="E19" i="9" s="1"/>
  <c r="D48" i="14"/>
  <c r="G12" i="9"/>
  <c r="G14" i="9" s="1"/>
  <c r="G15" i="9" s="1"/>
  <c r="L12" i="9"/>
  <c r="L14" i="9" s="1"/>
  <c r="L19" i="9" s="1"/>
  <c r="N6" i="14"/>
  <c r="L8" i="9"/>
  <c r="G17" i="9"/>
  <c r="N16" i="14"/>
  <c r="F48" i="14"/>
  <c r="N12" i="14"/>
  <c r="G27" i="14"/>
  <c r="G25" i="14" s="1"/>
  <c r="G66" i="14" s="1"/>
  <c r="L5" i="14"/>
  <c r="F22" i="14"/>
  <c r="F63" i="14" s="1"/>
  <c r="E17" i="9"/>
  <c r="E22" i="14"/>
  <c r="E63" i="14" s="1"/>
  <c r="F16" i="9"/>
  <c r="D22" i="14"/>
  <c r="D63" i="14" s="1"/>
  <c r="J5" i="14"/>
  <c r="F17" i="9"/>
  <c r="C22" i="14"/>
  <c r="C63" i="14" s="1"/>
  <c r="G41" i="14"/>
  <c r="G39" i="14" s="1"/>
  <c r="G69" i="14" s="1"/>
  <c r="X6" i="15"/>
  <c r="K7" i="14"/>
  <c r="M7" i="14"/>
  <c r="G16" i="9"/>
  <c r="D17" i="9"/>
  <c r="G8" i="14"/>
  <c r="G12" i="14" s="1"/>
  <c r="G14" i="14" s="1"/>
  <c r="N13" i="14" s="1"/>
  <c r="L7" i="14"/>
  <c r="W7" i="15"/>
  <c r="K14" i="14"/>
  <c r="E16" i="9"/>
  <c r="J7" i="14"/>
  <c r="D12" i="9"/>
  <c r="D14" i="9" s="1"/>
  <c r="D15" i="9" s="1"/>
  <c r="C25" i="14"/>
  <c r="C66" i="14" s="1"/>
  <c r="E34" i="14"/>
  <c r="M14" i="14"/>
  <c r="Y7" i="15"/>
  <c r="K10" i="14"/>
  <c r="D34" i="14"/>
  <c r="D67" i="14" s="1"/>
  <c r="K9" i="14"/>
  <c r="M9" i="14"/>
  <c r="K17" i="42" s="1"/>
  <c r="M10" i="14"/>
  <c r="C48" i="14"/>
  <c r="X7" i="15"/>
  <c r="L14" i="14"/>
  <c r="L13" i="14"/>
  <c r="K5" i="14"/>
  <c r="K13" i="14"/>
  <c r="N17" i="14"/>
  <c r="F12" i="9"/>
  <c r="F14" i="9" s="1"/>
  <c r="L9" i="9"/>
  <c r="L17" i="9" s="1"/>
  <c r="G35" i="14"/>
  <c r="G68" i="14" s="1"/>
  <c r="Y6" i="15"/>
  <c r="E308" i="15" l="1"/>
  <c r="AA59" i="15"/>
  <c r="L9" i="14"/>
  <c r="E48" i="14"/>
  <c r="E70" i="14" s="1"/>
  <c r="L10" i="14"/>
  <c r="S59" i="15"/>
  <c r="AB59" i="15"/>
  <c r="C308" i="15"/>
  <c r="AC59" i="15"/>
  <c r="Q59" i="15"/>
  <c r="D30" i="15" s="1"/>
  <c r="G59" i="15"/>
  <c r="D25" i="15" s="1"/>
  <c r="F25" i="15" s="1"/>
  <c r="D308" i="15"/>
  <c r="F54" i="14"/>
  <c r="M19" i="14"/>
  <c r="C8" i="39"/>
  <c r="D9" i="39"/>
  <c r="D10" i="39"/>
  <c r="D6" i="39"/>
  <c r="I56" i="15"/>
  <c r="I59" i="15" s="1"/>
  <c r="H59" i="15"/>
  <c r="D24" i="15" s="1"/>
  <c r="F24" i="15" s="1"/>
  <c r="F26" i="8" s="1"/>
  <c r="D53" i="14"/>
  <c r="D76" i="14" s="1"/>
  <c r="D70" i="14"/>
  <c r="C53" i="14"/>
  <c r="C76" i="14" s="1"/>
  <c r="C70" i="14"/>
  <c r="N16" i="25"/>
  <c r="L21" i="14"/>
  <c r="E67" i="14"/>
  <c r="F53" i="14"/>
  <c r="F76" i="14" s="1"/>
  <c r="F70" i="14"/>
  <c r="M21" i="14"/>
  <c r="F67" i="14"/>
  <c r="N5" i="14"/>
  <c r="G84" i="14"/>
  <c r="F8" i="39" s="1"/>
  <c r="E21" i="9"/>
  <c r="K21" i="14"/>
  <c r="G48" i="14"/>
  <c r="G23" i="9"/>
  <c r="N18" i="14"/>
  <c r="E15" i="9"/>
  <c r="E23" i="9"/>
  <c r="K11" i="14"/>
  <c r="L19" i="14"/>
  <c r="Z6" i="15"/>
  <c r="G22" i="14"/>
  <c r="L23" i="9"/>
  <c r="L21" i="9"/>
  <c r="M11" i="14"/>
  <c r="K21" i="42" s="1"/>
  <c r="G21" i="9"/>
  <c r="G19" i="9"/>
  <c r="L15" i="9"/>
  <c r="D23" i="9"/>
  <c r="D19" i="9"/>
  <c r="L16" i="9"/>
  <c r="D21" i="9"/>
  <c r="N9" i="14"/>
  <c r="N10" i="14"/>
  <c r="G34" i="14"/>
  <c r="G67" i="14" s="1"/>
  <c r="J10" i="14"/>
  <c r="N7" i="14"/>
  <c r="K8" i="14"/>
  <c r="J9" i="14"/>
  <c r="C34" i="14"/>
  <c r="J11" i="14"/>
  <c r="F21" i="9"/>
  <c r="F15" i="9"/>
  <c r="F19" i="9"/>
  <c r="F23" i="9"/>
  <c r="Z7" i="15"/>
  <c r="D9" i="15" s="1"/>
  <c r="F9" i="15" s="1"/>
  <c r="N14" i="14"/>
  <c r="G17" i="14"/>
  <c r="M8" i="14"/>
  <c r="J8" i="14"/>
  <c r="L8" i="14"/>
  <c r="D54" i="14"/>
  <c r="C7" i="39" l="1"/>
  <c r="C6" i="39"/>
  <c r="D8" i="39"/>
  <c r="C10" i="39"/>
  <c r="D7" i="39"/>
  <c r="C9" i="39"/>
  <c r="E54" i="14"/>
  <c r="E53" i="14"/>
  <c r="E76" i="14" s="1"/>
  <c r="E78" i="14" s="1"/>
  <c r="L11" i="14"/>
  <c r="F30" i="15"/>
  <c r="F31" i="15" s="1"/>
  <c r="D31" i="15"/>
  <c r="D26" i="15"/>
  <c r="E7" i="39"/>
  <c r="F6" i="39"/>
  <c r="E6" i="39"/>
  <c r="F9" i="39"/>
  <c r="E9" i="39"/>
  <c r="E10" i="39"/>
  <c r="E8" i="39"/>
  <c r="D55" i="14"/>
  <c r="D78" i="14"/>
  <c r="J21" i="14"/>
  <c r="C67" i="14"/>
  <c r="AG16" i="25"/>
  <c r="AG19" i="25" s="1"/>
  <c r="AF7" i="25" s="1"/>
  <c r="AZ16" i="25"/>
  <c r="AZ19" i="25" s="1"/>
  <c r="AY7" i="25" s="1"/>
  <c r="N19" i="25"/>
  <c r="M7" i="25" s="1"/>
  <c r="F55" i="14"/>
  <c r="F78" i="14"/>
  <c r="G53" i="14"/>
  <c r="G76" i="14" s="1"/>
  <c r="G78" i="14" s="1"/>
  <c r="G70" i="14"/>
  <c r="F10" i="39"/>
  <c r="G63" i="14"/>
  <c r="D26" i="39" s="1"/>
  <c r="F7" i="39"/>
  <c r="G19" i="14"/>
  <c r="G86" i="14"/>
  <c r="G87" i="14"/>
  <c r="F27" i="8"/>
  <c r="F28" i="8" s="1"/>
  <c r="F32" i="8" s="1"/>
  <c r="F26" i="15"/>
  <c r="N11" i="14"/>
  <c r="K19" i="14"/>
  <c r="N21" i="14"/>
  <c r="N20" i="14"/>
  <c r="N8" i="14"/>
  <c r="C54" i="14"/>
  <c r="N22" i="14"/>
  <c r="N23" i="14"/>
  <c r="N19" i="14"/>
  <c r="C55" i="14"/>
  <c r="D21" i="15"/>
  <c r="D20" i="39" l="1"/>
  <c r="C26" i="39"/>
  <c r="C15" i="39"/>
  <c r="D15" i="39"/>
  <c r="D23" i="39"/>
  <c r="D17" i="39"/>
  <c r="D22" i="39"/>
  <c r="C25" i="39"/>
  <c r="D18" i="39"/>
  <c r="C14" i="39"/>
  <c r="D25" i="39"/>
  <c r="D19" i="39"/>
  <c r="D21" i="39"/>
  <c r="D16" i="39"/>
  <c r="D24" i="39"/>
  <c r="C19" i="39"/>
  <c r="D14" i="39"/>
  <c r="C24" i="39"/>
  <c r="C18" i="39"/>
  <c r="C22" i="39"/>
  <c r="C23" i="39"/>
  <c r="C16" i="39"/>
  <c r="C21" i="39"/>
  <c r="C20" i="39"/>
  <c r="E55" i="14"/>
  <c r="D5" i="15"/>
  <c r="K9" i="42" s="1"/>
  <c r="N25" i="14"/>
  <c r="E22" i="39"/>
  <c r="E26" i="39"/>
  <c r="E19" i="39"/>
  <c r="E18" i="39"/>
  <c r="E24" i="39"/>
  <c r="E23" i="39"/>
  <c r="E16" i="39"/>
  <c r="E15" i="39"/>
  <c r="E21" i="39"/>
  <c r="E20" i="39"/>
  <c r="E14" i="39"/>
  <c r="E25" i="39"/>
  <c r="E17" i="39"/>
  <c r="C17" i="39"/>
  <c r="C78" i="14"/>
  <c r="F26" i="39"/>
  <c r="F22" i="39"/>
  <c r="F24" i="39"/>
  <c r="F20" i="39"/>
  <c r="F16" i="39"/>
  <c r="F25" i="39"/>
  <c r="F23" i="39"/>
  <c r="F18" i="39"/>
  <c r="F21" i="39"/>
  <c r="F14" i="39"/>
  <c r="F15" i="39"/>
  <c r="F19" i="39"/>
  <c r="F17" i="39"/>
  <c r="F21" i="15"/>
  <c r="F5" i="15" s="1"/>
  <c r="F21" i="8"/>
  <c r="F25" i="8" s="1"/>
  <c r="F31" i="8" l="1"/>
  <c r="F12" i="8" s="1"/>
  <c r="F10" i="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tc={61F54643-B308-4217-8D6C-CA66E18F3D1E}</author>
    <author>tc={80F11064-EBC8-46E1-A74F-2D89320CD862}</author>
    <author>tc={CBEB86A0-5FE0-409B-9441-9D1B05E2317F}</author>
    <author>tc={89F0A51A-3823-4EB9-A0F1-F0E9A1874161}</author>
    <author>tc={4D93DCE7-36A8-4784-92F0-28336D0D0B27}</author>
    <author>tc={7B8403D7-1DE4-4960-B694-F3C374016341}</author>
    <author>tc={230A8ED3-A207-473B-B8D3-007B0B2B4B83}</author>
  </authors>
  <commentList>
    <comment ref="G43" authorId="0" shapeId="0" xr:uid="{61F54643-B308-4217-8D6C-CA66E18F3D1E}">
      <text>
        <t>[Threaded comment]
Your version of Excel allows you to read this threaded comment; however, any edits to it will get removed if the file is opened in a newer version of Excel. Learn more: https://go.microsoft.com/fwlink/?linkid=870924
Comment:
    BLR/BFR + 2.5%</t>
      </text>
    </comment>
    <comment ref="Q43" authorId="1" shapeId="0" xr:uid="{80F11064-EBC8-46E1-A74F-2D89320CD862}">
      <text>
        <t>[Threaded comment]
Your version of Excel allows you to read this threaded comment; however, any edits to it will get removed if the file is opened in a newer version of Excel. Learn more: https://go.microsoft.com/fwlink/?linkid=870924
Comment:
    BLR/BFR + 2.5%</t>
      </text>
    </comment>
    <comment ref="AA43" authorId="2" shapeId="0" xr:uid="{CBEB86A0-5FE0-409B-9441-9D1B05E2317F}">
      <text>
        <t>[Threaded comment]
Your version of Excel allows you to read this threaded comment; however, any edits to it will get removed if the file is opened in a newer version of Excel. Learn more: https://go.microsoft.com/fwlink/?linkid=870924
Comment:
    BLR/BFR + 2.5%</t>
      </text>
    </comment>
    <comment ref="AJ43" authorId="3" shapeId="0" xr:uid="{89F0A51A-3823-4EB9-A0F1-F0E9A1874161}">
      <text>
        <t>[Threaded comment]
Your version of Excel allows you to read this threaded comment; however, any edits to it will get removed if the file is opened in a newer version of Excel. Learn more: https://go.microsoft.com/fwlink/?linkid=870924
Comment:
    BLR/BFR + 2.5%</t>
      </text>
    </comment>
    <comment ref="AS43" authorId="4" shapeId="0" xr:uid="{4D93DCE7-36A8-4784-92F0-28336D0D0B27}">
      <text>
        <t>[Threaded comment]
Your version of Excel allows you to read this threaded comment; however, any edits to it will get removed if the file is opened in a newer version of Excel. Learn more: https://go.microsoft.com/fwlink/?linkid=870924
Comment:
    BLR/BFR + 2.5%</t>
      </text>
    </comment>
    <comment ref="BB43" authorId="5" shapeId="0" xr:uid="{7B8403D7-1DE4-4960-B694-F3C374016341}">
      <text>
        <t>[Threaded comment]
Your version of Excel allows you to read this threaded comment; however, any edits to it will get removed if the file is opened in a newer version of Excel. Learn more: https://go.microsoft.com/fwlink/?linkid=870924
Comment:
    BLR/BFR + 2.5%</t>
      </text>
    </comment>
    <comment ref="BK43" authorId="6" shapeId="0" xr:uid="{230A8ED3-A207-473B-B8D3-007B0B2B4B83}">
      <text>
        <t>[Threaded comment]
Your version of Excel allows you to read this threaded comment; however, any edits to it will get removed if the file is opened in a newer version of Excel. Learn more: https://go.microsoft.com/fwlink/?linkid=870924
Comment:
    BLR/BFR + 2.5%</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tc={C3F6746E-8B2F-47B6-953E-2EAC93AD24A6}</author>
  </authors>
  <commentList>
    <comment ref="Y54" authorId="0" shapeId="0" xr:uid="{C3F6746E-8B2F-47B6-953E-2EAC93AD24A6}">
      <text>
        <t>[Threaded comment]
Your version of Excel allows you to read this threaded comment; however, any edits to it will get removed if the file is opened in a newer version of Excel. Learn more: https://go.microsoft.com/fwlink/?linkid=870924
Comment:
    BLR/BFR + 2.5%</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tc={7BD32315-1854-47F4-895F-2BF8CFCB5CF5}</author>
    <author>tc={C60AAAB4-45E7-4F3A-B3DF-832F83EA4CE1}</author>
    <author>tc={04669764-0E24-4ED7-BB83-A3713C772974}</author>
    <author>tc={A0BCB7FE-BCAF-44BC-8C7D-DC25DB6CADB7}</author>
    <author>tc={A024217C-D29D-4794-94DC-4EE24465363F}</author>
    <author>tc={8F2DB6F3-85AE-4040-ACFD-5D308B6BF7A9}</author>
    <author>tc={173AB5DC-3A0F-4119-BE17-118EE0D46C9C}</author>
  </authors>
  <commentList>
    <comment ref="G43" authorId="0" shapeId="0" xr:uid="{7BD32315-1854-47F4-895F-2BF8CFCB5CF5}">
      <text>
        <t>[Threaded comment]
Your version of Excel allows you to read this threaded comment; however, any edits to it will get removed if the file is opened in a newer version of Excel. Learn more: https://go.microsoft.com/fwlink/?linkid=870924
Comment:
    BLR/BFR + 2.5%</t>
      </text>
    </comment>
    <comment ref="P43" authorId="1" shapeId="0" xr:uid="{C60AAAB4-45E7-4F3A-B3DF-832F83EA4CE1}">
      <text>
        <t>[Threaded comment]
Your version of Excel allows you to read this threaded comment; however, any edits to it will get removed if the file is opened in a newer version of Excel. Learn more: https://go.microsoft.com/fwlink/?linkid=870924
Comment:
    BLR/BFR + 2.5%</t>
      </text>
    </comment>
    <comment ref="Y43" authorId="2" shapeId="0" xr:uid="{04669764-0E24-4ED7-BB83-A3713C772974}">
      <text>
        <t>[Threaded comment]
Your version of Excel allows you to read this threaded comment; however, any edits to it will get removed if the file is opened in a newer version of Excel. Learn more: https://go.microsoft.com/fwlink/?linkid=870924
Comment:
    BLR/BFR + 2.5%</t>
      </text>
    </comment>
    <comment ref="AH43" authorId="3" shapeId="0" xr:uid="{A0BCB7FE-BCAF-44BC-8C7D-DC25DB6CADB7}">
      <text>
        <t>[Threaded comment]
Your version of Excel allows you to read this threaded comment; however, any edits to it will get removed if the file is opened in a newer version of Excel. Learn more: https://go.microsoft.com/fwlink/?linkid=870924
Comment:
    BLR/BFR + 2.5%</t>
      </text>
    </comment>
    <comment ref="AQ43" authorId="4" shapeId="0" xr:uid="{A024217C-D29D-4794-94DC-4EE24465363F}">
      <text>
        <t>[Threaded comment]
Your version of Excel allows you to read this threaded comment; however, any edits to it will get removed if the file is opened in a newer version of Excel. Learn more: https://go.microsoft.com/fwlink/?linkid=870924
Comment:
    BLR/BFR + 2.5%</t>
      </text>
    </comment>
    <comment ref="AZ43" authorId="5" shapeId="0" xr:uid="{8F2DB6F3-85AE-4040-ACFD-5D308B6BF7A9}">
      <text>
        <t>[Threaded comment]
Your version of Excel allows you to read this threaded comment; however, any edits to it will get removed if the file is opened in a newer version of Excel. Learn more: https://go.microsoft.com/fwlink/?linkid=870924
Comment:
    BLR/BFR + 2.5%</t>
      </text>
    </comment>
    <comment ref="BI43" authorId="6" shapeId="0" xr:uid="{173AB5DC-3A0F-4119-BE17-118EE0D46C9C}">
      <text>
        <t>[Threaded comment]
Your version of Excel allows you to read this threaded comment; however, any edits to it will get removed if the file is opened in a newer version of Excel. Learn more: https://go.microsoft.com/fwlink/?linkid=870924
Comment:
    BLR/BFR + 2.5%</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tc={62CA7331-F36F-4222-ACC8-2A570A45254A}</author>
    <author>tc={0E9BFC68-579F-49D7-B521-93EDBDB32D1D}</author>
    <author>tc={B57240E7-5C3E-4940-A54C-090A874141CA}</author>
    <author>tc={1E194A6B-B3A4-4BCD-8B4F-793E8DB3C61D}</author>
    <author>tc={6E256182-8B66-4934-8534-0B6E392124FD}</author>
    <author>tc={3EAADB16-E40B-47A5-BAAF-9EE729778E62}</author>
    <author>tc={5B4015EE-7D7B-42E0-A2E3-387BFDBDC352}</author>
  </authors>
  <commentList>
    <comment ref="G43" authorId="0" shapeId="0" xr:uid="{62CA7331-F36F-4222-ACC8-2A570A45254A}">
      <text>
        <t>[Threaded comment]
Your version of Excel allows you to read this threaded comment; however, any edits to it will get removed if the file is opened in a newer version of Excel. Learn more: https://go.microsoft.com/fwlink/?linkid=870924
Comment:
    BLR/BFR + 2.5%</t>
      </text>
    </comment>
    <comment ref="Q43" authorId="1" shapeId="0" xr:uid="{0E9BFC68-579F-49D7-B521-93EDBDB32D1D}">
      <text>
        <t>[Threaded comment]
Your version of Excel allows you to read this threaded comment; however, any edits to it will get removed if the file is opened in a newer version of Excel. Learn more: https://go.microsoft.com/fwlink/?linkid=870924
Comment:
    BLR/BFR + 2.5%</t>
      </text>
    </comment>
    <comment ref="AA43" authorId="2" shapeId="0" xr:uid="{B57240E7-5C3E-4940-A54C-090A874141CA}">
      <text>
        <t>[Threaded comment]
Your version of Excel allows you to read this threaded comment; however, any edits to it will get removed if the file is opened in a newer version of Excel. Learn more: https://go.microsoft.com/fwlink/?linkid=870924
Comment:
    BLR/BFR + 2.5%</t>
      </text>
    </comment>
    <comment ref="AJ43" authorId="3" shapeId="0" xr:uid="{1E194A6B-B3A4-4BCD-8B4F-793E8DB3C61D}">
      <text>
        <t>[Threaded comment]
Your version of Excel allows you to read this threaded comment; however, any edits to it will get removed if the file is opened in a newer version of Excel. Learn more: https://go.microsoft.com/fwlink/?linkid=870924
Comment:
    BLR/BFR + 2.5%</t>
      </text>
    </comment>
    <comment ref="AS43" authorId="4" shapeId="0" xr:uid="{6E256182-8B66-4934-8534-0B6E392124FD}">
      <text>
        <t>[Threaded comment]
Your version of Excel allows you to read this threaded comment; however, any edits to it will get removed if the file is opened in a newer version of Excel. Learn more: https://go.microsoft.com/fwlink/?linkid=870924
Comment:
    BLR/BFR + 2.5%</t>
      </text>
    </comment>
    <comment ref="BB43" authorId="5" shapeId="0" xr:uid="{3EAADB16-E40B-47A5-BAAF-9EE729778E62}">
      <text>
        <t>[Threaded comment]
Your version of Excel allows you to read this threaded comment; however, any edits to it will get removed if the file is opened in a newer version of Excel. Learn more: https://go.microsoft.com/fwlink/?linkid=870924
Comment:
    BLR/BFR + 2.5%</t>
      </text>
    </comment>
    <comment ref="BK43" authorId="6" shapeId="0" xr:uid="{5B4015EE-7D7B-42E0-A2E3-387BFDBDC352}">
      <text>
        <t>[Threaded comment]
Your version of Excel allows you to read this threaded comment; however, any edits to it will get removed if the file is opened in a newer version of Excel. Learn more: https://go.microsoft.com/fwlink/?linkid=870924
Comment:
    BLR/BFR + 2.5%</t>
      </text>
    </comment>
  </commentList>
</comments>
</file>

<file path=xl/sharedStrings.xml><?xml version="1.0" encoding="utf-8"?>
<sst xmlns="http://schemas.openxmlformats.org/spreadsheetml/2006/main" count="10511" uniqueCount="1101">
  <si>
    <t>General Formula to Compute Minimum Interest Payment:</t>
  </si>
  <si>
    <t>Option 1</t>
  </si>
  <si>
    <t>= Limit * Interest Rate * Factor</t>
  </si>
  <si>
    <t>Option 2</t>
  </si>
  <si>
    <t>= Outstanding * Factor</t>
  </si>
  <si>
    <t>No</t>
  </si>
  <si>
    <t>Type of Facility</t>
  </si>
  <si>
    <t>Type of Repayment</t>
  </si>
  <si>
    <t>Computation of Interest Payment:</t>
  </si>
  <si>
    <t>Facility (Overdraft)</t>
  </si>
  <si>
    <t>Interest only</t>
  </si>
  <si>
    <t>Facility (Overdraft with Reduction/ Sinking Fund)</t>
  </si>
  <si>
    <t>Installment = Principal + Interest</t>
  </si>
  <si>
    <t>N/A</t>
  </si>
  <si>
    <t>Facility (Trade Receivable)</t>
  </si>
  <si>
    <t>Facility (BA)</t>
  </si>
  <si>
    <t>Facility (Term-loan)</t>
  </si>
  <si>
    <t>Facility (Hire Purchase / Leasing)</t>
  </si>
  <si>
    <t>Facility (Credit Card)</t>
  </si>
  <si>
    <t>P2P - Facility (Term-loan)</t>
  </si>
  <si>
    <t>P2P - Facility (Trade Receivable)</t>
  </si>
  <si>
    <t>Payment Status Table:</t>
  </si>
  <si>
    <t>Payment Status</t>
  </si>
  <si>
    <t>Conduct Of Account For Last 12</t>
  </si>
  <si>
    <t>Good</t>
  </si>
  <si>
    <t>All '0'</t>
  </si>
  <si>
    <t>Prompt</t>
  </si>
  <si>
    <t>Total Number of  '1' cannot be more than 3 times</t>
  </si>
  <si>
    <t>Satisfactory</t>
  </si>
  <si>
    <t>Total Number of  '1' cannot be more than 3 times &amp; consecutively</t>
  </si>
  <si>
    <t>Poor</t>
  </si>
  <si>
    <t>Either 1 month  = 3</t>
  </si>
  <si>
    <t>Unacceptable</t>
  </si>
  <si>
    <t>Either 1 month &gt; 3</t>
  </si>
  <si>
    <t>Remark:</t>
  </si>
  <si>
    <t>For Overdraft, interest rate is based on the offered rate as per Letter of Offer if any. Otherwise, BLR/BFR + 2.5% may apply.</t>
  </si>
  <si>
    <t>All the commitments are aplicable for existing and proposed facilities.</t>
  </si>
  <si>
    <t>Utilization of OD is assume at 75% and monthly commitment for Cards is based on 5% of current outstanding as per CCRIS (formulae is embedded)</t>
  </si>
  <si>
    <t>DSR of the company MUST first be used to assess the repayment capability of the Borrower</t>
  </si>
  <si>
    <t>Alternative DSR can be adopted in the event DSR is not sufficient to justify the repayment capabilities.</t>
  </si>
  <si>
    <t xml:space="preserve">For newly-setup company, expected income is on individual. For Operating company, expected income is to be on company. </t>
  </si>
  <si>
    <t xml:space="preserve">Actual income to be assessed first, in the event DSR fails, expected income to be used to assess the repayment capability. </t>
  </si>
  <si>
    <t>Actual income and expected income MUST NOT be used together.</t>
  </si>
  <si>
    <t>Color Coding</t>
  </si>
  <si>
    <t>Description</t>
  </si>
  <si>
    <t>Extract from CTOS Report</t>
  </si>
  <si>
    <t>Input by Credit Analyst</t>
  </si>
  <si>
    <t>Summation</t>
  </si>
  <si>
    <t>Formula</t>
  </si>
  <si>
    <t>XXXXXXX</t>
  </si>
  <si>
    <t>Extract within worksheet (Blue Font)</t>
  </si>
  <si>
    <t>For Discussion Purpose Only (Pricing are based on assumption only)</t>
  </si>
  <si>
    <t>Financing Amount (RM):</t>
  </si>
  <si>
    <t>Tenor [Month(s)]:</t>
  </si>
  <si>
    <t>Credit Rating based on Credit Agency Score</t>
  </si>
  <si>
    <t>Investor Returns (p.a.)</t>
  </si>
  <si>
    <t>Gross Rate (p.a.)</t>
  </si>
  <si>
    <r>
      <t xml:space="preserve">  </t>
    </r>
    <r>
      <rPr>
        <b/>
        <sz val="9"/>
        <color rgb="FFFF0000"/>
        <rFont val="Calibri"/>
        <family val="2"/>
        <scheme val="minor"/>
      </rPr>
      <t>LESS: Risk Reduction 
  INCENTIVE Rate (p.a.)</t>
    </r>
  </si>
  <si>
    <t>INVESTOR's Gross Returns (p.a.) / Flat Rate (p.a.)</t>
  </si>
  <si>
    <t>KEY Risk REDUCTIONS Incentives*</t>
  </si>
  <si>
    <t>Total Risk Reduction Incentives 
(up to)</t>
  </si>
  <si>
    <t xml:space="preserve">Invoice is INSURED against Bad Debt / Late Payments @90% </t>
  </si>
  <si>
    <t>Yes</t>
  </si>
  <si>
    <t>Buyer is Government of Malaysia / GLCs or its Agencies / Subsidiaries</t>
  </si>
  <si>
    <t>Non-Govt. Buyer / Ultimate Holding Co / Sub. &gt; RM50m Cash / Cash equi. / Networth &gt; RM10m</t>
  </si>
  <si>
    <t>DIRECT PAYMENT from BUYER + NOA Accepted by Buyer</t>
  </si>
  <si>
    <t>Invoices are VALIDATED with the BUYER</t>
  </si>
  <si>
    <t>Key Director's / 3rd Party GUARANTEES</t>
  </si>
  <si>
    <t>Post Dated Cheques or Its Equivalent</t>
  </si>
  <si>
    <t>Other Risk Reductions accepted by Platform **</t>
  </si>
  <si>
    <t>Notes</t>
  </si>
  <si>
    <t>* Incentives No.1 to 8 are capped at max. 8% p.a.</t>
  </si>
  <si>
    <t>**  Other Risk Reductions accepted at the absolute discretion of Platform</t>
  </si>
  <si>
    <t>Monthly Instalment or Bullet (&lt;=1 Month only) Repayment from Issuer (NOT BUYER)</t>
  </si>
  <si>
    <t>Keyman(s) / Key Management Insurance (Life) Policy assigned to Platform (0.75% per keyman, max. 1.5%)</t>
  </si>
  <si>
    <t>Notice of ASSIGNMENT (NOA) Served and Acknowledged by Buyer</t>
  </si>
  <si>
    <t>i. Issuer has made (3) Continuous Prompt Payments</t>
  </si>
  <si>
    <t>ii. Issuer has made (50) Continuous Prompt Payments</t>
  </si>
  <si>
    <t>iii. Issuer has made (100) Continuous Prompt Payments</t>
  </si>
  <si>
    <t>iv. Issuer has made (150) Continuous Prompt Payments</t>
  </si>
  <si>
    <t>Payment made by Platform to Seller directly</t>
  </si>
  <si>
    <t>Payment made by Platform to Strong Seller directly (&gt; RM50m Cash or Equi. / Networth &gt; RM10m)</t>
  </si>
  <si>
    <t>Evidence of Prior Payment made to Supplier, i.e. Issuer Pay first</t>
  </si>
  <si>
    <t>Margin of finance &lt;50% of invoice</t>
  </si>
  <si>
    <t>Marketable property &lt;60% OMV as collateral</t>
  </si>
  <si>
    <t>Issuer is owned &gt;51%(Effective Shareholding) by Government of Malaysia/GLC or its Agent/Subsidiaries</t>
  </si>
  <si>
    <t>Financing Amount</t>
  </si>
  <si>
    <t>Financing Term (months)</t>
  </si>
  <si>
    <t>Simple Interest</t>
  </si>
  <si>
    <t>Principal</t>
  </si>
  <si>
    <t>Interest</t>
  </si>
  <si>
    <t>Monthly Installment</t>
  </si>
  <si>
    <t>Effective Interest Rate</t>
  </si>
  <si>
    <t>No.</t>
  </si>
  <si>
    <t>Items</t>
  </si>
  <si>
    <t>Remarks</t>
  </si>
  <si>
    <t xml:space="preserve">Yes </t>
  </si>
  <si>
    <t>A</t>
  </si>
  <si>
    <t>B</t>
  </si>
  <si>
    <t>C</t>
  </si>
  <si>
    <t>D</t>
  </si>
  <si>
    <t>E</t>
  </si>
  <si>
    <t>F</t>
  </si>
  <si>
    <t>Guidance Note</t>
  </si>
  <si>
    <t>Issuer's Actual Indicator / Ratio</t>
  </si>
  <si>
    <t>Type of Risk</t>
  </si>
  <si>
    <t>Max. Loading</t>
  </si>
  <si>
    <t>Actual Loading</t>
  </si>
  <si>
    <t>Debt Service Ratios &lt; 1.2</t>
  </si>
  <si>
    <t>1.2 &lt; Debt Service Ratios &lt; 1.5</t>
  </si>
  <si>
    <t>Debt Service Ratios &gt; 1.5</t>
  </si>
  <si>
    <t>Solvency: Negative Net Worth (Total Liabilities &gt; Total Assets)</t>
  </si>
  <si>
    <t>Negative networth in the last preceding 2 Years</t>
  </si>
  <si>
    <t>Negative networth In the last Financial Year</t>
  </si>
  <si>
    <t>Current Ratio &lt; 2</t>
  </si>
  <si>
    <t>Current Ratio &lt; 1.2 (Trading)</t>
  </si>
  <si>
    <t>If either Leverage Ratio or Gearing Ratio exceed the below benchmark</t>
  </si>
  <si>
    <t>Leverage Ratio</t>
  </si>
  <si>
    <t>Gearing Ratio</t>
  </si>
  <si>
    <t>Benchmarking Ratio by industry:</t>
  </si>
  <si>
    <t xml:space="preserve">Leverage </t>
  </si>
  <si>
    <t>Gearing</t>
  </si>
  <si>
    <t>Manufacturing</t>
  </si>
  <si>
    <t>(a) Food &amp; Beverages</t>
  </si>
  <si>
    <t>(b) Rubber &amp; Plastic Products</t>
  </si>
  <si>
    <t>(c) Wood &amp; Wood Products (including Furniture)</t>
  </si>
  <si>
    <t>(d) Fabricated Metal Products, Machinery &amp; Equipment</t>
  </si>
  <si>
    <t>(e) Basic Metal Industries</t>
  </si>
  <si>
    <t>(f) Chemical &amp; Of Chemical Products</t>
  </si>
  <si>
    <t>(g) Paper/Paper Products, Printing/ Publishing</t>
  </si>
  <si>
    <t>(h) Electrical Machinery, Apparatus, Appliances &amp; Supplies</t>
  </si>
  <si>
    <t>Wholesale, Retail Trade</t>
  </si>
  <si>
    <t>(a) Wholesale Trade</t>
  </si>
  <si>
    <t>(b) Retail Trade</t>
  </si>
  <si>
    <t>(c) Sales, Maintenance &amp; Repair Of Motor Vehicles &amp; Motorcycles</t>
  </si>
  <si>
    <t>(a) General Contractors Including Civil Engineering Contractors</t>
  </si>
  <si>
    <t xml:space="preserve">(b) Property Developer / Real Estate Activities </t>
  </si>
  <si>
    <t>Business Services</t>
  </si>
  <si>
    <t>(a) Rental Of Other Machinery And Equipment</t>
  </si>
  <si>
    <t>(b) Engineering Consultancy Services</t>
  </si>
  <si>
    <t>(c) Computer &amp; Related Activities</t>
  </si>
  <si>
    <t>(d) Business Consultancy &amp; Management Consultancy Services</t>
  </si>
  <si>
    <t>Other Industries</t>
  </si>
  <si>
    <t>&lt; 2 Years</t>
  </si>
  <si>
    <t>Negative Industry Outlook</t>
  </si>
  <si>
    <t>Gross Financing Rate</t>
  </si>
  <si>
    <t>Issuer</t>
  </si>
  <si>
    <t>Corporate Guarantor</t>
  </si>
  <si>
    <t>Buyer</t>
  </si>
  <si>
    <t>Source</t>
  </si>
  <si>
    <t>Referred 1</t>
  </si>
  <si>
    <t>Referred 2</t>
  </si>
  <si>
    <t>Referred 3</t>
  </si>
  <si>
    <t>Any of the below</t>
  </si>
  <si>
    <t>CTOS</t>
  </si>
  <si>
    <t>Not equal Existing</t>
  </si>
  <si>
    <t>Exempt Private Company</t>
  </si>
  <si>
    <t>Y</t>
  </si>
  <si>
    <t xml:space="preserve">Winding Up / Bankruptcy Proceedings Record </t>
  </si>
  <si>
    <t>Summary</t>
  </si>
  <si>
    <t>&gt;= 1</t>
  </si>
  <si>
    <t>&gt;5</t>
  </si>
  <si>
    <t>&gt;5 mil</t>
  </si>
  <si>
    <t>&lt;2 years from current year</t>
  </si>
  <si>
    <t>Any T,C,G,K,W,</t>
  </si>
  <si>
    <t>Malaysian Resident</t>
  </si>
  <si>
    <t>Adverse</t>
  </si>
  <si>
    <t>Trade Receivable</t>
  </si>
  <si>
    <t>MYR</t>
  </si>
  <si>
    <t>DR</t>
  </si>
  <si>
    <t>Currency</t>
  </si>
  <si>
    <t>Deposit</t>
  </si>
  <si>
    <t>Withdrawal</t>
  </si>
  <si>
    <t>Month End Balance</t>
  </si>
  <si>
    <t>Overdraft Limit</t>
  </si>
  <si>
    <t>Average Balance Without OD</t>
  </si>
  <si>
    <t>Latest Balance</t>
  </si>
  <si>
    <t>Average Balance</t>
  </si>
  <si>
    <t>Available Balance</t>
  </si>
  <si>
    <t>Total</t>
  </si>
  <si>
    <t>Average Balance With OD</t>
  </si>
  <si>
    <t>Time Period</t>
  </si>
  <si>
    <t>Average Deposit</t>
  </si>
  <si>
    <t>Average Withdrawal</t>
  </si>
  <si>
    <t>Overdraft Limit, if any</t>
  </si>
  <si>
    <t>Average Available Balance</t>
  </si>
  <si>
    <r>
      <t xml:space="preserve">Latest Balance as at </t>
    </r>
    <r>
      <rPr>
        <b/>
        <sz val="10"/>
        <color rgb="FFFF0000"/>
        <rFont val="Calibri"/>
        <family val="2"/>
      </rPr>
      <t>Feb 2020</t>
    </r>
  </si>
  <si>
    <t>Bank Account 1</t>
  </si>
  <si>
    <t>Guidance</t>
  </si>
  <si>
    <t>For DSR on Company</t>
  </si>
  <si>
    <t>Referred</t>
  </si>
  <si>
    <t>Indicator</t>
  </si>
  <si>
    <t>&gt;1.5</t>
  </si>
  <si>
    <t>1.2-1.5</t>
  </si>
  <si>
    <t>Average</t>
  </si>
  <si>
    <t>&lt;1.2</t>
  </si>
  <si>
    <t>On Company</t>
  </si>
  <si>
    <t>Remark</t>
  </si>
  <si>
    <t>H / K</t>
  </si>
  <si>
    <r>
      <t xml:space="preserve">DSR (Company) - 
</t>
    </r>
    <r>
      <rPr>
        <b/>
        <sz val="11"/>
        <color rgb="FFFF0000"/>
        <rFont val="Calibri"/>
        <family val="2"/>
      </rPr>
      <t>Post Disbursement</t>
    </r>
  </si>
  <si>
    <t>Calc. based on Post-Disbursement</t>
  </si>
  <si>
    <t>A / B</t>
  </si>
  <si>
    <t>DSR (Guarantors)</t>
  </si>
  <si>
    <t>Assump RM300k income each</t>
  </si>
  <si>
    <t>L / M</t>
  </si>
  <si>
    <t>Alternative DSR
(Company + Guarantors)</t>
  </si>
  <si>
    <t>Alternative DSR 
(Company + SoleProp. / Partners)</t>
  </si>
  <si>
    <t>TBA</t>
  </si>
  <si>
    <t>N/A as Entity = SB</t>
  </si>
  <si>
    <t>Guarantors' / Proprietor / Partners'</t>
  </si>
  <si>
    <t>Expected (Gross) Income</t>
  </si>
  <si>
    <t>Expected Debt Repayment</t>
  </si>
  <si>
    <t>Company</t>
  </si>
  <si>
    <t>Profit before tax</t>
  </si>
  <si>
    <t>Depreciation</t>
  </si>
  <si>
    <t>Interest Expense (Existing )</t>
  </si>
  <si>
    <t>Loss on Disposal</t>
  </si>
  <si>
    <t>H = (C + D + E + F)</t>
  </si>
  <si>
    <t>Expected Income (EBITDA)</t>
  </si>
  <si>
    <t>I</t>
  </si>
  <si>
    <t>Principal Repayment (Existing + Proposed)</t>
  </si>
  <si>
    <t>J</t>
  </si>
  <si>
    <t>Interest Expense (Existing + Proposed)</t>
  </si>
  <si>
    <t>K = (I+J)</t>
  </si>
  <si>
    <t>Company + Guarantors' / Proprietor / Partners'</t>
  </si>
  <si>
    <t>L = A + H</t>
  </si>
  <si>
    <t>Total Expected Income</t>
  </si>
  <si>
    <t>M = B + K</t>
  </si>
  <si>
    <t>Total Expected Debt Repayment</t>
  </si>
  <si>
    <t>Profit &amp; Loss (REFERENCE)</t>
  </si>
  <si>
    <t>Audited / Mgmt Account</t>
  </si>
  <si>
    <t>-</t>
  </si>
  <si>
    <t>Audited</t>
  </si>
  <si>
    <t>Mgmt Acc.</t>
  </si>
  <si>
    <t>Mgmt Acc.(Ann.)</t>
  </si>
  <si>
    <t>Profit &amp; Loss</t>
  </si>
  <si>
    <t>Financial Ratio</t>
  </si>
  <si>
    <t>Revenue</t>
  </si>
  <si>
    <t>Revenue Growth</t>
  </si>
  <si>
    <t>Draft Audited</t>
  </si>
  <si>
    <t>Cost of sales</t>
  </si>
  <si>
    <t>Gross margin</t>
  </si>
  <si>
    <t>Gross Profit</t>
  </si>
  <si>
    <t>Net Margin</t>
  </si>
  <si>
    <t>Current Ratio</t>
  </si>
  <si>
    <t>Staff Cost</t>
  </si>
  <si>
    <t>Quick Ratio</t>
  </si>
  <si>
    <t>Other Operating Expenses</t>
  </si>
  <si>
    <t>Operating Profit</t>
  </si>
  <si>
    <t>Add : Other Income</t>
  </si>
  <si>
    <t>Pre-Tax Interest Coverage</t>
  </si>
  <si>
    <t>EBIT</t>
  </si>
  <si>
    <t>Inventory Turnover (Days)</t>
  </si>
  <si>
    <t>Taxes</t>
  </si>
  <si>
    <t>Receivables Turnover (Days)</t>
  </si>
  <si>
    <t>Net Profit (Loss) for the Year</t>
  </si>
  <si>
    <t>Payable Turnover (Days)</t>
  </si>
  <si>
    <t>Dividend Payout</t>
  </si>
  <si>
    <t>Working Capital Turnover (Days)</t>
  </si>
  <si>
    <t>Asset Turnover Ratio</t>
  </si>
  <si>
    <t>Balance Sheet (REF)</t>
  </si>
  <si>
    <t>Return on Equity (ROE)</t>
  </si>
  <si>
    <t>Balance Sheet</t>
  </si>
  <si>
    <t>Return on Assets (ROA)</t>
  </si>
  <si>
    <t>Unqualified Report</t>
  </si>
  <si>
    <t>Dividend Pay-out Ratio</t>
  </si>
  <si>
    <t>Non Current Asset</t>
  </si>
  <si>
    <t>Earnings per Share</t>
  </si>
  <si>
    <t>Current Asset</t>
  </si>
  <si>
    <t>Dividend per Share</t>
  </si>
  <si>
    <t>Trade Receivables</t>
  </si>
  <si>
    <t>Other Receivables and Prepayments</t>
  </si>
  <si>
    <t>Stock</t>
  </si>
  <si>
    <t>Cash &amp; Cash At Bank</t>
  </si>
  <si>
    <t>Total Asset</t>
  </si>
  <si>
    <t>Non Current Liabilities</t>
  </si>
  <si>
    <t>Bank/FI/Non-FI borrowings</t>
  </si>
  <si>
    <t>Hire Purchase Payable</t>
  </si>
  <si>
    <t>Other Payables</t>
  </si>
  <si>
    <t>Current Liabilities</t>
  </si>
  <si>
    <t xml:space="preserve">Trade Payables </t>
  </si>
  <si>
    <t>Other Payables &amp; Accruals</t>
  </si>
  <si>
    <t>Total Liabilities</t>
  </si>
  <si>
    <t>Equity</t>
  </si>
  <si>
    <t>Share Capital</t>
  </si>
  <si>
    <t>Retained Earnings</t>
  </si>
  <si>
    <t>Revaluation Reserve</t>
  </si>
  <si>
    <t>Total Liabilities and Equity</t>
  </si>
  <si>
    <t>No of days</t>
  </si>
  <si>
    <t>Annualised</t>
  </si>
  <si>
    <t>Profit &amp; Loss (REF)</t>
  </si>
  <si>
    <t>Financial Ratio (REF)</t>
  </si>
  <si>
    <t>Return (before Tax) on Net Worth</t>
  </si>
  <si>
    <t>Unqualified Reports</t>
  </si>
  <si>
    <t>Other Receivables</t>
  </si>
  <si>
    <t>Amount Due from Directors</t>
  </si>
  <si>
    <t>Amount Due from Related Companies</t>
  </si>
  <si>
    <t>Others</t>
  </si>
  <si>
    <t>Amount Due to Director</t>
  </si>
  <si>
    <t>Amount Due to Related Companies</t>
  </si>
  <si>
    <t>Number of Shares</t>
  </si>
  <si>
    <t>Working Capital Requirement Computation:</t>
  </si>
  <si>
    <t>Formula is subjective (3 Year Average * Factor)</t>
  </si>
  <si>
    <t>Method 1: Alternative/Adjusted Working Capital Required</t>
  </si>
  <si>
    <t>Year (i -2)</t>
  </si>
  <si>
    <t>Year (i -1)</t>
  </si>
  <si>
    <t>Year</t>
  </si>
  <si>
    <t>Audited Account</t>
  </si>
  <si>
    <t>Management Account</t>
  </si>
  <si>
    <t>3 year Average</t>
  </si>
  <si>
    <t>Factor</t>
  </si>
  <si>
    <t>Projected
(i +1)</t>
  </si>
  <si>
    <t>As at</t>
  </si>
  <si>
    <t>Annualised up to 31/12/2020</t>
  </si>
  <si>
    <t>Mgmt Account</t>
  </si>
  <si>
    <t>(A)</t>
  </si>
  <si>
    <t xml:space="preserve">Annual sales </t>
  </si>
  <si>
    <t>Sum of n Years / n</t>
  </si>
  <si>
    <t>(B)</t>
  </si>
  <si>
    <t>Cost of Sales</t>
  </si>
  <si>
    <t>(C)</t>
  </si>
  <si>
    <t>Account Receivable</t>
  </si>
  <si>
    <t>(D)</t>
  </si>
  <si>
    <t>Inventories</t>
  </si>
  <si>
    <t>(E) = (C) + (D)</t>
  </si>
  <si>
    <t>Account Receivable + Inventories</t>
  </si>
  <si>
    <t>As per formula</t>
  </si>
  <si>
    <t>(F)</t>
  </si>
  <si>
    <t>Account Payable</t>
  </si>
  <si>
    <t>(G) = (E) - (F)</t>
  </si>
  <si>
    <t>Working Capital Required</t>
  </si>
  <si>
    <t>(H) = (G) / (A) * 365</t>
  </si>
  <si>
    <t>Working Capital / Financing Gap
(in Days)</t>
  </si>
  <si>
    <t>(I) = (C) / (A) * 365</t>
  </si>
  <si>
    <t>(Account Receivable / Sales) * 365</t>
  </si>
  <si>
    <t>(J) = (F) / (B) * 365</t>
  </si>
  <si>
    <t>(Account Payable / Cost of Sales) * 365</t>
  </si>
  <si>
    <t>(K1)</t>
  </si>
  <si>
    <t>Working Capital Lines
(Existing)</t>
  </si>
  <si>
    <t>(L1) = (K1) - (G)</t>
  </si>
  <si>
    <t>(Shortfall) / Excess Working Capital lines</t>
  </si>
  <si>
    <t>Declaration From Client / CTOS</t>
  </si>
  <si>
    <t>(K2)</t>
  </si>
  <si>
    <t>Working Capital Lines
(Existing + Approved by FI, Pending Customer Acceptance)</t>
  </si>
  <si>
    <t>(L2) = (K2) - (G)</t>
  </si>
  <si>
    <t>(K3)</t>
  </si>
  <si>
    <t>Working Capital Lines
(Existing + Pending decision by FI)</t>
  </si>
  <si>
    <t>(L3) = (K3) - (G)</t>
  </si>
  <si>
    <t>(Shortfall) / Excess Working Capital lines (G - F)</t>
  </si>
  <si>
    <t>Date on facilities</t>
  </si>
  <si>
    <t>Recommended Invoice Financing Limit</t>
  </si>
  <si>
    <t>1. There is a shortfall of RM500k required.
2. Strong Buyers are provided</t>
  </si>
  <si>
    <t>Approved Invoice Financing Limit</t>
  </si>
  <si>
    <t>Method 2: From CTOS (Commonly Used in P2P Space)</t>
  </si>
  <si>
    <t>Projected (i +1)</t>
  </si>
  <si>
    <t>From CTOS</t>
  </si>
  <si>
    <t>Current Assets</t>
  </si>
  <si>
    <t>(D) = (B) -(C)</t>
  </si>
  <si>
    <t>(E) = (D) / (A) * 365</t>
  </si>
  <si>
    <t>Working Capital Days</t>
  </si>
  <si>
    <t>(F) Checklist as below</t>
  </si>
  <si>
    <t>Existing Working Capital Lines</t>
  </si>
  <si>
    <t>(G) = (D) - (F)</t>
  </si>
  <si>
    <t>Notes: *May extract data from CTOS for (F)</t>
  </si>
  <si>
    <t>Existing Working Capital (With Other FI &amp; Non-FI)</t>
  </si>
  <si>
    <t>Fin. Type</t>
  </si>
  <si>
    <t>Remarks (Assumptions)</t>
  </si>
  <si>
    <t>i) Corporate Commercial Cards</t>
  </si>
  <si>
    <t>Limit</t>
  </si>
  <si>
    <t>ii) Overdraft</t>
  </si>
  <si>
    <t>iii) Tradelines; excluding BG &amp; FEC</t>
  </si>
  <si>
    <t>iv) Term Loan</t>
  </si>
  <si>
    <t>Outstanding</t>
  </si>
  <si>
    <t>Assuming all term loans are for working capital</t>
  </si>
  <si>
    <t>*Working Capital = Commercial Card, Overdraft, Revolving Credit, Trade Finance (BA Purchase / BA Sales), Term Loan (Working Capital)</t>
  </si>
  <si>
    <t>Facility - Corporate Commercial Cards (Total Limit)</t>
  </si>
  <si>
    <t>Look at Working Capital Line (Generally exclude CAPEX financing and Non Trade)</t>
  </si>
  <si>
    <t>Selection</t>
  </si>
  <si>
    <t>Date</t>
  </si>
  <si>
    <t>Status</t>
  </si>
  <si>
    <t>Pending Decision by FI in the last 12 Months</t>
  </si>
  <si>
    <t>Corporate Commercial Card 1</t>
  </si>
  <si>
    <t>LO</t>
  </si>
  <si>
    <t>Select Facility</t>
  </si>
  <si>
    <t>Select Source</t>
  </si>
  <si>
    <t>All</t>
  </si>
  <si>
    <t>Total Overdraft</t>
  </si>
  <si>
    <t>Total (Pending)</t>
  </si>
  <si>
    <t>P</t>
  </si>
  <si>
    <t>Facility - Overdraft</t>
  </si>
  <si>
    <t>Overdraft 1</t>
  </si>
  <si>
    <t>Facility - Tradelines; excluding BG &amp; FEC</t>
  </si>
  <si>
    <t>Tradeline; excluding BG &amp; FEC 1</t>
  </si>
  <si>
    <t>Facility - Term Loan / HP</t>
  </si>
  <si>
    <t>Current Outstanding</t>
  </si>
  <si>
    <t>Term Loan 1</t>
  </si>
  <si>
    <t>Term Loan 2</t>
  </si>
  <si>
    <t>Term Loan 3</t>
  </si>
  <si>
    <t>Term Loan 4</t>
  </si>
  <si>
    <t>Term Loan 5</t>
  </si>
  <si>
    <t>Term Loan 6</t>
  </si>
  <si>
    <t>Term Loan 7</t>
  </si>
  <si>
    <t>Moneysave Grouping</t>
  </si>
  <si>
    <t>Facility - Term Loan</t>
  </si>
  <si>
    <t>exclude CAPEX Financing</t>
  </si>
  <si>
    <t>Debt Service - Company</t>
  </si>
  <si>
    <t>Latest Year</t>
  </si>
  <si>
    <t>Projection</t>
  </si>
  <si>
    <t>Debt Service</t>
  </si>
  <si>
    <t>Type</t>
  </si>
  <si>
    <t>(A) Profit before tax</t>
  </si>
  <si>
    <t>(B) Depreciation</t>
  </si>
  <si>
    <t>(A)Profit before tax</t>
  </si>
  <si>
    <t>(C) Interest Expense</t>
  </si>
  <si>
    <t>(D) Loss on Disposal</t>
  </si>
  <si>
    <t>FYE (Audited)</t>
  </si>
  <si>
    <t>Note : Loss on disposal is added and gain on disposal is deducted and to manually input</t>
  </si>
  <si>
    <t>Adjusted EBITDA</t>
  </si>
  <si>
    <t>Existing Debt Repayment</t>
  </si>
  <si>
    <t>Principal Repayment</t>
  </si>
  <si>
    <t>Interest expense + cash flows from financing faciliting</t>
  </si>
  <si>
    <t>Interest Expense</t>
  </si>
  <si>
    <t xml:space="preserve">Total </t>
  </si>
  <si>
    <t>Pending Application Debt Repayment</t>
  </si>
  <si>
    <t>Notes:</t>
  </si>
  <si>
    <t>Expected Net Income based on Bank Statement</t>
  </si>
  <si>
    <t>Principal Pepayment includes:</t>
  </si>
  <si>
    <t>i) Term Loan/Housing Loan (TL1/HL1+TL2/HL2...) x 12</t>
  </si>
  <si>
    <t>ii) Hire Purchase/Leasing (HP1 + HP2 + …….) x 12</t>
  </si>
  <si>
    <t>Interest Expense includes</t>
  </si>
  <si>
    <t>i) OD (Limit * (BLR + 2.5%))</t>
  </si>
  <si>
    <t>ii) LC/TR/BG (Limit * (BLR + 2.5%))</t>
  </si>
  <si>
    <t>iii) Credit Card (0.05 x Total outstanding)</t>
  </si>
  <si>
    <t>Manual Input (Existing)</t>
  </si>
  <si>
    <t>Manual Input (Pending Application)</t>
  </si>
  <si>
    <t>From CTOS (To cross check)</t>
  </si>
  <si>
    <r>
      <t>Type of Facility (</t>
    </r>
    <r>
      <rPr>
        <b/>
        <sz val="10"/>
        <color rgb="FFFF0000"/>
        <rFont val="Calibri"/>
        <family val="2"/>
      </rPr>
      <t>Existing</t>
    </r>
    <r>
      <rPr>
        <b/>
        <sz val="10"/>
        <color theme="1"/>
        <rFont val="Calibri"/>
        <family val="2"/>
        <scheme val="minor"/>
      </rPr>
      <t>)</t>
    </r>
  </si>
  <si>
    <t>Monthly Repayment</t>
  </si>
  <si>
    <t>Minimum Interest (Y)</t>
  </si>
  <si>
    <t>Repayment (Y)</t>
  </si>
  <si>
    <t>Annual Interest/
Principal Repayment</t>
  </si>
  <si>
    <t>Overall Code Of Conduct</t>
  </si>
  <si>
    <r>
      <t>Type of Facility (</t>
    </r>
    <r>
      <rPr>
        <b/>
        <sz val="10"/>
        <color rgb="FFFF0000"/>
        <rFont val="Calibri"/>
        <family val="2"/>
      </rPr>
      <t>Proposed</t>
    </r>
    <r>
      <rPr>
        <b/>
        <sz val="10"/>
        <color theme="1"/>
        <rFont val="Calibri"/>
        <family val="2"/>
        <scheme val="minor"/>
      </rPr>
      <t>)</t>
    </r>
  </si>
  <si>
    <t>Installment</t>
  </si>
  <si>
    <t>Limit (A)</t>
  </si>
  <si>
    <t>Outstanding (A1)</t>
  </si>
  <si>
    <t>Monthly Repayment (B)</t>
  </si>
  <si>
    <t>Interest Rate (C)</t>
  </si>
  <si>
    <t>Factor (D)</t>
  </si>
  <si>
    <t>Interest (E) = (A or A1) * (C) * (D)</t>
  </si>
  <si>
    <t>Code Of Conduct</t>
  </si>
  <si>
    <t>CCRIS</t>
  </si>
  <si>
    <t>Facility (Overdraft - Temporary)</t>
  </si>
  <si>
    <t>Facility (Bank Guarantee)</t>
  </si>
  <si>
    <t>Facility (Bank Trade - Funded)</t>
  </si>
  <si>
    <t>Facility (Bank Trade - Non Funded)</t>
  </si>
  <si>
    <t>Facility (Revolving Credit)</t>
  </si>
  <si>
    <t>Facility (Factoring)</t>
  </si>
  <si>
    <t>P2P - Facility (Term-loan / Working Capital)</t>
  </si>
  <si>
    <t>P2P - Facility (Trade Invoice Financing)</t>
  </si>
  <si>
    <t>Type of Financing</t>
  </si>
  <si>
    <t>No of Financing</t>
  </si>
  <si>
    <t>Total Approved Limit</t>
  </si>
  <si>
    <t>Total O/S Balance</t>
  </si>
  <si>
    <t>C.Conduct</t>
  </si>
  <si>
    <t>Term Financing</t>
  </si>
  <si>
    <t>Hire Purchase Financing</t>
  </si>
  <si>
    <t>Credit Card</t>
  </si>
  <si>
    <t>Overdraft / Trade</t>
  </si>
  <si>
    <t>Debt Service - Guarantors' / Partners' / Directors'</t>
  </si>
  <si>
    <t xml:space="preserve"> </t>
  </si>
  <si>
    <t>Name</t>
  </si>
  <si>
    <t>Director 1</t>
  </si>
  <si>
    <t>Director 2</t>
  </si>
  <si>
    <t>Director 3</t>
  </si>
  <si>
    <t>Director 4</t>
  </si>
  <si>
    <t>Director 5</t>
  </si>
  <si>
    <t>Director 6</t>
  </si>
  <si>
    <t>Director 7</t>
  </si>
  <si>
    <t>(A) Total Gross Annual Income</t>
  </si>
  <si>
    <t>(B) Total Commitment</t>
  </si>
  <si>
    <t>(C) DSR - Individual (A) / (B)</t>
  </si>
  <si>
    <t xml:space="preserve">Salary slips (Employed) </t>
  </si>
  <si>
    <t>Eg</t>
  </si>
  <si>
    <t>Annual Income i.e. B/BE/EA Form (Self-Employed)</t>
  </si>
  <si>
    <t>Bonus : Contractual (with proof)</t>
  </si>
  <si>
    <t>Bonus : Non-contractual</t>
  </si>
  <si>
    <t>Allowances : Fixed</t>
  </si>
  <si>
    <t>Allowances : Variable</t>
  </si>
  <si>
    <t>MIA 1 (2)</t>
  </si>
  <si>
    <t>MIA 1 (1)</t>
  </si>
  <si>
    <t>Commission</t>
  </si>
  <si>
    <t>MIA 1 (3)</t>
  </si>
  <si>
    <t>MIA 1 (3) &amp; MIA 2 (1)</t>
  </si>
  <si>
    <t>Overtime</t>
  </si>
  <si>
    <t>MIA 1 (11)</t>
  </si>
  <si>
    <t>Service Points</t>
  </si>
  <si>
    <t>Dividends from ASNB Funds (with proof)</t>
  </si>
  <si>
    <t>FDR Interest (with proof)</t>
  </si>
  <si>
    <t>Tabung Haji Dividend (with proof)</t>
  </si>
  <si>
    <t>Rental</t>
  </si>
  <si>
    <t>Pension</t>
  </si>
  <si>
    <t>Proxy Income</t>
  </si>
  <si>
    <t>From CTOS (Director 1)</t>
  </si>
  <si>
    <t>From CTOS (Director 2)</t>
  </si>
  <si>
    <t>From CTOS (Director 3)</t>
  </si>
  <si>
    <t>From CTOS (Director 4)</t>
  </si>
  <si>
    <t>From CTOS (Director 5)</t>
  </si>
  <si>
    <t>From CTOS (Director 6)</t>
  </si>
  <si>
    <t>From CTOS (Director 7)</t>
  </si>
  <si>
    <t>Month Repayment</t>
  </si>
  <si>
    <t>Monthly</t>
  </si>
  <si>
    <t xml:space="preserve">Facility (P2P) </t>
  </si>
  <si>
    <t>Total Commitment</t>
  </si>
  <si>
    <t>From CTOS - CRSI</t>
  </si>
  <si>
    <t>Total Overdraft with Reduction/ Sinking Fund</t>
  </si>
  <si>
    <t>Total Trade Receivable</t>
  </si>
  <si>
    <t>Total BA</t>
  </si>
  <si>
    <t>Total Term Loan</t>
  </si>
  <si>
    <t>Total Hire Purchase / Leasing</t>
  </si>
  <si>
    <t>Total Credit Card</t>
  </si>
  <si>
    <t>P2P (Term-loan)</t>
  </si>
  <si>
    <t>P2P (Trade Receivable)</t>
  </si>
  <si>
    <t>Expeted Net income</t>
  </si>
  <si>
    <t>(C) Other Income</t>
  </si>
  <si>
    <t>Rental Income</t>
  </si>
  <si>
    <t>Interest Income</t>
  </si>
  <si>
    <t>Dividend</t>
  </si>
  <si>
    <t>Royalty</t>
  </si>
  <si>
    <t>Others 1</t>
  </si>
  <si>
    <t>Others 2</t>
  </si>
  <si>
    <t>Total Income</t>
  </si>
  <si>
    <t>Proposed Debt Repayment</t>
  </si>
  <si>
    <t>Manual Input (Proposed)</t>
  </si>
  <si>
    <r>
      <t>Type of Facility (</t>
    </r>
    <r>
      <rPr>
        <b/>
        <sz val="8.5"/>
        <color rgb="FFFF0000"/>
        <rFont val="Calibri"/>
        <family val="2"/>
      </rPr>
      <t>Existing</t>
    </r>
    <r>
      <rPr>
        <b/>
        <sz val="10"/>
        <color theme="1"/>
        <rFont val="Calibri"/>
        <family val="2"/>
        <scheme val="minor"/>
      </rPr>
      <t>)</t>
    </r>
  </si>
  <si>
    <r>
      <t>Type of Facility (</t>
    </r>
    <r>
      <rPr>
        <b/>
        <sz val="8.5"/>
        <color rgb="FFFF0000"/>
        <rFont val="Calibri"/>
        <family val="2"/>
      </rPr>
      <t>Proposed</t>
    </r>
    <r>
      <rPr>
        <b/>
        <sz val="10"/>
        <color theme="1"/>
        <rFont val="Calibri"/>
        <family val="2"/>
        <scheme val="minor"/>
      </rPr>
      <t>)</t>
    </r>
  </si>
  <si>
    <t>Type of Facility (Existing)</t>
  </si>
  <si>
    <t>Overdraft with Reduction/ Sinking Fund 1</t>
  </si>
  <si>
    <t>TR 1</t>
  </si>
  <si>
    <t>BA 1</t>
  </si>
  <si>
    <t>Hire Purchase/Leasing 1</t>
  </si>
  <si>
    <t>Credit Card 1</t>
  </si>
  <si>
    <t xml:space="preserve">Net profit Margin for the various types of industry benchmark as follows :- </t>
  </si>
  <si>
    <t>Type of Industry</t>
  </si>
  <si>
    <t>Net Profit Margin (% of Annual Turnover)</t>
  </si>
  <si>
    <r>
      <t>Average Monthly Deposit (</t>
    </r>
    <r>
      <rPr>
        <b/>
        <sz val="10"/>
        <color rgb="FFFF0000"/>
        <rFont val="Calibri"/>
        <family val="2"/>
      </rPr>
      <t>From Bank Statement</t>
    </r>
    <r>
      <rPr>
        <b/>
        <sz val="10"/>
        <color theme="1"/>
        <rFont val="Calibri"/>
        <family val="2"/>
        <scheme val="minor"/>
      </rPr>
      <t>)</t>
    </r>
  </si>
  <si>
    <t>Expected Annual Income</t>
  </si>
  <si>
    <t>Trading</t>
  </si>
  <si>
    <t>Contractor</t>
  </si>
  <si>
    <t xml:space="preserve">Contractor - Civil </t>
  </si>
  <si>
    <t xml:space="preserve">Contractor - Services </t>
  </si>
  <si>
    <t>Services</t>
  </si>
  <si>
    <t>Services - Food &amp; Beverages Services</t>
  </si>
  <si>
    <t>Construction</t>
  </si>
  <si>
    <t>Transportation(Container/haulage/cargo)</t>
  </si>
  <si>
    <t>Taxi/Car Rental/Limousine</t>
  </si>
  <si>
    <t>Waste Disposal</t>
  </si>
  <si>
    <t>Oil Palm</t>
  </si>
  <si>
    <t>Timber</t>
  </si>
  <si>
    <t>Transportation of petroleum products</t>
  </si>
  <si>
    <t>Professionals</t>
  </si>
  <si>
    <t>Farming/ Husbandary</t>
  </si>
  <si>
    <t>Others (Including industries with negative outlook as per the Quarterly Industry Report issued by CRM)</t>
  </si>
  <si>
    <t>** The expected annual income (From Bank Statement) should mirrors the company's annual turnover as per financial accounts. In the event of substantial differences in these 2 figures, to clarify/explain the rationale/reasons for the discrepencies.</t>
  </si>
  <si>
    <t>** The be automated with OCR on FS / Audited Report</t>
  </si>
  <si>
    <t>Loan Source</t>
  </si>
  <si>
    <t>Corporate Commercial Card</t>
  </si>
  <si>
    <t>Overdraft</t>
  </si>
  <si>
    <t>Tradeline; excluding BG &amp; FEC</t>
  </si>
  <si>
    <t>Term Loan</t>
  </si>
  <si>
    <t>Overdraft with Reduction/ Sinking Fund</t>
  </si>
  <si>
    <t>TR</t>
  </si>
  <si>
    <t>BA</t>
  </si>
  <si>
    <t>Hire Purchase/Leasing</t>
  </si>
  <si>
    <t>Letter Offer</t>
  </si>
  <si>
    <t>Corporate Commercial Card 2</t>
  </si>
  <si>
    <t>Overdraft 2</t>
  </si>
  <si>
    <t>Tradeline; excluding BG &amp; FEC 2</t>
  </si>
  <si>
    <t>Overdraft with Reduction/ Sinking Fund 2</t>
  </si>
  <si>
    <t>TR 2</t>
  </si>
  <si>
    <t>BA 2</t>
  </si>
  <si>
    <t>Hire Purchase/Leasing 2</t>
  </si>
  <si>
    <t>Credit Card 2</t>
  </si>
  <si>
    <t>Latest FYE Audited Accounts</t>
  </si>
  <si>
    <t>Corporate Commercial Card 3</t>
  </si>
  <si>
    <t>Overdraft 3</t>
  </si>
  <si>
    <t>Tradeline; excluding BG &amp; FEC 3</t>
  </si>
  <si>
    <t>Overdraft with Reduction/ Sinking Fund 3</t>
  </si>
  <si>
    <t>TR 3</t>
  </si>
  <si>
    <t>BA 3</t>
  </si>
  <si>
    <t>Hire Purchase/Leasing 3</t>
  </si>
  <si>
    <t>Credit Card 3</t>
  </si>
  <si>
    <t>Latest FYE Management Accounts</t>
  </si>
  <si>
    <t>FYE (Mgmt Acc)</t>
  </si>
  <si>
    <t>Corporate Commercial Card 4</t>
  </si>
  <si>
    <t>Overdraft 4</t>
  </si>
  <si>
    <t>Tradeline; excluding BG &amp; FEC 4</t>
  </si>
  <si>
    <t>Overdraft with Reduction/ Sinking Fund 4</t>
  </si>
  <si>
    <t>TR 4</t>
  </si>
  <si>
    <t>BA 4</t>
  </si>
  <si>
    <t>Hire Purchase/Leasing 4</t>
  </si>
  <si>
    <t>Credit Card 4</t>
  </si>
  <si>
    <t>Declaration Form</t>
  </si>
  <si>
    <t>Declaration</t>
  </si>
  <si>
    <t>Corporate Commercial Card 5</t>
  </si>
  <si>
    <t>Overdraft 5</t>
  </si>
  <si>
    <t>Tradeline; excluding BG &amp; FEC 5</t>
  </si>
  <si>
    <t>Overdraft with Reduction/ Sinking Fund 5</t>
  </si>
  <si>
    <t>TR 5</t>
  </si>
  <si>
    <t>BA 5</t>
  </si>
  <si>
    <t>Hire Purchase/Leasing 5</t>
  </si>
  <si>
    <t>Credit Card 5</t>
  </si>
  <si>
    <t>Corporate Commercial Card 6</t>
  </si>
  <si>
    <t>Overdraft 6</t>
  </si>
  <si>
    <t>Tradeline; excluding BG &amp; FEC 6</t>
  </si>
  <si>
    <t>Overdraft with Reduction/ Sinking Fund 6</t>
  </si>
  <si>
    <t>TR 6</t>
  </si>
  <si>
    <t>BA 6</t>
  </si>
  <si>
    <t>Hire Purchase/Leasing 6</t>
  </si>
  <si>
    <t>Credit Card 6</t>
  </si>
  <si>
    <t>Corporate Commercial Card 7</t>
  </si>
  <si>
    <t>Overdraft 7</t>
  </si>
  <si>
    <t>Tradeline; excluding BG &amp; FEC 7</t>
  </si>
  <si>
    <t>Overdraft with Reduction/ Sinking Fund 7</t>
  </si>
  <si>
    <t>TR 7</t>
  </si>
  <si>
    <t>BA 7</t>
  </si>
  <si>
    <t>Hire Purchase/Leasing 7</t>
  </si>
  <si>
    <t>Credit Card 7</t>
  </si>
  <si>
    <t>Projection Source</t>
  </si>
  <si>
    <t>Corporate Commercial Card 8</t>
  </si>
  <si>
    <t>Overdraft 8</t>
  </si>
  <si>
    <t>Tradeline; excluding BG &amp; FEC 8</t>
  </si>
  <si>
    <t>Term Loan 8</t>
  </si>
  <si>
    <t>Overdraft with Reduction/ Sinking Fund 8</t>
  </si>
  <si>
    <t>TR 8</t>
  </si>
  <si>
    <t>BA 8</t>
  </si>
  <si>
    <t>Hire Purchase/Leasing 8</t>
  </si>
  <si>
    <t>Credit Card 8</t>
  </si>
  <si>
    <t>Corporate Commercial Card 9</t>
  </si>
  <si>
    <t>Overdraft 9</t>
  </si>
  <si>
    <t>Tradeline; excluding BG &amp; FEC 9</t>
  </si>
  <si>
    <t>Term Loan 9</t>
  </si>
  <si>
    <t>Overdraft with Reduction/ Sinking Fund 9</t>
  </si>
  <si>
    <t>TR 9</t>
  </si>
  <si>
    <t>BA 9</t>
  </si>
  <si>
    <t>Hire Purchase/Leasing 9</t>
  </si>
  <si>
    <t>Credit Card 9</t>
  </si>
  <si>
    <t>Corporate Commercial Card 10</t>
  </si>
  <si>
    <t>Overdraft 10</t>
  </si>
  <si>
    <t>Tradeline; excluding BG &amp; FEC 10</t>
  </si>
  <si>
    <t>Term Loan 10</t>
  </si>
  <si>
    <t>Overdraft with Reduction/ Sinking Fund 10</t>
  </si>
  <si>
    <t>TR 10</t>
  </si>
  <si>
    <t>BA 10</t>
  </si>
  <si>
    <t>Hire Purchase/Leasing 10</t>
  </si>
  <si>
    <t>Credit Card 10</t>
  </si>
  <si>
    <t>Corporate Commercial Card 11</t>
  </si>
  <si>
    <t>Overdraft 11</t>
  </si>
  <si>
    <t>Tradeline; excluding BG &amp; FEC 11</t>
  </si>
  <si>
    <t>Term Loan 11</t>
  </si>
  <si>
    <t>Overdraft with Reduction/ Sinking Fund 11</t>
  </si>
  <si>
    <t>TR 11</t>
  </si>
  <si>
    <t>BA 11</t>
  </si>
  <si>
    <t>Hire Purchase/Leasing 11</t>
  </si>
  <si>
    <t>Credit Card 11</t>
  </si>
  <si>
    <t>Annualised Average Monthly Deposit (AMD)</t>
  </si>
  <si>
    <t>A.M.D</t>
  </si>
  <si>
    <t>Corporate Commercial Card 12</t>
  </si>
  <si>
    <t>Overdraft 12</t>
  </si>
  <si>
    <t>Tradeline; excluding BG &amp; FEC 12</t>
  </si>
  <si>
    <t>Term Loan 12</t>
  </si>
  <si>
    <t>Overdraft with Reduction/ Sinking Fund 12</t>
  </si>
  <si>
    <t>TR 12</t>
  </si>
  <si>
    <t>BA 12</t>
  </si>
  <si>
    <t>Hire Purchase/Leasing 12</t>
  </si>
  <si>
    <t>Credit Card 12</t>
  </si>
  <si>
    <t>Latest FYE Audited Accounts (with 20% increment)</t>
  </si>
  <si>
    <t>FYE (Audited) - 20% Increment</t>
  </si>
  <si>
    <t>Corporate Commercial Card 13</t>
  </si>
  <si>
    <t>Overdraft 13</t>
  </si>
  <si>
    <t>Tradeline; excluding BG &amp; FEC 13</t>
  </si>
  <si>
    <t>Term Loan 13</t>
  </si>
  <si>
    <t>Overdraft with Reduction/ Sinking Fund 13</t>
  </si>
  <si>
    <t>TR 13</t>
  </si>
  <si>
    <t>BA 13</t>
  </si>
  <si>
    <t>Hire Purchase/Leasing 13</t>
  </si>
  <si>
    <t>Credit Card 13</t>
  </si>
  <si>
    <t>Latest FYE Management Accounts (with 20% increment)</t>
  </si>
  <si>
    <t>FYE (Mgmt Acc) - 20% Increment</t>
  </si>
  <si>
    <t>Corporate Commercial Card 14</t>
  </si>
  <si>
    <t>Overdraft 14</t>
  </si>
  <si>
    <t>Tradeline; excluding BG &amp; FEC 14</t>
  </si>
  <si>
    <t>Term Loan 14</t>
  </si>
  <si>
    <t>Overdraft with Reduction/ Sinking Fund 14</t>
  </si>
  <si>
    <t>TR 14</t>
  </si>
  <si>
    <t>BA 14</t>
  </si>
  <si>
    <t>Hire Purchase/Leasing 14</t>
  </si>
  <si>
    <t>Credit Card 14</t>
  </si>
  <si>
    <t>Annualised Average Monthly Deposit (AMD)(with 20% increment)</t>
  </si>
  <si>
    <t>A.M.D - 20% Increment</t>
  </si>
  <si>
    <t>Corporate Commercial Card 15</t>
  </si>
  <si>
    <t>Overdraft 15</t>
  </si>
  <si>
    <t>Tradeline; excluding BG &amp; FEC 15</t>
  </si>
  <si>
    <t>Term Loan 15</t>
  </si>
  <si>
    <t>Overdraft with Reduction/ Sinking Fund 15</t>
  </si>
  <si>
    <t>TR 15</t>
  </si>
  <si>
    <t>BA 15</t>
  </si>
  <si>
    <t>Hire Purchase/Leasing 15</t>
  </si>
  <si>
    <t>Credit Card 15</t>
  </si>
  <si>
    <t>Other; Please Specify</t>
  </si>
  <si>
    <t>Abbreviation</t>
  </si>
  <si>
    <t>Mode</t>
  </si>
  <si>
    <t>OVERDRAFT</t>
  </si>
  <si>
    <t>TRUST RECEIPTS</t>
  </si>
  <si>
    <t>PERFORMANCE GUARANTEE</t>
  </si>
  <si>
    <t>PURCHASE/SALES, OWN BANKERS ACCEPTANCE BILLS DISCOUNTED</t>
  </si>
  <si>
    <t>PURCHASE/SALES, CUSTOMER LIABILITIES
FOR BANKERS ACCEPTANCE</t>
  </si>
  <si>
    <t>IMPORT, OWN BANKERS ACCEPTANCE BILLS
DISCOUNTED</t>
  </si>
  <si>
    <t>EXPORT CREDIT REFINANCING</t>
  </si>
  <si>
    <t>OTHER TRADE FACILITIES</t>
  </si>
  <si>
    <t>FACTORING RECEIVABLE</t>
  </si>
  <si>
    <t>OTHER TERM LOANS/FINANCING</t>
  </si>
  <si>
    <t>Monthly / Weekly</t>
  </si>
  <si>
    <t>OTHER HIRE PURCHASE RECEIVABLES</t>
  </si>
  <si>
    <t>Hire Purchase / Leasing</t>
  </si>
  <si>
    <t>CREDIT CARD</t>
  </si>
  <si>
    <t>Credit Application Status (CTOS / RAM)</t>
  </si>
  <si>
    <t>Reflected in CRIS?</t>
  </si>
  <si>
    <t>PENDING APPROVAL / PENDING DECISION BY FI</t>
  </si>
  <si>
    <t>PENDING ACCEPTANCE BY APPLICANT / PENDING ACCEPTANCE BY CUSTOMER</t>
  </si>
  <si>
    <t>T</t>
  </si>
  <si>
    <t>FACITLITY APPROVED / ACCEPTED BY CUSTOMER</t>
  </si>
  <si>
    <t>Debtors</t>
  </si>
  <si>
    <t>1 month</t>
  </si>
  <si>
    <t>2 months</t>
  </si>
  <si>
    <t>3 months</t>
  </si>
  <si>
    <t>4 months</t>
  </si>
  <si>
    <t>5 months</t>
  </si>
  <si>
    <t>6 months</t>
  </si>
  <si>
    <t>7 months</t>
  </si>
  <si>
    <t>8 months</t>
  </si>
  <si>
    <t>9 months</t>
  </si>
  <si>
    <t>10 months</t>
  </si>
  <si>
    <t>&gt; 11 months</t>
  </si>
  <si>
    <t>Open Credit Balance</t>
  </si>
  <si>
    <t>Balance</t>
  </si>
  <si>
    <t>Creditors</t>
  </si>
  <si>
    <t>Current</t>
  </si>
  <si>
    <t>Facilities</t>
  </si>
  <si>
    <t xml:space="preserve">Bank </t>
  </si>
  <si>
    <t>Active</t>
  </si>
  <si>
    <t>30/01/20</t>
  </si>
  <si>
    <t>no outstanding</t>
  </si>
  <si>
    <t>OCBC</t>
  </si>
  <si>
    <t>Factoring</t>
  </si>
  <si>
    <t>UOB</t>
  </si>
  <si>
    <t>31/12/16</t>
  </si>
  <si>
    <t>FWFGNECH</t>
  </si>
  <si>
    <t>Ambank</t>
  </si>
  <si>
    <t>OVerdraft</t>
  </si>
  <si>
    <t>23/08/18</t>
  </si>
  <si>
    <t>Termloan</t>
  </si>
  <si>
    <t>18/04/19</t>
  </si>
  <si>
    <t xml:space="preserve">BA </t>
  </si>
  <si>
    <t>RHB</t>
  </si>
  <si>
    <t>18/02/20</t>
  </si>
  <si>
    <t>Bank islam</t>
  </si>
  <si>
    <t>MTF</t>
  </si>
  <si>
    <t>*not shown in CCRIS</t>
  </si>
  <si>
    <t>19/3/20</t>
  </si>
  <si>
    <t>MBB</t>
  </si>
  <si>
    <t xml:space="preserve">Forecast </t>
  </si>
  <si>
    <t>Proposed Limit and Tenure</t>
  </si>
  <si>
    <t>Registration No</t>
  </si>
  <si>
    <t>Incorporation Date</t>
  </si>
  <si>
    <t>Financials FYE</t>
  </si>
  <si>
    <t>Net worth</t>
  </si>
  <si>
    <t>PBT</t>
  </si>
  <si>
    <t>Amount Requested (per month)</t>
  </si>
  <si>
    <t>Tenure</t>
  </si>
  <si>
    <t>Trade Finance</t>
  </si>
  <si>
    <t>Seller</t>
  </si>
  <si>
    <t>Trade Payable</t>
  </si>
  <si>
    <t xml:space="preserve">PBT </t>
  </si>
  <si>
    <t>PBT Margin</t>
  </si>
  <si>
    <t>Reserve</t>
  </si>
  <si>
    <t>Retained Earning</t>
  </si>
  <si>
    <t>Minority Interest</t>
  </si>
  <si>
    <t>Net Profit (Loss) Before Tax</t>
  </si>
  <si>
    <t>Net Profit (Loss) After Tax</t>
  </si>
  <si>
    <t>Net Dividend</t>
  </si>
  <si>
    <t>Miniority Interest</t>
  </si>
  <si>
    <t>Share Premium &amp; Reserve</t>
  </si>
  <si>
    <t>a</t>
  </si>
  <si>
    <t>b</t>
  </si>
  <si>
    <t>c</t>
  </si>
  <si>
    <t>Any other conditions to be complied with as per Letter of Offer</t>
  </si>
  <si>
    <t>Checker</t>
  </si>
  <si>
    <t xml:space="preserve">Date: </t>
  </si>
  <si>
    <t>KUMPULAN ABEX SDN. BHD.</t>
  </si>
  <si>
    <t>0167376M/ 198801000020</t>
  </si>
  <si>
    <t>TELEMAJU SYSTEMS SDN. BHD.</t>
  </si>
  <si>
    <t>0759799W/ 200701001801</t>
  </si>
  <si>
    <t>18/01/2007</t>
  </si>
  <si>
    <t>STE ELECTRICAL SDN. BHD.</t>
  </si>
  <si>
    <t>1074491V/ 201301044668</t>
  </si>
  <si>
    <t>18/12/2013</t>
  </si>
  <si>
    <t>EPC</t>
  </si>
  <si>
    <t>For Trade Finance facility
Up to 6 months (Bullet)
Up to 10 months (Balloon)
Up to 24 months (Instalment)</t>
  </si>
  <si>
    <t>Mgmt Acc</t>
  </si>
  <si>
    <t>SURIEMAS SDN BHD</t>
  </si>
  <si>
    <t>0921135H/ 201001037211</t>
  </si>
  <si>
    <t>Facility Drawdown Checklist</t>
  </si>
  <si>
    <t xml:space="preserve">Note ID: </t>
  </si>
  <si>
    <t>Primary CRA Report Source:</t>
  </si>
  <si>
    <t>Date (CRA Report):</t>
  </si>
  <si>
    <t>Review</t>
  </si>
  <si>
    <t xml:space="preserve">If yes, Initial by Maker </t>
  </si>
  <si>
    <t>If yes, Initial by Checker</t>
  </si>
  <si>
    <t>Remarks is mendatory for  inputs that are not affirmative/(No)</t>
  </si>
  <si>
    <t>(Financial Statement)</t>
  </si>
  <si>
    <t>Real Time CRA Report on Issuer Company</t>
  </si>
  <si>
    <t>(Legal Action on Issuer)</t>
  </si>
  <si>
    <t>No Legal Action</t>
  </si>
  <si>
    <t>(Legal Action on Director / Guarantor)</t>
  </si>
  <si>
    <t>No Trade Reference</t>
  </si>
  <si>
    <t>Unsatisfactory</t>
  </si>
  <si>
    <t>(Trade Reference on Issuer)</t>
  </si>
  <si>
    <t>No Adverse CCRIS</t>
  </si>
  <si>
    <t>(Trade Reference on Director / Guarantor)</t>
  </si>
  <si>
    <t>(Others)</t>
  </si>
  <si>
    <t>Real Time CRA Report on Director/Shareholder/Guarantor (3)</t>
  </si>
  <si>
    <t>Note: to add a separate new list if there are more Director(s)/Shareholder(s)/Guarantor(s)/Coporate Guarantor(s)</t>
  </si>
  <si>
    <t>DSR&gt;1</t>
  </si>
  <si>
    <t>Risk Loading Calculation Form
(updated based on approval date as per Board Memo on Risk Loading Rate)</t>
  </si>
  <si>
    <t xml:space="preserve">Base Rate
(updated based on approval date as per Board Memo on Base Financing Rate) </t>
  </si>
  <si>
    <t>All key Information on Issuer is included/updated in Factsheet</t>
  </si>
  <si>
    <t>Knock Out Matrix Form
(updated based on approval date as per Board Memo on Knock-out Matrix Template)</t>
  </si>
  <si>
    <t>Credit Evaluation Checklist</t>
  </si>
  <si>
    <t>Cash Flow Projection (If applicable)</t>
  </si>
  <si>
    <t>Any changes in Director/Shareholder? As per latest CRA report</t>
  </si>
  <si>
    <t>Check the Single Issuer limit is within approved board limit as per Section 7.4 in Credit Policy</t>
  </si>
  <si>
    <t>Footnote to be stated in Factsheet (if any)</t>
  </si>
  <si>
    <t>Footnote</t>
  </si>
  <si>
    <t>Details</t>
  </si>
  <si>
    <t>Footnote 1</t>
  </si>
  <si>
    <t>Footnote 2</t>
  </si>
  <si>
    <t>Footnote 3</t>
  </si>
  <si>
    <t>Footnote 4</t>
  </si>
  <si>
    <t>Footnote 5</t>
  </si>
  <si>
    <t>For recommendation and justification to proceed or reject the facility drawdown by Issuer</t>
  </si>
  <si>
    <t>By Credit Analyst</t>
  </si>
  <si>
    <t>Justification:</t>
  </si>
  <si>
    <t>By Chief Credit Officer</t>
  </si>
  <si>
    <t>Approval by Credit Committee</t>
  </si>
  <si>
    <t>By Credit Committee 1</t>
  </si>
  <si>
    <t>By Credit Committee 2</t>
  </si>
  <si>
    <t>Name:</t>
  </si>
  <si>
    <t>Signature:</t>
  </si>
  <si>
    <t>Date:</t>
  </si>
  <si>
    <t>By Credit Committee 3</t>
  </si>
  <si>
    <t xml:space="preserve">Risk Loading Calculation </t>
  </si>
  <si>
    <t xml:space="preserve">Issuer Name: </t>
  </si>
  <si>
    <t>Stage:</t>
  </si>
  <si>
    <t>Note ID:</t>
  </si>
  <si>
    <t>Maker</t>
  </si>
  <si>
    <t>Indicative Risks Loading Rate (Up to)</t>
  </si>
  <si>
    <t xml:space="preserve">Debt Service Ratios </t>
  </si>
  <si>
    <t>DSR is based on annualised Account</t>
  </si>
  <si>
    <t>preceding 3 years</t>
  </si>
  <si>
    <t>preceding 2 yrs</t>
  </si>
  <si>
    <t>last year</t>
  </si>
  <si>
    <t>current year</t>
  </si>
  <si>
    <t>Negative networth in All last 3 Years (Generally Reject. Approval subject to Credit Committee)</t>
  </si>
  <si>
    <t>Audited 31 Dec 2021</t>
  </si>
  <si>
    <t>Audited 31 Dec 2022</t>
  </si>
  <si>
    <t>Audited 31 Dec 2023</t>
  </si>
  <si>
    <t>Mgmt 30 Jun 2024</t>
  </si>
  <si>
    <t xml:space="preserve">Loading </t>
  </si>
  <si>
    <t>positive</t>
  </si>
  <si>
    <t>negative</t>
  </si>
  <si>
    <r>
      <rPr>
        <b/>
        <sz val="11"/>
        <color theme="1"/>
        <rFont val="Calibri"/>
        <family val="2"/>
      </rPr>
      <t>Liquidity: Current Ratio</t>
    </r>
    <r>
      <rPr>
        <sz val="11"/>
        <color theme="1"/>
        <rFont val="Calibri"/>
        <family val="2"/>
      </rPr>
      <t xml:space="preserve"> (Current Assets / Current Liabilities)</t>
    </r>
  </si>
  <si>
    <t xml:space="preserve">Leverage Ratio </t>
  </si>
  <si>
    <t xml:space="preserve">Gearing Ratio </t>
  </si>
  <si>
    <t>Construction &amp; Property Development / Real Estate Activities</t>
  </si>
  <si>
    <t>Year in Operations &lt; 2 Years</t>
  </si>
  <si>
    <r>
      <rPr>
        <b/>
        <sz val="11"/>
        <color theme="1"/>
        <rFont val="Calibri"/>
        <family val="2"/>
      </rPr>
      <t xml:space="preserve">Management Lack of Depth &amp; Breadth of Experience (CEO/Sole Proprietor/Partners &lt;3 Years Experience in Industry) </t>
    </r>
    <r>
      <rPr>
        <sz val="11"/>
        <color theme="1"/>
        <rFont val="Calibri"/>
        <family val="2"/>
      </rPr>
      <t>and/or Management with No Clear Succession Planning (to Keyman)</t>
    </r>
  </si>
  <si>
    <r>
      <rPr>
        <b/>
        <sz val="11"/>
        <color theme="1"/>
        <rFont val="Calibri"/>
        <family val="2"/>
      </rPr>
      <t>Any other risk loading</t>
    </r>
    <r>
      <rPr>
        <sz val="11"/>
        <color theme="1"/>
        <rFont val="Calibri"/>
        <family val="2"/>
      </rPr>
      <t xml:space="preserve"> loaded by Moneysave Credit Committee as deem necessary</t>
    </r>
  </si>
  <si>
    <r>
      <t>Any negative risk loading</t>
    </r>
    <r>
      <rPr>
        <sz val="11"/>
        <rFont val="Calibri"/>
        <family val="2"/>
      </rPr>
      <t xml:space="preserve"> given to Issuer with justification and has to be highlighted by credit analyst and approved by Chief Credit Officer and submitted to the Credit Committee for approval in Credit Memo</t>
    </r>
  </si>
  <si>
    <t>Note: Any deviations to any ascribed risk loading for any of the above categories and/or the overall total risk loading has to be highlighted by credit analyst and approved by Chief Credit Officer and highlighted in the Credit Memo for Credit Committee approval.</t>
  </si>
  <si>
    <t>Total Net Risk Loading
(Max 5%)</t>
  </si>
  <si>
    <t xml:space="preserve">Guidance Note for Base Financing Rate: </t>
  </si>
  <si>
    <t>Credit Score Equivalent</t>
  </si>
  <si>
    <t>Base Financing Rate
(as of 01/09/2022)</t>
  </si>
  <si>
    <t>Base Rate</t>
  </si>
  <si>
    <t>Risk Loading</t>
  </si>
  <si>
    <t>Justification for deviation to any ascribed risk loading for any of the above categories (If any).</t>
  </si>
  <si>
    <t>Justification:
By Credit Analyst</t>
  </si>
  <si>
    <t>Justification:
By Chief Credit Officer</t>
  </si>
  <si>
    <t>Knock-Out Matrix</t>
  </si>
  <si>
    <t>Director / Guarantor
- Individual</t>
  </si>
  <si>
    <t>Criteria that failed</t>
  </si>
  <si>
    <t>Knock-Out Items</t>
  </si>
  <si>
    <t>Scoring by CRA Agency (Issuer's Credit Agency Score)</t>
  </si>
  <si>
    <t>Scoring by CRA Agency (Credit Score Equivalent)</t>
  </si>
  <si>
    <t>No Score , D or worse</t>
  </si>
  <si>
    <t>Registration Date / Years as Director/Partner/Sole-Prop. of Issuer/Company</t>
  </si>
  <si>
    <t>Company Status (Existing Only)</t>
  </si>
  <si>
    <t>Legal records in past 24 months (personal capacity) Number (per primary CRA report)</t>
  </si>
  <si>
    <t>Third Party Guarantor-Individual</t>
  </si>
  <si>
    <t>Legal records in past 24 months (personal capacity) Value (per primary CRA report)</t>
  </si>
  <si>
    <t>Legal records in past 24 months (non-personal capacity) Number (per primary CRA report)</t>
  </si>
  <si>
    <t>Legal records in past 24 months (non-personal capacity) Value (per primary CRA report)</t>
  </si>
  <si>
    <t>Availability of Legal Records (BNM) (per primary CRA report)</t>
  </si>
  <si>
    <t>Special Attention Account (per primary CRA report)</t>
  </si>
  <si>
    <t>Outstanding credit facilities Number (per primary CRA report)</t>
  </si>
  <si>
    <t>Outstanding credit facilities Value (per primary CRA report)</t>
  </si>
  <si>
    <t>Total Credit applications in past 12 months (per primary CRA report)</t>
  </si>
  <si>
    <t>Total Approved Credit applications in past 12 months (per primary CRA report)</t>
  </si>
  <si>
    <t>Total Pending Credit applications in past 12 months (per primary CRA report)</t>
  </si>
  <si>
    <t>FYE Networth (Total Assets less Total Liabilities) in Last Financial Year (per primary CRA report)</t>
  </si>
  <si>
    <t>Negative networth</t>
  </si>
  <si>
    <t>FYE Years of Financial History Available  - For Past 3 Years (From either CTOS / SSM / Audited Report from Issuer)</t>
  </si>
  <si>
    <t>FYE Years of Financial History from Current Year - For Past 3 Years (From either CTOS / SSM / Audited Report from Issuer)</t>
  </si>
  <si>
    <t>Break in FYE record</t>
  </si>
  <si>
    <t>FYE PNL Loss  -  For Past 3 Years (From either CTOS / SSM / Audited Report from Issuer)</t>
  </si>
  <si>
    <t>FYE Networth  -  For Past 3 Years (From either CTOS / SSM / Audited Report from Issuer)</t>
  </si>
  <si>
    <t>Negative networth in latest FYE</t>
  </si>
  <si>
    <t>Summary of Potential &amp; Current Liabilities  as Borrower (Outstanding) (per primary CRA report)</t>
  </si>
  <si>
    <t>Summary of Potential &amp; Current Liabilities  as Guarantor (Outstanding)(per primary CRA report)</t>
  </si>
  <si>
    <t>Summary of Potential &amp; Current Liabilities  as Borrower (Total Limit)(per primary CRA report)</t>
  </si>
  <si>
    <t>Summary of Potential &amp; Current Liabilities  as Guarantor (Total Limit)(per primary CRA report)</t>
  </si>
  <si>
    <t>Summary of Total Liabilities (Outstanding) (per primary CRA report)</t>
  </si>
  <si>
    <t>Summary of Total Liabilities (Total Limit) (per primary CRA report)</t>
  </si>
  <si>
    <t>Trade Reference (per primary CRA report)</t>
  </si>
  <si>
    <t>&gt;1 &amp; outstanding &gt;RM10k</t>
  </si>
  <si>
    <t>Legal Case - Status (per primary CRA report)</t>
  </si>
  <si>
    <t>Any of "Ongoing" "Settled" or "Action Discontinued"</t>
  </si>
  <si>
    <t>CCRIS Loan Account - Conduct Count (per primary CRA report)</t>
  </si>
  <si>
    <t>MIA =&gt;2</t>
  </si>
  <si>
    <t>CCRIS Loan Account - Status (per primary CRA report)</t>
  </si>
  <si>
    <t>CCRIS Loan Account - Legal Status (per primary CRA report)</t>
  </si>
  <si>
    <t>Any positive notation</t>
  </si>
  <si>
    <t>Historical Inquiry - From FI - In past 12 months (per primary CRA report)</t>
  </si>
  <si>
    <t>&gt;5 per month</t>
  </si>
  <si>
    <t>AMLA (per KYC Screening Report)
(Compulsory to include shareholders &gt;20%, irrespective whether they stand as guarantor)</t>
  </si>
  <si>
    <t>PEP (per KYC Screening Report)
(Compulsory to include shareholders &gt;20%, irrespective whether they stand as guarantor)</t>
  </si>
  <si>
    <t xml:space="preserve">High Risk Industry Sector </t>
  </si>
  <si>
    <t>As per Section 2.3.1 in Credit Policy</t>
  </si>
  <si>
    <t>Knock Out Matrix Summary
(based on inputs in the matrix above by Credit Analyst)</t>
  </si>
  <si>
    <t>Note: To fill up the the section below if Knock-Out Matrix Summary is rejected as above:</t>
  </si>
  <si>
    <t>Knock-Out Items
(to tabulate summary of criteria that failed)</t>
  </si>
  <si>
    <t>For recommendation to proceed or reject the credit application if deviates from Knock Out Matrix Summary</t>
  </si>
  <si>
    <t>Justifications:</t>
  </si>
  <si>
    <t>Approval by Credit Committee (if required as per Credit Policy Section 7.1, item v )</t>
  </si>
  <si>
    <t>Signature</t>
  </si>
  <si>
    <t>Types Of Credit Assessment / Evaluation</t>
  </si>
  <si>
    <t xml:space="preserve">NA </t>
  </si>
  <si>
    <t>Granting Of Credit</t>
  </si>
  <si>
    <t>Purpose Of Financing Is Stated By Issuer On The Application Form</t>
  </si>
  <si>
    <t>To Show Computation Via WCR Or Cash Flow Of The Amount To Be Approved And Include Justifications</t>
  </si>
  <si>
    <t>Type, Amount &amp; Tenor Is Appropriate And With Justification Provided By Credit Analyst</t>
  </si>
  <si>
    <t>Financial</t>
  </si>
  <si>
    <t xml:space="preserve">Losses For The Past 2 Out Of 3 Years </t>
  </si>
  <si>
    <t xml:space="preserve">Negative Networth </t>
  </si>
  <si>
    <t>Qualified Financials By Auditors</t>
  </si>
  <si>
    <t>No Changes In Auditors Over The Past 2 Years</t>
  </si>
  <si>
    <t>Debtors Ageing &gt;180 Days (That Is &gt; Than 30% Of Total Trade Debtors)</t>
  </si>
  <si>
    <t>Creditors Ageing &gt;180 Days (That Is &gt; Than 30% Of Total Trade Creditors)</t>
  </si>
  <si>
    <t>Industry Outlook</t>
  </si>
  <si>
    <t>Industry &amp; Growth Outlook (Comments If Any)</t>
  </si>
  <si>
    <t>i</t>
  </si>
  <si>
    <t>Repayment Capacity</t>
  </si>
  <si>
    <t xml:space="preserve">Debt Service Ratio Is Acceptable, Otherwise Please Justify Via Cash Flow </t>
  </si>
  <si>
    <t>Net Cash Flow After Financing Cost Positive</t>
  </si>
  <si>
    <t>Conduct Of Account Of Issuer And Guarantors</t>
  </si>
  <si>
    <t xml:space="preserve">Management </t>
  </si>
  <si>
    <t xml:space="preserve">No Of Years Experience Of Key Management </t>
  </si>
  <si>
    <t>Succession Planning For Those Keyman Above 60 Years</t>
  </si>
  <si>
    <t>G</t>
  </si>
  <si>
    <t>For Trade Related Facilites (Approved Buyers &amp; Supplier Only Where Applicable):</t>
  </si>
  <si>
    <t>Buyer And Supplier No Matches (Sanction List &amp; Enforcement) In CTOS KYC Screening Report</t>
  </si>
  <si>
    <t>Buyer And Supplier's Company Status Is Stated As Existing And Not Wound Up (CTOS Lite)</t>
  </si>
  <si>
    <t>Buyer And Supplier's Financials No Negative Networth Based On Latest Available Audited Financials (CTOS Lite)</t>
  </si>
  <si>
    <t>Obtained Information Of Buyer/Supplier Such As Years Of Incorporation &amp; Business Sector (CTOS Lite)</t>
  </si>
  <si>
    <t>H</t>
  </si>
  <si>
    <t>Security /Collateral</t>
  </si>
  <si>
    <t>For Corporate Shareholders With Shareholding &gt;20%, Corporate Guarantee Is Taken Unless Approved By Credit Committee</t>
  </si>
  <si>
    <t>Guarantee Is Taken For All Directors With Shareholding &gt;10% Unless Approved By Credit Committee</t>
  </si>
  <si>
    <t>Guarantee Is Taken For All Major Individual Shareholders With Shareholding &gt;20% Unless Approved By Credit Committee</t>
  </si>
  <si>
    <t>Deviations And Approvals</t>
  </si>
  <si>
    <t>Any Deviations To Knock Out Matrix Is Highlighted And Approved (Attached To Credit Memo)</t>
  </si>
  <si>
    <t>Any Deviations To Risk Loading Is Highlighted And Approved (Attached To Credit Memo)</t>
  </si>
  <si>
    <t>Any Deviations From Moneysave Credit Policy Is Highlighted And Approved (Attached To Credit Memo)</t>
  </si>
  <si>
    <t>2024-03</t>
  </si>
  <si>
    <t>2024-04</t>
  </si>
  <si>
    <t>2024-05</t>
  </si>
  <si>
    <t>Moneysave</t>
  </si>
  <si>
    <t>Existing</t>
  </si>
  <si>
    <t>N</t>
  </si>
  <si>
    <t>3 years audited report available</t>
  </si>
  <si>
    <t>Audited-31122021</t>
  </si>
  <si>
    <t>Audited-31122022</t>
  </si>
  <si>
    <t>Mgmt Acc-31052024</t>
  </si>
  <si>
    <t>Ace Logistic Sdn Bhd</t>
  </si>
  <si>
    <t>Drawdown</t>
  </si>
  <si>
    <t>Issuer Name: Ace Logistic Sdn Bhd</t>
  </si>
  <si>
    <t>Name of Buyer</t>
  </si>
  <si>
    <t>Bank Name</t>
  </si>
  <si>
    <t>6 months  Total (RM)</t>
  </si>
  <si>
    <t>Total 6 months Sales Deposit</t>
  </si>
  <si>
    <t xml:space="preserve">Total Sales Deposit (annualised) </t>
  </si>
  <si>
    <t>Cheque</t>
  </si>
  <si>
    <t xml:space="preserve">LO/SLO Reference: </t>
  </si>
  <si>
    <t>MSSB/LOF/ MYISS-2200000401/001</t>
  </si>
  <si>
    <t>Real Time CRA Report on Director/Shareholder/Guarantor (1) Chiau Beng Teik</t>
  </si>
  <si>
    <t>Real Time CRA Report on Director/Shareholder/Guarantor (2) Chiau Haw Choon</t>
  </si>
  <si>
    <t>Real Time CRA Report on Director/Shareholder/Coporate Guarantor (4) PP Chin Hin Realty Sdn Bhd</t>
  </si>
  <si>
    <t>FYE / Management Acc. (31/05/2024)</t>
  </si>
  <si>
    <t>Cash Flow Projection provided to justify repayment capability</t>
  </si>
  <si>
    <t>(02 / 07 / 2024)</t>
  </si>
  <si>
    <t>(01 / 09 / 2022)</t>
  </si>
  <si>
    <t>No Changes</t>
  </si>
  <si>
    <t>Within limit</t>
  </si>
  <si>
    <t xml:space="preserve"> Positive Variance </t>
  </si>
  <si>
    <t>Annualised trade deposits per bank statements + Trade Debtors per balance sheet should be greater than the annualised sales turnover and if lower than the annualised sales turnover, the negative variance not to exceed 30%, otherwise highlight and to justify</t>
  </si>
  <si>
    <t xml:space="preserve">Add: *Trade Debtors per balance sheet </t>
  </si>
  <si>
    <t>The total Bank/FI borrowing have been reflected under Non-Current liabilities in the Management Account as at 31/05/2024.</t>
  </si>
  <si>
    <t>Draft Audited-31122023</t>
  </si>
  <si>
    <r>
      <rPr>
        <sz val="12"/>
        <color rgb="FFFF0000"/>
        <rFont val="Calibri"/>
        <family val="2"/>
      </rPr>
      <t>Industry</t>
    </r>
    <r>
      <rPr>
        <sz val="12"/>
        <rFont val="Calibri"/>
        <family val="2"/>
      </rPr>
      <t xml:space="preserve"> SWOT Analysis (Applicable for application &gt;RM5m)</t>
    </r>
  </si>
  <si>
    <t>MYBTF-2407001144</t>
  </si>
  <si>
    <t xml:space="preserve">Expected Net income </t>
  </si>
  <si>
    <t>Annualised Management Accounts</t>
  </si>
  <si>
    <t>Annualised (Mgmt Acc)</t>
  </si>
  <si>
    <t>Management Account Updated
(if available, updated to :   31/May/2024  )</t>
  </si>
  <si>
    <t>Bank Statements Updated 
(Latest 6 months Bank Statement, 31/Dec/2023 to 31/May/2024 )</t>
  </si>
  <si>
    <t>Audited Accounts Updated
(if available, updated to :   31/Dec/2022  )</t>
  </si>
  <si>
    <r>
      <t xml:space="preserve">To check any changes in the risk scoring and to highlight and justify the change in risk scoring to be adopted in the factsheet compared to the earlier risk scoring that was computed at the time of </t>
    </r>
    <r>
      <rPr>
        <b/>
        <sz val="11"/>
        <color rgb="FFFF0000"/>
        <rFont val="Calibri"/>
        <family val="2"/>
      </rPr>
      <t>latest</t>
    </r>
    <r>
      <rPr>
        <b/>
        <sz val="11"/>
        <rFont val="Calibri"/>
        <family val="2"/>
      </rPr>
      <t xml:space="preserve"> credit evaluation </t>
    </r>
    <r>
      <rPr>
        <b/>
        <sz val="11"/>
        <color rgb="FFFF0000"/>
        <rFont val="Calibri"/>
        <family val="2"/>
      </rPr>
      <t>(if any)</t>
    </r>
    <r>
      <rPr>
        <b/>
        <sz val="11"/>
        <rFont val="Calibri"/>
        <family val="2"/>
      </rPr>
      <t xml:space="preserve">.
</t>
    </r>
    <r>
      <rPr>
        <sz val="11"/>
        <rFont val="Calibri"/>
        <family val="2"/>
      </rPr>
      <t xml:space="preserve">Risk score at </t>
    </r>
    <r>
      <rPr>
        <sz val="11"/>
        <color rgb="FFFF0000"/>
        <rFont val="Calibri"/>
        <family val="2"/>
      </rPr>
      <t>latest</t>
    </r>
    <r>
      <rPr>
        <sz val="11"/>
        <rFont val="Calibri"/>
        <family val="2"/>
      </rPr>
      <t xml:space="preserve"> credit evaluation date:  </t>
    </r>
    <r>
      <rPr>
        <b/>
        <sz val="11"/>
        <rFont val="Calibri"/>
        <family val="2"/>
      </rPr>
      <t xml:space="preserve">02/07/2024 </t>
    </r>
    <r>
      <rPr>
        <sz val="11"/>
        <rFont val="Calibri"/>
        <family val="2"/>
      </rPr>
      <t xml:space="preserve">               Score: </t>
    </r>
    <r>
      <rPr>
        <b/>
        <sz val="11"/>
        <rFont val="Calibri"/>
        <family val="2"/>
      </rPr>
      <t>310 (B)</t>
    </r>
    <r>
      <rPr>
        <sz val="11"/>
        <rFont val="Calibri"/>
        <family val="2"/>
      </rPr>
      <t xml:space="preserve">
Risk score per factsheet for investment note hosting date: </t>
    </r>
    <r>
      <rPr>
        <b/>
        <sz val="11"/>
        <rFont val="Calibri"/>
        <family val="2"/>
      </rPr>
      <t>02/07/2024</t>
    </r>
    <r>
      <rPr>
        <sz val="11"/>
        <rFont val="Calibri"/>
        <family val="2"/>
      </rPr>
      <t xml:space="preserve">         Score:</t>
    </r>
    <r>
      <rPr>
        <b/>
        <sz val="11"/>
        <rFont val="Calibri"/>
        <family val="2"/>
      </rPr>
      <t xml:space="preserve"> 310 (B)</t>
    </r>
  </si>
  <si>
    <t>ITCO NIAGA SDN. BHD.</t>
  </si>
  <si>
    <t>MIA 1 x 5</t>
  </si>
  <si>
    <t>ANITA AQEELA HIONG</t>
  </si>
  <si>
    <t>NA</t>
  </si>
  <si>
    <t>2024-06</t>
  </si>
  <si>
    <t>2024-07</t>
  </si>
  <si>
    <t>2024-08</t>
  </si>
  <si>
    <t>MBB 2312</t>
  </si>
  <si>
    <t>OTLNFNCE 91-08-2021</t>
  </si>
  <si>
    <t>OTLNFNCE 14-06-2022</t>
  </si>
  <si>
    <t>PCPASCAR  01-03-2023</t>
  </si>
  <si>
    <t>CRDTCARD 09-11-2021</t>
  </si>
  <si>
    <t>FNINSOFN  29-01-2024</t>
  </si>
  <si>
    <t xml:space="preserve">OVRDRAFT 19-08-2021 </t>
  </si>
  <si>
    <t>SHALINE GNANALINGAM*</t>
  </si>
  <si>
    <t>PLANWORTH GLOBAL</t>
  </si>
  <si>
    <t>TNB REPAIR AND MAINT</t>
  </si>
  <si>
    <t>INDAH WATER KONSORT</t>
  </si>
  <si>
    <t>MIB</t>
  </si>
  <si>
    <t>Less: Annualised Sales of Mgmt Acc 31/08/2024</t>
  </si>
  <si>
    <t>*LO RM7474</t>
  </si>
  <si>
    <t>BSN Term Loan 66 mths</t>
  </si>
  <si>
    <t>PLANWORTH</t>
  </si>
  <si>
    <t>AMMB 7804</t>
  </si>
  <si>
    <t>Ambank Term Loan 84 mths</t>
  </si>
  <si>
    <t>MBB Islamic Term Loan 7yrs</t>
  </si>
  <si>
    <t>Indah Water Project RM1.4m</t>
  </si>
  <si>
    <r>
      <rPr>
        <sz val="13"/>
        <color rgb="FFFF0000"/>
        <rFont val="Aptos Narrow"/>
        <family val="2"/>
      </rPr>
      <t>≥</t>
    </r>
    <r>
      <rPr>
        <sz val="13"/>
        <rFont val="Calibri"/>
        <family val="2"/>
      </rPr>
      <t xml:space="preserve">2 years </t>
    </r>
  </si>
  <si>
    <t>High Gearing 
(Gearing Ratio : ________; Benchmark: _______; Loading (if any) : ________ )</t>
  </si>
  <si>
    <t>Any Concentration Risk To A Single Buyer (&gt;30% Of Total Sales) 
(If triggered &gt; 30%, to state Total Sales to Buyer: RM________; Total Sales : RM________; % of Concentration: _______ %)
Name of Buyer :</t>
  </si>
  <si>
    <t>Any Concentration Risk To A Single Supplier (&gt;30% Of Total Purchases) 
(If triggered &gt; 30%, to state Total Purhcases from Supplier: RM________; Total Purchases : RM________; % of Concentration: _______ %)
Name of Supplier :</t>
  </si>
  <si>
    <t>ii</t>
  </si>
  <si>
    <r>
      <t xml:space="preserve">Cash Flow Projections Are Acceptable /Reasonable </t>
    </r>
    <r>
      <rPr>
        <sz val="12"/>
        <color rgb="FFFF0000"/>
        <rFont val="Calibri"/>
        <family val="2"/>
      </rPr>
      <t>as per guidelines below:</t>
    </r>
  </si>
  <si>
    <t xml:space="preserve">Inflow </t>
  </si>
  <si>
    <t>1.1.1</t>
  </si>
  <si>
    <t>Funding approval from FIs</t>
  </si>
  <si>
    <t>1.1.2</t>
  </si>
  <si>
    <t>Revenue supported by existing Purchase Order/Invoices from buyers (reasonable forecasted revenue ratio based on sales growth forecast)</t>
  </si>
  <si>
    <t>1.1.3</t>
  </si>
  <si>
    <t>Contract/Letter of Award/SST/Indent</t>
  </si>
  <si>
    <t xml:space="preserve">Outflow </t>
  </si>
  <si>
    <t>1.2.1</t>
  </si>
  <si>
    <t>Operating Expenditure such as staff cost is consistent with previous years financials (not more than 20% variance)</t>
  </si>
  <si>
    <t>1.2.2</t>
  </si>
  <si>
    <t>Existing debt repayment (P+I) to tie in to their monthy commitment as reflected in their bank letter of offer (reasonable financing cost ratio)</t>
  </si>
  <si>
    <t>1.2.3</t>
  </si>
  <si>
    <t xml:space="preserve">Payment to suppliers to be supported by existing invoices or forecast expenditure (reasonable operating cost ratio) </t>
  </si>
  <si>
    <r>
      <rPr>
        <sz val="12"/>
        <color rgb="FFFF0000"/>
        <rFont val="Calibri"/>
        <family val="2"/>
      </rPr>
      <t>Include a</t>
    </r>
    <r>
      <rPr>
        <sz val="12"/>
        <rFont val="Calibri"/>
        <family val="2"/>
      </rPr>
      <t xml:space="preserve">ny Existing P2P Repayment Obligations Where Reported By Issuer (As Not Available In CCRIS) </t>
    </r>
    <r>
      <rPr>
        <sz val="12"/>
        <color rgb="FFFF0000"/>
        <rFont val="Calibri"/>
        <family val="2"/>
      </rPr>
      <t>including any borrowings reflected in the balance sheet of the Issuer in the computation of DSR or free cash flow.</t>
    </r>
  </si>
  <si>
    <r>
      <t>D</t>
    </r>
    <r>
      <rPr>
        <sz val="12"/>
        <color rgb="FFFF0000"/>
        <rFont val="Calibri"/>
        <family val="2"/>
      </rPr>
      <t>OA</t>
    </r>
    <r>
      <rPr>
        <sz val="12"/>
        <rFont val="Calibri"/>
        <family val="2"/>
      </rPr>
      <t>/N</t>
    </r>
    <r>
      <rPr>
        <sz val="12"/>
        <color rgb="FFFF0000"/>
        <rFont val="Calibri"/>
        <family val="2"/>
      </rPr>
      <t>OA</t>
    </r>
    <r>
      <rPr>
        <sz val="12"/>
        <rFont val="Calibri"/>
        <family val="2"/>
      </rPr>
      <t xml:space="preserve"> Provided (If Applicable)</t>
    </r>
  </si>
  <si>
    <r>
      <rPr>
        <sz val="12"/>
        <color rgb="FFFF0000"/>
        <rFont val="Calibri"/>
        <family val="2"/>
      </rPr>
      <t>Is the total aggregate limit under this application within MS daily operational limit  and Single Issuer Limit  (&lt;RM</t>
    </r>
    <r>
      <rPr>
        <u/>
        <sz val="12"/>
        <color rgb="FFFF0000"/>
        <rFont val="Calibri"/>
        <family val="2"/>
      </rPr>
      <t xml:space="preserve">                                    </t>
    </r>
    <r>
      <rPr>
        <sz val="12"/>
        <color rgb="FFFF0000"/>
        <rFont val="Calibri"/>
        <family val="2"/>
      </rPr>
      <t>)?</t>
    </r>
    <r>
      <rPr>
        <sz val="12"/>
        <rFont val="Calibri"/>
        <family val="2"/>
      </rPr>
      <t xml:space="preserve">
</t>
    </r>
  </si>
  <si>
    <t>320/400</t>
  </si>
  <si>
    <t>11 Years</t>
  </si>
  <si>
    <t>694/850</t>
  </si>
  <si>
    <t>ITCO Niaga Sdn. Bhd.</t>
  </si>
  <si>
    <t>Credit Memo</t>
  </si>
  <si>
    <t>Positive networth</t>
  </si>
  <si>
    <t>2 years losses</t>
  </si>
  <si>
    <t>O</t>
  </si>
  <si>
    <t>Item 1</t>
  </si>
  <si>
    <t>Item 2</t>
  </si>
  <si>
    <t>The Issuer has demonstrated a positive turnaround after consecutive 2 years of losses in 2023 and 2022. FYE March 2024, the audited financials reported a profit of RM395k. The latest six months of management accounts as of 30 Sept 2024 also reported profit of RM601k</t>
  </si>
  <si>
    <t>The conduct of account of the Director ANITA AQEELA HIONG is Prompt, no MIA reported in the CCRIS and there is no legal case and trade reference reported on her as per CTOS.</t>
  </si>
  <si>
    <t>Issuer Name: ITCO Niaga Sdn Bhd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</si>
</sst>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41" formatCode="_-* #,##0_-;\-* #,##0_-;_-* &quot;-&quot;_-;_-@_-"/>
    <numFmt numFmtId="43" formatCode="_-* #,##0.00_-;\-* #,##0.00_-;_-* &quot;-&quot;??_-;_-@_-"/>
    <numFmt numFmtId="164" formatCode="_(* #,##0.00_);_(* \(#,##0.00\);_(* &quot;-&quot;??_);_(@_)"/>
    <numFmt numFmtId="165" formatCode="_-* #,##0_-;\-* #,##0_-;_-* &quot;-&quot;??_-;_-@_-"/>
    <numFmt numFmtId="166" formatCode="_-* #,##0.0_-;\-* #,##0.0_-;_-* &quot;-&quot;??_-;_-@_-"/>
    <numFmt numFmtId="167" formatCode="dd/mm/yyyy;@"/>
    <numFmt numFmtId="168" formatCode="_-* #,##0.0_-;\-* #,##0.0_-;_-* &quot;-&quot;?_-;_-@_-"/>
    <numFmt numFmtId="169" formatCode="#,##0_ ;[Red]\-#,##0\ "/>
    <numFmt numFmtId="170" formatCode="\(0.00%\)"/>
    <numFmt numFmtId="171" formatCode="_(* #,##0_);_(* \(#,##0\);_(* &quot;-&quot;??_);_(@_)"/>
    <numFmt numFmtId="172" formatCode="dd/mm/yy;@"/>
    <numFmt numFmtId="173" formatCode="[$-409]d\-mmm\-yy;@"/>
  </numFmts>
  <fonts count="123">
    <font>
      <sz val="11"/>
      <color theme="1"/>
      <name val="Calibri"/>
      <family val="2"/>
      <scheme val="minor"/>
    </font>
    <font>
      <sz val="11"/>
      <color theme="1"/>
      <name val="Calibri"/>
      <family val="2"/>
      <scheme val="minor"/>
    </font>
    <font>
      <sz val="10"/>
      <color theme="1"/>
      <name val="Calibri"/>
      <family val="2"/>
      <scheme val="minor"/>
    </font>
    <font>
      <sz val="10"/>
      <name val="Arial"/>
      <family val="2"/>
    </font>
    <font>
      <b/>
      <sz val="10"/>
      <color theme="1"/>
      <name val="Calibri"/>
      <family val="2"/>
      <scheme val="minor"/>
    </font>
    <font>
      <b/>
      <sz val="10"/>
      <color rgb="FFFF0000"/>
      <name val="Calibri"/>
      <family val="2"/>
    </font>
    <font>
      <sz val="10"/>
      <color rgb="FF0070C0"/>
      <name val="Calibri"/>
      <family val="2"/>
      <scheme val="minor"/>
    </font>
    <font>
      <i/>
      <sz val="11"/>
      <color theme="1"/>
      <name val="Calibri"/>
      <family val="2"/>
      <scheme val="minor"/>
    </font>
    <font>
      <b/>
      <sz val="11"/>
      <color theme="1"/>
      <name val="Calibri"/>
      <family val="2"/>
      <scheme val="minor"/>
    </font>
    <font>
      <b/>
      <sz val="9"/>
      <color theme="1"/>
      <name val="Calibri"/>
      <family val="2"/>
      <scheme val="minor"/>
    </font>
    <font>
      <b/>
      <i/>
      <sz val="11"/>
      <color theme="1"/>
      <name val="Calibri"/>
      <family val="2"/>
      <scheme val="minor"/>
    </font>
    <font>
      <sz val="8"/>
      <name val="Calibri"/>
      <family val="2"/>
      <scheme val="minor"/>
    </font>
    <font>
      <i/>
      <sz val="10"/>
      <color theme="1"/>
      <name val="Calibri"/>
      <family val="2"/>
      <scheme val="minor"/>
    </font>
    <font>
      <i/>
      <sz val="10"/>
      <color rgb="FFFF0000"/>
      <name val="Calibri"/>
      <family val="2"/>
      <scheme val="minor"/>
    </font>
    <font>
      <sz val="10"/>
      <color rgb="FFFF0000"/>
      <name val="Calibri"/>
      <family val="2"/>
      <scheme val="minor"/>
    </font>
    <font>
      <b/>
      <sz val="10"/>
      <color rgb="FF0070C0"/>
      <name val="Calibri"/>
      <family val="2"/>
      <scheme val="minor"/>
    </font>
    <font>
      <sz val="11"/>
      <color rgb="FF0070C0"/>
      <name val="Calibri"/>
      <family val="2"/>
      <scheme val="minor"/>
    </font>
    <font>
      <b/>
      <sz val="8.5"/>
      <color rgb="FFFF0000"/>
      <name val="Calibri"/>
      <family val="2"/>
    </font>
    <font>
      <b/>
      <u/>
      <sz val="11"/>
      <color theme="1"/>
      <name val="Calibri"/>
      <family val="2"/>
      <scheme val="minor"/>
    </font>
    <font>
      <i/>
      <sz val="9"/>
      <color rgb="FFFF0000"/>
      <name val="Calibri"/>
      <family val="2"/>
      <scheme val="minor"/>
    </font>
    <font>
      <sz val="10"/>
      <name val="Calibri"/>
      <family val="2"/>
      <scheme val="minor"/>
    </font>
    <font>
      <b/>
      <sz val="10"/>
      <color rgb="FFFF0000"/>
      <name val="Calibri"/>
      <family val="2"/>
      <scheme val="minor"/>
    </font>
    <font>
      <b/>
      <u/>
      <sz val="14"/>
      <color theme="1"/>
      <name val="Calibri"/>
      <family val="2"/>
      <scheme val="minor"/>
    </font>
    <font>
      <b/>
      <u/>
      <sz val="10"/>
      <color theme="1"/>
      <name val="Calibri"/>
      <family val="2"/>
      <scheme val="minor"/>
    </font>
    <font>
      <b/>
      <sz val="11"/>
      <color rgb="FF0070C0"/>
      <name val="Calibri"/>
      <family val="2"/>
      <scheme val="minor"/>
    </font>
    <font>
      <b/>
      <sz val="10"/>
      <name val="Calibri"/>
      <family val="2"/>
      <scheme val="minor"/>
    </font>
    <font>
      <sz val="10"/>
      <color theme="0" tint="-0.499984740745262"/>
      <name val="Calibri"/>
      <family val="2"/>
      <scheme val="minor"/>
    </font>
    <font>
      <sz val="10"/>
      <color rgb="FF00B0F0"/>
      <name val="Calibri"/>
      <family val="2"/>
      <scheme val="minor"/>
    </font>
    <font>
      <b/>
      <i/>
      <sz val="10"/>
      <color theme="1"/>
      <name val="Calibri"/>
      <family val="2"/>
      <scheme val="minor"/>
    </font>
    <font>
      <sz val="9"/>
      <color rgb="FFFF0000"/>
      <name val="Calibri"/>
      <family val="2"/>
      <scheme val="minor"/>
    </font>
    <font>
      <b/>
      <sz val="11"/>
      <color rgb="FFFF0000"/>
      <name val="Calibri"/>
      <family val="2"/>
      <scheme val="minor"/>
    </font>
    <font>
      <b/>
      <sz val="11"/>
      <name val="Calibri"/>
      <family val="2"/>
      <scheme val="minor"/>
    </font>
    <font>
      <b/>
      <sz val="11"/>
      <color rgb="FFFF0000"/>
      <name val="Calibri"/>
      <family val="2"/>
    </font>
    <font>
      <b/>
      <sz val="9"/>
      <color rgb="FF00B0F0"/>
      <name val="Calibri"/>
      <family val="2"/>
      <scheme val="minor"/>
    </font>
    <font>
      <sz val="9"/>
      <color theme="1"/>
      <name val="Calibri"/>
      <family val="2"/>
      <scheme val="minor"/>
    </font>
    <font>
      <b/>
      <sz val="10"/>
      <color rgb="FF2110F8"/>
      <name val="Calibri"/>
      <family val="2"/>
      <scheme val="minor"/>
    </font>
    <font>
      <b/>
      <sz val="9"/>
      <color rgb="FFFF0000"/>
      <name val="Calibri"/>
      <family val="2"/>
      <scheme val="minor"/>
    </font>
    <font>
      <sz val="11"/>
      <name val="Calibri"/>
      <family val="2"/>
      <scheme val="minor"/>
    </font>
    <font>
      <b/>
      <sz val="12"/>
      <color theme="1"/>
      <name val="Calibri"/>
      <family val="2"/>
      <scheme val="minor"/>
    </font>
    <font>
      <sz val="12"/>
      <color theme="1"/>
      <name val="Calibri"/>
      <family val="2"/>
      <scheme val="minor"/>
    </font>
    <font>
      <sz val="72"/>
      <color rgb="FFFFFFFF"/>
      <name val="Calibri"/>
      <family val="2"/>
      <scheme val="minor"/>
    </font>
    <font>
      <i/>
      <sz val="8"/>
      <color theme="1"/>
      <name val="Calibri"/>
      <family val="2"/>
      <scheme val="minor"/>
    </font>
    <font>
      <sz val="9"/>
      <name val="Calibri"/>
      <family val="2"/>
      <scheme val="minor"/>
    </font>
    <font>
      <b/>
      <sz val="10"/>
      <color rgb="FFFFFFFF"/>
      <name val="Calibri"/>
      <family val="2"/>
      <scheme val="minor"/>
    </font>
    <font>
      <b/>
      <sz val="10"/>
      <color theme="0"/>
      <name val="Calibri"/>
      <family val="2"/>
      <scheme val="minor"/>
    </font>
    <font>
      <b/>
      <sz val="12"/>
      <color rgb="FFC00000"/>
      <name val="Calibri"/>
      <family val="2"/>
      <scheme val="minor"/>
    </font>
    <font>
      <i/>
      <sz val="8"/>
      <color rgb="FF171717"/>
      <name val="Calibri"/>
      <family val="2"/>
      <scheme val="minor"/>
    </font>
    <font>
      <b/>
      <i/>
      <sz val="8"/>
      <color rgb="FFC00000"/>
      <name val="Calibri"/>
      <family val="2"/>
      <scheme val="minor"/>
    </font>
    <font>
      <i/>
      <sz val="8"/>
      <name val="Calibri"/>
      <family val="2"/>
      <scheme val="minor"/>
    </font>
    <font>
      <b/>
      <sz val="23"/>
      <color rgb="FF0000FF"/>
      <name val="Calibri"/>
      <family val="2"/>
      <scheme val="minor"/>
    </font>
    <font>
      <sz val="8"/>
      <color theme="1"/>
      <name val="Calibri"/>
      <family val="2"/>
      <scheme val="minor"/>
    </font>
    <font>
      <sz val="11"/>
      <color rgb="FF0000FF"/>
      <name val="Calibri"/>
      <family val="2"/>
      <scheme val="minor"/>
    </font>
    <font>
      <b/>
      <sz val="14"/>
      <color theme="1"/>
      <name val="Calibri"/>
      <family val="2"/>
      <scheme val="minor"/>
    </font>
    <font>
      <sz val="14"/>
      <color theme="1"/>
      <name val="Calibri"/>
      <family val="2"/>
      <scheme val="minor"/>
    </font>
    <font>
      <sz val="8.5"/>
      <color theme="1"/>
      <name val="Calibri"/>
      <family val="2"/>
      <scheme val="minor"/>
    </font>
    <font>
      <sz val="10"/>
      <color theme="4"/>
      <name val="Calibri"/>
      <family val="2"/>
      <scheme val="minor"/>
    </font>
    <font>
      <sz val="10"/>
      <color theme="2" tint="-0.499984740745262"/>
      <name val="Calibri"/>
      <family val="2"/>
      <scheme val="minor"/>
    </font>
    <font>
      <b/>
      <sz val="8"/>
      <color theme="1"/>
      <name val="Calibri"/>
      <family val="2"/>
      <scheme val="minor"/>
    </font>
    <font>
      <sz val="11"/>
      <color theme="1"/>
      <name val="Calibri"/>
      <family val="2"/>
    </font>
    <font>
      <sz val="11"/>
      <color theme="1"/>
      <name val="Calibri"/>
      <family val="2"/>
    </font>
    <font>
      <sz val="12"/>
      <color theme="1"/>
      <name val="Calibri"/>
      <family val="2"/>
    </font>
    <font>
      <b/>
      <sz val="11"/>
      <color theme="1"/>
      <name val="Calibri"/>
      <family val="2"/>
    </font>
    <font>
      <sz val="3"/>
      <color theme="1"/>
      <name val="Calibri"/>
      <family val="2"/>
    </font>
    <font>
      <b/>
      <sz val="18"/>
      <color theme="1"/>
      <name val="Calibri"/>
      <family val="2"/>
    </font>
    <font>
      <b/>
      <sz val="12"/>
      <name val="Calibri"/>
      <family val="2"/>
    </font>
    <font>
      <sz val="12"/>
      <color theme="0" tint="-0.14999847407452621"/>
      <name val="Calibri"/>
      <family val="2"/>
    </font>
    <font>
      <b/>
      <sz val="12"/>
      <color theme="1"/>
      <name val="Calibri"/>
      <family val="2"/>
    </font>
    <font>
      <b/>
      <sz val="12"/>
      <color theme="0" tint="-0.14999847407452621"/>
      <name val="Calibri"/>
      <family val="2"/>
    </font>
    <font>
      <b/>
      <sz val="11"/>
      <color theme="0" tint="-0.249977111117893"/>
      <name val="Calibri"/>
      <family val="2"/>
    </font>
    <font>
      <b/>
      <sz val="11"/>
      <color theme="0" tint="-0.14999847407452621"/>
      <name val="Calibri"/>
      <family val="2"/>
    </font>
    <font>
      <i/>
      <sz val="11"/>
      <color theme="1"/>
      <name val="Calibri"/>
      <family val="2"/>
    </font>
    <font>
      <sz val="10"/>
      <color theme="1"/>
      <name val="Calibri"/>
      <family val="2"/>
    </font>
    <font>
      <sz val="11"/>
      <color theme="0"/>
      <name val="Calibri"/>
      <family val="2"/>
    </font>
    <font>
      <i/>
      <sz val="10"/>
      <color theme="1"/>
      <name val="Calibri"/>
      <family val="2"/>
    </font>
    <font>
      <sz val="10"/>
      <color theme="0"/>
      <name val="Calibri"/>
      <family val="2"/>
    </font>
    <font>
      <b/>
      <sz val="11"/>
      <name val="Calibri"/>
      <family val="2"/>
    </font>
    <font>
      <sz val="11"/>
      <color rgb="FFC00000"/>
      <name val="Calibri"/>
      <family val="2"/>
    </font>
    <font>
      <b/>
      <sz val="14"/>
      <color theme="1"/>
      <name val="Calibri"/>
      <family val="2"/>
    </font>
    <font>
      <sz val="11"/>
      <color rgb="FFFF0000"/>
      <name val="Calibri"/>
      <family val="2"/>
    </font>
    <font>
      <b/>
      <sz val="14"/>
      <name val="Calibri"/>
      <family val="2"/>
    </font>
    <font>
      <sz val="11"/>
      <name val="Calibri"/>
      <family val="2"/>
    </font>
    <font>
      <sz val="3"/>
      <name val="Calibri"/>
      <family val="2"/>
    </font>
    <font>
      <b/>
      <sz val="3"/>
      <name val="Calibri"/>
      <family val="2"/>
    </font>
    <font>
      <sz val="3"/>
      <name val="Calibri"/>
      <family val="2"/>
      <scheme val="minor"/>
    </font>
    <font>
      <b/>
      <sz val="3"/>
      <color theme="1"/>
      <name val="Calibri"/>
      <family val="2"/>
    </font>
    <font>
      <b/>
      <sz val="12"/>
      <color rgb="FFC00000"/>
      <name val="Calibri"/>
      <family val="2"/>
    </font>
    <font>
      <b/>
      <sz val="11"/>
      <color rgb="FFC00000"/>
      <name val="Calibri"/>
      <family val="2"/>
    </font>
    <font>
      <sz val="11"/>
      <color rgb="FFC00000"/>
      <name val="Calibri"/>
      <family val="2"/>
      <scheme val="minor"/>
    </font>
    <font>
      <sz val="9"/>
      <color theme="1"/>
      <name val="Calibri"/>
      <family val="2"/>
    </font>
    <font>
      <i/>
      <sz val="9"/>
      <color theme="1"/>
      <name val="Calibri"/>
      <family val="2"/>
    </font>
    <font>
      <b/>
      <sz val="9"/>
      <color theme="1"/>
      <name val="Calibri"/>
      <family val="2"/>
    </font>
    <font>
      <b/>
      <u/>
      <sz val="9"/>
      <color theme="1"/>
      <name val="Calibri"/>
      <family val="2"/>
    </font>
    <font>
      <i/>
      <sz val="9"/>
      <name val="Calibri"/>
      <family val="2"/>
    </font>
    <font>
      <b/>
      <i/>
      <sz val="11"/>
      <color theme="1"/>
      <name val="Calibri"/>
      <family val="2"/>
    </font>
    <font>
      <b/>
      <sz val="11"/>
      <color rgb="FFFF0000"/>
      <name val="Calibri"/>
      <family val="2"/>
    </font>
    <font>
      <sz val="11"/>
      <color rgb="FF2110F8"/>
      <name val="Calibri"/>
      <family val="2"/>
    </font>
    <font>
      <sz val="10"/>
      <color rgb="FFFF0000"/>
      <name val="Calibri"/>
      <family val="2"/>
    </font>
    <font>
      <b/>
      <sz val="10"/>
      <color theme="1"/>
      <name val="Calibri"/>
      <family val="2"/>
    </font>
    <font>
      <sz val="10"/>
      <color rgb="FF2110F8"/>
      <name val="Calibri"/>
      <family val="2"/>
    </font>
    <font>
      <i/>
      <sz val="11"/>
      <name val="Calibri"/>
      <family val="2"/>
    </font>
    <font>
      <b/>
      <sz val="9"/>
      <name val="Calibri"/>
      <family val="2"/>
    </font>
    <font>
      <sz val="9"/>
      <name val="Calibri"/>
      <family val="2"/>
    </font>
    <font>
      <b/>
      <sz val="9"/>
      <color rgb="FFFF0000"/>
      <name val="Calibri"/>
      <family val="2"/>
    </font>
    <font>
      <b/>
      <sz val="10"/>
      <name val="Calibri"/>
      <family val="2"/>
    </font>
    <font>
      <b/>
      <sz val="13"/>
      <name val="Calibri"/>
      <family val="2"/>
    </font>
    <font>
      <sz val="11"/>
      <color rgb="FF000000"/>
      <name val="Calibri"/>
      <family val="2"/>
    </font>
    <font>
      <b/>
      <sz val="11"/>
      <color rgb="FF000000"/>
      <name val="Calibri"/>
      <family val="2"/>
    </font>
    <font>
      <sz val="12"/>
      <name val="Calibri"/>
      <family val="2"/>
    </font>
    <font>
      <sz val="13"/>
      <color theme="1"/>
      <name val="Calibri"/>
      <family val="2"/>
    </font>
    <font>
      <b/>
      <sz val="13"/>
      <color theme="1"/>
      <name val="Calibri"/>
      <family val="2"/>
    </font>
    <font>
      <sz val="13"/>
      <name val="Calibri"/>
      <family val="2"/>
    </font>
    <font>
      <b/>
      <sz val="18"/>
      <name val="Calibri"/>
      <family val="2"/>
    </font>
    <font>
      <sz val="12"/>
      <color rgb="FFC00000"/>
      <name val="Calibri"/>
      <family val="2"/>
    </font>
    <font>
      <sz val="13"/>
      <color rgb="FFFF0000"/>
      <name val="Calibri"/>
      <family val="2"/>
    </font>
    <font>
      <sz val="13"/>
      <name val="Calibri"/>
      <family val="2"/>
    </font>
    <font>
      <sz val="13"/>
      <color theme="1"/>
      <name val="Calibri"/>
      <family val="2"/>
    </font>
    <font>
      <sz val="13"/>
      <color theme="1"/>
      <name val="Calibri"/>
      <family val="2"/>
    </font>
    <font>
      <sz val="12"/>
      <color rgb="FFFF0000"/>
      <name val="Calibri"/>
      <family val="2"/>
    </font>
    <font>
      <sz val="11"/>
      <color theme="1"/>
      <name val="Aptos"/>
      <family val="2"/>
    </font>
    <font>
      <sz val="13"/>
      <color rgb="FFFF0000"/>
      <name val="Aptos Narrow"/>
      <family val="2"/>
    </font>
    <font>
      <b/>
      <sz val="12"/>
      <color rgb="FFFF0000"/>
      <name val="Calibri"/>
      <family val="2"/>
    </font>
    <font>
      <u/>
      <sz val="12"/>
      <color rgb="FFFF0000"/>
      <name val="Calibri"/>
      <family val="2"/>
    </font>
    <font>
      <sz val="10"/>
      <name val="Calibri"/>
      <family val="2"/>
    </font>
  </fonts>
  <fills count="35">
    <fill>
      <patternFill patternType="none"/>
    </fill>
    <fill>
      <patternFill patternType="gray125"/>
    </fill>
    <fill>
      <patternFill patternType="solid">
        <fgColor rgb="FFFFFF00"/>
        <bgColor indexed="64"/>
      </patternFill>
    </fill>
    <fill>
      <patternFill patternType="solid">
        <fgColor theme="0" tint="-0.249977111117893"/>
        <bgColor indexed="64"/>
      </patternFill>
    </fill>
    <fill>
      <patternFill patternType="solid">
        <fgColor theme="5"/>
        <bgColor indexed="64"/>
      </patternFill>
    </fill>
    <fill>
      <patternFill patternType="solid">
        <fgColor theme="0" tint="-4.9989318521683403E-2"/>
        <bgColor indexed="64"/>
      </patternFill>
    </fill>
    <fill>
      <patternFill patternType="solid">
        <fgColor theme="0" tint="-0.499984740745262"/>
        <bgColor indexed="64"/>
      </patternFill>
    </fill>
    <fill>
      <patternFill patternType="solid">
        <fgColor theme="1" tint="0.249977111117893"/>
        <bgColor indexed="64"/>
      </patternFill>
    </fill>
    <fill>
      <patternFill patternType="solid">
        <fgColor theme="8"/>
        <bgColor indexed="64"/>
      </patternFill>
    </fill>
    <fill>
      <patternFill patternType="solid">
        <fgColor theme="5" tint="0.59999389629810485"/>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5" tint="0.79998168889431442"/>
        <bgColor indexed="64"/>
      </patternFill>
    </fill>
    <fill>
      <patternFill patternType="solid">
        <fgColor theme="8" tint="0.59999389629810485"/>
        <bgColor indexed="64"/>
      </patternFill>
    </fill>
    <fill>
      <patternFill patternType="solid">
        <fgColor theme="7" tint="0.79998168889431442"/>
        <bgColor indexed="64"/>
      </patternFill>
    </fill>
    <fill>
      <patternFill patternType="solid">
        <fgColor theme="7" tint="0.39997558519241921"/>
        <bgColor indexed="64"/>
      </patternFill>
    </fill>
    <fill>
      <patternFill patternType="solid">
        <fgColor theme="4" tint="0.79998168889431442"/>
        <bgColor indexed="64"/>
      </patternFill>
    </fill>
    <fill>
      <patternFill patternType="solid">
        <fgColor rgb="FF00B050"/>
        <bgColor indexed="64"/>
      </patternFill>
    </fill>
    <fill>
      <patternFill patternType="solid">
        <fgColor rgb="FF00B0F0"/>
        <bgColor indexed="64"/>
      </patternFill>
    </fill>
    <fill>
      <patternFill patternType="solid">
        <fgColor theme="5" tint="0.39997558519241921"/>
        <bgColor indexed="64"/>
      </patternFill>
    </fill>
    <fill>
      <patternFill patternType="solid">
        <fgColor theme="0" tint="-0.14999847407452621"/>
        <bgColor indexed="64"/>
      </patternFill>
    </fill>
    <fill>
      <patternFill patternType="solid">
        <fgColor theme="1"/>
        <bgColor indexed="64"/>
      </patternFill>
    </fill>
    <fill>
      <patternFill patternType="solid">
        <fgColor theme="1" tint="4.9989318521683403E-2"/>
        <bgColor indexed="64"/>
      </patternFill>
    </fill>
    <fill>
      <patternFill patternType="solid">
        <fgColor theme="7"/>
        <bgColor indexed="64"/>
      </patternFill>
    </fill>
    <fill>
      <patternFill patternType="solid">
        <fgColor rgb="FF92D050"/>
        <bgColor indexed="64"/>
      </patternFill>
    </fill>
    <fill>
      <patternFill patternType="solid">
        <fgColor theme="0"/>
        <bgColor indexed="64"/>
      </patternFill>
    </fill>
    <fill>
      <patternFill patternType="solid">
        <fgColor rgb="FFFFC000"/>
        <bgColor indexed="64"/>
      </patternFill>
    </fill>
    <fill>
      <patternFill patternType="solid">
        <fgColor rgb="FF89FB5B"/>
        <bgColor indexed="64"/>
      </patternFill>
    </fill>
    <fill>
      <patternFill patternType="solid">
        <fgColor rgb="FF0000FF"/>
        <bgColor indexed="64"/>
      </patternFill>
    </fill>
    <fill>
      <patternFill patternType="solid">
        <fgColor rgb="FFF3FEF0"/>
        <bgColor indexed="64"/>
      </patternFill>
    </fill>
    <fill>
      <patternFill patternType="solid">
        <fgColor rgb="FF66FF66"/>
        <bgColor indexed="64"/>
      </patternFill>
    </fill>
    <fill>
      <patternFill patternType="solid">
        <fgColor rgb="FFFF0000"/>
        <bgColor indexed="64"/>
      </patternFill>
    </fill>
    <fill>
      <patternFill patternType="solid">
        <fgColor theme="8" tint="0.79998168889431442"/>
        <bgColor indexed="64"/>
      </patternFill>
    </fill>
    <fill>
      <patternFill patternType="solid">
        <fgColor theme="8" tint="0.39997558519241921"/>
        <bgColor indexed="64"/>
      </patternFill>
    </fill>
    <fill>
      <patternFill patternType="solid">
        <fgColor theme="2" tint="-9.9978637043366805E-2"/>
        <bgColor indexed="64"/>
      </patternFill>
    </fill>
  </fills>
  <borders count="6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medium">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top/>
      <bottom/>
      <diagonal/>
    </border>
    <border>
      <left/>
      <right/>
      <top style="thin">
        <color rgb="FF69F729"/>
      </top>
      <bottom style="thin">
        <color rgb="FF69F729"/>
      </bottom>
      <diagonal/>
    </border>
    <border>
      <left/>
      <right style="thin">
        <color rgb="FF69F729"/>
      </right>
      <top style="thin">
        <color rgb="FF69F729"/>
      </top>
      <bottom style="thin">
        <color rgb="FF69F729"/>
      </bottom>
      <diagonal/>
    </border>
    <border>
      <left style="thin">
        <color rgb="FF69F729"/>
      </left>
      <right/>
      <top style="thin">
        <color rgb="FF69F729"/>
      </top>
      <bottom/>
      <diagonal/>
    </border>
    <border>
      <left/>
      <right/>
      <top style="thin">
        <color rgb="FF69F729"/>
      </top>
      <bottom/>
      <diagonal/>
    </border>
    <border>
      <left style="thin">
        <color rgb="FF69F729"/>
      </left>
      <right/>
      <top/>
      <bottom/>
      <diagonal/>
    </border>
    <border>
      <left/>
      <right style="thin">
        <color rgb="FF69F729"/>
      </right>
      <top/>
      <bottom/>
      <diagonal/>
    </border>
    <border>
      <left style="thin">
        <color rgb="FF69F729"/>
      </left>
      <right/>
      <top/>
      <bottom style="thin">
        <color rgb="FF69F729"/>
      </bottom>
      <diagonal/>
    </border>
    <border>
      <left/>
      <right/>
      <top/>
      <bottom style="thin">
        <color rgb="FF69F729"/>
      </bottom>
      <diagonal/>
    </border>
    <border>
      <left style="thin">
        <color rgb="FF69F729"/>
      </left>
      <right style="thin">
        <color rgb="FF69F729"/>
      </right>
      <top style="thin">
        <color rgb="FF69F729"/>
      </top>
      <bottom style="thin">
        <color rgb="FF69F729"/>
      </bottom>
      <diagonal/>
    </border>
    <border>
      <left/>
      <right style="thin">
        <color rgb="FF66FF66"/>
      </right>
      <top/>
      <bottom/>
      <diagonal/>
    </border>
    <border>
      <left style="thin">
        <color rgb="FF66FF66"/>
      </left>
      <right/>
      <top style="thin">
        <color rgb="FF66FF66"/>
      </top>
      <bottom/>
      <diagonal/>
    </border>
    <border>
      <left/>
      <right/>
      <top style="thin">
        <color rgb="FF66FF66"/>
      </top>
      <bottom/>
      <diagonal/>
    </border>
    <border>
      <left/>
      <right style="thin">
        <color rgb="FF66FF66"/>
      </right>
      <top style="thin">
        <color rgb="FF66FF66"/>
      </top>
      <bottom/>
      <diagonal/>
    </border>
    <border>
      <left style="thin">
        <color rgb="FF66FF66"/>
      </left>
      <right/>
      <top/>
      <bottom/>
      <diagonal/>
    </border>
    <border>
      <left style="thin">
        <color rgb="FF66FF66"/>
      </left>
      <right/>
      <top/>
      <bottom style="thin">
        <color rgb="FF66FF66"/>
      </bottom>
      <diagonal/>
    </border>
    <border>
      <left/>
      <right/>
      <top/>
      <bottom style="thin">
        <color rgb="FF66FF66"/>
      </bottom>
      <diagonal/>
    </border>
    <border>
      <left/>
      <right style="thin">
        <color rgb="FF66FF66"/>
      </right>
      <top/>
      <bottom style="thin">
        <color rgb="FF66FF66"/>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bottom/>
      <diagonal/>
    </border>
    <border>
      <left/>
      <right style="thin">
        <color indexed="64"/>
      </right>
      <top style="thin">
        <color indexed="64"/>
      </top>
      <bottom style="medium">
        <color indexed="64"/>
      </bottom>
      <diagonal/>
    </border>
    <border>
      <left/>
      <right style="thin">
        <color indexed="64"/>
      </right>
      <top style="medium">
        <color indexed="64"/>
      </top>
      <bottom style="thin">
        <color indexed="64"/>
      </bottom>
      <diagonal/>
    </border>
    <border>
      <left style="thin">
        <color theme="1"/>
      </left>
      <right style="thin">
        <color theme="1"/>
      </right>
      <top style="thin">
        <color theme="1"/>
      </top>
      <bottom style="thin">
        <color theme="1"/>
      </bottom>
      <diagonal/>
    </border>
    <border>
      <left/>
      <right/>
      <top style="thin">
        <color theme="1"/>
      </top>
      <bottom style="thin">
        <color theme="1"/>
      </bottom>
      <diagonal/>
    </border>
    <border>
      <left style="medium">
        <color indexed="64"/>
      </left>
      <right style="thin">
        <color indexed="64"/>
      </right>
      <top style="medium">
        <color theme="1"/>
      </top>
      <bottom style="thin">
        <color indexed="64"/>
      </bottom>
      <diagonal/>
    </border>
    <border>
      <left style="thin">
        <color indexed="64"/>
      </left>
      <right style="medium">
        <color indexed="64"/>
      </right>
      <top style="thin">
        <color indexed="64"/>
      </top>
      <bottom style="medium">
        <color theme="1"/>
      </bottom>
      <diagonal/>
    </border>
    <border>
      <left style="medium">
        <color theme="1"/>
      </left>
      <right/>
      <top/>
      <bottom/>
      <diagonal/>
    </border>
    <border>
      <left/>
      <right/>
      <top/>
      <bottom style="thin">
        <color rgb="FF99FF33"/>
      </bottom>
      <diagonal/>
    </border>
    <border>
      <left/>
      <right style="thin">
        <color rgb="FF69F729"/>
      </right>
      <top/>
      <bottom style="thin">
        <color rgb="FF99FF33"/>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theme="1"/>
      </left>
      <right style="thin">
        <color theme="1"/>
      </right>
      <top style="thin">
        <color theme="1"/>
      </top>
      <bottom/>
      <diagonal/>
    </border>
    <border>
      <left/>
      <right style="thin">
        <color indexed="64"/>
      </right>
      <top/>
      <bottom/>
      <diagonal/>
    </border>
  </borders>
  <cellStyleXfs count="5">
    <xf numFmtId="0" fontId="0" fillId="0" borderId="0"/>
    <xf numFmtId="43" fontId="1" fillId="0" borderId="0" applyFont="0" applyFill="0" applyBorder="0" applyAlignment="0" applyProtection="0"/>
    <xf numFmtId="9" fontId="1" fillId="0" borderId="0" applyFont="0" applyFill="0" applyBorder="0" applyAlignment="0" applyProtection="0"/>
    <xf numFmtId="0" fontId="3" fillId="0" borderId="0"/>
    <xf numFmtId="164" fontId="1" fillId="0" borderId="0" applyFont="0" applyFill="0" applyBorder="0" applyAlignment="0" applyProtection="0"/>
  </cellStyleXfs>
  <cellXfs count="1015">
    <xf numFmtId="0" fontId="0" fillId="0" borderId="0" xfId="0"/>
    <xf numFmtId="0" fontId="2" fillId="0" borderId="0" xfId="0" applyFont="1"/>
    <xf numFmtId="0" fontId="2" fillId="0" borderId="0" xfId="0" applyFont="1" applyAlignment="1">
      <alignment vertical="center"/>
    </xf>
    <xf numFmtId="0" fontId="4" fillId="3" borderId="1" xfId="0" applyFont="1" applyFill="1" applyBorder="1" applyAlignment="1">
      <alignment horizontal="center" vertical="center" wrapText="1"/>
    </xf>
    <xf numFmtId="0" fontId="2" fillId="0" borderId="0" xfId="0" applyFont="1" applyAlignment="1">
      <alignment vertical="center" wrapText="1"/>
    </xf>
    <xf numFmtId="0" fontId="2" fillId="0" borderId="1" xfId="0" applyFont="1" applyBorder="1" applyAlignment="1">
      <alignment vertical="center"/>
    </xf>
    <xf numFmtId="165" fontId="2" fillId="0" borderId="1" xfId="1" applyNumberFormat="1" applyFont="1" applyBorder="1" applyAlignment="1">
      <alignment vertical="center"/>
    </xf>
    <xf numFmtId="0" fontId="2" fillId="0" borderId="1" xfId="0" applyFont="1" applyBorder="1" applyAlignment="1">
      <alignment vertical="center" wrapText="1"/>
    </xf>
    <xf numFmtId="0" fontId="4" fillId="3" borderId="2" xfId="0" applyFont="1" applyFill="1" applyBorder="1" applyAlignment="1">
      <alignment vertical="center"/>
    </xf>
    <xf numFmtId="0" fontId="4" fillId="3" borderId="3" xfId="0" applyFont="1" applyFill="1" applyBorder="1" applyAlignment="1">
      <alignment vertical="center"/>
    </xf>
    <xf numFmtId="0" fontId="4" fillId="3" borderId="4" xfId="0" applyFont="1" applyFill="1" applyBorder="1" applyAlignment="1">
      <alignment vertical="center"/>
    </xf>
    <xf numFmtId="165" fontId="2" fillId="2" borderId="1" xfId="1" applyNumberFormat="1" applyFont="1" applyFill="1" applyBorder="1" applyAlignment="1">
      <alignment vertical="center"/>
    </xf>
    <xf numFmtId="10" fontId="2" fillId="0" borderId="1" xfId="2" applyNumberFormat="1" applyFont="1" applyBorder="1" applyAlignment="1">
      <alignment horizontal="center" vertical="center"/>
    </xf>
    <xf numFmtId="165" fontId="4" fillId="4" borderId="1" xfId="1" applyNumberFormat="1" applyFont="1" applyFill="1" applyBorder="1" applyAlignment="1">
      <alignment vertical="center"/>
    </xf>
    <xf numFmtId="0" fontId="7" fillId="0" borderId="0" xfId="0" applyFont="1"/>
    <xf numFmtId="0" fontId="0" fillId="0" borderId="1" xfId="0" applyBorder="1"/>
    <xf numFmtId="0" fontId="8" fillId="3" borderId="1" xfId="0" applyFont="1" applyFill="1" applyBorder="1" applyAlignment="1">
      <alignment horizontal="center"/>
    </xf>
    <xf numFmtId="0" fontId="4" fillId="3" borderId="1" xfId="0" applyFont="1" applyFill="1" applyBorder="1" applyAlignment="1">
      <alignment horizontal="center"/>
    </xf>
    <xf numFmtId="0" fontId="2" fillId="0" borderId="1" xfId="0" applyFont="1" applyBorder="1"/>
    <xf numFmtId="165" fontId="6" fillId="0" borderId="0" xfId="1" applyNumberFormat="1" applyFont="1" applyAlignment="1">
      <alignment vertical="center"/>
    </xf>
    <xf numFmtId="0" fontId="2" fillId="0" borderId="0" xfId="0" applyFont="1" applyAlignment="1">
      <alignment horizontal="center" vertical="center" wrapText="1"/>
    </xf>
    <xf numFmtId="43" fontId="2" fillId="2" borderId="1" xfId="1" applyFont="1" applyFill="1" applyBorder="1" applyAlignment="1">
      <alignment vertical="center"/>
    </xf>
    <xf numFmtId="10" fontId="2" fillId="2" borderId="1" xfId="2" applyNumberFormat="1" applyFont="1" applyFill="1" applyBorder="1" applyAlignment="1">
      <alignment vertical="center"/>
    </xf>
    <xf numFmtId="43" fontId="2" fillId="0" borderId="1" xfId="1" applyFont="1" applyFill="1" applyBorder="1" applyAlignment="1">
      <alignment vertical="center"/>
    </xf>
    <xf numFmtId="0" fontId="4" fillId="0" borderId="0" xfId="0" applyFont="1" applyAlignment="1">
      <alignment vertical="center"/>
    </xf>
    <xf numFmtId="0" fontId="4" fillId="7" borderId="1" xfId="0" applyFont="1" applyFill="1" applyBorder="1" applyAlignment="1">
      <alignment vertical="center"/>
    </xf>
    <xf numFmtId="0" fontId="4" fillId="7" borderId="4" xfId="0" applyFont="1" applyFill="1" applyBorder="1" applyAlignment="1">
      <alignment vertical="center"/>
    </xf>
    <xf numFmtId="0" fontId="4" fillId="8" borderId="1" xfId="0" applyFont="1" applyFill="1" applyBorder="1" applyAlignment="1">
      <alignment horizontal="center" vertical="center" wrapText="1"/>
    </xf>
    <xf numFmtId="165" fontId="4" fillId="4" borderId="4" xfId="0" applyNumberFormat="1" applyFont="1" applyFill="1" applyBorder="1" applyAlignment="1">
      <alignment vertical="center"/>
    </xf>
    <xf numFmtId="165" fontId="2" fillId="7" borderId="1" xfId="1" applyNumberFormat="1" applyFont="1" applyFill="1" applyBorder="1" applyAlignment="1">
      <alignment vertical="center"/>
    </xf>
    <xf numFmtId="165" fontId="4" fillId="7" borderId="4" xfId="0" applyNumberFormat="1" applyFont="1" applyFill="1" applyBorder="1" applyAlignment="1">
      <alignment vertical="center"/>
    </xf>
    <xf numFmtId="10" fontId="2" fillId="7" borderId="1" xfId="2" applyNumberFormat="1" applyFont="1" applyFill="1" applyBorder="1" applyAlignment="1">
      <alignment vertical="center"/>
    </xf>
    <xf numFmtId="43" fontId="2" fillId="7" borderId="1" xfId="1" applyFont="1" applyFill="1" applyBorder="1" applyAlignment="1">
      <alignment vertical="center"/>
    </xf>
    <xf numFmtId="0" fontId="2" fillId="6" borderId="1" xfId="0" applyFont="1" applyFill="1" applyBorder="1" applyAlignment="1">
      <alignment vertical="center" wrapText="1"/>
    </xf>
    <xf numFmtId="165" fontId="2" fillId="9" borderId="1" xfId="0" applyNumberFormat="1" applyFont="1" applyFill="1" applyBorder="1" applyAlignment="1">
      <alignment vertical="center"/>
    </xf>
    <xf numFmtId="165" fontId="4" fillId="4" borderId="1" xfId="0" applyNumberFormat="1" applyFont="1" applyFill="1" applyBorder="1" applyAlignment="1">
      <alignment vertical="center"/>
    </xf>
    <xf numFmtId="0" fontId="4" fillId="10" borderId="1" xfId="0" applyFont="1" applyFill="1" applyBorder="1" applyAlignment="1">
      <alignment horizontal="center" vertical="center" wrapText="1"/>
    </xf>
    <xf numFmtId="0" fontId="4" fillId="11" borderId="1" xfId="0" applyFont="1" applyFill="1" applyBorder="1" applyAlignment="1">
      <alignment horizontal="center" vertical="center" wrapText="1"/>
    </xf>
    <xf numFmtId="0" fontId="4" fillId="9" borderId="1" xfId="0" applyFont="1" applyFill="1" applyBorder="1" applyAlignment="1">
      <alignment horizontal="center" vertical="center" wrapText="1"/>
    </xf>
    <xf numFmtId="0" fontId="4" fillId="5" borderId="1" xfId="0" applyFont="1" applyFill="1" applyBorder="1" applyAlignment="1">
      <alignment vertical="center"/>
    </xf>
    <xf numFmtId="165" fontId="2" fillId="13" borderId="1" xfId="1" applyNumberFormat="1" applyFont="1" applyFill="1" applyBorder="1" applyAlignment="1">
      <alignment vertical="center"/>
    </xf>
    <xf numFmtId="0" fontId="2" fillId="13" borderId="1" xfId="0" applyFont="1" applyFill="1" applyBorder="1" applyAlignment="1">
      <alignment vertical="center"/>
    </xf>
    <xf numFmtId="0" fontId="7" fillId="0" borderId="0" xfId="0" applyFont="1" applyAlignment="1">
      <alignment horizontal="center"/>
    </xf>
    <xf numFmtId="0" fontId="0" fillId="0" borderId="0" xfId="0" applyAlignment="1">
      <alignment horizontal="center"/>
    </xf>
    <xf numFmtId="0" fontId="0" fillId="13" borderId="1" xfId="0" applyFill="1" applyBorder="1" applyAlignment="1">
      <alignment horizontal="center"/>
    </xf>
    <xf numFmtId="0" fontId="0" fillId="5" borderId="1" xfId="0" applyFill="1" applyBorder="1" applyAlignment="1">
      <alignment horizontal="center"/>
    </xf>
    <xf numFmtId="0" fontId="10" fillId="3" borderId="1" xfId="0" applyFont="1" applyFill="1" applyBorder="1" applyAlignment="1">
      <alignment horizontal="center"/>
    </xf>
    <xf numFmtId="0" fontId="8" fillId="0" borderId="0" xfId="0" applyFont="1"/>
    <xf numFmtId="0" fontId="10" fillId="0" borderId="0" xfId="0" applyFont="1" applyAlignment="1">
      <alignment horizontal="center"/>
    </xf>
    <xf numFmtId="0" fontId="0" fillId="2" borderId="1" xfId="0" applyFill="1" applyBorder="1" applyAlignment="1">
      <alignment horizontal="center"/>
    </xf>
    <xf numFmtId="0" fontId="4" fillId="3" borderId="1" xfId="0" applyFont="1" applyFill="1" applyBorder="1" applyAlignment="1">
      <alignment horizontal="center" vertical="center"/>
    </xf>
    <xf numFmtId="0" fontId="2" fillId="3" borderId="1" xfId="0" applyFont="1" applyFill="1" applyBorder="1" applyAlignment="1">
      <alignment vertical="center"/>
    </xf>
    <xf numFmtId="0" fontId="2" fillId="0" borderId="1" xfId="0" applyFont="1" applyBorder="1" applyAlignment="1">
      <alignment horizontal="center" vertical="center"/>
    </xf>
    <xf numFmtId="0" fontId="9" fillId="3" borderId="1" xfId="0" applyFont="1" applyFill="1" applyBorder="1" applyAlignment="1">
      <alignment horizontal="center" vertical="center"/>
    </xf>
    <xf numFmtId="0" fontId="4" fillId="5" borderId="1" xfId="0" applyFont="1" applyFill="1" applyBorder="1" applyAlignment="1">
      <alignment horizontal="center"/>
    </xf>
    <xf numFmtId="0" fontId="4" fillId="0" borderId="0" xfId="0" applyFont="1"/>
    <xf numFmtId="165" fontId="4" fillId="4" borderId="1" xfId="1" applyNumberFormat="1" applyFont="1" applyFill="1" applyBorder="1" applyAlignment="1">
      <alignment horizontal="center"/>
    </xf>
    <xf numFmtId="165" fontId="2" fillId="4" borderId="1" xfId="1" applyNumberFormat="1" applyFont="1" applyFill="1" applyBorder="1"/>
    <xf numFmtId="0" fontId="4" fillId="4" borderId="1" xfId="0" applyFont="1" applyFill="1" applyBorder="1" applyAlignment="1">
      <alignment horizontal="center"/>
    </xf>
    <xf numFmtId="0" fontId="2" fillId="0" borderId="1" xfId="0" applyFont="1" applyBorder="1" applyAlignment="1">
      <alignment horizontal="left" indent="2"/>
    </xf>
    <xf numFmtId="165" fontId="2" fillId="2" borderId="1" xfId="1" applyNumberFormat="1" applyFont="1" applyFill="1" applyBorder="1"/>
    <xf numFmtId="43" fontId="2" fillId="5" borderId="1" xfId="1" applyFont="1" applyFill="1" applyBorder="1"/>
    <xf numFmtId="165" fontId="6" fillId="0" borderId="1" xfId="1" applyNumberFormat="1" applyFont="1" applyBorder="1"/>
    <xf numFmtId="0" fontId="14" fillId="0" borderId="0" xfId="0" applyFont="1" applyAlignment="1">
      <alignment vertical="center"/>
    </xf>
    <xf numFmtId="0" fontId="13" fillId="0" borderId="0" xfId="0" applyFont="1" applyAlignment="1">
      <alignment vertical="center"/>
    </xf>
    <xf numFmtId="0" fontId="4" fillId="5" borderId="1" xfId="0" applyFont="1" applyFill="1" applyBorder="1" applyAlignment="1">
      <alignment horizontal="center" vertical="center"/>
    </xf>
    <xf numFmtId="0" fontId="2" fillId="14" borderId="1" xfId="0" applyFont="1" applyFill="1" applyBorder="1" applyAlignment="1">
      <alignment vertical="center"/>
    </xf>
    <xf numFmtId="0" fontId="13" fillId="0" borderId="0" xfId="0" applyFont="1" applyAlignment="1">
      <alignment horizontal="left" vertical="center"/>
    </xf>
    <xf numFmtId="0" fontId="13" fillId="0" borderId="0" xfId="0" applyFont="1"/>
    <xf numFmtId="0" fontId="4" fillId="14" borderId="1" xfId="0" applyFont="1" applyFill="1" applyBorder="1" applyAlignment="1">
      <alignment horizontal="left" vertical="center"/>
    </xf>
    <xf numFmtId="165" fontId="15" fillId="14" borderId="1" xfId="1" applyNumberFormat="1" applyFont="1" applyFill="1" applyBorder="1" applyAlignment="1">
      <alignment horizontal="center" vertical="center"/>
    </xf>
    <xf numFmtId="0" fontId="2" fillId="0" borderId="1" xfId="0" applyFont="1" applyBorder="1" applyAlignment="1">
      <alignment horizontal="left" vertical="center"/>
    </xf>
    <xf numFmtId="0" fontId="4" fillId="3" borderId="1" xfId="0" applyFont="1" applyFill="1" applyBorder="1" applyAlignment="1">
      <alignment horizontal="left" vertical="center"/>
    </xf>
    <xf numFmtId="0" fontId="4" fillId="7" borderId="1" xfId="0" applyFont="1" applyFill="1" applyBorder="1" applyAlignment="1">
      <alignment horizontal="left" vertical="center"/>
    </xf>
    <xf numFmtId="165" fontId="4" fillId="3" borderId="1" xfId="1" applyNumberFormat="1" applyFont="1" applyFill="1" applyBorder="1" applyAlignment="1">
      <alignment vertical="center"/>
    </xf>
    <xf numFmtId="165" fontId="2" fillId="5" borderId="1" xfId="1" applyNumberFormat="1" applyFont="1" applyFill="1" applyBorder="1" applyAlignment="1">
      <alignment vertical="center"/>
    </xf>
    <xf numFmtId="0" fontId="0" fillId="4" borderId="1" xfId="0" applyFill="1" applyBorder="1" applyAlignment="1">
      <alignment horizontal="center"/>
    </xf>
    <xf numFmtId="165" fontId="6" fillId="0" borderId="1" xfId="1" applyNumberFormat="1" applyFont="1" applyBorder="1" applyAlignment="1">
      <alignment vertical="center"/>
    </xf>
    <xf numFmtId="165" fontId="6" fillId="5" borderId="1" xfId="1" applyNumberFormat="1" applyFont="1" applyFill="1" applyBorder="1" applyAlignment="1">
      <alignment vertical="center"/>
    </xf>
    <xf numFmtId="165" fontId="6" fillId="0" borderId="1" xfId="0" applyNumberFormat="1" applyFont="1" applyBorder="1" applyAlignment="1">
      <alignment vertical="center"/>
    </xf>
    <xf numFmtId="0" fontId="16" fillId="0" borderId="1" xfId="0" applyFont="1" applyBorder="1" applyAlignment="1">
      <alignment horizontal="center"/>
    </xf>
    <xf numFmtId="165" fontId="6" fillId="0" borderId="1" xfId="1" applyNumberFormat="1" applyFont="1" applyFill="1" applyBorder="1" applyAlignment="1">
      <alignment vertical="center"/>
    </xf>
    <xf numFmtId="0" fontId="4" fillId="3" borderId="1" xfId="0" applyFont="1" applyFill="1" applyBorder="1" applyAlignment="1">
      <alignment vertical="center"/>
    </xf>
    <xf numFmtId="0" fontId="4" fillId="15" borderId="1" xfId="0" applyFont="1" applyFill="1" applyBorder="1" applyAlignment="1">
      <alignment horizontal="center" vertical="center" wrapText="1"/>
    </xf>
    <xf numFmtId="0" fontId="4" fillId="7" borderId="1" xfId="0" applyFont="1" applyFill="1" applyBorder="1" applyAlignment="1">
      <alignment horizontal="center" vertical="center"/>
    </xf>
    <xf numFmtId="165" fontId="2" fillId="5" borderId="1" xfId="1" applyNumberFormat="1" applyFont="1" applyFill="1" applyBorder="1"/>
    <xf numFmtId="0" fontId="2" fillId="0" borderId="1" xfId="0" applyFont="1" applyBorder="1" applyAlignment="1">
      <alignment horizontal="left" vertical="center" indent="2"/>
    </xf>
    <xf numFmtId="0" fontId="7" fillId="0" borderId="0" xfId="0" applyFont="1" applyProtection="1">
      <protection hidden="1"/>
    </xf>
    <xf numFmtId="0" fontId="10" fillId="5" borderId="1" xfId="0" applyFont="1" applyFill="1" applyBorder="1" applyAlignment="1" applyProtection="1">
      <alignment horizontal="center"/>
      <protection hidden="1"/>
    </xf>
    <xf numFmtId="0" fontId="7" fillId="0" borderId="1" xfId="0" applyFont="1" applyBorder="1" applyAlignment="1" applyProtection="1">
      <alignment horizontal="center"/>
      <protection hidden="1"/>
    </xf>
    <xf numFmtId="0" fontId="4" fillId="0" borderId="0" xfId="0" applyFont="1" applyAlignment="1">
      <alignment horizontal="center"/>
    </xf>
    <xf numFmtId="0" fontId="2" fillId="0" borderId="0" xfId="0" applyFont="1" applyAlignment="1">
      <alignment horizontal="center" vertical="center"/>
    </xf>
    <xf numFmtId="0" fontId="2" fillId="0" borderId="0" xfId="0" quotePrefix="1" applyFont="1" applyAlignment="1">
      <alignment vertical="center"/>
    </xf>
    <xf numFmtId="0" fontId="4" fillId="5" borderId="1" xfId="0" applyFont="1" applyFill="1" applyBorder="1" applyAlignment="1">
      <alignment horizontal="center" vertical="center" wrapText="1"/>
    </xf>
    <xf numFmtId="0" fontId="19" fillId="0" borderId="0" xfId="0" applyFont="1" applyAlignment="1">
      <alignment horizontal="left" vertical="center"/>
    </xf>
    <xf numFmtId="0" fontId="14" fillId="0" borderId="0" xfId="0" applyFont="1"/>
    <xf numFmtId="165" fontId="14" fillId="0" borderId="1" xfId="1" applyNumberFormat="1" applyFont="1" applyBorder="1" applyAlignment="1">
      <alignment vertical="center"/>
    </xf>
    <xf numFmtId="165" fontId="14" fillId="2" borderId="1" xfId="1" applyNumberFormat="1" applyFont="1" applyFill="1" applyBorder="1" applyAlignment="1">
      <alignment vertical="center"/>
    </xf>
    <xf numFmtId="43" fontId="4" fillId="5" borderId="1" xfId="1" applyFont="1" applyFill="1" applyBorder="1" applyAlignment="1">
      <alignment horizontal="center" vertical="center"/>
    </xf>
    <xf numFmtId="0" fontId="2" fillId="0" borderId="1" xfId="0" applyFont="1" applyBorder="1" applyAlignment="1">
      <alignment horizontal="center" vertical="center" wrapText="1"/>
    </xf>
    <xf numFmtId="0" fontId="2" fillId="2" borderId="1" xfId="0" applyFont="1" applyFill="1" applyBorder="1" applyAlignment="1">
      <alignment horizontal="center" vertical="center" wrapText="1"/>
    </xf>
    <xf numFmtId="0" fontId="4" fillId="5" borderId="16" xfId="0" applyFont="1" applyFill="1" applyBorder="1" applyAlignment="1">
      <alignment horizontal="center" vertical="center" wrapText="1"/>
    </xf>
    <xf numFmtId="0" fontId="14" fillId="2" borderId="1" xfId="0" applyFont="1" applyFill="1" applyBorder="1" applyAlignment="1">
      <alignment horizontal="center" vertical="center" wrapText="1"/>
    </xf>
    <xf numFmtId="165" fontId="14" fillId="0" borderId="1" xfId="1" applyNumberFormat="1" applyFont="1" applyBorder="1" applyAlignment="1">
      <alignment horizontal="center" vertical="center" wrapText="1"/>
    </xf>
    <xf numFmtId="0" fontId="2" fillId="0" borderId="21" xfId="0" applyFont="1" applyBorder="1" applyAlignment="1">
      <alignment horizontal="left" vertical="center" wrapText="1" indent="1"/>
    </xf>
    <xf numFmtId="0" fontId="2" fillId="0" borderId="23" xfId="0" applyFont="1" applyBorder="1" applyAlignment="1">
      <alignment horizontal="left" vertical="center" wrapText="1" indent="1"/>
    </xf>
    <xf numFmtId="165" fontId="14" fillId="0" borderId="16" xfId="1" applyNumberFormat="1" applyFont="1" applyBorder="1" applyAlignment="1">
      <alignment horizontal="center" vertical="center" wrapText="1"/>
    </xf>
    <xf numFmtId="165" fontId="21" fillId="0" borderId="16" xfId="1" applyNumberFormat="1" applyFont="1" applyBorder="1" applyAlignment="1">
      <alignment horizontal="center" vertical="center" wrapText="1"/>
    </xf>
    <xf numFmtId="0" fontId="2" fillId="0" borderId="23" xfId="0" applyFont="1" applyBorder="1" applyAlignment="1">
      <alignment vertical="center" wrapText="1"/>
    </xf>
    <xf numFmtId="165" fontId="14" fillId="0" borderId="17" xfId="1" applyNumberFormat="1" applyFont="1" applyBorder="1" applyAlignment="1">
      <alignment horizontal="center" vertical="center" wrapText="1"/>
    </xf>
    <xf numFmtId="165" fontId="4" fillId="0" borderId="0" xfId="0" applyNumberFormat="1" applyFont="1" applyAlignment="1">
      <alignment vertical="center"/>
    </xf>
    <xf numFmtId="165" fontId="14" fillId="0" borderId="1" xfId="1" applyNumberFormat="1" applyFont="1" applyFill="1" applyBorder="1" applyAlignment="1">
      <alignment vertical="center"/>
    </xf>
    <xf numFmtId="164" fontId="16" fillId="0" borderId="0" xfId="0" applyNumberFormat="1" applyFont="1" applyProtection="1">
      <protection hidden="1"/>
    </xf>
    <xf numFmtId="0" fontId="7" fillId="0" borderId="0" xfId="0" applyFont="1" applyAlignment="1" applyProtection="1">
      <alignment horizontal="center"/>
      <protection hidden="1"/>
    </xf>
    <xf numFmtId="0" fontId="4" fillId="3" borderId="2" xfId="0" applyFont="1" applyFill="1" applyBorder="1" applyAlignment="1">
      <alignment vertical="center" wrapText="1"/>
    </xf>
    <xf numFmtId="0" fontId="4" fillId="0" borderId="0" xfId="0" applyFont="1" applyAlignment="1">
      <alignment horizontal="center" wrapText="1"/>
    </xf>
    <xf numFmtId="0" fontId="4" fillId="0" borderId="0" xfId="0" applyFont="1" applyAlignment="1">
      <alignment horizontal="left" vertical="center"/>
    </xf>
    <xf numFmtId="0" fontId="4" fillId="0" borderId="0" xfId="0" applyFont="1" applyAlignment="1">
      <alignment horizontal="left" vertical="center" wrapText="1"/>
    </xf>
    <xf numFmtId="0" fontId="4" fillId="0" borderId="1" xfId="0" applyFont="1" applyBorder="1" applyAlignment="1">
      <alignment horizontal="center" vertical="center" wrapText="1"/>
    </xf>
    <xf numFmtId="0" fontId="4" fillId="3" borderId="1" xfId="0" applyFont="1" applyFill="1" applyBorder="1" applyAlignment="1">
      <alignment vertical="center" wrapText="1"/>
    </xf>
    <xf numFmtId="0" fontId="13" fillId="0" borderId="0" xfId="0" applyFont="1" applyAlignment="1">
      <alignment vertical="center" wrapText="1"/>
    </xf>
    <xf numFmtId="0" fontId="14" fillId="0" borderId="0" xfId="0" applyFont="1" applyAlignment="1">
      <alignment horizontal="center" vertical="center"/>
    </xf>
    <xf numFmtId="0" fontId="4" fillId="0" borderId="1" xfId="0" applyFont="1" applyBorder="1" applyAlignment="1">
      <alignment horizontal="center" vertical="center"/>
    </xf>
    <xf numFmtId="166" fontId="14" fillId="2" borderId="1" xfId="1" applyNumberFormat="1" applyFont="1" applyFill="1" applyBorder="1" applyAlignment="1">
      <alignment vertical="center"/>
    </xf>
    <xf numFmtId="166" fontId="2" fillId="0" borderId="1" xfId="1" applyNumberFormat="1" applyFont="1" applyFill="1" applyBorder="1" applyAlignment="1">
      <alignment vertical="center"/>
    </xf>
    <xf numFmtId="0" fontId="2" fillId="7" borderId="1" xfId="0" applyFont="1" applyFill="1" applyBorder="1" applyAlignment="1">
      <alignment vertical="center"/>
    </xf>
    <xf numFmtId="0" fontId="2" fillId="16" borderId="1" xfId="0" applyFont="1" applyFill="1" applyBorder="1" applyAlignment="1">
      <alignment horizontal="center" vertical="center"/>
    </xf>
    <xf numFmtId="165" fontId="4" fillId="5" borderId="1" xfId="0" applyNumberFormat="1" applyFont="1" applyFill="1" applyBorder="1" applyAlignment="1">
      <alignment vertical="center"/>
    </xf>
    <xf numFmtId="166" fontId="20" fillId="0" borderId="1" xfId="1" applyNumberFormat="1" applyFont="1" applyFill="1" applyBorder="1" applyAlignment="1">
      <alignment vertical="center"/>
    </xf>
    <xf numFmtId="165" fontId="2" fillId="0" borderId="1" xfId="1" applyNumberFormat="1" applyFont="1" applyFill="1" applyBorder="1" applyAlignment="1">
      <alignment vertical="center"/>
    </xf>
    <xf numFmtId="0" fontId="2" fillId="5" borderId="1" xfId="0" quotePrefix="1" applyFont="1" applyFill="1" applyBorder="1" applyAlignment="1">
      <alignment horizontal="center" vertical="center" wrapText="1"/>
    </xf>
    <xf numFmtId="0" fontId="2" fillId="5" borderId="1" xfId="0" applyFont="1" applyFill="1" applyBorder="1" applyAlignment="1">
      <alignment horizontal="center" vertical="center" wrapText="1"/>
    </xf>
    <xf numFmtId="165" fontId="6" fillId="5" borderId="1" xfId="0" applyNumberFormat="1" applyFont="1" applyFill="1" applyBorder="1" applyAlignment="1">
      <alignment horizontal="center" vertical="center" wrapText="1"/>
    </xf>
    <xf numFmtId="0" fontId="6" fillId="0" borderId="1" xfId="0" applyFont="1" applyBorder="1" applyAlignment="1">
      <alignment horizontal="center" vertical="center" wrapText="1"/>
    </xf>
    <xf numFmtId="43" fontId="2" fillId="2" borderId="1" xfId="1" applyFont="1" applyFill="1" applyBorder="1" applyAlignment="1">
      <alignment horizontal="center" vertical="center" wrapText="1"/>
    </xf>
    <xf numFmtId="0" fontId="2" fillId="0" borderId="0" xfId="0" applyFont="1" applyAlignment="1">
      <alignment horizontal="left" vertical="center" wrapText="1"/>
    </xf>
    <xf numFmtId="43" fontId="14" fillId="2" borderId="1" xfId="1" applyFont="1" applyFill="1" applyBorder="1" applyAlignment="1">
      <alignment vertical="center"/>
    </xf>
    <xf numFmtId="0" fontId="2" fillId="5" borderId="1" xfId="0" applyFont="1" applyFill="1" applyBorder="1" applyAlignment="1">
      <alignment vertical="center"/>
    </xf>
    <xf numFmtId="0" fontId="2" fillId="15" borderId="0" xfId="0" applyFont="1" applyFill="1" applyAlignment="1">
      <alignment vertical="center"/>
    </xf>
    <xf numFmtId="0" fontId="4" fillId="0" borderId="1" xfId="0" applyFont="1" applyBorder="1" applyAlignment="1">
      <alignment horizontal="left" vertical="center" wrapText="1"/>
    </xf>
    <xf numFmtId="0" fontId="4" fillId="12" borderId="2" xfId="0" applyFont="1" applyFill="1" applyBorder="1"/>
    <xf numFmtId="0" fontId="4" fillId="12" borderId="3" xfId="0" applyFont="1" applyFill="1" applyBorder="1"/>
    <xf numFmtId="0" fontId="4" fillId="12" borderId="4" xfId="0" applyFont="1" applyFill="1" applyBorder="1"/>
    <xf numFmtId="0" fontId="0" fillId="0" borderId="0" xfId="0" applyAlignment="1" applyProtection="1">
      <alignment horizontal="center"/>
      <protection hidden="1"/>
    </xf>
    <xf numFmtId="0" fontId="0" fillId="0" borderId="0" xfId="0" applyProtection="1">
      <protection hidden="1"/>
    </xf>
    <xf numFmtId="0" fontId="0" fillId="0" borderId="5" xfId="0" applyBorder="1" applyAlignment="1" applyProtection="1">
      <alignment horizontal="center"/>
      <protection hidden="1"/>
    </xf>
    <xf numFmtId="0" fontId="0" fillId="0" borderId="8" xfId="0" applyBorder="1" applyProtection="1">
      <protection hidden="1"/>
    </xf>
    <xf numFmtId="0" fontId="0" fillId="0" borderId="9" xfId="0" applyBorder="1" applyProtection="1">
      <protection hidden="1"/>
    </xf>
    <xf numFmtId="0" fontId="0" fillId="0" borderId="10" xfId="0" applyBorder="1" applyProtection="1">
      <protection hidden="1"/>
    </xf>
    <xf numFmtId="0" fontId="0" fillId="0" borderId="6" xfId="0" applyBorder="1" applyAlignment="1" applyProtection="1">
      <alignment horizontal="center"/>
      <protection hidden="1"/>
    </xf>
    <xf numFmtId="0" fontId="0" fillId="0" borderId="11" xfId="0" applyBorder="1" applyProtection="1">
      <protection hidden="1"/>
    </xf>
    <xf numFmtId="0" fontId="22" fillId="0" borderId="0" xfId="0" applyFont="1" applyProtection="1">
      <protection hidden="1"/>
    </xf>
    <xf numFmtId="0" fontId="0" fillId="0" borderId="12" xfId="0" applyBorder="1" applyProtection="1">
      <protection hidden="1"/>
    </xf>
    <xf numFmtId="0" fontId="0" fillId="0" borderId="12" xfId="0" applyBorder="1" applyAlignment="1" applyProtection="1">
      <alignment wrapText="1"/>
      <protection hidden="1"/>
    </xf>
    <xf numFmtId="164" fontId="0" fillId="0" borderId="0" xfId="0" applyNumberFormat="1" applyProtection="1">
      <protection hidden="1"/>
    </xf>
    <xf numFmtId="0" fontId="2" fillId="0" borderId="0" xfId="0" applyFont="1" applyProtection="1">
      <protection hidden="1"/>
    </xf>
    <xf numFmtId="0" fontId="0" fillId="0" borderId="7" xfId="0" applyBorder="1" applyAlignment="1" applyProtection="1">
      <alignment horizontal="center"/>
      <protection hidden="1"/>
    </xf>
    <xf numFmtId="0" fontId="0" fillId="0" borderId="13" xfId="0" applyBorder="1" applyProtection="1">
      <protection hidden="1"/>
    </xf>
    <xf numFmtId="0" fontId="0" fillId="0" borderId="14" xfId="0" applyBorder="1" applyProtection="1">
      <protection hidden="1"/>
    </xf>
    <xf numFmtId="0" fontId="0" fillId="0" borderId="15" xfId="0" applyBorder="1" applyProtection="1">
      <protection hidden="1"/>
    </xf>
    <xf numFmtId="2" fontId="23" fillId="0" borderId="0" xfId="0" applyNumberFormat="1" applyFont="1" applyAlignment="1" applyProtection="1">
      <alignment horizontal="left" wrapText="1"/>
      <protection hidden="1"/>
    </xf>
    <xf numFmtId="0" fontId="18" fillId="0" borderId="0" xfId="0" applyFont="1" applyProtection="1">
      <protection hidden="1"/>
    </xf>
    <xf numFmtId="0" fontId="2" fillId="0" borderId="0" xfId="0" applyFont="1" applyAlignment="1" applyProtection="1">
      <alignment horizontal="left"/>
      <protection hidden="1"/>
    </xf>
    <xf numFmtId="0" fontId="4" fillId="11" borderId="0" xfId="0" applyFont="1" applyFill="1" applyProtection="1">
      <protection hidden="1"/>
    </xf>
    <xf numFmtId="164" fontId="24" fillId="11" borderId="0" xfId="0" applyNumberFormat="1" applyFont="1" applyFill="1" applyProtection="1">
      <protection hidden="1"/>
    </xf>
    <xf numFmtId="0" fontId="4" fillId="19" borderId="0" xfId="0" applyFont="1" applyFill="1" applyProtection="1">
      <protection hidden="1"/>
    </xf>
    <xf numFmtId="164" fontId="24" fillId="19" borderId="0" xfId="0" applyNumberFormat="1" applyFont="1" applyFill="1" applyProtection="1">
      <protection hidden="1"/>
    </xf>
    <xf numFmtId="0" fontId="4" fillId="11" borderId="0" xfId="0" applyFont="1" applyFill="1" applyAlignment="1" applyProtection="1">
      <alignment horizontal="left"/>
      <protection hidden="1"/>
    </xf>
    <xf numFmtId="0" fontId="4" fillId="19" borderId="0" xfId="0" applyFont="1" applyFill="1" applyAlignment="1" applyProtection="1">
      <alignment horizontal="left"/>
      <protection hidden="1"/>
    </xf>
    <xf numFmtId="43" fontId="21" fillId="5" borderId="4" xfId="1" applyFont="1" applyFill="1" applyBorder="1" applyAlignment="1">
      <alignment vertical="center"/>
    </xf>
    <xf numFmtId="43" fontId="2" fillId="5" borderId="1" xfId="1" applyFont="1" applyFill="1" applyBorder="1" applyAlignment="1">
      <alignment vertical="center"/>
    </xf>
    <xf numFmtId="165" fontId="4" fillId="7" borderId="0" xfId="0" applyNumberFormat="1" applyFont="1" applyFill="1" applyAlignment="1">
      <alignment vertical="center"/>
    </xf>
    <xf numFmtId="165" fontId="2" fillId="2" borderId="1" xfId="0" applyNumberFormat="1" applyFont="1" applyFill="1" applyBorder="1" applyAlignment="1">
      <alignment vertical="center"/>
    </xf>
    <xf numFmtId="0" fontId="21" fillId="3" borderId="1" xfId="0" applyFont="1" applyFill="1" applyBorder="1" applyAlignment="1">
      <alignment horizontal="center" vertical="center" wrapText="1"/>
    </xf>
    <xf numFmtId="165" fontId="6" fillId="5" borderId="1" xfId="0" applyNumberFormat="1" applyFont="1" applyFill="1" applyBorder="1" applyAlignment="1">
      <alignment vertical="center"/>
    </xf>
    <xf numFmtId="165" fontId="6" fillId="20" borderId="1" xfId="0" applyNumberFormat="1" applyFont="1" applyFill="1" applyBorder="1" applyAlignment="1">
      <alignment vertical="center"/>
    </xf>
    <xf numFmtId="0" fontId="25" fillId="8" borderId="1" xfId="0" applyFont="1" applyFill="1" applyBorder="1" applyAlignment="1">
      <alignment horizontal="center" vertical="center" wrapText="1"/>
    </xf>
    <xf numFmtId="0" fontId="25" fillId="3" borderId="1" xfId="0" applyFont="1" applyFill="1" applyBorder="1" applyAlignment="1">
      <alignment horizontal="center" vertical="center" wrapText="1"/>
    </xf>
    <xf numFmtId="165" fontId="14" fillId="7" borderId="1" xfId="1" applyNumberFormat="1" applyFont="1" applyFill="1" applyBorder="1" applyAlignment="1">
      <alignment vertical="center"/>
    </xf>
    <xf numFmtId="10" fontId="14" fillId="2" borderId="1" xfId="2" applyNumberFormat="1" applyFont="1" applyFill="1" applyBorder="1" applyAlignment="1">
      <alignment vertical="center"/>
    </xf>
    <xf numFmtId="14" fontId="4" fillId="5" borderId="16" xfId="0" applyNumberFormat="1" applyFont="1" applyFill="1" applyBorder="1" applyAlignment="1">
      <alignment horizontal="center" vertical="center" wrapText="1"/>
    </xf>
    <xf numFmtId="165" fontId="26" fillId="0" borderId="0" xfId="0" applyNumberFormat="1" applyFont="1" applyAlignment="1">
      <alignment horizontal="center" vertical="center" wrapText="1"/>
    </xf>
    <xf numFmtId="165" fontId="2" fillId="0" borderId="0" xfId="0" applyNumberFormat="1" applyFont="1" applyAlignment="1">
      <alignment vertical="center" wrapText="1"/>
    </xf>
    <xf numFmtId="166" fontId="27" fillId="2" borderId="1" xfId="1" applyNumberFormat="1" applyFont="1" applyFill="1" applyBorder="1" applyAlignment="1">
      <alignment vertical="center"/>
    </xf>
    <xf numFmtId="0" fontId="26" fillId="0" borderId="0" xfId="0" applyFont="1" applyAlignment="1">
      <alignment vertical="center" wrapText="1"/>
    </xf>
    <xf numFmtId="166" fontId="27" fillId="0" borderId="1" xfId="1" applyNumberFormat="1" applyFont="1" applyFill="1" applyBorder="1" applyAlignment="1">
      <alignment vertical="center"/>
    </xf>
    <xf numFmtId="164" fontId="12" fillId="0" borderId="0" xfId="1" applyNumberFormat="1" applyFont="1" applyFill="1" applyBorder="1" applyAlignment="1">
      <alignment vertical="center"/>
    </xf>
    <xf numFmtId="164" fontId="2" fillId="0" borderId="0" xfId="1" applyNumberFormat="1" applyFont="1" applyFill="1" applyBorder="1" applyAlignment="1">
      <alignment vertical="center"/>
    </xf>
    <xf numFmtId="43" fontId="14" fillId="0" borderId="0" xfId="1" applyFont="1" applyFill="1" applyBorder="1" applyAlignment="1">
      <alignment vertical="center"/>
    </xf>
    <xf numFmtId="166" fontId="2" fillId="0" borderId="0" xfId="1" applyNumberFormat="1" applyFont="1" applyFill="1" applyBorder="1" applyAlignment="1">
      <alignment vertical="center"/>
    </xf>
    <xf numFmtId="0" fontId="4" fillId="19" borderId="1" xfId="0" applyFont="1" applyFill="1" applyBorder="1" applyAlignment="1">
      <alignment horizontal="center" vertical="center" wrapText="1"/>
    </xf>
    <xf numFmtId="0" fontId="4" fillId="19" borderId="1" xfId="0" applyFont="1" applyFill="1" applyBorder="1" applyAlignment="1">
      <alignment vertical="center" wrapText="1"/>
    </xf>
    <xf numFmtId="164" fontId="28" fillId="19" borderId="1" xfId="1" applyNumberFormat="1" applyFont="1" applyFill="1" applyBorder="1" applyAlignment="1">
      <alignment vertical="center"/>
    </xf>
    <xf numFmtId="164" fontId="4" fillId="19" borderId="1" xfId="1" applyNumberFormat="1" applyFont="1" applyFill="1" applyBorder="1" applyAlignment="1">
      <alignment vertical="center"/>
    </xf>
    <xf numFmtId="43" fontId="14" fillId="19" borderId="1" xfId="1" applyFont="1" applyFill="1" applyBorder="1" applyAlignment="1">
      <alignment vertical="center"/>
    </xf>
    <xf numFmtId="43" fontId="21" fillId="19" borderId="1" xfId="1" applyFont="1" applyFill="1" applyBorder="1" applyAlignment="1">
      <alignment vertical="center"/>
    </xf>
    <xf numFmtId="0" fontId="20" fillId="5" borderId="1" xfId="0" quotePrefix="1" applyFont="1" applyFill="1" applyBorder="1" applyAlignment="1">
      <alignment horizontal="center" vertical="center" wrapText="1"/>
    </xf>
    <xf numFmtId="0" fontId="20" fillId="5" borderId="1" xfId="0" applyFont="1" applyFill="1" applyBorder="1" applyAlignment="1">
      <alignment horizontal="center" vertical="center" wrapText="1"/>
    </xf>
    <xf numFmtId="165" fontId="20" fillId="5" borderId="1" xfId="0" applyNumberFormat="1" applyFont="1" applyFill="1" applyBorder="1" applyAlignment="1">
      <alignment horizontal="center" vertical="center" wrapText="1"/>
    </xf>
    <xf numFmtId="0" fontId="25" fillId="19" borderId="1" xfId="0" applyFont="1" applyFill="1" applyBorder="1" applyAlignment="1">
      <alignment horizontal="center" vertical="center" wrapText="1"/>
    </xf>
    <xf numFmtId="166" fontId="27" fillId="0" borderId="1" xfId="0" applyNumberFormat="1" applyFont="1" applyBorder="1" applyAlignment="1">
      <alignment vertical="center"/>
    </xf>
    <xf numFmtId="43" fontId="14" fillId="21" borderId="1" xfId="1" applyFont="1" applyFill="1" applyBorder="1" applyAlignment="1">
      <alignment vertical="center"/>
    </xf>
    <xf numFmtId="0" fontId="29" fillId="2" borderId="1" xfId="0" applyFont="1" applyFill="1" applyBorder="1" applyAlignment="1">
      <alignment horizontal="center" vertical="center" wrapText="1"/>
    </xf>
    <xf numFmtId="0" fontId="29" fillId="2" borderId="1" xfId="0" applyFont="1" applyFill="1" applyBorder="1" applyAlignment="1">
      <alignment horizontal="center" vertical="center"/>
    </xf>
    <xf numFmtId="0" fontId="4" fillId="12" borderId="1" xfId="0" applyFont="1" applyFill="1" applyBorder="1"/>
    <xf numFmtId="165" fontId="2" fillId="0" borderId="1" xfId="1" applyNumberFormat="1" applyFont="1" applyBorder="1" applyAlignment="1">
      <alignment horizontal="center"/>
    </xf>
    <xf numFmtId="165" fontId="2" fillId="0" borderId="1" xfId="1" applyNumberFormat="1" applyFont="1" applyBorder="1" applyAlignment="1"/>
    <xf numFmtId="0" fontId="4" fillId="0" borderId="1" xfId="0" applyFont="1" applyBorder="1" applyAlignment="1">
      <alignment horizontal="center" wrapText="1"/>
    </xf>
    <xf numFmtId="167" fontId="2" fillId="0" borderId="1" xfId="0" applyNumberFormat="1" applyFont="1" applyBorder="1" applyAlignment="1">
      <alignment horizontal="center" vertical="center"/>
    </xf>
    <xf numFmtId="165" fontId="4" fillId="3" borderId="1" xfId="0" applyNumberFormat="1" applyFont="1" applyFill="1" applyBorder="1"/>
    <xf numFmtId="165" fontId="4" fillId="2" borderId="1" xfId="0" applyNumberFormat="1" applyFont="1" applyFill="1" applyBorder="1"/>
    <xf numFmtId="165" fontId="27" fillId="0" borderId="1" xfId="1" applyNumberFormat="1" applyFont="1" applyBorder="1" applyAlignment="1">
      <alignment vertical="center"/>
    </xf>
    <xf numFmtId="165" fontId="4" fillId="22" borderId="1" xfId="0" applyNumberFormat="1" applyFont="1" applyFill="1" applyBorder="1" applyAlignment="1">
      <alignment vertical="center"/>
    </xf>
    <xf numFmtId="165" fontId="6" fillId="18" borderId="1" xfId="0" applyNumberFormat="1" applyFont="1" applyFill="1" applyBorder="1" applyAlignment="1">
      <alignment vertical="center"/>
    </xf>
    <xf numFmtId="165" fontId="14" fillId="2" borderId="1" xfId="1" applyNumberFormat="1" applyFont="1" applyFill="1" applyBorder="1"/>
    <xf numFmtId="0" fontId="0" fillId="0" borderId="1" xfId="0" applyBorder="1" applyAlignment="1" applyProtection="1">
      <alignment horizontal="center"/>
      <protection hidden="1"/>
    </xf>
    <xf numFmtId="0" fontId="30" fillId="0" borderId="0" xfId="0" applyFont="1" applyProtection="1">
      <protection hidden="1"/>
    </xf>
    <xf numFmtId="0" fontId="0" fillId="2" borderId="1" xfId="0" applyFill="1" applyBorder="1" applyAlignment="1" applyProtection="1">
      <alignment horizontal="left" vertical="center"/>
      <protection hidden="1"/>
    </xf>
    <xf numFmtId="0" fontId="31" fillId="0" borderId="1" xfId="0" applyFont="1" applyBorder="1" applyAlignment="1" applyProtection="1">
      <alignment horizontal="left" vertical="center" wrapText="1"/>
      <protection hidden="1"/>
    </xf>
    <xf numFmtId="0" fontId="8" fillId="0" borderId="1" xfId="0" applyFont="1" applyBorder="1" applyAlignment="1" applyProtection="1">
      <alignment horizontal="left" vertical="center" wrapText="1"/>
      <protection hidden="1"/>
    </xf>
    <xf numFmtId="164" fontId="8" fillId="5" borderId="1" xfId="0" applyNumberFormat="1" applyFont="1" applyFill="1" applyBorder="1" applyAlignment="1" applyProtection="1">
      <alignment horizontal="center" vertical="center"/>
      <protection hidden="1"/>
    </xf>
    <xf numFmtId="14" fontId="33" fillId="0" borderId="1" xfId="0" applyNumberFormat="1" applyFont="1" applyBorder="1" applyAlignment="1">
      <alignment horizontal="center" vertical="center" wrapText="1"/>
    </xf>
    <xf numFmtId="0" fontId="4" fillId="23" borderId="1" xfId="0" applyFont="1" applyFill="1" applyBorder="1" applyAlignment="1">
      <alignment horizontal="left" vertical="center" wrapText="1"/>
    </xf>
    <xf numFmtId="14" fontId="33" fillId="0" borderId="1" xfId="0" applyNumberFormat="1" applyFont="1" applyBorder="1" applyAlignment="1">
      <alignment horizontal="center" vertical="center"/>
    </xf>
    <xf numFmtId="165" fontId="2" fillId="2" borderId="1" xfId="0" applyNumberFormat="1" applyFont="1" applyFill="1" applyBorder="1" applyAlignment="1">
      <alignment vertical="center" wrapText="1"/>
    </xf>
    <xf numFmtId="165" fontId="2" fillId="0" borderId="0" xfId="1" applyNumberFormat="1" applyFont="1" applyAlignment="1">
      <alignment vertical="center"/>
    </xf>
    <xf numFmtId="165" fontId="27" fillId="0" borderId="0" xfId="1" applyNumberFormat="1" applyFont="1" applyAlignment="1">
      <alignment vertical="center"/>
    </xf>
    <xf numFmtId="0" fontId="2" fillId="3" borderId="1" xfId="0" applyFont="1" applyFill="1" applyBorder="1" applyAlignment="1">
      <alignment horizontal="center" vertical="center" wrapText="1"/>
    </xf>
    <xf numFmtId="165" fontId="2" fillId="0" borderId="0" xfId="1" applyNumberFormat="1" applyFont="1" applyAlignment="1">
      <alignment vertical="center" wrapText="1"/>
    </xf>
    <xf numFmtId="0" fontId="4" fillId="2" borderId="1" xfId="0" applyFont="1" applyFill="1" applyBorder="1" applyAlignment="1">
      <alignment horizontal="center" vertical="center" wrapText="1"/>
    </xf>
    <xf numFmtId="0" fontId="4" fillId="0" borderId="0" xfId="0" applyFont="1" applyAlignment="1">
      <alignment horizontal="center" vertical="center" wrapText="1"/>
    </xf>
    <xf numFmtId="43" fontId="4" fillId="0" borderId="0" xfId="1" applyFont="1" applyAlignment="1">
      <alignment horizontal="center" vertical="center" wrapText="1"/>
    </xf>
    <xf numFmtId="43" fontId="2" fillId="0" borderId="0" xfId="1" applyFont="1" applyAlignment="1">
      <alignment horizontal="center" vertical="center"/>
    </xf>
    <xf numFmtId="0" fontId="2" fillId="21" borderId="1" xfId="0" applyFont="1" applyFill="1" applyBorder="1" applyAlignment="1">
      <alignment vertical="center"/>
    </xf>
    <xf numFmtId="43" fontId="2" fillId="0" borderId="0" xfId="1" applyFont="1" applyAlignment="1">
      <alignment vertical="center"/>
    </xf>
    <xf numFmtId="165" fontId="4" fillId="5" borderId="1" xfId="1" applyNumberFormat="1" applyFont="1" applyFill="1" applyBorder="1" applyAlignment="1">
      <alignment vertical="center"/>
    </xf>
    <xf numFmtId="165" fontId="35" fillId="5" borderId="1" xfId="1" applyNumberFormat="1" applyFont="1" applyFill="1" applyBorder="1" applyAlignment="1">
      <alignment vertical="center"/>
    </xf>
    <xf numFmtId="43" fontId="2" fillId="0" borderId="0" xfId="1" applyFont="1" applyAlignment="1">
      <alignment vertical="center" wrapText="1"/>
    </xf>
    <xf numFmtId="165" fontId="2" fillId="0" borderId="1" xfId="1" applyNumberFormat="1" applyFont="1" applyBorder="1" applyAlignment="1">
      <alignment vertical="center" wrapText="1"/>
    </xf>
    <xf numFmtId="165" fontId="35" fillId="22" borderId="1" xfId="1" applyNumberFormat="1" applyFont="1" applyFill="1" applyBorder="1" applyAlignment="1">
      <alignment vertical="center"/>
    </xf>
    <xf numFmtId="165" fontId="2" fillId="0" borderId="1" xfId="1" applyNumberFormat="1" applyFont="1" applyBorder="1" applyAlignment="1">
      <alignment horizontal="center" vertical="center"/>
    </xf>
    <xf numFmtId="164" fontId="2" fillId="0" borderId="0" xfId="0" applyNumberFormat="1" applyFont="1" applyAlignment="1">
      <alignment vertical="center"/>
    </xf>
    <xf numFmtId="165" fontId="2" fillId="0" borderId="0" xfId="0" applyNumberFormat="1" applyFont="1" applyAlignment="1">
      <alignment vertical="center"/>
    </xf>
    <xf numFmtId="165" fontId="2" fillId="10" borderId="1" xfId="1" applyNumberFormat="1" applyFont="1" applyFill="1" applyBorder="1" applyAlignment="1">
      <alignment vertical="center"/>
    </xf>
    <xf numFmtId="9" fontId="2" fillId="0" borderId="1" xfId="2" applyFont="1" applyBorder="1" applyAlignment="1">
      <alignment vertical="center" wrapText="1"/>
    </xf>
    <xf numFmtId="43" fontId="2" fillId="0" borderId="1" xfId="1" applyFont="1" applyBorder="1" applyAlignment="1">
      <alignment vertical="center" wrapText="1"/>
    </xf>
    <xf numFmtId="165" fontId="14" fillId="13" borderId="1" xfId="1" applyNumberFormat="1" applyFont="1" applyFill="1" applyBorder="1" applyAlignment="1">
      <alignment vertical="center"/>
    </xf>
    <xf numFmtId="0" fontId="8" fillId="0" borderId="0" xfId="0" applyFont="1" applyAlignment="1">
      <alignment horizontal="center" vertical="center"/>
    </xf>
    <xf numFmtId="0" fontId="8" fillId="0" borderId="1" xfId="0" applyFont="1" applyBorder="1" applyAlignment="1">
      <alignment horizontal="center" vertical="center"/>
    </xf>
    <xf numFmtId="0" fontId="0" fillId="0" borderId="1" xfId="0" applyBorder="1" applyAlignment="1">
      <alignment horizontal="center" vertical="center"/>
    </xf>
    <xf numFmtId="0" fontId="8" fillId="0" borderId="1" xfId="0" applyFont="1" applyBorder="1" applyAlignment="1">
      <alignment horizontal="center" vertical="center" wrapText="1"/>
    </xf>
    <xf numFmtId="0" fontId="0" fillId="0" borderId="0" xfId="0" applyAlignment="1">
      <alignment horizontal="center" vertical="center"/>
    </xf>
    <xf numFmtId="0" fontId="0" fillId="2" borderId="1" xfId="0" applyFill="1" applyBorder="1" applyAlignment="1">
      <alignment horizontal="center" vertical="center"/>
    </xf>
    <xf numFmtId="0" fontId="20" fillId="0" borderId="1" xfId="0" applyFont="1" applyBorder="1" applyAlignment="1">
      <alignment vertical="center"/>
    </xf>
    <xf numFmtId="165" fontId="20" fillId="0" borderId="1" xfId="1" applyNumberFormat="1" applyFont="1" applyBorder="1" applyAlignment="1">
      <alignment vertical="center"/>
    </xf>
    <xf numFmtId="165" fontId="20" fillId="10" borderId="1" xfId="1" applyNumberFormat="1" applyFont="1" applyFill="1" applyBorder="1" applyAlignment="1">
      <alignment vertical="center"/>
    </xf>
    <xf numFmtId="38" fontId="14" fillId="0" borderId="1" xfId="1" applyNumberFormat="1" applyFont="1" applyBorder="1" applyAlignment="1">
      <alignment horizontal="right" vertical="center" wrapText="1"/>
    </xf>
    <xf numFmtId="38" fontId="2" fillId="0" borderId="0" xfId="0" applyNumberFormat="1" applyFont="1" applyAlignment="1">
      <alignment vertical="center" wrapText="1"/>
    </xf>
    <xf numFmtId="168" fontId="2" fillId="0" borderId="0" xfId="0" applyNumberFormat="1" applyFont="1" applyAlignment="1">
      <alignment vertical="center" wrapText="1"/>
    </xf>
    <xf numFmtId="43" fontId="2" fillId="0" borderId="0" xfId="0" applyNumberFormat="1" applyFont="1" applyAlignment="1">
      <alignment vertical="center" wrapText="1"/>
    </xf>
    <xf numFmtId="169" fontId="20" fillId="10" borderId="1" xfId="1" applyNumberFormat="1" applyFont="1" applyFill="1" applyBorder="1" applyAlignment="1">
      <alignment vertical="center"/>
    </xf>
    <xf numFmtId="0" fontId="2" fillId="0" borderId="0" xfId="0" applyFont="1" applyAlignment="1">
      <alignment horizontal="left" vertical="top"/>
    </xf>
    <xf numFmtId="0" fontId="39" fillId="0" borderId="0" xfId="0" applyFont="1" applyAlignment="1">
      <alignment horizontal="left" vertical="center"/>
    </xf>
    <xf numFmtId="0" fontId="2" fillId="0" borderId="41" xfId="0" applyFont="1" applyBorder="1" applyAlignment="1">
      <alignment horizontal="left" vertical="top"/>
    </xf>
    <xf numFmtId="0" fontId="2" fillId="0" borderId="42" xfId="0" applyFont="1" applyBorder="1" applyAlignment="1">
      <alignment horizontal="left" vertical="top"/>
    </xf>
    <xf numFmtId="10" fontId="45" fillId="5" borderId="0" xfId="0" applyNumberFormat="1" applyFont="1" applyFill="1" applyAlignment="1">
      <alignment vertical="center"/>
    </xf>
    <xf numFmtId="0" fontId="38" fillId="30" borderId="0" xfId="0" applyFont="1" applyFill="1" applyAlignment="1">
      <alignment horizontal="left" vertical="center"/>
    </xf>
    <xf numFmtId="0" fontId="38" fillId="27" borderId="0" xfId="0" applyFont="1" applyFill="1" applyAlignment="1">
      <alignment horizontal="left" vertical="center" wrapText="1"/>
    </xf>
    <xf numFmtId="0" fontId="38" fillId="27" borderId="0" xfId="0" applyFont="1" applyFill="1" applyAlignment="1">
      <alignment horizontal="right" vertical="center" wrapText="1"/>
    </xf>
    <xf numFmtId="43" fontId="2" fillId="0" borderId="0" xfId="1" applyFont="1" applyAlignment="1">
      <alignment horizontal="center" vertical="top"/>
    </xf>
    <xf numFmtId="0" fontId="2" fillId="0" borderId="0" xfId="0" applyFont="1" applyAlignment="1">
      <alignment horizontal="center" vertical="top"/>
    </xf>
    <xf numFmtId="0" fontId="46" fillId="29" borderId="42" xfId="0" applyFont="1" applyFill="1" applyBorder="1" applyAlignment="1">
      <alignment horizontal="left" wrapText="1"/>
    </xf>
    <xf numFmtId="0" fontId="44" fillId="17" borderId="42" xfId="0" applyFont="1" applyFill="1" applyBorder="1" applyAlignment="1">
      <alignment horizontal="center" vertical="center"/>
    </xf>
    <xf numFmtId="10" fontId="46" fillId="25" borderId="42" xfId="0" applyNumberFormat="1" applyFont="1" applyFill="1" applyBorder="1" applyAlignment="1">
      <alignment horizontal="center" vertical="center" wrapText="1"/>
    </xf>
    <xf numFmtId="43" fontId="38" fillId="27" borderId="0" xfId="1" applyFont="1" applyFill="1" applyBorder="1" applyAlignment="1">
      <alignment horizontal="center" vertical="center" wrapText="1"/>
    </xf>
    <xf numFmtId="0" fontId="44" fillId="17" borderId="42" xfId="0" applyFont="1" applyFill="1" applyBorder="1" applyAlignment="1">
      <alignment horizontal="center" vertical="top" wrapText="1"/>
    </xf>
    <xf numFmtId="43" fontId="0" fillId="0" borderId="1" xfId="4" applyNumberFormat="1" applyFont="1" applyFill="1" applyBorder="1"/>
    <xf numFmtId="41" fontId="0" fillId="2" borderId="1" xfId="4" applyNumberFormat="1" applyFont="1" applyFill="1" applyBorder="1"/>
    <xf numFmtId="10" fontId="51" fillId="0" borderId="1" xfId="0" applyNumberFormat="1" applyFont="1" applyBorder="1"/>
    <xf numFmtId="43" fontId="0" fillId="0" borderId="1" xfId="4" applyNumberFormat="1" applyFont="1" applyBorder="1"/>
    <xf numFmtId="43" fontId="0" fillId="0" borderId="1" xfId="0" applyNumberFormat="1" applyBorder="1"/>
    <xf numFmtId="10" fontId="0" fillId="26" borderId="1" xfId="2" applyNumberFormat="1" applyFont="1" applyFill="1" applyBorder="1"/>
    <xf numFmtId="0" fontId="52" fillId="2" borderId="0" xfId="0" applyFont="1" applyFill="1" applyAlignment="1">
      <alignment horizontal="left" vertical="top"/>
    </xf>
    <xf numFmtId="0" fontId="53" fillId="2" borderId="0" xfId="0" applyFont="1" applyFill="1" applyAlignment="1">
      <alignment horizontal="left" vertical="top"/>
    </xf>
    <xf numFmtId="0" fontId="2" fillId="2" borderId="0" xfId="0" applyFont="1" applyFill="1" applyAlignment="1">
      <alignment horizontal="left" vertical="top"/>
    </xf>
    <xf numFmtId="0" fontId="8" fillId="0" borderId="1" xfId="0" applyFont="1" applyBorder="1" applyAlignment="1">
      <alignment horizontal="center"/>
    </xf>
    <xf numFmtId="0" fontId="0" fillId="0" borderId="1" xfId="0" applyBorder="1" applyAlignment="1">
      <alignment horizontal="center"/>
    </xf>
    <xf numFmtId="171" fontId="0" fillId="0" borderId="1" xfId="4" applyNumberFormat="1" applyFont="1" applyBorder="1"/>
    <xf numFmtId="171" fontId="0" fillId="0" borderId="0" xfId="0" applyNumberFormat="1"/>
    <xf numFmtId="0" fontId="0" fillId="0" borderId="1" xfId="0" applyBorder="1" applyAlignment="1">
      <alignment horizontal="right"/>
    </xf>
    <xf numFmtId="171" fontId="0" fillId="0" borderId="1" xfId="0" applyNumberFormat="1" applyBorder="1"/>
    <xf numFmtId="0" fontId="8" fillId="0" borderId="1" xfId="0" applyFont="1" applyBorder="1"/>
    <xf numFmtId="0" fontId="8" fillId="0" borderId="4" xfId="0" applyFont="1" applyBorder="1"/>
    <xf numFmtId="0" fontId="0" fillId="0" borderId="2" xfId="0" applyBorder="1"/>
    <xf numFmtId="0" fontId="0" fillId="0" borderId="2" xfId="0" applyBorder="1" applyAlignment="1">
      <alignment horizontal="left"/>
    </xf>
    <xf numFmtId="171" fontId="0" fillId="0" borderId="1" xfId="4" applyNumberFormat="1" applyFont="1" applyBorder="1" applyAlignment="1">
      <alignment horizontal="left"/>
    </xf>
    <xf numFmtId="172" fontId="0" fillId="0" borderId="1" xfId="0" applyNumberFormat="1" applyBorder="1" applyAlignment="1">
      <alignment horizontal="left"/>
    </xf>
    <xf numFmtId="171" fontId="0" fillId="0" borderId="1" xfId="4" applyNumberFormat="1" applyFont="1" applyFill="1" applyBorder="1"/>
    <xf numFmtId="0" fontId="0" fillId="31" borderId="0" xfId="0" applyFill="1"/>
    <xf numFmtId="172" fontId="0" fillId="0" borderId="0" xfId="0" applyNumberFormat="1" applyAlignment="1">
      <alignment horizontal="left"/>
    </xf>
    <xf numFmtId="171" fontId="0" fillId="0" borderId="0" xfId="4" applyNumberFormat="1" applyFont="1"/>
    <xf numFmtId="172" fontId="0" fillId="2" borderId="0" xfId="0" applyNumberFormat="1" applyFill="1" applyAlignment="1">
      <alignment horizontal="left"/>
    </xf>
    <xf numFmtId="0" fontId="0" fillId="2" borderId="0" xfId="0" applyFill="1"/>
    <xf numFmtId="171" fontId="0" fillId="2" borderId="0" xfId="4" applyNumberFormat="1" applyFont="1" applyFill="1"/>
    <xf numFmtId="0" fontId="52" fillId="0" borderId="0" xfId="0" applyFont="1" applyAlignment="1">
      <alignment horizontal="center"/>
    </xf>
    <xf numFmtId="0" fontId="8" fillId="2" borderId="1" xfId="0" applyFont="1" applyFill="1" applyBorder="1" applyAlignment="1">
      <alignment horizontal="center" vertical="center" wrapText="1"/>
    </xf>
    <xf numFmtId="164" fontId="0" fillId="2" borderId="1" xfId="4" applyFont="1" applyFill="1" applyBorder="1" applyAlignment="1">
      <alignment horizontal="center" vertical="center"/>
    </xf>
    <xf numFmtId="0" fontId="8" fillId="0" borderId="33" xfId="0" applyFont="1" applyBorder="1" applyAlignment="1">
      <alignment horizontal="center" vertical="center"/>
    </xf>
    <xf numFmtId="0" fontId="48" fillId="25" borderId="42" xfId="0" applyFont="1" applyFill="1" applyBorder="1" applyAlignment="1">
      <alignment horizontal="center" vertical="center"/>
    </xf>
    <xf numFmtId="0" fontId="48" fillId="25" borderId="0" xfId="0" applyFont="1" applyFill="1" applyAlignment="1">
      <alignment horizontal="center" vertical="center"/>
    </xf>
    <xf numFmtId="0" fontId="46" fillId="25" borderId="41" xfId="0" applyFont="1" applyFill="1" applyBorder="1" applyAlignment="1">
      <alignment horizontal="center" vertical="center" wrapText="1"/>
    </xf>
    <xf numFmtId="165" fontId="34" fillId="0" borderId="41" xfId="1" quotePrefix="1" applyNumberFormat="1" applyFont="1" applyFill="1" applyBorder="1" applyAlignment="1">
      <alignment vertical="top" wrapText="1"/>
    </xf>
    <xf numFmtId="0" fontId="2" fillId="0" borderId="41" xfId="0" applyFont="1" applyBorder="1" applyAlignment="1">
      <alignment vertical="top"/>
    </xf>
    <xf numFmtId="0" fontId="41" fillId="25" borderId="41" xfId="0" applyFont="1" applyFill="1" applyBorder="1" applyAlignment="1">
      <alignment horizontal="center" vertical="center" wrapText="1"/>
    </xf>
    <xf numFmtId="10" fontId="41" fillId="25" borderId="42" xfId="0" applyNumberFormat="1" applyFont="1" applyFill="1" applyBorder="1" applyAlignment="1">
      <alignment horizontal="center" vertical="center" wrapText="1"/>
    </xf>
    <xf numFmtId="0" fontId="46" fillId="25" borderId="0" xfId="0" applyFont="1" applyFill="1" applyAlignment="1">
      <alignment horizontal="center" vertical="center" wrapText="1"/>
    </xf>
    <xf numFmtId="0" fontId="50" fillId="25" borderId="0" xfId="0" applyFont="1" applyFill="1" applyAlignment="1">
      <alignment horizontal="left" vertical="center"/>
    </xf>
    <xf numFmtId="0" fontId="46" fillId="25" borderId="0" xfId="0" applyFont="1" applyFill="1" applyAlignment="1">
      <alignment horizontal="left" wrapText="1"/>
    </xf>
    <xf numFmtId="0" fontId="41" fillId="0" borderId="0" xfId="0" applyFont="1" applyAlignment="1">
      <alignment horizontal="center" vertical="top"/>
    </xf>
    <xf numFmtId="165" fontId="2" fillId="0" borderId="0" xfId="1" applyNumberFormat="1" applyFont="1" applyAlignment="1">
      <alignment horizontal="center" vertical="center" wrapText="1"/>
    </xf>
    <xf numFmtId="165" fontId="4" fillId="5" borderId="16" xfId="1" applyNumberFormat="1" applyFont="1" applyFill="1" applyBorder="1" applyAlignment="1">
      <alignment horizontal="center" vertical="center" wrapText="1"/>
    </xf>
    <xf numFmtId="165" fontId="4" fillId="2" borderId="22" xfId="1" applyNumberFormat="1" applyFont="1" applyFill="1" applyBorder="1" applyAlignment="1">
      <alignment horizontal="center" vertical="center" wrapText="1"/>
    </xf>
    <xf numFmtId="165" fontId="4" fillId="2" borderId="24" xfId="1" applyNumberFormat="1" applyFont="1" applyFill="1" applyBorder="1" applyAlignment="1">
      <alignment horizontal="center" vertical="center" wrapText="1"/>
    </xf>
    <xf numFmtId="165" fontId="2" fillId="2" borderId="24" xfId="1" applyNumberFormat="1" applyFont="1" applyFill="1" applyBorder="1" applyAlignment="1">
      <alignment horizontal="center" vertical="center" wrapText="1"/>
    </xf>
    <xf numFmtId="165" fontId="4" fillId="2" borderId="28" xfId="1" applyNumberFormat="1" applyFont="1" applyFill="1" applyBorder="1" applyAlignment="1">
      <alignment horizontal="center" vertical="center" wrapText="1"/>
    </xf>
    <xf numFmtId="165" fontId="2" fillId="2" borderId="22" xfId="1" applyNumberFormat="1" applyFont="1" applyFill="1" applyBorder="1" applyAlignment="1">
      <alignment horizontal="center" vertical="center" wrapText="1"/>
    </xf>
    <xf numFmtId="167" fontId="4" fillId="5" borderId="16" xfId="0" applyNumberFormat="1" applyFont="1" applyFill="1" applyBorder="1" applyAlignment="1">
      <alignment horizontal="center" vertical="center" wrapText="1"/>
    </xf>
    <xf numFmtId="0" fontId="26" fillId="0" borderId="0" xfId="0" applyFont="1" applyAlignment="1">
      <alignment horizontal="center" vertical="center" wrapText="1"/>
    </xf>
    <xf numFmtId="0" fontId="4" fillId="5" borderId="18" xfId="0" applyFont="1" applyFill="1" applyBorder="1" applyAlignment="1">
      <alignment horizontal="center" vertical="center" wrapText="1"/>
    </xf>
    <xf numFmtId="167" fontId="4" fillId="5" borderId="19" xfId="0" applyNumberFormat="1" applyFont="1" applyFill="1" applyBorder="1" applyAlignment="1">
      <alignment horizontal="center" vertical="center" wrapText="1"/>
    </xf>
    <xf numFmtId="167" fontId="4" fillId="5" borderId="20" xfId="1" applyNumberFormat="1" applyFont="1" applyFill="1" applyBorder="1" applyAlignment="1">
      <alignment horizontal="center" vertical="center" wrapText="1"/>
    </xf>
    <xf numFmtId="167" fontId="4" fillId="5" borderId="54" xfId="0" applyNumberFormat="1" applyFont="1" applyFill="1" applyBorder="1" applyAlignment="1">
      <alignment horizontal="center" vertical="center" wrapText="1"/>
    </xf>
    <xf numFmtId="0" fontId="2" fillId="0" borderId="23" xfId="0" applyFont="1" applyBorder="1" applyAlignment="1">
      <alignment horizontal="left" vertical="center" wrapText="1" indent="2"/>
    </xf>
    <xf numFmtId="0" fontId="4" fillId="32" borderId="21" xfId="0" applyFont="1" applyFill="1" applyBorder="1" applyAlignment="1">
      <alignment vertical="center" wrapText="1"/>
    </xf>
    <xf numFmtId="165" fontId="4" fillId="32" borderId="1" xfId="1" applyNumberFormat="1" applyFont="1" applyFill="1" applyBorder="1" applyAlignment="1">
      <alignment horizontal="center" vertical="center" wrapText="1"/>
    </xf>
    <xf numFmtId="165" fontId="4" fillId="32" borderId="22" xfId="1" applyNumberFormat="1" applyFont="1" applyFill="1" applyBorder="1" applyAlignment="1">
      <alignment horizontal="center" vertical="center" wrapText="1"/>
    </xf>
    <xf numFmtId="0" fontId="2" fillId="32" borderId="21" xfId="0" applyFont="1" applyFill="1" applyBorder="1" applyAlignment="1">
      <alignment horizontal="left" vertical="center" wrapText="1" indent="1"/>
    </xf>
    <xf numFmtId="165" fontId="20" fillId="32" borderId="1" xfId="1" applyNumberFormat="1" applyFont="1" applyFill="1" applyBorder="1" applyAlignment="1">
      <alignment horizontal="center" vertical="center" wrapText="1"/>
    </xf>
    <xf numFmtId="165" fontId="25" fillId="32" borderId="22" xfId="1" applyNumberFormat="1" applyFont="1" applyFill="1" applyBorder="1" applyAlignment="1">
      <alignment horizontal="center" vertical="center" wrapText="1"/>
    </xf>
    <xf numFmtId="0" fontId="2" fillId="0" borderId="21" xfId="0" applyFont="1" applyBorder="1" applyAlignment="1">
      <alignment horizontal="left" vertical="center" wrapText="1" indent="2"/>
    </xf>
    <xf numFmtId="165" fontId="4" fillId="32" borderId="28" xfId="1" applyNumberFormat="1" applyFont="1" applyFill="1" applyBorder="1" applyAlignment="1">
      <alignment horizontal="center" vertical="center" wrapText="1"/>
    </xf>
    <xf numFmtId="0" fontId="4" fillId="32" borderId="18" xfId="0" applyFont="1" applyFill="1" applyBorder="1" applyAlignment="1">
      <alignment vertical="center" wrapText="1"/>
    </xf>
    <xf numFmtId="165" fontId="4" fillId="32" borderId="19" xfId="1" applyNumberFormat="1" applyFont="1" applyFill="1" applyBorder="1" applyAlignment="1">
      <alignment horizontal="center" vertical="center" wrapText="1"/>
    </xf>
    <xf numFmtId="165" fontId="4" fillId="32" borderId="20" xfId="1" applyNumberFormat="1" applyFont="1" applyFill="1" applyBorder="1" applyAlignment="1">
      <alignment horizontal="center" vertical="center" wrapText="1"/>
    </xf>
    <xf numFmtId="0" fontId="4" fillId="33" borderId="25" xfId="0" applyFont="1" applyFill="1" applyBorder="1" applyAlignment="1">
      <alignment vertical="center" wrapText="1"/>
    </xf>
    <xf numFmtId="165" fontId="4" fillId="33" borderId="26" xfId="1" applyNumberFormat="1" applyFont="1" applyFill="1" applyBorder="1" applyAlignment="1">
      <alignment horizontal="center" vertical="center" wrapText="1"/>
    </xf>
    <xf numFmtId="165" fontId="4" fillId="33" borderId="27" xfId="1" applyNumberFormat="1" applyFont="1" applyFill="1" applyBorder="1" applyAlignment="1">
      <alignment horizontal="center" vertical="center" wrapText="1"/>
    </xf>
    <xf numFmtId="165" fontId="20" fillId="32" borderId="22" xfId="1" applyNumberFormat="1" applyFont="1" applyFill="1" applyBorder="1" applyAlignment="1">
      <alignment horizontal="center" vertical="center" wrapText="1"/>
    </xf>
    <xf numFmtId="38" fontId="55" fillId="0" borderId="1" xfId="1" applyNumberFormat="1" applyFont="1" applyBorder="1" applyAlignment="1">
      <alignment horizontal="right" vertical="center" wrapText="1"/>
    </xf>
    <xf numFmtId="1" fontId="2" fillId="0" borderId="1" xfId="2" applyNumberFormat="1" applyFont="1" applyBorder="1" applyAlignment="1">
      <alignment vertical="center" wrapText="1"/>
    </xf>
    <xf numFmtId="38" fontId="2" fillId="2" borderId="1" xfId="1" applyNumberFormat="1" applyFont="1" applyFill="1" applyBorder="1" applyAlignment="1">
      <alignment horizontal="right" vertical="center" wrapText="1"/>
    </xf>
    <xf numFmtId="0" fontId="4" fillId="32" borderId="1" xfId="0" applyFont="1" applyFill="1" applyBorder="1" applyAlignment="1">
      <alignment vertical="center" wrapText="1"/>
    </xf>
    <xf numFmtId="38" fontId="4" fillId="32" borderId="1" xfId="1" applyNumberFormat="1" applyFont="1" applyFill="1" applyBorder="1" applyAlignment="1">
      <alignment horizontal="right" vertical="center" wrapText="1"/>
    </xf>
    <xf numFmtId="38" fontId="25" fillId="32" borderId="1" xfId="1" applyNumberFormat="1" applyFont="1" applyFill="1" applyBorder="1" applyAlignment="1">
      <alignment horizontal="right" vertical="center" wrapText="1"/>
    </xf>
    <xf numFmtId="0" fontId="4" fillId="33" borderId="1" xfId="0" applyFont="1" applyFill="1" applyBorder="1" applyAlignment="1">
      <alignment vertical="center" wrapText="1"/>
    </xf>
    <xf numFmtId="38" fontId="4" fillId="33" borderId="1" xfId="1" applyNumberFormat="1" applyFont="1" applyFill="1" applyBorder="1" applyAlignment="1">
      <alignment horizontal="right" vertical="center" wrapText="1"/>
    </xf>
    <xf numFmtId="165" fontId="21" fillId="32" borderId="19" xfId="1" applyNumberFormat="1" applyFont="1" applyFill="1" applyBorder="1" applyAlignment="1">
      <alignment horizontal="center" vertical="center" wrapText="1"/>
    </xf>
    <xf numFmtId="0" fontId="4" fillId="5" borderId="23" xfId="0" applyFont="1" applyFill="1" applyBorder="1" applyAlignment="1">
      <alignment horizontal="center" vertical="center" wrapText="1"/>
    </xf>
    <xf numFmtId="167" fontId="4" fillId="5" borderId="24" xfId="1" applyNumberFormat="1" applyFont="1" applyFill="1" applyBorder="1" applyAlignment="1">
      <alignment horizontal="center" vertical="center" wrapText="1"/>
    </xf>
    <xf numFmtId="167" fontId="4" fillId="2" borderId="1" xfId="0" applyNumberFormat="1" applyFont="1" applyFill="1" applyBorder="1" applyAlignment="1">
      <alignment horizontal="center" vertical="center" wrapText="1"/>
    </xf>
    <xf numFmtId="0" fontId="2" fillId="0" borderId="12" xfId="0" applyFont="1" applyBorder="1" applyAlignment="1">
      <alignment vertical="center" wrapText="1"/>
    </xf>
    <xf numFmtId="165" fontId="35" fillId="2" borderId="17" xfId="1" applyNumberFormat="1" applyFont="1" applyFill="1" applyBorder="1" applyAlignment="1">
      <alignment horizontal="center" vertical="center" wrapText="1"/>
    </xf>
    <xf numFmtId="167" fontId="4" fillId="5" borderId="56" xfId="0" applyNumberFormat="1" applyFont="1" applyFill="1" applyBorder="1" applyAlignment="1">
      <alignment horizontal="center" vertical="center" wrapText="1"/>
    </xf>
    <xf numFmtId="167" fontId="4" fillId="5" borderId="57" xfId="0" applyNumberFormat="1" applyFont="1" applyFill="1" applyBorder="1" applyAlignment="1">
      <alignment horizontal="center" vertical="center" wrapText="1"/>
    </xf>
    <xf numFmtId="0" fontId="2" fillId="0" borderId="1" xfId="0" applyFont="1" applyBorder="1" applyAlignment="1">
      <alignment horizontal="left" vertical="center" wrapText="1"/>
    </xf>
    <xf numFmtId="0" fontId="2" fillId="0" borderId="1" xfId="0" applyFont="1" applyBorder="1" applyAlignment="1">
      <alignment horizontal="left" wrapText="1"/>
    </xf>
    <xf numFmtId="165" fontId="21" fillId="0" borderId="35" xfId="1" applyNumberFormat="1" applyFont="1" applyBorder="1" applyAlignment="1">
      <alignment horizontal="center" vertical="center" wrapText="1"/>
    </xf>
    <xf numFmtId="165" fontId="2" fillId="2" borderId="55" xfId="1" applyNumberFormat="1" applyFont="1" applyFill="1" applyBorder="1" applyAlignment="1">
      <alignment horizontal="center" vertical="center" wrapText="1"/>
    </xf>
    <xf numFmtId="165" fontId="21" fillId="16" borderId="16" xfId="1" applyNumberFormat="1" applyFont="1" applyFill="1" applyBorder="1" applyAlignment="1">
      <alignment horizontal="center" vertical="center" wrapText="1"/>
    </xf>
    <xf numFmtId="165" fontId="21" fillId="0" borderId="1" xfId="1" applyNumberFormat="1" applyFont="1" applyBorder="1" applyAlignment="1">
      <alignment horizontal="center" vertical="center" wrapText="1"/>
    </xf>
    <xf numFmtId="0" fontId="4" fillId="16" borderId="23" xfId="0" applyFont="1" applyFill="1" applyBorder="1" applyAlignment="1">
      <alignment vertical="center" wrapText="1"/>
    </xf>
    <xf numFmtId="0" fontId="2" fillId="0" borderId="1" xfId="1" applyNumberFormat="1" applyFont="1" applyBorder="1" applyAlignment="1">
      <alignment vertical="center" wrapText="1"/>
    </xf>
    <xf numFmtId="165" fontId="2" fillId="33" borderId="26" xfId="1" applyNumberFormat="1" applyFont="1" applyFill="1" applyBorder="1" applyAlignment="1">
      <alignment vertical="center" wrapText="1"/>
    </xf>
    <xf numFmtId="165" fontId="2" fillId="33" borderId="27" xfId="1" applyNumberFormat="1" applyFont="1" applyFill="1" applyBorder="1" applyAlignment="1">
      <alignment vertical="center" wrapText="1"/>
    </xf>
    <xf numFmtId="165" fontId="2" fillId="2" borderId="1" xfId="1" applyNumberFormat="1" applyFont="1" applyFill="1" applyBorder="1" applyAlignment="1">
      <alignment horizontal="center" vertical="center" wrapText="1"/>
    </xf>
    <xf numFmtId="165" fontId="14" fillId="0" borderId="1" xfId="0" applyNumberFormat="1" applyFont="1" applyBorder="1" applyAlignment="1">
      <alignment horizontal="center" vertical="center" wrapText="1"/>
    </xf>
    <xf numFmtId="2" fontId="2" fillId="0" borderId="1" xfId="0" applyNumberFormat="1" applyFont="1" applyBorder="1" applyAlignment="1">
      <alignment vertical="center" wrapText="1"/>
    </xf>
    <xf numFmtId="0" fontId="52" fillId="0" borderId="0" xfId="0" applyFont="1"/>
    <xf numFmtId="0" fontId="2" fillId="0" borderId="46" xfId="0" applyFont="1" applyBorder="1" applyAlignment="1">
      <alignment horizontal="left" vertical="top"/>
    </xf>
    <xf numFmtId="0" fontId="2" fillId="0" borderId="48" xfId="0" applyFont="1" applyBorder="1" applyAlignment="1">
      <alignment horizontal="left" vertical="top"/>
    </xf>
    <xf numFmtId="0" fontId="2" fillId="0" borderId="16" xfId="0" applyFont="1" applyBorder="1" applyAlignment="1">
      <alignment horizontal="left" vertical="center" wrapText="1"/>
    </xf>
    <xf numFmtId="0" fontId="2" fillId="0" borderId="58" xfId="0" applyFont="1" applyBorder="1" applyAlignment="1">
      <alignment vertical="center" wrapText="1"/>
    </xf>
    <xf numFmtId="0" fontId="2" fillId="0" borderId="59" xfId="0" applyFont="1" applyBorder="1" applyAlignment="1">
      <alignment vertical="center" wrapText="1"/>
    </xf>
    <xf numFmtId="1" fontId="2" fillId="0" borderId="1" xfId="0" applyNumberFormat="1" applyFont="1" applyBorder="1" applyAlignment="1">
      <alignment vertical="center" wrapText="1"/>
    </xf>
    <xf numFmtId="2" fontId="2" fillId="0" borderId="1" xfId="1" applyNumberFormat="1" applyFont="1" applyBorder="1" applyAlignment="1">
      <alignment vertical="center" wrapText="1"/>
    </xf>
    <xf numFmtId="1" fontId="2" fillId="0" borderId="58" xfId="0" applyNumberFormat="1" applyFont="1" applyBorder="1" applyAlignment="1">
      <alignment vertical="center" wrapText="1"/>
    </xf>
    <xf numFmtId="0" fontId="4" fillId="2" borderId="31" xfId="0" applyFont="1" applyFill="1" applyBorder="1" applyAlignment="1">
      <alignment horizontal="center" vertical="center" wrapText="1"/>
    </xf>
    <xf numFmtId="0" fontId="4" fillId="32" borderId="60" xfId="0" applyFont="1" applyFill="1" applyBorder="1" applyAlignment="1">
      <alignment vertical="center" wrapText="1"/>
    </xf>
    <xf numFmtId="167" fontId="4" fillId="2" borderId="61" xfId="0" applyNumberFormat="1" applyFont="1" applyFill="1" applyBorder="1" applyAlignment="1">
      <alignment horizontal="center" vertical="center" wrapText="1"/>
    </xf>
    <xf numFmtId="2" fontId="2" fillId="0" borderId="16" xfId="0" applyNumberFormat="1" applyFont="1" applyBorder="1" applyAlignment="1">
      <alignment horizontal="right" vertical="center" wrapText="1"/>
    </xf>
    <xf numFmtId="0" fontId="2" fillId="0" borderId="62" xfId="0" applyFont="1" applyBorder="1" applyAlignment="1">
      <alignment vertical="center" wrapText="1"/>
    </xf>
    <xf numFmtId="165" fontId="34" fillId="25" borderId="41" xfId="1" quotePrefix="1" applyNumberFormat="1" applyFont="1" applyFill="1" applyBorder="1" applyAlignment="1">
      <alignment vertical="top" wrapText="1"/>
    </xf>
    <xf numFmtId="0" fontId="34" fillId="0" borderId="41" xfId="0" applyFont="1" applyBorder="1" applyAlignment="1">
      <alignment horizontal="left" vertical="top"/>
    </xf>
    <xf numFmtId="0" fontId="48" fillId="25" borderId="64" xfId="0" applyFont="1" applyFill="1" applyBorder="1" applyAlignment="1">
      <alignment horizontal="center" vertical="center"/>
    </xf>
    <xf numFmtId="0" fontId="41" fillId="0" borderId="63" xfId="0" applyFont="1" applyBorder="1" applyAlignment="1">
      <alignment horizontal="center" vertical="top"/>
    </xf>
    <xf numFmtId="0" fontId="56" fillId="0" borderId="1" xfId="0" applyFont="1" applyBorder="1" applyAlignment="1">
      <alignment vertical="center" wrapText="1"/>
    </xf>
    <xf numFmtId="0" fontId="2" fillId="0" borderId="65" xfId="0" applyFont="1" applyBorder="1" applyAlignment="1">
      <alignment vertical="center" wrapText="1"/>
    </xf>
    <xf numFmtId="165" fontId="21" fillId="0" borderId="66" xfId="1" applyNumberFormat="1" applyFont="1" applyBorder="1" applyAlignment="1">
      <alignment horizontal="center" vertical="center" wrapText="1"/>
    </xf>
    <xf numFmtId="0" fontId="2" fillId="0" borderId="21" xfId="0" applyFont="1" applyBorder="1" applyAlignment="1">
      <alignment vertical="center" wrapText="1"/>
    </xf>
    <xf numFmtId="0" fontId="4" fillId="5" borderId="54" xfId="0" applyFont="1" applyFill="1" applyBorder="1" applyAlignment="1">
      <alignment horizontal="center" vertical="center" wrapText="1"/>
    </xf>
    <xf numFmtId="0" fontId="4" fillId="5" borderId="19" xfId="0" applyFont="1" applyFill="1" applyBorder="1" applyAlignment="1">
      <alignment horizontal="center" vertical="center" wrapText="1"/>
    </xf>
    <xf numFmtId="0" fontId="4" fillId="2" borderId="17" xfId="0" applyFont="1" applyFill="1" applyBorder="1" applyAlignment="1">
      <alignment horizontal="center" vertical="center" wrapText="1"/>
    </xf>
    <xf numFmtId="165" fontId="2" fillId="0" borderId="1" xfId="0" applyNumberFormat="1" applyFont="1" applyBorder="1" applyAlignment="1">
      <alignment horizontal="center" vertical="center" wrapText="1"/>
    </xf>
    <xf numFmtId="165" fontId="2" fillId="2" borderId="1" xfId="0" applyNumberFormat="1" applyFont="1" applyFill="1" applyBorder="1" applyAlignment="1">
      <alignment horizontal="center" vertical="center" wrapText="1"/>
    </xf>
    <xf numFmtId="0" fontId="2" fillId="0" borderId="67" xfId="0" applyFont="1" applyBorder="1" applyAlignment="1">
      <alignment horizontal="left" vertical="center" wrapText="1"/>
    </xf>
    <xf numFmtId="2" fontId="2" fillId="0" borderId="67" xfId="0" applyNumberFormat="1" applyFont="1" applyBorder="1" applyAlignment="1">
      <alignment horizontal="right" vertical="center"/>
    </xf>
    <xf numFmtId="9" fontId="2" fillId="0" borderId="1" xfId="0" applyNumberFormat="1" applyFont="1" applyBorder="1" applyAlignment="1">
      <alignment vertical="center" wrapText="1"/>
    </xf>
    <xf numFmtId="0" fontId="20" fillId="0" borderId="60" xfId="0" applyFont="1" applyBorder="1" applyAlignment="1">
      <alignment vertical="center" wrapText="1"/>
    </xf>
    <xf numFmtId="165" fontId="20" fillId="0" borderId="19" xfId="1" applyNumberFormat="1" applyFont="1" applyFill="1" applyBorder="1" applyAlignment="1">
      <alignment horizontal="center" vertical="center" wrapText="1"/>
    </xf>
    <xf numFmtId="0" fontId="20" fillId="0" borderId="21" xfId="0" applyFont="1" applyBorder="1" applyAlignment="1">
      <alignment vertical="center" wrapText="1"/>
    </xf>
    <xf numFmtId="165" fontId="20" fillId="0" borderId="1" xfId="1" applyNumberFormat="1" applyFont="1" applyFill="1" applyBorder="1" applyAlignment="1">
      <alignment horizontal="center" vertical="center" wrapText="1"/>
    </xf>
    <xf numFmtId="0" fontId="20" fillId="0" borderId="25" xfId="0" applyFont="1" applyBorder="1" applyAlignment="1">
      <alignment vertical="center" wrapText="1"/>
    </xf>
    <xf numFmtId="165" fontId="20" fillId="0" borderId="26" xfId="1" applyNumberFormat="1" applyFont="1" applyFill="1" applyBorder="1" applyAlignment="1">
      <alignment horizontal="center" vertical="center" wrapText="1"/>
    </xf>
    <xf numFmtId="0" fontId="20" fillId="0" borderId="18" xfId="0" applyFont="1" applyBorder="1" applyAlignment="1">
      <alignment vertical="center" wrapText="1"/>
    </xf>
    <xf numFmtId="0" fontId="20" fillId="0" borderId="23" xfId="0" applyFont="1" applyBorder="1" applyAlignment="1">
      <alignment vertical="center" wrapText="1"/>
    </xf>
    <xf numFmtId="165" fontId="20" fillId="0" borderId="16" xfId="1" applyNumberFormat="1" applyFont="1" applyFill="1" applyBorder="1" applyAlignment="1">
      <alignment horizontal="center" vertical="center" wrapText="1"/>
    </xf>
    <xf numFmtId="165" fontId="20" fillId="0" borderId="27" xfId="1" applyNumberFormat="1" applyFont="1" applyFill="1" applyBorder="1" applyAlignment="1">
      <alignment horizontal="center" vertical="center" wrapText="1"/>
    </xf>
    <xf numFmtId="0" fontId="0" fillId="0" borderId="1" xfId="0" applyBorder="1" applyAlignment="1">
      <alignment vertical="center"/>
    </xf>
    <xf numFmtId="4" fontId="0" fillId="0" borderId="1" xfId="0" applyNumberFormat="1" applyBorder="1" applyAlignment="1">
      <alignment horizontal="center" vertical="center"/>
    </xf>
    <xf numFmtId="14" fontId="0" fillId="0" borderId="1" xfId="0" applyNumberFormat="1" applyBorder="1" applyAlignment="1">
      <alignment horizontal="center" vertical="center"/>
    </xf>
    <xf numFmtId="0" fontId="57" fillId="0" borderId="1" xfId="0" applyFont="1" applyBorder="1" applyAlignment="1">
      <alignment horizontal="center" vertical="center"/>
    </xf>
    <xf numFmtId="0" fontId="57" fillId="0" borderId="1" xfId="0" applyFont="1" applyBorder="1" applyAlignment="1">
      <alignment horizontal="center" vertical="center" wrapText="1"/>
    </xf>
    <xf numFmtId="0" fontId="57" fillId="2" borderId="1" xfId="0" applyFont="1" applyFill="1" applyBorder="1" applyAlignment="1">
      <alignment horizontal="center" vertical="center" wrapText="1"/>
    </xf>
    <xf numFmtId="0" fontId="57" fillId="0" borderId="17" xfId="0" applyFont="1" applyBorder="1" applyAlignment="1">
      <alignment horizontal="center" vertical="center" wrapText="1"/>
    </xf>
    <xf numFmtId="0" fontId="57" fillId="0" borderId="35" xfId="0" applyFont="1" applyBorder="1" applyAlignment="1">
      <alignment horizontal="center" vertical="center" wrapText="1"/>
    </xf>
    <xf numFmtId="0" fontId="50" fillId="0" borderId="1" xfId="0" applyFont="1" applyBorder="1" applyAlignment="1">
      <alignment vertical="center"/>
    </xf>
    <xf numFmtId="0" fontId="50" fillId="0" borderId="1" xfId="0" applyFont="1" applyBorder="1" applyAlignment="1">
      <alignment horizontal="center" vertical="center"/>
    </xf>
    <xf numFmtId="14" fontId="50" fillId="0" borderId="1" xfId="0" applyNumberFormat="1" applyFont="1" applyBorder="1" applyAlignment="1">
      <alignment horizontal="center" vertical="center"/>
    </xf>
    <xf numFmtId="3" fontId="50" fillId="0" borderId="1" xfId="0" applyNumberFormat="1" applyFont="1" applyBorder="1" applyAlignment="1">
      <alignment horizontal="center" vertical="center"/>
    </xf>
    <xf numFmtId="0" fontId="50" fillId="2" borderId="1" xfId="0" applyFont="1" applyFill="1" applyBorder="1" applyAlignment="1">
      <alignment horizontal="center" vertical="center"/>
    </xf>
    <xf numFmtId="165" fontId="50" fillId="0" borderId="1" xfId="1" applyNumberFormat="1" applyFont="1" applyBorder="1" applyAlignment="1">
      <alignment horizontal="center" vertical="center"/>
    </xf>
    <xf numFmtId="0" fontId="50" fillId="0" borderId="0" xfId="0" applyFont="1" applyAlignment="1">
      <alignment vertical="center"/>
    </xf>
    <xf numFmtId="10" fontId="2" fillId="0" borderId="1" xfId="2" applyNumberFormat="1" applyFont="1" applyBorder="1" applyAlignment="1">
      <alignment vertical="center" wrapText="1"/>
    </xf>
    <xf numFmtId="165" fontId="20" fillId="0" borderId="1" xfId="1" applyNumberFormat="1" applyFont="1" applyFill="1" applyBorder="1" applyAlignment="1">
      <alignment vertical="center"/>
    </xf>
    <xf numFmtId="0" fontId="50" fillId="0" borderId="16" xfId="0" applyFont="1" applyBorder="1" applyAlignment="1">
      <alignment horizontal="center" vertical="center" wrapText="1"/>
    </xf>
    <xf numFmtId="0" fontId="50" fillId="0" borderId="35" xfId="0" applyFont="1" applyBorder="1" applyAlignment="1">
      <alignment vertical="center" wrapText="1"/>
    </xf>
    <xf numFmtId="0" fontId="50" fillId="0" borderId="17" xfId="0" applyFont="1" applyBorder="1" applyAlignment="1">
      <alignment vertical="center" wrapText="1"/>
    </xf>
    <xf numFmtId="0" fontId="59" fillId="0" borderId="0" xfId="0" applyFont="1"/>
    <xf numFmtId="0" fontId="60" fillId="0" borderId="0" xfId="0" applyFont="1"/>
    <xf numFmtId="0" fontId="59" fillId="0" borderId="0" xfId="0" applyFont="1" applyAlignment="1">
      <alignment vertical="center"/>
    </xf>
    <xf numFmtId="0" fontId="59" fillId="0" borderId="0" xfId="0" applyFont="1" applyAlignment="1">
      <alignment wrapText="1"/>
    </xf>
    <xf numFmtId="0" fontId="61" fillId="0" borderId="0" xfId="0" applyFont="1" applyAlignment="1">
      <alignment wrapText="1"/>
    </xf>
    <xf numFmtId="0" fontId="62" fillId="0" borderId="0" xfId="0" applyFont="1"/>
    <xf numFmtId="0" fontId="62" fillId="0" borderId="0" xfId="0" applyFont="1" applyAlignment="1">
      <alignment wrapText="1"/>
    </xf>
    <xf numFmtId="0" fontId="59" fillId="0" borderId="0" xfId="0" applyFont="1" applyAlignment="1">
      <alignment vertical="center" wrapText="1"/>
    </xf>
    <xf numFmtId="0" fontId="64" fillId="0" borderId="0" xfId="0" applyFont="1" applyAlignment="1">
      <alignment vertical="center"/>
    </xf>
    <xf numFmtId="0" fontId="60" fillId="0" borderId="0" xfId="0" applyFont="1" applyAlignment="1">
      <alignment vertical="center"/>
    </xf>
    <xf numFmtId="0" fontId="65" fillId="0" borderId="0" xfId="0" applyFont="1" applyAlignment="1">
      <alignment vertical="center"/>
    </xf>
    <xf numFmtId="0" fontId="66" fillId="0" borderId="0" xfId="0" applyFont="1" applyAlignment="1">
      <alignment horizontal="left" vertical="center"/>
    </xf>
    <xf numFmtId="0" fontId="66" fillId="0" borderId="0" xfId="0" applyFont="1" applyAlignment="1">
      <alignment horizontal="right" vertical="center"/>
    </xf>
    <xf numFmtId="0" fontId="66" fillId="0" borderId="0" xfId="0" applyFont="1" applyAlignment="1">
      <alignment horizontal="center" vertical="center"/>
    </xf>
    <xf numFmtId="0" fontId="67" fillId="0" borderId="0" xfId="0" applyFont="1" applyAlignment="1">
      <alignment vertical="center"/>
    </xf>
    <xf numFmtId="0" fontId="64" fillId="0" borderId="29" xfId="0" applyFont="1" applyBorder="1" applyAlignment="1">
      <alignment horizontal="left" vertical="center" wrapText="1"/>
    </xf>
    <xf numFmtId="0" fontId="64" fillId="0" borderId="32" xfId="0" applyFont="1" applyBorder="1" applyAlignment="1">
      <alignment horizontal="left" vertical="center" wrapText="1"/>
    </xf>
    <xf numFmtId="0" fontId="60" fillId="0" borderId="0" xfId="0" applyFont="1" applyAlignment="1">
      <alignment vertical="center" wrapText="1"/>
    </xf>
    <xf numFmtId="0" fontId="61" fillId="0" borderId="0" xfId="0" applyFont="1" applyAlignment="1">
      <alignment vertical="center" wrapText="1"/>
    </xf>
    <xf numFmtId="0" fontId="68" fillId="0" borderId="0" xfId="0" applyFont="1" applyAlignment="1">
      <alignment vertical="center"/>
    </xf>
    <xf numFmtId="0" fontId="61" fillId="0" borderId="0" xfId="0" applyFont="1" applyAlignment="1">
      <alignment horizontal="right" vertical="center"/>
    </xf>
    <xf numFmtId="0" fontId="69" fillId="0" borderId="0" xfId="0" applyFont="1" applyAlignment="1">
      <alignment horizontal="center" vertical="center"/>
    </xf>
    <xf numFmtId="0" fontId="61" fillId="3" borderId="1" xfId="0" applyFont="1" applyFill="1" applyBorder="1" applyAlignment="1">
      <alignment horizontal="center" vertical="center" wrapText="1"/>
    </xf>
    <xf numFmtId="0" fontId="66" fillId="0" borderId="0" xfId="0" applyFont="1" applyAlignment="1">
      <alignment vertical="center"/>
    </xf>
    <xf numFmtId="0" fontId="59" fillId="0" borderId="1" xfId="0" applyFont="1" applyBorder="1"/>
    <xf numFmtId="0" fontId="59" fillId="0" borderId="1" xfId="0" applyFont="1" applyBorder="1" applyAlignment="1">
      <alignment vertical="center"/>
    </xf>
    <xf numFmtId="0" fontId="70" fillId="0" borderId="1" xfId="0" applyFont="1" applyBorder="1" applyAlignment="1">
      <alignment horizontal="left" vertical="top"/>
    </xf>
    <xf numFmtId="0" fontId="61" fillId="0" borderId="1" xfId="0" applyFont="1" applyBorder="1" applyAlignment="1">
      <alignment horizontal="center" vertical="center" wrapText="1"/>
    </xf>
    <xf numFmtId="0" fontId="71" fillId="20" borderId="1" xfId="0" applyFont="1" applyFill="1" applyBorder="1" applyAlignment="1">
      <alignment horizontal="center" vertical="center" wrapText="1"/>
    </xf>
    <xf numFmtId="0" fontId="72" fillId="5" borderId="1" xfId="0" applyFont="1" applyFill="1" applyBorder="1" applyAlignment="1">
      <alignment vertical="center" wrapText="1"/>
    </xf>
    <xf numFmtId="0" fontId="72" fillId="0" borderId="1" xfId="0" applyFont="1" applyBorder="1" applyAlignment="1">
      <alignment vertical="center" wrapText="1"/>
    </xf>
    <xf numFmtId="0" fontId="70" fillId="0" borderId="1" xfId="0" applyFont="1" applyBorder="1" applyAlignment="1">
      <alignment horizontal="right" vertical="center" wrapText="1"/>
    </xf>
    <xf numFmtId="0" fontId="74" fillId="0" borderId="1" xfId="0" applyFont="1" applyBorder="1" applyAlignment="1">
      <alignment vertical="center" wrapText="1"/>
    </xf>
    <xf numFmtId="0" fontId="73" fillId="0" borderId="0" xfId="0" applyFont="1" applyAlignment="1">
      <alignment vertical="center"/>
    </xf>
    <xf numFmtId="0" fontId="70" fillId="0" borderId="1" xfId="0" applyFont="1" applyBorder="1" applyAlignment="1">
      <alignment vertical="center"/>
    </xf>
    <xf numFmtId="0" fontId="74" fillId="0" borderId="1" xfId="0" applyFont="1" applyBorder="1" applyAlignment="1">
      <alignment horizontal="left" vertical="center" wrapText="1"/>
    </xf>
    <xf numFmtId="0" fontId="76" fillId="2" borderId="0" xfId="0" applyFont="1" applyFill="1" applyAlignment="1">
      <alignment vertical="center"/>
    </xf>
    <xf numFmtId="0" fontId="71" fillId="34" borderId="1" xfId="0" applyFont="1" applyFill="1" applyBorder="1" applyAlignment="1">
      <alignment horizontal="center" vertical="center" wrapText="1"/>
    </xf>
    <xf numFmtId="0" fontId="61" fillId="0" borderId="29" xfId="0" applyFont="1" applyBorder="1" applyAlignment="1">
      <alignment horizontal="center" vertical="center" wrapText="1"/>
    </xf>
    <xf numFmtId="0" fontId="76" fillId="0" borderId="0" xfId="0" applyFont="1" applyAlignment="1">
      <alignment vertical="center"/>
    </xf>
    <xf numFmtId="0" fontId="61" fillId="0" borderId="0" xfId="0" applyFont="1" applyAlignment="1">
      <alignment horizontal="center" vertical="center" wrapText="1"/>
    </xf>
    <xf numFmtId="0" fontId="77" fillId="0" borderId="0" xfId="0" applyFont="1" applyAlignment="1">
      <alignment vertical="center"/>
    </xf>
    <xf numFmtId="0" fontId="66" fillId="3" borderId="1" xfId="0" applyFont="1" applyFill="1" applyBorder="1" applyAlignment="1">
      <alignment horizontal="center" vertical="center" wrapText="1"/>
    </xf>
    <xf numFmtId="0" fontId="59" fillId="0" borderId="2" xfId="0" applyFont="1" applyBorder="1" applyAlignment="1">
      <alignment horizontal="left" vertical="center" wrapText="1"/>
    </xf>
    <xf numFmtId="0" fontId="78" fillId="34" borderId="1" xfId="0" applyFont="1" applyFill="1" applyBorder="1" applyAlignment="1">
      <alignment horizontal="center" vertical="center"/>
    </xf>
    <xf numFmtId="0" fontId="70" fillId="0" borderId="1" xfId="0" applyFont="1" applyBorder="1" applyAlignment="1">
      <alignment horizontal="left" vertical="top" wrapText="1"/>
    </xf>
    <xf numFmtId="0" fontId="59" fillId="0" borderId="29" xfId="0" applyFont="1" applyBorder="1" applyAlignment="1">
      <alignment wrapText="1"/>
    </xf>
    <xf numFmtId="0" fontId="79" fillId="0" borderId="30" xfId="0" applyFont="1" applyBorder="1" applyAlignment="1">
      <alignment horizontal="left"/>
    </xf>
    <xf numFmtId="0" fontId="80" fillId="0" borderId="30" xfId="0" applyFont="1" applyBorder="1" applyAlignment="1">
      <alignment horizontal="left" vertical="center" wrapText="1"/>
    </xf>
    <xf numFmtId="0" fontId="37" fillId="0" borderId="30" xfId="0" applyFont="1" applyBorder="1"/>
    <xf numFmtId="0" fontId="80" fillId="0" borderId="30" xfId="0" applyFont="1" applyBorder="1" applyAlignment="1">
      <alignment wrapText="1"/>
    </xf>
    <xf numFmtId="0" fontId="80" fillId="0" borderId="30" xfId="0" applyFont="1" applyBorder="1" applyAlignment="1">
      <alignment vertical="center" wrapText="1"/>
    </xf>
    <xf numFmtId="0" fontId="59" fillId="0" borderId="31" xfId="0" applyFont="1" applyBorder="1" applyAlignment="1">
      <alignment vertical="center"/>
    </xf>
    <xf numFmtId="0" fontId="61" fillId="0" borderId="36" xfId="0" applyFont="1" applyBorder="1" applyAlignment="1">
      <alignment wrapText="1"/>
    </xf>
    <xf numFmtId="0" fontId="75" fillId="0" borderId="29" xfId="0" applyFont="1" applyBorder="1" applyAlignment="1">
      <alignment vertical="center"/>
    </xf>
    <xf numFmtId="0" fontId="75" fillId="0" borderId="31" xfId="0" applyFont="1" applyBorder="1" applyAlignment="1">
      <alignment horizontal="left" vertical="center" wrapText="1"/>
    </xf>
    <xf numFmtId="0" fontId="75" fillId="0" borderId="29" xfId="0" applyFont="1" applyBorder="1" applyAlignment="1">
      <alignment horizontal="left" vertical="center" wrapText="1"/>
    </xf>
    <xf numFmtId="0" fontId="75" fillId="0" borderId="30" xfId="0" applyFont="1" applyBorder="1" applyAlignment="1">
      <alignment horizontal="left" vertical="center" wrapText="1"/>
    </xf>
    <xf numFmtId="0" fontId="31" fillId="0" borderId="31" xfId="0" applyFont="1" applyBorder="1"/>
    <xf numFmtId="0" fontId="75" fillId="0" borderId="31" xfId="0" applyFont="1" applyBorder="1" applyAlignment="1">
      <alignment vertical="center" wrapText="1"/>
    </xf>
    <xf numFmtId="0" fontId="61" fillId="0" borderId="68" xfId="0" applyFont="1" applyBorder="1" applyAlignment="1">
      <alignment vertical="center"/>
    </xf>
    <xf numFmtId="0" fontId="61" fillId="0" borderId="0" xfId="0" applyFont="1" applyAlignment="1">
      <alignment vertical="center"/>
    </xf>
    <xf numFmtId="0" fontId="59" fillId="0" borderId="36" xfId="0" applyFont="1" applyBorder="1" applyAlignment="1">
      <alignment wrapText="1"/>
    </xf>
    <xf numFmtId="0" fontId="80" fillId="0" borderId="36" xfId="0" applyFont="1" applyBorder="1" applyAlignment="1">
      <alignment vertical="center"/>
    </xf>
    <xf numFmtId="0" fontId="80" fillId="0" borderId="68" xfId="0" applyFont="1" applyBorder="1" applyAlignment="1">
      <alignment horizontal="left" vertical="center" wrapText="1"/>
    </xf>
    <xf numFmtId="0" fontId="80" fillId="0" borderId="36" xfId="0" applyFont="1" applyBorder="1" applyAlignment="1">
      <alignment horizontal="left" vertical="center" wrapText="1"/>
    </xf>
    <xf numFmtId="0" fontId="80" fillId="0" borderId="0" xfId="0" applyFont="1" applyAlignment="1">
      <alignment horizontal="left" vertical="center" wrapText="1"/>
    </xf>
    <xf numFmtId="0" fontId="37" fillId="0" borderId="36" xfId="0" applyFont="1" applyBorder="1"/>
    <xf numFmtId="0" fontId="37" fillId="0" borderId="68" xfId="0" applyFont="1" applyBorder="1"/>
    <xf numFmtId="0" fontId="80" fillId="0" borderId="0" xfId="0" applyFont="1" applyAlignment="1">
      <alignment wrapText="1"/>
    </xf>
    <xf numFmtId="0" fontId="80" fillId="0" borderId="68" xfId="0" applyFont="1" applyBorder="1" applyAlignment="1">
      <alignment vertical="center" wrapText="1"/>
    </xf>
    <xf numFmtId="0" fontId="59" fillId="0" borderId="68" xfId="0" applyFont="1" applyBorder="1" applyAlignment="1">
      <alignment vertical="center"/>
    </xf>
    <xf numFmtId="0" fontId="80" fillId="0" borderId="36" xfId="0" applyFont="1" applyBorder="1" applyAlignment="1">
      <alignment horizontal="left" vertical="center"/>
    </xf>
    <xf numFmtId="0" fontId="75" fillId="0" borderId="36" xfId="0" applyFont="1" applyBorder="1" applyAlignment="1">
      <alignment horizontal="left" vertical="center"/>
    </xf>
    <xf numFmtId="0" fontId="80" fillId="0" borderId="36" xfId="0" applyFont="1" applyBorder="1" applyAlignment="1">
      <alignment horizontal="center" vertical="center"/>
    </xf>
    <xf numFmtId="0" fontId="80" fillId="0" borderId="36" xfId="0" applyFont="1" applyBorder="1" applyAlignment="1">
      <alignment wrapText="1"/>
    </xf>
    <xf numFmtId="0" fontId="80" fillId="0" borderId="32" xfId="0" applyFont="1" applyBorder="1" applyAlignment="1">
      <alignment horizontal="center" vertical="center"/>
    </xf>
    <xf numFmtId="0" fontId="80" fillId="0" borderId="34" xfId="0" applyFont="1" applyBorder="1" applyAlignment="1">
      <alignment horizontal="left" vertical="center" wrapText="1"/>
    </xf>
    <xf numFmtId="0" fontId="80" fillId="0" borderId="32" xfId="0" applyFont="1" applyBorder="1" applyAlignment="1">
      <alignment horizontal="left" vertical="center" wrapText="1"/>
    </xf>
    <xf numFmtId="0" fontId="80" fillId="0" borderId="33" xfId="0" applyFont="1" applyBorder="1" applyAlignment="1">
      <alignment horizontal="left" vertical="center" wrapText="1"/>
    </xf>
    <xf numFmtId="0" fontId="80" fillId="0" borderId="32" xfId="0" applyFont="1" applyBorder="1" applyAlignment="1">
      <alignment wrapText="1"/>
    </xf>
    <xf numFmtId="0" fontId="37" fillId="0" borderId="34" xfId="0" applyFont="1" applyBorder="1"/>
    <xf numFmtId="0" fontId="80" fillId="0" borderId="33" xfId="0" applyFont="1" applyBorder="1" applyAlignment="1">
      <alignment wrapText="1"/>
    </xf>
    <xf numFmtId="0" fontId="80" fillId="0" borderId="34" xfId="0" applyFont="1" applyBorder="1" applyAlignment="1">
      <alignment vertical="center" wrapText="1"/>
    </xf>
    <xf numFmtId="0" fontId="59" fillId="0" borderId="36" xfId="0" applyFont="1" applyBorder="1"/>
    <xf numFmtId="0" fontId="80" fillId="0" borderId="0" xfId="0" applyFont="1" applyAlignment="1">
      <alignment vertical="center"/>
    </xf>
    <xf numFmtId="0" fontId="80" fillId="0" borderId="0" xfId="0" applyFont="1" applyAlignment="1">
      <alignment vertical="center" wrapText="1"/>
    </xf>
    <xf numFmtId="0" fontId="59" fillId="0" borderId="32" xfId="0" applyFont="1" applyBorder="1"/>
    <xf numFmtId="0" fontId="80" fillId="0" borderId="33" xfId="0" applyFont="1" applyBorder="1" applyAlignment="1">
      <alignment vertical="center"/>
    </xf>
    <xf numFmtId="0" fontId="80" fillId="0" borderId="33" xfId="0" applyFont="1" applyBorder="1" applyAlignment="1">
      <alignment vertical="center" wrapText="1"/>
    </xf>
    <xf numFmtId="0" fontId="59" fillId="0" borderId="34" xfId="0" applyFont="1" applyBorder="1" applyAlignment="1">
      <alignment vertical="center"/>
    </xf>
    <xf numFmtId="0" fontId="81" fillId="0" borderId="0" xfId="0" applyFont="1" applyAlignment="1">
      <alignment vertical="center"/>
    </xf>
    <xf numFmtId="0" fontId="81" fillId="0" borderId="0" xfId="0" applyFont="1" applyAlignment="1">
      <alignment vertical="center" wrapText="1"/>
    </xf>
    <xf numFmtId="0" fontId="62" fillId="0" borderId="0" xfId="0" applyFont="1" applyAlignment="1">
      <alignment vertical="center"/>
    </xf>
    <xf numFmtId="0" fontId="64" fillId="0" borderId="30" xfId="0" applyFont="1" applyBorder="1" applyAlignment="1">
      <alignment horizontal="left"/>
    </xf>
    <xf numFmtId="0" fontId="80" fillId="0" borderId="30" xfId="0" applyFont="1" applyBorder="1" applyAlignment="1">
      <alignment horizontal="left" vertical="center"/>
    </xf>
    <xf numFmtId="0" fontId="80" fillId="0" borderId="31" xfId="0" applyFont="1" applyBorder="1" applyAlignment="1">
      <alignment horizontal="left" vertical="center" wrapText="1"/>
    </xf>
    <xf numFmtId="0" fontId="37" fillId="0" borderId="31" xfId="0" applyFont="1" applyBorder="1"/>
    <xf numFmtId="0" fontId="80" fillId="0" borderId="29" xfId="0" applyFont="1" applyBorder="1" applyAlignment="1">
      <alignment horizontal="left" vertical="center" wrapText="1"/>
    </xf>
    <xf numFmtId="0" fontId="80" fillId="0" borderId="31" xfId="0" applyFont="1" applyBorder="1" applyAlignment="1">
      <alignment horizontal="center" vertical="center" wrapText="1"/>
    </xf>
    <xf numFmtId="0" fontId="64" fillId="0" borderId="36" xfId="0" applyFont="1" applyBorder="1" applyAlignment="1">
      <alignment horizontal="left" vertical="center" wrapText="1"/>
    </xf>
    <xf numFmtId="0" fontId="75" fillId="0" borderId="36" xfId="0" applyFont="1" applyBorder="1" applyAlignment="1">
      <alignment horizontal="left" vertical="center" wrapText="1"/>
    </xf>
    <xf numFmtId="0" fontId="75" fillId="0" borderId="32" xfId="0" applyFont="1" applyBorder="1" applyAlignment="1">
      <alignment horizontal="left" vertical="center" wrapText="1"/>
    </xf>
    <xf numFmtId="0" fontId="62" fillId="0" borderId="36" xfId="0" applyFont="1" applyBorder="1" applyAlignment="1">
      <alignment wrapText="1"/>
    </xf>
    <xf numFmtId="0" fontId="82" fillId="0" borderId="0" xfId="0" applyFont="1" applyAlignment="1">
      <alignment horizontal="left" vertical="center" wrapText="1"/>
    </xf>
    <xf numFmtId="0" fontId="81" fillId="0" borderId="0" xfId="0" applyFont="1" applyAlignment="1">
      <alignment horizontal="left" vertical="center" wrapText="1"/>
    </xf>
    <xf numFmtId="0" fontId="81" fillId="0" borderId="0" xfId="0" applyFont="1" applyAlignment="1">
      <alignment wrapText="1"/>
    </xf>
    <xf numFmtId="0" fontId="83" fillId="0" borderId="0" xfId="0" applyFont="1"/>
    <xf numFmtId="0" fontId="62" fillId="0" borderId="68" xfId="0" applyFont="1" applyBorder="1" applyAlignment="1">
      <alignment vertical="center"/>
    </xf>
    <xf numFmtId="0" fontId="84" fillId="0" borderId="0" xfId="0" applyFont="1" applyAlignment="1">
      <alignment horizontal="center" vertical="center"/>
    </xf>
    <xf numFmtId="0" fontId="75" fillId="0" borderId="0" xfId="0" applyFont="1" applyAlignment="1">
      <alignment vertical="center"/>
    </xf>
    <xf numFmtId="0" fontId="31" fillId="0" borderId="0" xfId="0" applyFont="1"/>
    <xf numFmtId="0" fontId="75" fillId="0" borderId="0" xfId="0" applyFont="1" applyAlignment="1">
      <alignment horizontal="left" vertical="center" wrapText="1"/>
    </xf>
    <xf numFmtId="0" fontId="75" fillId="0" borderId="0" xfId="0" applyFont="1" applyAlignment="1">
      <alignment vertical="center" wrapText="1"/>
    </xf>
    <xf numFmtId="0" fontId="37" fillId="0" borderId="0" xfId="0" applyFont="1"/>
    <xf numFmtId="0" fontId="75" fillId="0" borderId="0" xfId="0" applyFont="1" applyAlignment="1">
      <alignment horizontal="left" vertical="center"/>
    </xf>
    <xf numFmtId="0" fontId="80" fillId="0" borderId="0" xfId="0" applyFont="1" applyAlignment="1">
      <alignment horizontal="center" vertical="center" wrapText="1"/>
    </xf>
    <xf numFmtId="0" fontId="85" fillId="0" borderId="36" xfId="0" applyFont="1" applyBorder="1" applyAlignment="1">
      <alignment horizontal="left" vertical="center" wrapText="1"/>
    </xf>
    <xf numFmtId="0" fontId="76" fillId="0" borderId="68" xfId="0" applyFont="1" applyBorder="1" applyAlignment="1">
      <alignment horizontal="left" vertical="center" wrapText="1"/>
    </xf>
    <xf numFmtId="0" fontId="86" fillId="0" borderId="36" xfId="0" applyFont="1" applyBorder="1" applyAlignment="1">
      <alignment horizontal="left" vertical="center" wrapText="1"/>
    </xf>
    <xf numFmtId="0" fontId="76" fillId="0" borderId="0" xfId="0" applyFont="1" applyAlignment="1">
      <alignment horizontal="left" vertical="center" wrapText="1"/>
    </xf>
    <xf numFmtId="0" fontId="76" fillId="0" borderId="0" xfId="0" applyFont="1" applyAlignment="1">
      <alignment wrapText="1"/>
    </xf>
    <xf numFmtId="0" fontId="87" fillId="0" borderId="0" xfId="0" applyFont="1"/>
    <xf numFmtId="0" fontId="85" fillId="0" borderId="32" xfId="0" applyFont="1" applyBorder="1" applyAlignment="1">
      <alignment horizontal="left" vertical="center" wrapText="1"/>
    </xf>
    <xf numFmtId="0" fontId="76" fillId="0" borderId="34" xfId="0" applyFont="1" applyBorder="1" applyAlignment="1">
      <alignment horizontal="left" vertical="center" wrapText="1"/>
    </xf>
    <xf numFmtId="0" fontId="86" fillId="0" borderId="32" xfId="0" applyFont="1" applyBorder="1" applyAlignment="1">
      <alignment horizontal="left" vertical="center" wrapText="1"/>
    </xf>
    <xf numFmtId="0" fontId="76" fillId="0" borderId="33" xfId="0" applyFont="1" applyBorder="1" applyAlignment="1">
      <alignment horizontal="left" vertical="center" wrapText="1"/>
    </xf>
    <xf numFmtId="0" fontId="62" fillId="0" borderId="32" xfId="0" applyFont="1" applyBorder="1"/>
    <xf numFmtId="0" fontId="62" fillId="0" borderId="33" xfId="0" applyFont="1" applyBorder="1" applyAlignment="1">
      <alignment vertical="center"/>
    </xf>
    <xf numFmtId="0" fontId="62" fillId="0" borderId="33" xfId="0" applyFont="1" applyBorder="1" applyAlignment="1">
      <alignment vertical="center" wrapText="1"/>
    </xf>
    <xf numFmtId="0" fontId="62" fillId="0" borderId="34" xfId="0" applyFont="1" applyBorder="1" applyAlignment="1">
      <alignment vertical="center"/>
    </xf>
    <xf numFmtId="0" fontId="88" fillId="0" borderId="0" xfId="0" applyFont="1" applyAlignment="1">
      <alignment vertical="top"/>
    </xf>
    <xf numFmtId="0" fontId="59" fillId="0" borderId="0" xfId="0" applyFont="1" applyAlignment="1">
      <alignment vertical="top"/>
    </xf>
    <xf numFmtId="0" fontId="71" fillId="0" borderId="0" xfId="0" applyFont="1" applyAlignment="1">
      <alignment vertical="top"/>
    </xf>
    <xf numFmtId="0" fontId="89" fillId="0" borderId="0" xfId="0" applyFont="1" applyAlignment="1">
      <alignment horizontal="center" vertical="top"/>
    </xf>
    <xf numFmtId="0" fontId="88" fillId="0" borderId="0" xfId="0" applyFont="1" applyAlignment="1">
      <alignment vertical="top" wrapText="1"/>
    </xf>
    <xf numFmtId="0" fontId="88" fillId="0" borderId="0" xfId="0" applyFont="1" applyAlignment="1">
      <alignment horizontal="center" vertical="top" wrapText="1"/>
    </xf>
    <xf numFmtId="10" fontId="90" fillId="0" borderId="0" xfId="2" applyNumberFormat="1" applyFont="1" applyAlignment="1">
      <alignment horizontal="center" vertical="top" wrapText="1"/>
    </xf>
    <xf numFmtId="0" fontId="63" fillId="0" borderId="0" xfId="0" applyFont="1" applyAlignment="1">
      <alignment horizontal="center" vertical="top"/>
    </xf>
    <xf numFmtId="0" fontId="91" fillId="0" borderId="0" xfId="0" applyFont="1" applyAlignment="1">
      <alignment horizontal="left" vertical="top"/>
    </xf>
    <xf numFmtId="0" fontId="92" fillId="0" borderId="0" xfId="0" applyFont="1" applyAlignment="1">
      <alignment horizontal="left" vertical="top"/>
    </xf>
    <xf numFmtId="0" fontId="64" fillId="0" borderId="0" xfId="0" applyFont="1" applyAlignment="1">
      <alignment horizontal="right" vertical="center"/>
    </xf>
    <xf numFmtId="0" fontId="59" fillId="0" borderId="0" xfId="0" applyFont="1" applyAlignment="1">
      <alignment vertical="top" wrapText="1"/>
    </xf>
    <xf numFmtId="10" fontId="61" fillId="0" borderId="1" xfId="2" applyNumberFormat="1" applyFont="1" applyBorder="1" applyAlignment="1">
      <alignment horizontal="center" vertical="center" wrapText="1"/>
    </xf>
    <xf numFmtId="10" fontId="61" fillId="0" borderId="0" xfId="2" applyNumberFormat="1" applyFont="1" applyAlignment="1">
      <alignment horizontal="center" vertical="top" wrapText="1"/>
    </xf>
    <xf numFmtId="0" fontId="93" fillId="0" borderId="1" xfId="0" applyFont="1" applyBorder="1" applyAlignment="1">
      <alignment horizontal="center" vertical="center" wrapText="1"/>
    </xf>
    <xf numFmtId="14" fontId="61" fillId="5" borderId="1" xfId="0" applyNumberFormat="1" applyFont="1" applyFill="1" applyBorder="1" applyAlignment="1">
      <alignment horizontal="center" vertical="center" wrapText="1"/>
    </xf>
    <xf numFmtId="10" fontId="94" fillId="0" borderId="0" xfId="2" applyNumberFormat="1" applyFont="1" applyAlignment="1">
      <alignment horizontal="center" vertical="center" wrapText="1"/>
    </xf>
    <xf numFmtId="10" fontId="94" fillId="0" borderId="0" xfId="0" applyNumberFormat="1" applyFont="1" applyAlignment="1">
      <alignment horizontal="center" vertical="center" wrapText="1"/>
    </xf>
    <xf numFmtId="0" fontId="70" fillId="5" borderId="1" xfId="0" applyFont="1" applyFill="1" applyBorder="1" applyAlignment="1">
      <alignment horizontal="center" vertical="top"/>
    </xf>
    <xf numFmtId="0" fontId="70" fillId="5" borderId="2" xfId="0" applyFont="1" applyFill="1" applyBorder="1" applyAlignment="1">
      <alignment horizontal="center" vertical="top"/>
    </xf>
    <xf numFmtId="10" fontId="70" fillId="5" borderId="2" xfId="0" applyNumberFormat="1" applyFont="1" applyFill="1" applyBorder="1" applyAlignment="1">
      <alignment horizontal="center" vertical="top"/>
    </xf>
    <xf numFmtId="164" fontId="95" fillId="5" borderId="1" xfId="0" applyNumberFormat="1" applyFont="1" applyFill="1" applyBorder="1" applyAlignment="1">
      <alignment horizontal="center" vertical="top" wrapText="1"/>
    </xf>
    <xf numFmtId="10" fontId="61" fillId="5" borderId="1" xfId="2" applyNumberFormat="1" applyFont="1" applyFill="1" applyBorder="1" applyAlignment="1">
      <alignment horizontal="center" vertical="top" wrapText="1"/>
    </xf>
    <xf numFmtId="10" fontId="94" fillId="0" borderId="0" xfId="2" applyNumberFormat="1" applyFont="1" applyAlignment="1">
      <alignment horizontal="center" vertical="top" wrapText="1"/>
    </xf>
    <xf numFmtId="10" fontId="76" fillId="0" borderId="0" xfId="0" applyNumberFormat="1" applyFont="1" applyAlignment="1">
      <alignment horizontal="left" vertical="top"/>
    </xf>
    <xf numFmtId="10" fontId="94" fillId="0" borderId="0" xfId="0" applyNumberFormat="1" applyFont="1" applyAlignment="1">
      <alignment horizontal="center" vertical="top"/>
    </xf>
    <xf numFmtId="10" fontId="73" fillId="0" borderId="1" xfId="0" applyNumberFormat="1" applyFont="1" applyBorder="1" applyAlignment="1">
      <alignment horizontal="center" vertical="top"/>
    </xf>
    <xf numFmtId="10" fontId="73" fillId="0" borderId="2" xfId="0" applyNumberFormat="1" applyFont="1" applyBorder="1" applyAlignment="1">
      <alignment horizontal="center" vertical="top"/>
    </xf>
    <xf numFmtId="0" fontId="73" fillId="0" borderId="2" xfId="0" applyFont="1" applyBorder="1" applyAlignment="1">
      <alignment horizontal="center" vertical="top"/>
    </xf>
    <xf numFmtId="0" fontId="96" fillId="0" borderId="1" xfId="0" applyFont="1" applyBorder="1" applyAlignment="1">
      <alignment horizontal="center" vertical="top" wrapText="1"/>
    </xf>
    <xf numFmtId="10" fontId="97" fillId="0" borderId="1" xfId="2" applyNumberFormat="1" applyFont="1" applyBorder="1" applyAlignment="1">
      <alignment horizontal="center" vertical="top" wrapText="1"/>
    </xf>
    <xf numFmtId="10" fontId="97" fillId="0" borderId="0" xfId="2" applyNumberFormat="1" applyFont="1" applyAlignment="1">
      <alignment horizontal="center" vertical="top" wrapText="1"/>
    </xf>
    <xf numFmtId="0" fontId="71" fillId="0" borderId="0" xfId="0" applyFont="1"/>
    <xf numFmtId="0" fontId="78" fillId="5" borderId="1" xfId="0" applyFont="1" applyFill="1" applyBorder="1" applyAlignment="1">
      <alignment horizontal="center" vertical="top" wrapText="1"/>
    </xf>
    <xf numFmtId="10" fontId="73" fillId="0" borderId="1" xfId="0" applyNumberFormat="1" applyFont="1" applyBorder="1" applyAlignment="1">
      <alignment horizontal="center" vertical="top" wrapText="1"/>
    </xf>
    <xf numFmtId="0" fontId="71" fillId="0" borderId="0" xfId="0" applyFont="1" applyAlignment="1">
      <alignment vertical="top" wrapText="1"/>
    </xf>
    <xf numFmtId="10" fontId="71" fillId="0" borderId="0" xfId="0" applyNumberFormat="1" applyFont="1" applyAlignment="1">
      <alignment vertical="top"/>
    </xf>
    <xf numFmtId="0" fontId="71" fillId="9" borderId="0" xfId="0" applyFont="1" applyFill="1" applyAlignment="1">
      <alignment vertical="top"/>
    </xf>
    <xf numFmtId="10" fontId="70" fillId="5" borderId="1" xfId="0" applyNumberFormat="1" applyFont="1" applyFill="1" applyBorder="1" applyAlignment="1">
      <alignment horizontal="center" vertical="top"/>
    </xf>
    <xf numFmtId="43" fontId="95" fillId="5" borderId="1" xfId="1" applyFont="1" applyFill="1" applyBorder="1" applyAlignment="1">
      <alignment horizontal="center" vertical="top" wrapText="1"/>
    </xf>
    <xf numFmtId="0" fontId="59" fillId="9" borderId="0" xfId="0" applyFont="1" applyFill="1" applyAlignment="1">
      <alignment vertical="top"/>
    </xf>
    <xf numFmtId="10" fontId="59" fillId="0" borderId="0" xfId="0" applyNumberFormat="1" applyFont="1" applyAlignment="1">
      <alignment vertical="top"/>
    </xf>
    <xf numFmtId="0" fontId="73" fillId="0" borderId="1" xfId="0" applyFont="1" applyBorder="1" applyAlignment="1">
      <alignment horizontal="center" vertical="top"/>
    </xf>
    <xf numFmtId="0" fontId="71" fillId="0" borderId="1" xfId="0" applyFont="1" applyBorder="1" applyAlignment="1">
      <alignment horizontal="center" vertical="top" wrapText="1"/>
    </xf>
    <xf numFmtId="43" fontId="95" fillId="5" borderId="1" xfId="0" applyNumberFormat="1" applyFont="1" applyFill="1" applyBorder="1" applyAlignment="1">
      <alignment horizontal="center" vertical="top" wrapText="1"/>
    </xf>
    <xf numFmtId="10" fontId="59" fillId="0" borderId="0" xfId="2" applyNumberFormat="1" applyFont="1" applyAlignment="1">
      <alignment horizontal="left" vertical="top"/>
    </xf>
    <xf numFmtId="43" fontId="98" fillId="0" borderId="1" xfId="0" applyNumberFormat="1" applyFont="1" applyBorder="1" applyAlignment="1">
      <alignment horizontal="center" vertical="top" wrapText="1"/>
    </xf>
    <xf numFmtId="10" fontId="97" fillId="0" borderId="1" xfId="2" applyNumberFormat="1" applyFont="1" applyBorder="1" applyAlignment="1">
      <alignment horizontal="center" vertical="top"/>
    </xf>
    <xf numFmtId="9" fontId="71" fillId="0" borderId="0" xfId="0" applyNumberFormat="1" applyFont="1" applyAlignment="1">
      <alignment vertical="top"/>
    </xf>
    <xf numFmtId="0" fontId="93" fillId="0" borderId="1" xfId="0" applyFont="1" applyBorder="1" applyAlignment="1">
      <alignment horizontal="center" vertical="top"/>
    </xf>
    <xf numFmtId="0" fontId="93" fillId="0" borderId="2" xfId="0" applyFont="1" applyBorder="1" applyAlignment="1">
      <alignment horizontal="center" vertical="top"/>
    </xf>
    <xf numFmtId="0" fontId="70" fillId="0" borderId="2" xfId="0" applyFont="1" applyBorder="1" applyAlignment="1">
      <alignment horizontal="center" vertical="top"/>
    </xf>
    <xf numFmtId="0" fontId="78" fillId="0" borderId="1" xfId="0" applyFont="1" applyBorder="1" applyAlignment="1">
      <alignment horizontal="center" vertical="top" wrapText="1"/>
    </xf>
    <xf numFmtId="10" fontId="61" fillId="0" borderId="1" xfId="2" applyNumberFormat="1" applyFont="1" applyBorder="1" applyAlignment="1">
      <alignment horizontal="center" vertical="top" wrapText="1"/>
    </xf>
    <xf numFmtId="9" fontId="59" fillId="0" borderId="0" xfId="0" applyNumberFormat="1" applyFont="1" applyAlignment="1">
      <alignment vertical="top"/>
    </xf>
    <xf numFmtId="17" fontId="59" fillId="5" borderId="1" xfId="0" applyNumberFormat="1" applyFont="1" applyFill="1" applyBorder="1" applyAlignment="1">
      <alignment horizontal="center" vertical="top" wrapText="1"/>
    </xf>
    <xf numFmtId="10" fontId="59" fillId="5" borderId="1" xfId="0" applyNumberFormat="1" applyFont="1" applyFill="1" applyBorder="1" applyAlignment="1">
      <alignment horizontal="center" vertical="top" wrapText="1"/>
    </xf>
    <xf numFmtId="10" fontId="78" fillId="5" borderId="1" xfId="0" applyNumberFormat="1" applyFont="1" applyFill="1" applyBorder="1" applyAlignment="1">
      <alignment horizontal="center" vertical="top" wrapText="1"/>
    </xf>
    <xf numFmtId="10" fontId="99" fillId="5" borderId="1" xfId="0" applyNumberFormat="1" applyFont="1" applyFill="1" applyBorder="1" applyAlignment="1">
      <alignment horizontal="center" vertical="top"/>
    </xf>
    <xf numFmtId="10" fontId="99" fillId="5" borderId="2" xfId="0" applyNumberFormat="1" applyFont="1" applyFill="1" applyBorder="1" applyAlignment="1">
      <alignment horizontal="center" vertical="top"/>
    </xf>
    <xf numFmtId="10" fontId="80" fillId="5" borderId="1" xfId="0" applyNumberFormat="1" applyFont="1" applyFill="1" applyBorder="1" applyAlignment="1">
      <alignment horizontal="center" vertical="top" wrapText="1"/>
    </xf>
    <xf numFmtId="10" fontId="75" fillId="5" borderId="1" xfId="2" applyNumberFormat="1" applyFont="1" applyFill="1" applyBorder="1" applyAlignment="1">
      <alignment horizontal="center" vertical="top" wrapText="1"/>
    </xf>
    <xf numFmtId="0" fontId="92" fillId="0" borderId="0" xfId="0" applyFont="1" applyAlignment="1">
      <alignment horizontal="center" vertical="top"/>
    </xf>
    <xf numFmtId="0" fontId="75" fillId="0" borderId="17" xfId="0" applyFont="1" applyBorder="1" applyAlignment="1">
      <alignment horizontal="center" vertical="center" wrapText="1"/>
    </xf>
    <xf numFmtId="10" fontId="75" fillId="0" borderId="17" xfId="2" applyNumberFormat="1" applyFont="1" applyBorder="1" applyAlignment="1">
      <alignment horizontal="center" vertical="center" wrapText="1"/>
    </xf>
    <xf numFmtId="0" fontId="92" fillId="0" borderId="0" xfId="0" applyFont="1" applyAlignment="1">
      <alignment horizontal="left" vertical="top" wrapText="1"/>
    </xf>
    <xf numFmtId="0" fontId="100" fillId="0" borderId="0" xfId="0" applyFont="1" applyAlignment="1">
      <alignment vertical="top"/>
    </xf>
    <xf numFmtId="0" fontId="75" fillId="0" borderId="0" xfId="0" applyFont="1" applyAlignment="1">
      <alignment horizontal="center" vertical="center" wrapText="1"/>
    </xf>
    <xf numFmtId="10" fontId="75" fillId="0" borderId="0" xfId="2" applyNumberFormat="1" applyFont="1" applyAlignment="1">
      <alignment horizontal="center" vertical="center" wrapText="1"/>
    </xf>
    <xf numFmtId="0" fontId="101" fillId="0" borderId="0" xfId="0" applyFont="1" applyAlignment="1">
      <alignment vertical="top" wrapText="1"/>
    </xf>
    <xf numFmtId="0" fontId="101" fillId="0" borderId="0" xfId="0" applyFont="1" applyAlignment="1">
      <alignment vertical="top"/>
    </xf>
    <xf numFmtId="0" fontId="75" fillId="5" borderId="1" xfId="0" applyFont="1" applyFill="1" applyBorder="1" applyAlignment="1">
      <alignment horizontal="center" vertical="center" wrapText="1"/>
    </xf>
    <xf numFmtId="0" fontId="100" fillId="5" borderId="1" xfId="0" applyFont="1" applyFill="1" applyBorder="1" applyAlignment="1">
      <alignment horizontal="center" vertical="center" wrapText="1"/>
    </xf>
    <xf numFmtId="0" fontId="101" fillId="0" borderId="0" xfId="0" applyFont="1" applyAlignment="1">
      <alignment horizontal="center" vertical="top" wrapText="1"/>
    </xf>
    <xf numFmtId="10" fontId="100" fillId="0" borderId="0" xfId="2" applyNumberFormat="1" applyFont="1" applyAlignment="1">
      <alignment horizontal="center" vertical="top" wrapText="1"/>
    </xf>
    <xf numFmtId="10" fontId="102" fillId="0" borderId="0" xfId="2" applyNumberFormat="1" applyFont="1" applyAlignment="1">
      <alignment horizontal="center" vertical="top" wrapText="1"/>
    </xf>
    <xf numFmtId="0" fontId="103" fillId="0" borderId="1" xfId="0" applyFont="1" applyBorder="1" applyAlignment="1">
      <alignment horizontal="center" vertical="top"/>
    </xf>
    <xf numFmtId="10" fontId="103" fillId="0" borderId="1" xfId="0" applyNumberFormat="1" applyFont="1" applyBorder="1" applyAlignment="1">
      <alignment horizontal="center" vertical="top"/>
    </xf>
    <xf numFmtId="0" fontId="75" fillId="5" borderId="1" xfId="0" applyFont="1" applyFill="1" applyBorder="1" applyAlignment="1">
      <alignment horizontal="left" vertical="center" wrapText="1"/>
    </xf>
    <xf numFmtId="0" fontId="80" fillId="10" borderId="1" xfId="0" applyFont="1" applyFill="1" applyBorder="1" applyAlignment="1">
      <alignment horizontal="center" vertical="center"/>
    </xf>
    <xf numFmtId="0" fontId="80" fillId="0" borderId="0" xfId="0" applyFont="1" applyAlignment="1">
      <alignment horizontal="center" vertical="center"/>
    </xf>
    <xf numFmtId="0" fontId="75" fillId="5" borderId="1" xfId="0" applyFont="1" applyFill="1" applyBorder="1" applyAlignment="1">
      <alignment horizontal="left" vertical="top" wrapText="1"/>
    </xf>
    <xf numFmtId="10" fontId="75" fillId="25" borderId="1" xfId="2" applyNumberFormat="1" applyFont="1" applyFill="1" applyBorder="1" applyAlignment="1">
      <alignment horizontal="center" vertical="top" wrapText="1"/>
    </xf>
    <xf numFmtId="10" fontId="75" fillId="25" borderId="0" xfId="2" applyNumberFormat="1" applyFont="1" applyFill="1" applyAlignment="1">
      <alignment horizontal="center" vertical="top" wrapText="1"/>
    </xf>
    <xf numFmtId="10" fontId="103" fillId="0" borderId="0" xfId="0" applyNumberFormat="1" applyFont="1" applyAlignment="1">
      <alignment horizontal="center" vertical="top"/>
    </xf>
    <xf numFmtId="0" fontId="80" fillId="0" borderId="0" xfId="0" applyFont="1" applyAlignment="1">
      <alignment horizontal="left"/>
    </xf>
    <xf numFmtId="0" fontId="59" fillId="0" borderId="0" xfId="0" applyFont="1" applyAlignment="1">
      <alignment horizontal="center"/>
    </xf>
    <xf numFmtId="0" fontId="79" fillId="0" borderId="0" xfId="0" applyFont="1" applyAlignment="1">
      <alignment horizontal="left"/>
    </xf>
    <xf numFmtId="0" fontId="76" fillId="0" borderId="0" xfId="0" applyFont="1" applyAlignment="1">
      <alignment horizontal="left"/>
    </xf>
    <xf numFmtId="0" fontId="80" fillId="0" borderId="29" xfId="0" applyFont="1" applyBorder="1" applyAlignment="1">
      <alignment vertical="center" wrapText="1"/>
    </xf>
    <xf numFmtId="0" fontId="80" fillId="0" borderId="30" xfId="0" applyFont="1" applyBorder="1"/>
    <xf numFmtId="0" fontId="104" fillId="0" borderId="31" xfId="0" applyFont="1" applyBorder="1" applyAlignment="1">
      <alignment vertical="center" wrapText="1"/>
    </xf>
    <xf numFmtId="0" fontId="75" fillId="0" borderId="29" xfId="0" applyFont="1" applyBorder="1"/>
    <xf numFmtId="0" fontId="104" fillId="0" borderId="31" xfId="0" applyFont="1" applyBorder="1" applyAlignment="1">
      <alignment horizontal="left" vertical="center" wrapText="1"/>
    </xf>
    <xf numFmtId="0" fontId="105" fillId="0" borderId="0" xfId="0" applyFont="1"/>
    <xf numFmtId="0" fontId="106" fillId="0" borderId="0" xfId="0" applyFont="1"/>
    <xf numFmtId="0" fontId="104" fillId="0" borderId="36" xfId="0" applyFont="1" applyBorder="1" applyAlignment="1">
      <alignment horizontal="left" vertical="center" wrapText="1"/>
    </xf>
    <xf numFmtId="0" fontId="104" fillId="0" borderId="0" xfId="0" applyFont="1" applyAlignment="1">
      <alignment horizontal="left" vertical="center" wrapText="1"/>
    </xf>
    <xf numFmtId="0" fontId="80" fillId="0" borderId="36" xfId="0" applyFont="1" applyBorder="1" applyAlignment="1">
      <alignment vertical="center" wrapText="1"/>
    </xf>
    <xf numFmtId="0" fontId="80" fillId="0" borderId="0" xfId="0" applyFont="1"/>
    <xf numFmtId="0" fontId="104" fillId="0" borderId="68" xfId="0" applyFont="1" applyBorder="1" applyAlignment="1">
      <alignment vertical="center" wrapText="1"/>
    </xf>
    <xf numFmtId="0" fontId="80" fillId="0" borderId="36" xfId="0" applyFont="1" applyBorder="1"/>
    <xf numFmtId="0" fontId="104" fillId="0" borderId="68" xfId="0" applyFont="1" applyBorder="1" applyAlignment="1">
      <alignment horizontal="left" vertical="center" wrapText="1"/>
    </xf>
    <xf numFmtId="0" fontId="79" fillId="0" borderId="0" xfId="0" applyFont="1" applyAlignment="1">
      <alignment horizontal="left" vertical="center" wrapText="1"/>
    </xf>
    <xf numFmtId="0" fontId="79" fillId="0" borderId="36" xfId="0" applyFont="1" applyBorder="1" applyAlignment="1">
      <alignment horizontal="left" vertical="center" wrapText="1"/>
    </xf>
    <xf numFmtId="0" fontId="80" fillId="0" borderId="68" xfId="0" applyFont="1" applyBorder="1"/>
    <xf numFmtId="0" fontId="79" fillId="0" borderId="68" xfId="0" applyFont="1" applyBorder="1" applyAlignment="1">
      <alignment horizontal="left" vertical="center" wrapText="1"/>
    </xf>
    <xf numFmtId="0" fontId="80" fillId="0" borderId="32" xfId="0" applyFont="1" applyBorder="1" applyAlignment="1">
      <alignment vertical="center" wrapText="1"/>
    </xf>
    <xf numFmtId="0" fontId="80" fillId="0" borderId="32" xfId="0" applyFont="1" applyBorder="1"/>
    <xf numFmtId="0" fontId="80" fillId="0" borderId="33" xfId="0" applyFont="1" applyBorder="1"/>
    <xf numFmtId="0" fontId="80" fillId="0" borderId="34" xfId="0" applyFont="1" applyBorder="1"/>
    <xf numFmtId="0" fontId="107" fillId="0" borderId="0" xfId="0" applyFont="1"/>
    <xf numFmtId="0" fontId="80" fillId="0" borderId="0" xfId="0" applyFont="1" applyAlignment="1">
      <alignment horizontal="center"/>
    </xf>
    <xf numFmtId="0" fontId="59" fillId="0" borderId="0" xfId="0" applyFont="1" applyAlignment="1">
      <alignment horizontal="center" vertical="center" wrapText="1"/>
    </xf>
    <xf numFmtId="0" fontId="59" fillId="0" borderId="0" xfId="0" applyFont="1" applyAlignment="1">
      <alignment horizontal="center" vertical="center"/>
    </xf>
    <xf numFmtId="0" fontId="108" fillId="0" borderId="0" xfId="0" applyFont="1"/>
    <xf numFmtId="0" fontId="66" fillId="0" borderId="0" xfId="0" applyFont="1" applyAlignment="1">
      <alignment vertical="center" wrapText="1"/>
    </xf>
    <xf numFmtId="0" fontId="104" fillId="0" borderId="0" xfId="0" applyFont="1" applyAlignment="1">
      <alignment vertical="center"/>
    </xf>
    <xf numFmtId="0" fontId="109" fillId="0" borderId="0" xfId="0" applyFont="1" applyAlignment="1">
      <alignment vertical="center"/>
    </xf>
    <xf numFmtId="0" fontId="108" fillId="0" borderId="0" xfId="0" applyFont="1" applyAlignment="1">
      <alignment horizontal="center" vertical="center" wrapText="1"/>
    </xf>
    <xf numFmtId="0" fontId="108" fillId="0" borderId="0" xfId="0" applyFont="1" applyAlignment="1">
      <alignment horizontal="center"/>
    </xf>
    <xf numFmtId="0" fontId="109" fillId="0" borderId="0" xfId="0" applyFont="1" applyAlignment="1">
      <alignment vertical="center" wrapText="1"/>
    </xf>
    <xf numFmtId="0" fontId="109" fillId="24" borderId="1" xfId="0" applyFont="1" applyFill="1" applyBorder="1" applyAlignment="1">
      <alignment horizontal="center" vertical="center" wrapText="1"/>
    </xf>
    <xf numFmtId="0" fontId="109" fillId="20" borderId="1" xfId="0"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8" fillId="3" borderId="1" xfId="0" applyFont="1" applyFill="1" applyBorder="1" applyAlignment="1">
      <alignment horizontal="center"/>
    </xf>
    <xf numFmtId="0" fontId="109" fillId="3" borderId="1" xfId="0" applyFont="1" applyFill="1" applyBorder="1" applyAlignment="1">
      <alignment horizontal="center" vertical="center" wrapText="1"/>
    </xf>
    <xf numFmtId="0" fontId="110" fillId="5" borderId="1" xfId="0" applyFont="1" applyFill="1" applyBorder="1" applyAlignment="1">
      <alignment horizontal="center" vertical="center" wrapText="1"/>
    </xf>
    <xf numFmtId="0" fontId="108" fillId="0" borderId="1" xfId="0" applyFont="1" applyBorder="1" applyAlignment="1">
      <alignment horizontal="center" vertical="center"/>
    </xf>
    <xf numFmtId="173" fontId="108" fillId="0" borderId="1" xfId="0" applyNumberFormat="1" applyFont="1" applyBorder="1" applyAlignment="1">
      <alignment horizontal="center" vertical="center"/>
    </xf>
    <xf numFmtId="0" fontId="108" fillId="20" borderId="1" xfId="0" applyFont="1" applyFill="1" applyBorder="1" applyAlignment="1">
      <alignment horizontal="center" vertical="center" wrapText="1"/>
    </xf>
    <xf numFmtId="4" fontId="108" fillId="0" borderId="1" xfId="0" applyNumberFormat="1" applyFont="1" applyBorder="1" applyAlignment="1">
      <alignment horizontal="center" vertical="center"/>
    </xf>
    <xf numFmtId="4" fontId="108" fillId="0" borderId="1" xfId="0" applyNumberFormat="1" applyFont="1" applyBorder="1" applyAlignment="1">
      <alignment horizontal="center"/>
    </xf>
    <xf numFmtId="0" fontId="110" fillId="5" borderId="17" xfId="0" applyFont="1" applyFill="1" applyBorder="1" applyAlignment="1">
      <alignment horizontal="center" vertical="center" wrapText="1"/>
    </xf>
    <xf numFmtId="4" fontId="108" fillId="0" borderId="1" xfId="0" applyNumberFormat="1" applyFont="1" applyBorder="1" applyAlignment="1">
      <alignment horizontal="center" vertical="center" wrapText="1"/>
    </xf>
    <xf numFmtId="0" fontId="108" fillId="0" borderId="1" xfId="0" applyFont="1" applyBorder="1" applyAlignment="1">
      <alignment horizontal="center" vertical="center" wrapText="1"/>
    </xf>
    <xf numFmtId="0" fontId="59" fillId="0" borderId="29" xfId="0" applyFont="1" applyBorder="1" applyAlignment="1">
      <alignment horizontal="center" vertical="center" wrapText="1"/>
    </xf>
    <xf numFmtId="0" fontId="59" fillId="0" borderId="30" xfId="0" applyFont="1" applyBorder="1" applyAlignment="1">
      <alignment horizontal="center" vertical="center" wrapText="1"/>
    </xf>
    <xf numFmtId="0" fontId="59" fillId="0" borderId="31" xfId="0" applyFont="1" applyBorder="1" applyAlignment="1">
      <alignment horizontal="center" vertical="center" wrapText="1"/>
    </xf>
    <xf numFmtId="0" fontId="106" fillId="0" borderId="68" xfId="0" applyFont="1" applyBorder="1"/>
    <xf numFmtId="0" fontId="106" fillId="0" borderId="32" xfId="0" applyFont="1" applyBorder="1"/>
    <xf numFmtId="0" fontId="106" fillId="0" borderId="33" xfId="0" applyFont="1" applyBorder="1"/>
    <xf numFmtId="0" fontId="106" fillId="0" borderId="34" xfId="0" applyFont="1" applyBorder="1"/>
    <xf numFmtId="0" fontId="79" fillId="0" borderId="0" xfId="0" applyFont="1"/>
    <xf numFmtId="0" fontId="75" fillId="0" borderId="0" xfId="0" applyFont="1"/>
    <xf numFmtId="0" fontId="59" fillId="0" borderId="8" xfId="0" applyFont="1" applyBorder="1"/>
    <xf numFmtId="0" fontId="104" fillId="0" borderId="9" xfId="0" applyFont="1" applyBorder="1"/>
    <xf numFmtId="0" fontId="80" fillId="0" borderId="9" xfId="0" applyFont="1" applyBorder="1"/>
    <xf numFmtId="0" fontId="80" fillId="0" borderId="9" xfId="0" applyFont="1" applyBorder="1" applyAlignment="1">
      <alignment horizontal="center" vertical="center" wrapText="1"/>
    </xf>
    <xf numFmtId="0" fontId="80" fillId="0" borderId="9" xfId="0" applyFont="1" applyBorder="1" applyAlignment="1">
      <alignment horizontal="center"/>
    </xf>
    <xf numFmtId="0" fontId="59" fillId="0" borderId="10" xfId="0" applyFont="1" applyBorder="1"/>
    <xf numFmtId="0" fontId="108" fillId="0" borderId="11" xfId="0" applyFont="1" applyBorder="1"/>
    <xf numFmtId="0" fontId="104" fillId="24" borderId="1" xfId="0" applyFont="1" applyFill="1" applyBorder="1" applyAlignment="1">
      <alignment horizontal="center" vertical="center" wrapText="1"/>
    </xf>
    <xf numFmtId="0" fontId="110" fillId="0" borderId="0" xfId="0" applyFont="1" applyAlignment="1">
      <alignment horizontal="center" vertical="center"/>
    </xf>
    <xf numFmtId="0" fontId="108" fillId="0" borderId="12" xfId="0" applyFont="1" applyBorder="1"/>
    <xf numFmtId="0" fontId="59" fillId="0" borderId="11" xfId="0" applyFont="1" applyBorder="1"/>
    <xf numFmtId="0" fontId="80" fillId="0" borderId="1" xfId="0" applyFont="1" applyBorder="1" applyAlignment="1">
      <alignment horizontal="center"/>
    </xf>
    <xf numFmtId="0" fontId="59" fillId="0" borderId="12" xfId="0" applyFont="1" applyBorder="1"/>
    <xf numFmtId="0" fontId="59" fillId="0" borderId="11" xfId="0" applyFont="1" applyBorder="1" applyAlignment="1">
      <alignment vertical="center" wrapText="1"/>
    </xf>
    <xf numFmtId="0" fontId="104" fillId="0" borderId="29" xfId="0" applyFont="1" applyBorder="1" applyAlignment="1">
      <alignment vertical="center" wrapText="1"/>
    </xf>
    <xf numFmtId="0" fontId="79" fillId="0" borderId="35" xfId="0" applyFont="1" applyBorder="1" applyAlignment="1">
      <alignment horizontal="left" vertical="center" wrapText="1"/>
    </xf>
    <xf numFmtId="0" fontId="80" fillId="0" borderId="17" xfId="0" applyFont="1" applyBorder="1"/>
    <xf numFmtId="0" fontId="109" fillId="0" borderId="12" xfId="0" applyFont="1" applyBorder="1" applyAlignment="1">
      <alignment vertical="center" wrapText="1"/>
    </xf>
    <xf numFmtId="0" fontId="104" fillId="0" borderId="16" xfId="0" applyFont="1" applyBorder="1" applyAlignment="1">
      <alignment vertical="center" wrapText="1"/>
    </xf>
    <xf numFmtId="0" fontId="104" fillId="0" borderId="35" xfId="0" applyFont="1" applyBorder="1" applyAlignment="1">
      <alignment horizontal="left" vertical="center" wrapText="1"/>
    </xf>
    <xf numFmtId="0" fontId="104" fillId="0" borderId="32" xfId="0" applyFont="1" applyBorder="1" applyAlignment="1">
      <alignment horizontal="left" vertical="center" wrapText="1"/>
    </xf>
    <xf numFmtId="0" fontId="104" fillId="0" borderId="34" xfId="0" applyFont="1" applyBorder="1" applyAlignment="1">
      <alignment horizontal="left" vertical="center" wrapText="1"/>
    </xf>
    <xf numFmtId="0" fontId="104" fillId="0" borderId="17" xfId="0" applyFont="1" applyBorder="1" applyAlignment="1">
      <alignment horizontal="left" vertical="center" wrapText="1"/>
    </xf>
    <xf numFmtId="0" fontId="104" fillId="0" borderId="33" xfId="0" applyFont="1" applyBorder="1" applyAlignment="1">
      <alignment horizontal="left" vertical="center" wrapText="1"/>
    </xf>
    <xf numFmtId="0" fontId="66" fillId="0" borderId="11" xfId="0" applyFont="1" applyBorder="1" applyAlignment="1">
      <alignment vertical="center" wrapText="1"/>
    </xf>
    <xf numFmtId="0" fontId="64" fillId="0" borderId="68" xfId="0" applyFont="1" applyBorder="1" applyAlignment="1">
      <alignment horizontal="left" vertical="center" wrapText="1"/>
    </xf>
    <xf numFmtId="0" fontId="64" fillId="0" borderId="0" xfId="0" applyFont="1"/>
    <xf numFmtId="0" fontId="64" fillId="0" borderId="68" xfId="0" applyFont="1" applyBorder="1"/>
    <xf numFmtId="0" fontId="64" fillId="0" borderId="35" xfId="0" applyFont="1" applyBorder="1" applyAlignment="1">
      <alignment horizontal="left" vertical="center" wrapText="1"/>
    </xf>
    <xf numFmtId="0" fontId="64" fillId="0" borderId="36" xfId="0" applyFont="1" applyBorder="1"/>
    <xf numFmtId="0" fontId="64" fillId="0" borderId="0" xfId="0" applyFont="1" applyAlignment="1">
      <alignment horizontal="left" indent="14"/>
    </xf>
    <xf numFmtId="0" fontId="66" fillId="0" borderId="12" xfId="0" applyFont="1" applyBorder="1"/>
    <xf numFmtId="0" fontId="66" fillId="0" borderId="0" xfId="0" applyFont="1"/>
    <xf numFmtId="0" fontId="64" fillId="0" borderId="0" xfId="0" applyFont="1" applyAlignment="1">
      <alignment horizontal="left" indent="19"/>
    </xf>
    <xf numFmtId="0" fontId="75" fillId="0" borderId="32" xfId="0" applyFont="1" applyBorder="1" applyAlignment="1">
      <alignment vertical="center" wrapText="1"/>
    </xf>
    <xf numFmtId="0" fontId="59" fillId="0" borderId="13" xfId="0" applyFont="1" applyBorder="1"/>
    <xf numFmtId="0" fontId="80" fillId="0" borderId="14" xfId="0" applyFont="1" applyBorder="1" applyAlignment="1">
      <alignment vertical="center" wrapText="1"/>
    </xf>
    <xf numFmtId="0" fontId="80" fillId="0" borderId="14" xfId="0" applyFont="1" applyBorder="1" applyAlignment="1">
      <alignment horizontal="center" vertical="center" wrapText="1"/>
    </xf>
    <xf numFmtId="0" fontId="80" fillId="0" borderId="14" xfId="0" applyFont="1" applyBorder="1" applyAlignment="1">
      <alignment horizontal="center"/>
    </xf>
    <xf numFmtId="0" fontId="59" fillId="0" borderId="15" xfId="0" applyFont="1" applyBorder="1"/>
    <xf numFmtId="0" fontId="63" fillId="0" borderId="0" xfId="0" applyFont="1" applyAlignment="1">
      <alignment horizontal="center"/>
    </xf>
    <xf numFmtId="0" fontId="79" fillId="0" borderId="0" xfId="0" applyFont="1" applyAlignment="1">
      <alignment vertical="center"/>
    </xf>
    <xf numFmtId="0" fontId="61" fillId="0" borderId="0" xfId="0" applyFont="1"/>
    <xf numFmtId="0" fontId="64" fillId="20" borderId="1" xfId="0" applyFont="1" applyFill="1" applyBorder="1" applyAlignment="1">
      <alignment horizontal="center" vertical="center"/>
    </xf>
    <xf numFmtId="0" fontId="64" fillId="0" borderId="1" xfId="0" applyFont="1" applyBorder="1" applyAlignment="1">
      <alignment horizontal="center" vertical="center"/>
    </xf>
    <xf numFmtId="0" fontId="64" fillId="0" borderId="1" xfId="0" applyFont="1" applyBorder="1" applyAlignment="1">
      <alignment vertical="center"/>
    </xf>
    <xf numFmtId="0" fontId="107" fillId="0" borderId="1" xfId="0" applyFont="1" applyBorder="1" applyAlignment="1">
      <alignment vertical="center"/>
    </xf>
    <xf numFmtId="0" fontId="107" fillId="0" borderId="1" xfId="0" applyFont="1" applyBorder="1" applyAlignment="1">
      <alignment horizontal="center" vertical="center"/>
    </xf>
    <xf numFmtId="0" fontId="107" fillId="0" borderId="1" xfId="0" applyFont="1" applyBorder="1" applyAlignment="1">
      <alignment vertical="center" wrapText="1"/>
    </xf>
    <xf numFmtId="0" fontId="112" fillId="0" borderId="0" xfId="0" applyFont="1"/>
    <xf numFmtId="0" fontId="107" fillId="0" borderId="1" xfId="0" applyFont="1" applyBorder="1" applyAlignment="1">
      <alignment horizontal="right" vertical="center"/>
    </xf>
    <xf numFmtId="0" fontId="64" fillId="0" borderId="1" xfId="0" applyFont="1" applyBorder="1" applyAlignment="1">
      <alignment vertical="center" wrapText="1"/>
    </xf>
    <xf numFmtId="0" fontId="107" fillId="0" borderId="0" xfId="0" applyFont="1" applyAlignment="1">
      <alignment wrapText="1"/>
    </xf>
    <xf numFmtId="0" fontId="107" fillId="0" borderId="1" xfId="0" applyFont="1" applyBorder="1" applyAlignment="1">
      <alignment wrapText="1"/>
    </xf>
    <xf numFmtId="0" fontId="107" fillId="0" borderId="0" xfId="0" applyFont="1" applyAlignment="1">
      <alignment vertical="center" wrapText="1"/>
    </xf>
    <xf numFmtId="0" fontId="63" fillId="0" borderId="0" xfId="0" applyFont="1" applyAlignment="1">
      <alignment horizontal="center" vertical="center"/>
    </xf>
    <xf numFmtId="0" fontId="109" fillId="0" borderId="1" xfId="0" applyFont="1" applyBorder="1" applyAlignment="1">
      <alignment horizontal="center" vertical="center" wrapText="1"/>
    </xf>
    <xf numFmtId="0" fontId="109" fillId="0" borderId="4" xfId="0" applyFont="1" applyBorder="1" applyAlignment="1">
      <alignment horizontal="center" vertical="center" wrapText="1"/>
    </xf>
    <xf numFmtId="0" fontId="115" fillId="0" borderId="1" xfId="0" applyFont="1" applyBorder="1" applyAlignment="1">
      <alignment horizontal="center" vertical="center"/>
    </xf>
    <xf numFmtId="0" fontId="115" fillId="0" borderId="1" xfId="0" applyFont="1" applyBorder="1" applyAlignment="1">
      <alignment horizontal="center" vertical="center" wrapText="1"/>
    </xf>
    <xf numFmtId="4" fontId="113" fillId="0" borderId="1" xfId="0" applyNumberFormat="1" applyFont="1" applyBorder="1" applyAlignment="1">
      <alignment horizontal="center" vertical="center"/>
    </xf>
    <xf numFmtId="173" fontId="115" fillId="0" borderId="1" xfId="0" applyNumberFormat="1" applyFont="1" applyBorder="1" applyAlignment="1">
      <alignment horizontal="center" vertical="center"/>
    </xf>
    <xf numFmtId="0" fontId="113" fillId="0" borderId="1" xfId="0" applyFont="1" applyBorder="1" applyAlignment="1">
      <alignment horizontal="center" vertical="center"/>
    </xf>
    <xf numFmtId="0" fontId="114" fillId="0" borderId="1" xfId="0" applyFont="1" applyBorder="1" applyAlignment="1">
      <alignment horizontal="center" vertical="center"/>
    </xf>
    <xf numFmtId="0" fontId="104" fillId="0" borderId="36" xfId="0" applyFont="1" applyBorder="1" applyAlignment="1">
      <alignment vertical="center" wrapText="1"/>
    </xf>
    <xf numFmtId="43" fontId="14" fillId="0" borderId="1" xfId="1" applyFont="1" applyBorder="1" applyAlignment="1">
      <alignment horizontal="right" vertical="center" wrapText="1"/>
    </xf>
    <xf numFmtId="0" fontId="116" fillId="0" borderId="1" xfId="0" applyFont="1" applyBorder="1" applyAlignment="1">
      <alignment horizontal="center" vertical="center"/>
    </xf>
    <xf numFmtId="0" fontId="59" fillId="0" borderId="11" xfId="0" applyFont="1" applyBorder="1" applyAlignment="1">
      <alignment horizontal="left" vertical="top"/>
    </xf>
    <xf numFmtId="0" fontId="64" fillId="0" borderId="31" xfId="0" applyFont="1" applyBorder="1"/>
    <xf numFmtId="4" fontId="110" fillId="0" borderId="1" xfId="0" applyNumberFormat="1" applyFont="1" applyBorder="1" applyAlignment="1">
      <alignment horizontal="center" vertical="center"/>
    </xf>
    <xf numFmtId="165" fontId="2" fillId="0" borderId="1" xfId="0" applyNumberFormat="1" applyFont="1" applyBorder="1" applyAlignment="1">
      <alignment vertical="center"/>
    </xf>
    <xf numFmtId="38" fontId="2" fillId="0" borderId="1" xfId="0" applyNumberFormat="1" applyFont="1" applyBorder="1" applyAlignment="1">
      <alignment vertical="center"/>
    </xf>
    <xf numFmtId="10" fontId="2" fillId="0" borderId="1" xfId="0" applyNumberFormat="1" applyFont="1" applyBorder="1" applyAlignment="1">
      <alignment vertical="center"/>
    </xf>
    <xf numFmtId="14" fontId="66" fillId="0" borderId="0" xfId="0" applyNumberFormat="1" applyFont="1" applyAlignment="1">
      <alignment horizontal="left" vertical="center"/>
    </xf>
    <xf numFmtId="0" fontId="71" fillId="0" borderId="1" xfId="0" applyFont="1" applyBorder="1" applyAlignment="1">
      <alignment vertical="center" wrapText="1"/>
    </xf>
    <xf numFmtId="0" fontId="117" fillId="0" borderId="1" xfId="0" applyFont="1" applyBorder="1" applyAlignment="1">
      <alignment vertical="center" wrapText="1"/>
    </xf>
    <xf numFmtId="0" fontId="101" fillId="0" borderId="36" xfId="0" applyFont="1" applyBorder="1" applyAlignment="1">
      <alignment vertical="center" wrapText="1"/>
    </xf>
    <xf numFmtId="0" fontId="101" fillId="0" borderId="36" xfId="0" applyFont="1" applyBorder="1" applyAlignment="1">
      <alignment horizontal="left" vertical="center" wrapText="1"/>
    </xf>
    <xf numFmtId="0" fontId="88" fillId="0" borderId="0" xfId="0" applyFont="1" applyAlignment="1">
      <alignment vertical="center" wrapText="1"/>
    </xf>
    <xf numFmtId="0" fontId="101" fillId="0" borderId="32" xfId="0" applyFont="1" applyBorder="1" applyAlignment="1">
      <alignment wrapText="1"/>
    </xf>
    <xf numFmtId="0" fontId="58" fillId="10" borderId="1" xfId="0" applyFont="1" applyFill="1" applyBorder="1" applyAlignment="1">
      <alignment vertical="center"/>
    </xf>
    <xf numFmtId="0" fontId="58" fillId="34" borderId="1" xfId="0" applyFont="1" applyFill="1" applyBorder="1" applyAlignment="1">
      <alignment horizontal="center" vertical="center"/>
    </xf>
    <xf numFmtId="165" fontId="14" fillId="0" borderId="1" xfId="1" applyNumberFormat="1" applyFont="1" applyBorder="1" applyAlignment="1">
      <alignment horizontal="right" vertical="center" wrapText="1"/>
    </xf>
    <xf numFmtId="0" fontId="118" fillId="0" borderId="0" xfId="0" applyFont="1" applyAlignment="1">
      <alignment vertical="center"/>
    </xf>
    <xf numFmtId="14" fontId="60" fillId="0" borderId="0" xfId="0" applyNumberFormat="1" applyFont="1" applyAlignment="1">
      <alignment horizontal="left" vertical="center"/>
    </xf>
    <xf numFmtId="0" fontId="108" fillId="0" borderId="0" xfId="0" applyFont="1" applyAlignment="1">
      <alignment vertical="center"/>
    </xf>
    <xf numFmtId="14" fontId="108" fillId="0" borderId="0" xfId="0" applyNumberFormat="1" applyFont="1" applyAlignment="1">
      <alignment horizontal="left" vertical="center"/>
    </xf>
    <xf numFmtId="0" fontId="103" fillId="0" borderId="29" xfId="0" applyFont="1" applyBorder="1" applyAlignment="1">
      <alignment horizontal="left" vertical="top" wrapText="1"/>
    </xf>
    <xf numFmtId="0" fontId="50" fillId="0" borderId="1" xfId="0" applyFont="1" applyBorder="1" applyAlignment="1">
      <alignment vertical="center" wrapText="1"/>
    </xf>
    <xf numFmtId="0" fontId="113" fillId="0" borderId="1" xfId="0" applyFont="1" applyBorder="1" applyAlignment="1">
      <alignment horizontal="center" vertical="center" wrapText="1"/>
    </xf>
    <xf numFmtId="4" fontId="2" fillId="0" borderId="1" xfId="0" applyNumberFormat="1" applyFont="1" applyBorder="1" applyAlignment="1">
      <alignment vertical="center"/>
    </xf>
    <xf numFmtId="0" fontId="58" fillId="0" borderId="0" xfId="0" applyFont="1"/>
    <xf numFmtId="0" fontId="120" fillId="0" borderId="1" xfId="0" applyFont="1" applyBorder="1" applyAlignment="1">
      <alignment horizontal="left" vertical="top" wrapText="1"/>
    </xf>
    <xf numFmtId="0" fontId="117" fillId="0" borderId="1" xfId="0" applyFont="1" applyBorder="1" applyAlignment="1">
      <alignment horizontal="left" vertical="top" wrapText="1"/>
    </xf>
    <xf numFmtId="0" fontId="60" fillId="0" borderId="1" xfId="0" applyFont="1" applyBorder="1" applyAlignment="1">
      <alignment horizontal="left" vertical="top" wrapText="1"/>
    </xf>
    <xf numFmtId="0" fontId="107" fillId="0" borderId="0" xfId="0" applyFont="1" applyAlignment="1">
      <alignment vertical="center"/>
    </xf>
    <xf numFmtId="0" fontId="107" fillId="0" borderId="1" xfId="0" applyFont="1" applyBorder="1" applyAlignment="1">
      <alignment vertical="top" wrapText="1"/>
    </xf>
    <xf numFmtId="0" fontId="110" fillId="0" borderId="1" xfId="0" applyFont="1" applyBorder="1" applyAlignment="1">
      <alignment horizontal="center" vertical="center" wrapText="1"/>
    </xf>
    <xf numFmtId="4" fontId="110" fillId="0" borderId="1" xfId="0" applyNumberFormat="1" applyFont="1" applyBorder="1" applyAlignment="1">
      <alignment horizontal="center" vertical="center" wrapText="1"/>
    </xf>
    <xf numFmtId="0" fontId="101" fillId="0" borderId="0" xfId="0" applyFont="1"/>
    <xf numFmtId="0" fontId="101" fillId="0" borderId="68" xfId="0" applyFont="1" applyBorder="1"/>
    <xf numFmtId="0" fontId="101" fillId="0" borderId="33" xfId="0" applyFont="1" applyBorder="1"/>
    <xf numFmtId="0" fontId="101" fillId="0" borderId="34" xfId="0" applyFont="1" applyBorder="1"/>
    <xf numFmtId="0" fontId="122" fillId="0" borderId="36" xfId="0" applyFont="1" applyBorder="1" applyAlignment="1">
      <alignment vertical="center" wrapText="1"/>
    </xf>
    <xf numFmtId="0" fontId="122" fillId="0" borderId="36" xfId="0" applyFont="1" applyBorder="1" applyAlignment="1">
      <alignment horizontal="left" vertical="center" wrapText="1"/>
    </xf>
    <xf numFmtId="14" fontId="104" fillId="0" borderId="0" xfId="0" applyNumberFormat="1" applyFont="1" applyAlignment="1">
      <alignment vertical="center"/>
    </xf>
    <xf numFmtId="0" fontId="107" fillId="0" borderId="1" xfId="0" applyFont="1" applyBorder="1" applyAlignment="1">
      <alignment vertical="center"/>
      <extLst>
        <ext xmlns:xfpb="http://schemas.microsoft.com/office/spreadsheetml/2022/featurepropertybag" uri="{C7286773-470A-42A8-94C5-96B5CB345126}">
          <xfpb:xfComplement i="0"/>
        </ext>
      </extLst>
    </xf>
    <xf numFmtId="0" fontId="107" fillId="0" borderId="1" xfId="0" applyFont="1" applyBorder="1" applyAlignment="1">
      <alignment horizontal="center" vertical="center"/>
      <extLst>
        <ext xmlns:xfpb="http://schemas.microsoft.com/office/spreadsheetml/2022/featurepropertybag" uri="{C7286773-470A-42A8-94C5-96B5CB345126}">
          <xfpb:xfComplement i="0"/>
        </ext>
      </extLst>
    </xf>
    <xf numFmtId="0" fontId="41" fillId="0" borderId="0" xfId="0" applyFont="1" applyAlignment="1">
      <alignment horizontal="left" vertical="top"/>
    </xf>
    <xf numFmtId="10" fontId="48" fillId="25" borderId="0" xfId="0" applyNumberFormat="1" applyFont="1" applyFill="1" applyAlignment="1">
      <alignment horizontal="center" vertical="center"/>
    </xf>
    <xf numFmtId="0" fontId="41" fillId="0" borderId="63" xfId="0" applyFont="1" applyBorder="1" applyAlignment="1">
      <alignment horizontal="left" vertical="top" wrapText="1"/>
    </xf>
    <xf numFmtId="10" fontId="48" fillId="25" borderId="63" xfId="0" applyNumberFormat="1" applyFont="1" applyFill="1" applyBorder="1" applyAlignment="1">
      <alignment horizontal="center" vertical="center"/>
    </xf>
    <xf numFmtId="0" fontId="48" fillId="25" borderId="0" xfId="0" applyFont="1" applyFill="1" applyAlignment="1">
      <alignment horizontal="left" vertical="center" wrapText="1"/>
    </xf>
    <xf numFmtId="0" fontId="46" fillId="25" borderId="41" xfId="0" applyFont="1" applyFill="1" applyBorder="1" applyAlignment="1">
      <alignment horizontal="center" vertical="center" wrapText="1"/>
    </xf>
    <xf numFmtId="0" fontId="46" fillId="25" borderId="0" xfId="0" applyFont="1" applyFill="1" applyAlignment="1">
      <alignment horizontal="left" vertical="center" wrapText="1"/>
    </xf>
    <xf numFmtId="10" fontId="46" fillId="25" borderId="0" xfId="0" applyNumberFormat="1" applyFont="1" applyFill="1" applyAlignment="1">
      <alignment horizontal="center" vertical="center" wrapText="1"/>
    </xf>
    <xf numFmtId="10" fontId="46" fillId="25" borderId="42" xfId="0" applyNumberFormat="1" applyFont="1" applyFill="1" applyBorder="1" applyAlignment="1">
      <alignment horizontal="center" vertical="center" wrapText="1"/>
    </xf>
    <xf numFmtId="0" fontId="41" fillId="25" borderId="0" xfId="0" applyFont="1" applyFill="1" applyAlignment="1">
      <alignment horizontal="left" vertical="center" wrapText="1"/>
    </xf>
    <xf numFmtId="0" fontId="48" fillId="25" borderId="0" xfId="0" applyFont="1" applyFill="1" applyAlignment="1">
      <alignment horizontal="center" vertical="center"/>
    </xf>
    <xf numFmtId="0" fontId="41" fillId="25" borderId="0" xfId="0" applyFont="1" applyFill="1" applyAlignment="1">
      <alignment vertical="center" wrapText="1"/>
    </xf>
    <xf numFmtId="10" fontId="41" fillId="25" borderId="0" xfId="0" applyNumberFormat="1" applyFont="1" applyFill="1" applyAlignment="1">
      <alignment horizontal="center" vertical="center" wrapText="1"/>
    </xf>
    <xf numFmtId="0" fontId="50" fillId="25" borderId="0" xfId="0" applyFont="1" applyFill="1" applyAlignment="1">
      <alignment horizontal="left" vertical="center" wrapText="1"/>
    </xf>
    <xf numFmtId="170" fontId="34" fillId="25" borderId="0" xfId="0" quotePrefix="1" applyNumberFormat="1" applyFont="1" applyFill="1" applyAlignment="1">
      <alignment horizontal="left" vertical="top" wrapText="1"/>
    </xf>
    <xf numFmtId="10" fontId="34" fillId="0" borderId="0" xfId="2" applyNumberFormat="1" applyFont="1" applyBorder="1" applyAlignment="1">
      <alignment horizontal="center" vertical="top"/>
    </xf>
    <xf numFmtId="0" fontId="46" fillId="29" borderId="41" xfId="0" applyFont="1" applyFill="1" applyBorder="1" applyAlignment="1">
      <alignment horizontal="left" wrapText="1"/>
    </xf>
    <xf numFmtId="0" fontId="46" fillId="29" borderId="0" xfId="0" applyFont="1" applyFill="1" applyAlignment="1">
      <alignment horizontal="left" wrapText="1"/>
    </xf>
    <xf numFmtId="0" fontId="46" fillId="5" borderId="41" xfId="0" applyFont="1" applyFill="1" applyBorder="1" applyAlignment="1">
      <alignment horizontal="left" vertical="center" wrapText="1"/>
    </xf>
    <xf numFmtId="0" fontId="46" fillId="5" borderId="0" xfId="0" applyFont="1" applyFill="1" applyAlignment="1">
      <alignment horizontal="left" vertical="center" wrapText="1"/>
    </xf>
    <xf numFmtId="10" fontId="47" fillId="5" borderId="0" xfId="0" applyNumberFormat="1" applyFont="1" applyFill="1" applyAlignment="1">
      <alignment horizontal="center" vertical="center" wrapText="1"/>
    </xf>
    <xf numFmtId="10" fontId="47" fillId="5" borderId="42" xfId="0" applyNumberFormat="1" applyFont="1" applyFill="1" applyBorder="1" applyAlignment="1">
      <alignment horizontal="center" vertical="center" wrapText="1"/>
    </xf>
    <xf numFmtId="10" fontId="42" fillId="29" borderId="42" xfId="2" applyNumberFormat="1" applyFont="1" applyFill="1" applyBorder="1" applyAlignment="1">
      <alignment horizontal="center" vertical="top" wrapText="1"/>
    </xf>
    <xf numFmtId="10" fontId="42" fillId="29" borderId="0" xfId="2" applyNumberFormat="1" applyFont="1" applyFill="1" applyBorder="1" applyAlignment="1">
      <alignment horizontal="center" vertical="top" wrapText="1"/>
    </xf>
    <xf numFmtId="165" fontId="34" fillId="0" borderId="41" xfId="1" quotePrefix="1" applyNumberFormat="1" applyFont="1" applyFill="1" applyBorder="1" applyAlignment="1">
      <alignment vertical="top" wrapText="1"/>
    </xf>
    <xf numFmtId="170" fontId="34" fillId="0" borderId="0" xfId="0" quotePrefix="1" applyNumberFormat="1" applyFont="1" applyAlignment="1">
      <alignment horizontal="left" vertical="top" wrapText="1"/>
    </xf>
    <xf numFmtId="10" fontId="34" fillId="0" borderId="0" xfId="2" applyNumberFormat="1" applyFont="1" applyFill="1" applyBorder="1" applyAlignment="1">
      <alignment horizontal="center" vertical="top"/>
    </xf>
    <xf numFmtId="41" fontId="34" fillId="29" borderId="41" xfId="1" applyNumberFormat="1" applyFont="1" applyFill="1" applyBorder="1" applyAlignment="1">
      <alignment vertical="top" wrapText="1"/>
    </xf>
    <xf numFmtId="10" fontId="34" fillId="29" borderId="0" xfId="0" applyNumberFormat="1" applyFont="1" applyFill="1" applyAlignment="1">
      <alignment horizontal="left" vertical="top" wrapText="1"/>
    </xf>
    <xf numFmtId="10" fontId="34" fillId="29" borderId="0" xfId="2" applyNumberFormat="1" applyFont="1" applyFill="1" applyBorder="1" applyAlignment="1">
      <alignment horizontal="center" vertical="top" wrapText="1"/>
    </xf>
    <xf numFmtId="10" fontId="34" fillId="29" borderId="0" xfId="0" quotePrefix="1" applyNumberFormat="1" applyFont="1" applyFill="1" applyAlignment="1">
      <alignment horizontal="left" vertical="top" wrapText="1"/>
    </xf>
    <xf numFmtId="10" fontId="9" fillId="0" borderId="0" xfId="2" applyNumberFormat="1" applyFont="1" applyFill="1" applyBorder="1" applyAlignment="1">
      <alignment horizontal="center" vertical="top" wrapText="1"/>
    </xf>
    <xf numFmtId="10" fontId="9" fillId="0" borderId="42" xfId="2" applyNumberFormat="1" applyFont="1" applyFill="1" applyBorder="1" applyAlignment="1">
      <alignment horizontal="center" vertical="top" wrapText="1"/>
    </xf>
    <xf numFmtId="0" fontId="9" fillId="25" borderId="41" xfId="0" applyFont="1" applyFill="1" applyBorder="1" applyAlignment="1">
      <alignment vertical="top" wrapText="1"/>
    </xf>
    <xf numFmtId="0" fontId="9" fillId="25" borderId="0" xfId="0" applyFont="1" applyFill="1" applyAlignment="1">
      <alignment vertical="top" wrapText="1"/>
    </xf>
    <xf numFmtId="170" fontId="36" fillId="25" borderId="0" xfId="2" quotePrefix="1" applyNumberFormat="1" applyFont="1" applyFill="1" applyBorder="1" applyAlignment="1">
      <alignment horizontal="center" vertical="center" wrapText="1"/>
    </xf>
    <xf numFmtId="170" fontId="36" fillId="25" borderId="42" xfId="2" quotePrefix="1" applyNumberFormat="1" applyFont="1" applyFill="1" applyBorder="1" applyAlignment="1">
      <alignment horizontal="center" vertical="center" wrapText="1"/>
    </xf>
    <xf numFmtId="0" fontId="9" fillId="5" borderId="41" xfId="0" applyFont="1" applyFill="1" applyBorder="1" applyAlignment="1">
      <alignment horizontal="left" vertical="center" wrapText="1"/>
    </xf>
    <xf numFmtId="0" fontId="9" fillId="5" borderId="0" xfId="0" applyFont="1" applyFill="1" applyAlignment="1">
      <alignment horizontal="left" vertical="center" wrapText="1"/>
    </xf>
    <xf numFmtId="10" fontId="45" fillId="5" borderId="0" xfId="2" applyNumberFormat="1" applyFont="1" applyFill="1" applyBorder="1" applyAlignment="1">
      <alignment horizontal="center" vertical="center"/>
    </xf>
    <xf numFmtId="10" fontId="45" fillId="5" borderId="42" xfId="2" applyNumberFormat="1" applyFont="1" applyFill="1" applyBorder="1" applyAlignment="1">
      <alignment horizontal="center" vertical="center"/>
    </xf>
    <xf numFmtId="165" fontId="42" fillId="25" borderId="41" xfId="1" quotePrefix="1" applyNumberFormat="1" applyFont="1" applyFill="1" applyBorder="1" applyAlignment="1">
      <alignment vertical="top" wrapText="1"/>
    </xf>
    <xf numFmtId="170" fontId="42" fillId="25" borderId="0" xfId="0" quotePrefix="1" applyNumberFormat="1" applyFont="1" applyFill="1" applyAlignment="1">
      <alignment horizontal="left" vertical="top" wrapText="1"/>
    </xf>
    <xf numFmtId="10" fontId="42" fillId="0" borderId="0" xfId="2" applyNumberFormat="1" applyFont="1" applyFill="1" applyBorder="1" applyAlignment="1">
      <alignment horizontal="center" vertical="top"/>
    </xf>
    <xf numFmtId="10" fontId="54" fillId="29" borderId="0" xfId="0" applyNumberFormat="1" applyFont="1" applyFill="1" applyAlignment="1">
      <alignment horizontal="left" vertical="top" wrapText="1"/>
    </xf>
    <xf numFmtId="0" fontId="44" fillId="17" borderId="41" xfId="0" applyFont="1" applyFill="1" applyBorder="1" applyAlignment="1">
      <alignment horizontal="center" vertical="center"/>
    </xf>
    <xf numFmtId="0" fontId="44" fillId="17" borderId="0" xfId="0" applyFont="1" applyFill="1" applyAlignment="1">
      <alignment horizontal="center" vertical="center"/>
    </xf>
    <xf numFmtId="0" fontId="4" fillId="5" borderId="41" xfId="0" applyFont="1" applyFill="1" applyBorder="1" applyAlignment="1">
      <alignment horizontal="center" vertical="center" wrapText="1"/>
    </xf>
    <xf numFmtId="0" fontId="4" fillId="5" borderId="0" xfId="0" applyFont="1" applyFill="1" applyAlignment="1">
      <alignment horizontal="center" vertical="center" wrapText="1"/>
    </xf>
    <xf numFmtId="10" fontId="45" fillId="5" borderId="0" xfId="0" applyNumberFormat="1" applyFont="1" applyFill="1" applyAlignment="1">
      <alignment horizontal="center" vertical="center"/>
    </xf>
    <xf numFmtId="10" fontId="45" fillId="5" borderId="42" xfId="0" applyNumberFormat="1" applyFont="1" applyFill="1" applyBorder="1" applyAlignment="1">
      <alignment horizontal="center" vertical="center"/>
    </xf>
    <xf numFmtId="41" fontId="42" fillId="29" borderId="41" xfId="1" applyNumberFormat="1" applyFont="1" applyFill="1" applyBorder="1" applyAlignment="1">
      <alignment vertical="top" wrapText="1"/>
    </xf>
    <xf numFmtId="10" fontId="42" fillId="29" borderId="0" xfId="0" applyNumberFormat="1" applyFont="1" applyFill="1" applyAlignment="1">
      <alignment horizontal="left" vertical="top" wrapText="1"/>
    </xf>
    <xf numFmtId="0" fontId="38" fillId="27" borderId="37" xfId="0" applyFont="1" applyFill="1" applyBorder="1" applyAlignment="1">
      <alignment horizontal="left" vertical="center" wrapText="1"/>
    </xf>
    <xf numFmtId="0" fontId="38" fillId="27" borderId="38" xfId="0" applyFont="1" applyFill="1" applyBorder="1" applyAlignment="1">
      <alignment horizontal="left" vertical="center" wrapText="1"/>
    </xf>
    <xf numFmtId="0" fontId="38" fillId="27" borderId="40" xfId="0" applyFont="1" applyFill="1" applyBorder="1" applyAlignment="1">
      <alignment horizontal="left" vertical="center" wrapText="1"/>
    </xf>
    <xf numFmtId="43" fontId="38" fillId="27" borderId="40" xfId="1" applyFont="1" applyFill="1" applyBorder="1" applyAlignment="1">
      <alignment horizontal="center" vertical="center" wrapText="1"/>
    </xf>
    <xf numFmtId="0" fontId="38" fillId="27" borderId="0" xfId="0" applyFont="1" applyFill="1" applyAlignment="1">
      <alignment horizontal="left" vertical="center" wrapText="1"/>
    </xf>
    <xf numFmtId="0" fontId="38" fillId="27" borderId="0" xfId="0" applyFont="1" applyFill="1" applyAlignment="1">
      <alignment horizontal="right" vertical="center" wrapText="1"/>
    </xf>
    <xf numFmtId="0" fontId="40" fillId="28" borderId="39" xfId="0" applyFont="1" applyFill="1" applyBorder="1" applyAlignment="1">
      <alignment horizontal="center" vertical="center" wrapText="1"/>
    </xf>
    <xf numFmtId="0" fontId="40" fillId="28" borderId="40" xfId="0" applyFont="1" applyFill="1" applyBorder="1" applyAlignment="1">
      <alignment horizontal="center" vertical="center" wrapText="1"/>
    </xf>
    <xf numFmtId="0" fontId="40" fillId="28" borderId="41" xfId="0" applyFont="1" applyFill="1" applyBorder="1" applyAlignment="1">
      <alignment horizontal="center" vertical="center" wrapText="1"/>
    </xf>
    <xf numFmtId="0" fontId="40" fillId="28" borderId="0" xfId="0" applyFont="1" applyFill="1" applyAlignment="1">
      <alignment horizontal="center" vertical="center" wrapText="1"/>
    </xf>
    <xf numFmtId="10" fontId="49" fillId="0" borderId="47" xfId="2" applyNumberFormat="1" applyFont="1" applyFill="1" applyBorder="1" applyAlignment="1">
      <alignment horizontal="center" vertical="center" wrapText="1"/>
    </xf>
    <xf numFmtId="10" fontId="49" fillId="0" borderId="48" xfId="2" applyNumberFormat="1" applyFont="1" applyFill="1" applyBorder="1" applyAlignment="1">
      <alignment horizontal="center" vertical="center" wrapText="1"/>
    </xf>
    <xf numFmtId="10" fontId="49" fillId="0" borderId="49" xfId="2" applyNumberFormat="1" applyFont="1" applyFill="1" applyBorder="1" applyAlignment="1">
      <alignment horizontal="center" vertical="center" wrapText="1"/>
    </xf>
    <xf numFmtId="10" fontId="49" fillId="0" borderId="50" xfId="2" applyNumberFormat="1" applyFont="1" applyFill="1" applyBorder="1" applyAlignment="1">
      <alignment horizontal="center" vertical="center" wrapText="1"/>
    </xf>
    <xf numFmtId="10" fontId="49" fillId="0" borderId="0" xfId="2" applyNumberFormat="1" applyFont="1" applyFill="1" applyBorder="1" applyAlignment="1">
      <alignment horizontal="center" vertical="center" wrapText="1"/>
    </xf>
    <xf numFmtId="10" fontId="49" fillId="0" borderId="46" xfId="2" applyNumberFormat="1" applyFont="1" applyFill="1" applyBorder="1" applyAlignment="1">
      <alignment horizontal="center" vertical="center" wrapText="1"/>
    </xf>
    <xf numFmtId="10" fontId="49" fillId="0" borderId="51" xfId="2" applyNumberFormat="1" applyFont="1" applyFill="1" applyBorder="1" applyAlignment="1">
      <alignment horizontal="center" vertical="center" wrapText="1"/>
    </xf>
    <xf numFmtId="10" fontId="49" fillId="0" borderId="52" xfId="2" applyNumberFormat="1" applyFont="1" applyFill="1" applyBorder="1" applyAlignment="1">
      <alignment horizontal="center" vertical="center" wrapText="1"/>
    </xf>
    <xf numFmtId="10" fontId="49" fillId="0" borderId="53" xfId="2" applyNumberFormat="1" applyFont="1" applyFill="1" applyBorder="1" applyAlignment="1">
      <alignment horizontal="center" vertical="center" wrapText="1"/>
    </xf>
    <xf numFmtId="14" fontId="43" fillId="28" borderId="43" xfId="0" applyNumberFormat="1" applyFont="1" applyFill="1" applyBorder="1" applyAlignment="1">
      <alignment horizontal="center" vertical="center" wrapText="1"/>
    </xf>
    <xf numFmtId="14" fontId="43" fillId="28" borderId="44" xfId="0" applyNumberFormat="1" applyFont="1" applyFill="1" applyBorder="1" applyAlignment="1">
      <alignment horizontal="center" vertical="center" wrapText="1"/>
    </xf>
    <xf numFmtId="0" fontId="34" fillId="0" borderId="45" xfId="0" applyFont="1" applyBorder="1" applyAlignment="1">
      <alignment horizontal="center" vertical="top" wrapText="1"/>
    </xf>
    <xf numFmtId="0" fontId="34" fillId="0" borderId="41" xfId="0" applyFont="1" applyBorder="1" applyAlignment="1">
      <alignment horizontal="center" vertical="top" wrapText="1"/>
    </xf>
    <xf numFmtId="0" fontId="34" fillId="0" borderId="0" xfId="0" applyFont="1" applyAlignment="1">
      <alignment horizontal="center" vertical="top" wrapText="1"/>
    </xf>
    <xf numFmtId="0" fontId="34" fillId="0" borderId="42" xfId="0" applyFont="1" applyBorder="1" applyAlignment="1">
      <alignment horizontal="center" vertical="top" wrapText="1"/>
    </xf>
    <xf numFmtId="0" fontId="44" fillId="17" borderId="39" xfId="0" applyFont="1" applyFill="1" applyBorder="1" applyAlignment="1">
      <alignment horizontal="center" vertical="top" wrapText="1"/>
    </xf>
    <xf numFmtId="0" fontId="44" fillId="17" borderId="40" xfId="0" applyFont="1" applyFill="1" applyBorder="1" applyAlignment="1">
      <alignment horizontal="center" vertical="top" wrapText="1"/>
    </xf>
    <xf numFmtId="0" fontId="9" fillId="25" borderId="41" xfId="0" applyFont="1" applyFill="1" applyBorder="1" applyAlignment="1">
      <alignment horizontal="left" vertical="top" wrapText="1"/>
    </xf>
    <xf numFmtId="0" fontId="9" fillId="25" borderId="0" xfId="0" applyFont="1" applyFill="1" applyAlignment="1">
      <alignment horizontal="left" vertical="top" wrapText="1"/>
    </xf>
    <xf numFmtId="0" fontId="50" fillId="25" borderId="0" xfId="0" applyFont="1" applyFill="1" applyAlignment="1">
      <alignment horizontal="left" vertical="center"/>
    </xf>
    <xf numFmtId="43" fontId="2" fillId="0" borderId="0" xfId="1" applyFont="1" applyAlignment="1">
      <alignment horizontal="center" vertical="top"/>
    </xf>
    <xf numFmtId="10" fontId="2" fillId="0" borderId="0" xfId="0" applyNumberFormat="1" applyFont="1" applyAlignment="1">
      <alignment horizontal="center" vertical="top"/>
    </xf>
    <xf numFmtId="0" fontId="2" fillId="0" borderId="0" xfId="0" applyFont="1" applyAlignment="1">
      <alignment horizontal="center" vertical="top"/>
    </xf>
    <xf numFmtId="0" fontId="104" fillId="0" borderId="29" xfId="0" applyFont="1" applyBorder="1" applyAlignment="1">
      <alignment horizontal="left" vertical="center" wrapText="1"/>
    </xf>
    <xf numFmtId="0" fontId="104" fillId="0" borderId="30" xfId="0" applyFont="1" applyBorder="1" applyAlignment="1">
      <alignment horizontal="left" vertical="center" wrapText="1"/>
    </xf>
    <xf numFmtId="0" fontId="104" fillId="0" borderId="31" xfId="0" applyFont="1" applyBorder="1" applyAlignment="1">
      <alignment horizontal="left" vertical="center" wrapText="1"/>
    </xf>
    <xf numFmtId="0" fontId="104" fillId="0" borderId="0" xfId="0" applyFont="1" applyAlignment="1">
      <alignment horizontal="left" vertical="center" wrapText="1"/>
    </xf>
    <xf numFmtId="0" fontId="101" fillId="0" borderId="0" xfId="0" applyFont="1" applyAlignment="1">
      <alignment horizontal="left" vertical="center" wrapText="1"/>
    </xf>
    <xf numFmtId="0" fontId="101" fillId="0" borderId="68" xfId="0" applyFont="1" applyBorder="1" applyAlignment="1">
      <alignment horizontal="left" vertical="center" wrapText="1"/>
    </xf>
    <xf numFmtId="0" fontId="101" fillId="0" borderId="0" xfId="0" applyFont="1" applyAlignment="1">
      <alignment horizontal="left" vertical="top" wrapText="1"/>
    </xf>
    <xf numFmtId="0" fontId="101" fillId="0" borderId="68" xfId="0" applyFont="1" applyBorder="1" applyAlignment="1">
      <alignment horizontal="left" vertical="top" wrapText="1"/>
    </xf>
    <xf numFmtId="0" fontId="110" fillId="0" borderId="2" xfId="0" applyFont="1" applyBorder="1" applyAlignment="1">
      <alignment horizontal="left" vertical="center" wrapText="1"/>
    </xf>
    <xf numFmtId="0" fontId="110" fillId="0" borderId="3" xfId="0" applyFont="1" applyBorder="1" applyAlignment="1">
      <alignment horizontal="left" vertical="center" wrapText="1"/>
    </xf>
    <xf numFmtId="0" fontId="104" fillId="0" borderId="36" xfId="0" applyFont="1" applyBorder="1" applyAlignment="1">
      <alignment horizontal="left" wrapText="1"/>
    </xf>
    <xf numFmtId="0" fontId="104" fillId="0" borderId="0" xfId="0" applyFont="1" applyAlignment="1">
      <alignment horizontal="left" wrapText="1"/>
    </xf>
    <xf numFmtId="0" fontId="104" fillId="3" borderId="2" xfId="0" applyFont="1" applyFill="1" applyBorder="1" applyAlignment="1">
      <alignment horizontal="center" vertical="center" wrapText="1"/>
    </xf>
    <xf numFmtId="0" fontId="104" fillId="3" borderId="3" xfId="0" applyFont="1" applyFill="1" applyBorder="1" applyAlignment="1">
      <alignment horizontal="center" vertical="center" wrapText="1"/>
    </xf>
    <xf numFmtId="0" fontId="110" fillId="0" borderId="2" xfId="0" applyFont="1" applyBorder="1" applyAlignment="1">
      <alignment horizontal="left" vertical="center"/>
    </xf>
    <xf numFmtId="0" fontId="110" fillId="0" borderId="3" xfId="0" applyFont="1" applyBorder="1" applyAlignment="1">
      <alignment horizontal="left" vertical="center"/>
    </xf>
    <xf numFmtId="0" fontId="110" fillId="0" borderId="4" xfId="0" applyFont="1" applyBorder="1" applyAlignment="1">
      <alignment horizontal="left" vertical="center"/>
    </xf>
    <xf numFmtId="0" fontId="63" fillId="0" borderId="0" xfId="0" applyFont="1" applyAlignment="1">
      <alignment horizontal="center" vertical="center"/>
    </xf>
    <xf numFmtId="0" fontId="109" fillId="3" borderId="2" xfId="0" applyFont="1" applyFill="1" applyBorder="1" applyAlignment="1">
      <alignment horizontal="center" vertical="center" wrapText="1"/>
    </xf>
    <xf numFmtId="0" fontId="109" fillId="3" borderId="3" xfId="0" applyFont="1" applyFill="1" applyBorder="1" applyAlignment="1">
      <alignment horizontal="center" vertical="center" wrapText="1"/>
    </xf>
    <xf numFmtId="0" fontId="110" fillId="0" borderId="2" xfId="0" applyFont="1" applyBorder="1" applyAlignment="1">
      <alignment horizontal="center" vertical="center" wrapText="1"/>
    </xf>
    <xf numFmtId="0" fontId="110" fillId="0" borderId="3" xfId="0" applyFont="1" applyBorder="1" applyAlignment="1">
      <alignment horizontal="center" vertical="center" wrapText="1"/>
    </xf>
    <xf numFmtId="0" fontId="110" fillId="0" borderId="4" xfId="0" applyFont="1" applyBorder="1" applyAlignment="1">
      <alignment horizontal="center" vertical="center" wrapText="1"/>
    </xf>
    <xf numFmtId="0" fontId="110" fillId="0" borderId="4" xfId="0" applyFont="1" applyBorder="1" applyAlignment="1">
      <alignment horizontal="left" vertical="center" wrapText="1"/>
    </xf>
    <xf numFmtId="0" fontId="111" fillId="0" borderId="0" xfId="0" applyFont="1" applyAlignment="1">
      <alignment horizontal="center"/>
    </xf>
    <xf numFmtId="0" fontId="61" fillId="0" borderId="2" xfId="0" applyFont="1" applyBorder="1" applyAlignment="1">
      <alignment horizontal="left" vertical="center" wrapText="1"/>
    </xf>
    <xf numFmtId="0" fontId="61" fillId="0" borderId="3" xfId="0" applyFont="1" applyBorder="1" applyAlignment="1">
      <alignment horizontal="left" vertical="center" wrapText="1"/>
    </xf>
    <xf numFmtId="0" fontId="61" fillId="0" borderId="4" xfId="0" applyFont="1" applyBorder="1" applyAlignment="1">
      <alignment horizontal="left" vertical="center" wrapText="1"/>
    </xf>
    <xf numFmtId="0" fontId="66" fillId="3" borderId="2" xfId="0" applyFont="1" applyFill="1" applyBorder="1" applyAlignment="1">
      <alignment horizontal="center" vertical="center" wrapText="1"/>
    </xf>
    <xf numFmtId="0" fontId="66" fillId="3" borderId="3" xfId="0" applyFont="1" applyFill="1" applyBorder="1" applyAlignment="1">
      <alignment horizontal="center" vertical="center" wrapText="1"/>
    </xf>
    <xf numFmtId="0" fontId="66" fillId="3" borderId="4" xfId="0" applyFont="1" applyFill="1" applyBorder="1" applyAlignment="1">
      <alignment horizontal="center" vertical="center" wrapText="1"/>
    </xf>
    <xf numFmtId="0" fontId="90" fillId="0" borderId="2" xfId="0" applyFont="1" applyBorder="1" applyAlignment="1">
      <alignment horizontal="left" vertical="center" wrapText="1"/>
    </xf>
    <xf numFmtId="0" fontId="90" fillId="0" borderId="3" xfId="0" applyFont="1" applyBorder="1" applyAlignment="1">
      <alignment horizontal="left" vertical="center" wrapText="1"/>
    </xf>
    <xf numFmtId="0" fontId="90" fillId="0" borderId="4" xfId="0" applyFont="1" applyBorder="1" applyAlignment="1">
      <alignment horizontal="left" vertical="center" wrapText="1"/>
    </xf>
    <xf numFmtId="0" fontId="75" fillId="0" borderId="2" xfId="0" applyFont="1" applyBorder="1" applyAlignment="1">
      <alignment horizontal="left" vertical="center" wrapText="1"/>
    </xf>
    <xf numFmtId="0" fontId="75" fillId="0" borderId="3" xfId="0" applyFont="1" applyBorder="1" applyAlignment="1">
      <alignment horizontal="left" vertical="center" wrapText="1"/>
    </xf>
    <xf numFmtId="0" fontId="75" fillId="0" borderId="4" xfId="0" applyFont="1" applyBorder="1" applyAlignment="1">
      <alignment horizontal="left" vertical="center" wrapText="1"/>
    </xf>
    <xf numFmtId="0" fontId="61" fillId="0" borderId="29" xfId="0" applyFont="1" applyBorder="1" applyAlignment="1">
      <alignment horizontal="center" vertical="center" wrapText="1"/>
    </xf>
    <xf numFmtId="0" fontId="61" fillId="0" borderId="36" xfId="0" applyFont="1" applyBorder="1" applyAlignment="1">
      <alignment horizontal="center" vertical="center" wrapText="1"/>
    </xf>
    <xf numFmtId="0" fontId="61" fillId="0" borderId="32" xfId="0" applyFont="1" applyBorder="1" applyAlignment="1">
      <alignment horizontal="center" vertical="center" wrapText="1"/>
    </xf>
    <xf numFmtId="0" fontId="75" fillId="0" borderId="2" xfId="0" applyFont="1" applyBorder="1" applyAlignment="1">
      <alignment horizontal="left" vertical="top" wrapText="1"/>
    </xf>
    <xf numFmtId="0" fontId="75" fillId="0" borderId="3" xfId="0" applyFont="1" applyBorder="1" applyAlignment="1">
      <alignment horizontal="left" vertical="top" wrapText="1"/>
    </xf>
    <xf numFmtId="0" fontId="75" fillId="0" borderId="4" xfId="0" applyFont="1" applyBorder="1" applyAlignment="1">
      <alignment horizontal="left" vertical="top" wrapText="1"/>
    </xf>
    <xf numFmtId="0" fontId="61" fillId="3" borderId="2" xfId="0" applyFont="1" applyFill="1" applyBorder="1" applyAlignment="1">
      <alignment horizontal="center" vertical="center" wrapText="1"/>
    </xf>
    <xf numFmtId="0" fontId="61" fillId="3" borderId="3" xfId="0" applyFont="1" applyFill="1" applyBorder="1" applyAlignment="1">
      <alignment horizontal="center" vertical="center" wrapText="1"/>
    </xf>
    <xf numFmtId="0" fontId="61" fillId="3" borderId="4" xfId="0" applyFont="1" applyFill="1" applyBorder="1" applyAlignment="1">
      <alignment horizontal="center" vertical="center" wrapText="1"/>
    </xf>
    <xf numFmtId="0" fontId="73" fillId="0" borderId="2" xfId="0" applyFont="1" applyBorder="1" applyAlignment="1">
      <alignment horizontal="left" vertical="center" wrapText="1"/>
    </xf>
    <xf numFmtId="0" fontId="73" fillId="0" borderId="3" xfId="0" applyFont="1" applyBorder="1" applyAlignment="1">
      <alignment horizontal="left" vertical="center" wrapText="1"/>
    </xf>
    <xf numFmtId="0" fontId="73" fillId="0" borderId="4" xfId="0" applyFont="1" applyBorder="1" applyAlignment="1">
      <alignment horizontal="left" vertical="center" wrapText="1"/>
    </xf>
    <xf numFmtId="0" fontId="64" fillId="0" borderId="0" xfId="0" applyFont="1" applyAlignment="1">
      <alignment horizontal="left" vertical="center" wrapText="1"/>
    </xf>
    <xf numFmtId="0" fontId="61" fillId="5" borderId="2" xfId="0" applyFont="1" applyFill="1" applyBorder="1" applyAlignment="1">
      <alignment horizontal="left" vertical="top" wrapText="1"/>
    </xf>
    <xf numFmtId="0" fontId="61" fillId="5" borderId="3" xfId="0" applyFont="1" applyFill="1" applyBorder="1" applyAlignment="1">
      <alignment horizontal="left" vertical="top" wrapText="1"/>
    </xf>
    <xf numFmtId="0" fontId="61" fillId="5" borderId="4" xfId="0" applyFont="1" applyFill="1" applyBorder="1" applyAlignment="1">
      <alignment horizontal="left" vertical="top" wrapText="1"/>
    </xf>
    <xf numFmtId="0" fontId="75" fillId="5" borderId="2" xfId="0" applyFont="1" applyFill="1" applyBorder="1" applyAlignment="1">
      <alignment horizontal="left" vertical="top" wrapText="1"/>
    </xf>
    <xf numFmtId="0" fontId="75" fillId="5" borderId="3" xfId="0" applyFont="1" applyFill="1" applyBorder="1" applyAlignment="1">
      <alignment horizontal="left" vertical="top" wrapText="1"/>
    </xf>
    <xf numFmtId="0" fontId="75" fillId="5" borderId="4" xfId="0" applyFont="1" applyFill="1" applyBorder="1" applyAlignment="1">
      <alignment horizontal="left" vertical="top" wrapText="1"/>
    </xf>
    <xf numFmtId="0" fontId="92" fillId="0" borderId="30" xfId="0" applyFont="1" applyBorder="1" applyAlignment="1">
      <alignment horizontal="left" vertical="top" wrapText="1"/>
    </xf>
    <xf numFmtId="0" fontId="104" fillId="0" borderId="36" xfId="0" applyFont="1" applyBorder="1" applyAlignment="1">
      <alignment horizontal="left" vertical="center" wrapText="1"/>
    </xf>
    <xf numFmtId="0" fontId="71" fillId="0" borderId="2" xfId="0" applyFont="1" applyBorder="1" applyAlignment="1">
      <alignment horizontal="left" vertical="top" wrapText="1"/>
    </xf>
    <xf numFmtId="0" fontId="71" fillId="0" borderId="3" xfId="0" applyFont="1" applyBorder="1" applyAlignment="1">
      <alignment horizontal="left" vertical="top" wrapText="1"/>
    </xf>
    <xf numFmtId="0" fontId="71" fillId="0" borderId="4" xfId="0" applyFont="1" applyBorder="1" applyAlignment="1">
      <alignment horizontal="left" vertical="top" wrapText="1"/>
    </xf>
    <xf numFmtId="0" fontId="97" fillId="0" borderId="2" xfId="0" applyFont="1" applyBorder="1" applyAlignment="1">
      <alignment horizontal="left" vertical="top" wrapText="1"/>
    </xf>
    <xf numFmtId="0" fontId="97" fillId="0" borderId="3" xfId="0" applyFont="1" applyBorder="1" applyAlignment="1">
      <alignment horizontal="left" vertical="top" wrapText="1"/>
    </xf>
    <xf numFmtId="0" fontId="97" fillId="0" borderId="4" xfId="0" applyFont="1" applyBorder="1" applyAlignment="1">
      <alignment horizontal="left" vertical="top" wrapText="1"/>
    </xf>
    <xf numFmtId="0" fontId="61" fillId="0" borderId="2" xfId="0" applyFont="1" applyBorder="1" applyAlignment="1">
      <alignment horizontal="left" vertical="top"/>
    </xf>
    <xf numFmtId="0" fontId="61" fillId="0" borderId="3" xfId="0" applyFont="1" applyBorder="1" applyAlignment="1">
      <alignment horizontal="left" vertical="top"/>
    </xf>
    <xf numFmtId="0" fontId="61" fillId="0" borderId="4" xfId="0" applyFont="1" applyBorder="1" applyAlignment="1">
      <alignment horizontal="left" vertical="top"/>
    </xf>
    <xf numFmtId="10" fontId="70" fillId="5" borderId="16" xfId="0" applyNumberFormat="1" applyFont="1" applyFill="1" applyBorder="1" applyAlignment="1">
      <alignment horizontal="center" vertical="center"/>
    </xf>
    <xf numFmtId="10" fontId="70" fillId="5" borderId="17" xfId="0" applyNumberFormat="1" applyFont="1" applyFill="1" applyBorder="1" applyAlignment="1">
      <alignment horizontal="center" vertical="center"/>
    </xf>
    <xf numFmtId="10" fontId="70" fillId="5" borderId="16" xfId="0" applyNumberFormat="1" applyFont="1" applyFill="1" applyBorder="1" applyAlignment="1">
      <alignment horizontal="center" vertical="top"/>
    </xf>
    <xf numFmtId="10" fontId="70" fillId="5" borderId="17" xfId="0" applyNumberFormat="1" applyFont="1" applyFill="1" applyBorder="1" applyAlignment="1">
      <alignment horizontal="center" vertical="top"/>
    </xf>
    <xf numFmtId="10" fontId="61" fillId="5" borderId="16" xfId="2" applyNumberFormat="1" applyFont="1" applyFill="1" applyBorder="1" applyAlignment="1">
      <alignment horizontal="center" vertical="center" wrapText="1"/>
    </xf>
    <xf numFmtId="10" fontId="61" fillId="5" borderId="17" xfId="2" applyNumberFormat="1" applyFont="1" applyFill="1" applyBorder="1" applyAlignment="1">
      <alignment horizontal="center" vertical="center" wrapText="1"/>
    </xf>
    <xf numFmtId="0" fontId="63" fillId="0" borderId="0" xfId="0" applyFont="1" applyAlignment="1">
      <alignment horizontal="center" vertical="top"/>
    </xf>
    <xf numFmtId="0" fontId="61" fillId="0" borderId="1" xfId="0" applyFont="1" applyBorder="1" applyAlignment="1">
      <alignment horizontal="center" vertical="center"/>
    </xf>
    <xf numFmtId="0" fontId="61" fillId="0" borderId="2" xfId="0" applyFont="1" applyBorder="1" applyAlignment="1">
      <alignment horizontal="center" vertical="center" wrapText="1"/>
    </xf>
    <xf numFmtId="0" fontId="61" fillId="0" borderId="3" xfId="0" applyFont="1" applyBorder="1" applyAlignment="1">
      <alignment horizontal="center" vertical="center" wrapText="1"/>
    </xf>
    <xf numFmtId="0" fontId="61" fillId="0" borderId="4" xfId="0" applyFont="1" applyBorder="1" applyAlignment="1">
      <alignment horizontal="center" vertical="center" wrapText="1"/>
    </xf>
    <xf numFmtId="0" fontId="4" fillId="0" borderId="2" xfId="0" applyFont="1" applyBorder="1" applyAlignment="1">
      <alignment horizontal="right" vertical="center"/>
    </xf>
    <xf numFmtId="0" fontId="4" fillId="0" borderId="3" xfId="0" applyFont="1" applyBorder="1" applyAlignment="1">
      <alignment horizontal="right" vertical="center"/>
    </xf>
    <xf numFmtId="0" fontId="4" fillId="0" borderId="4" xfId="0" applyFont="1" applyBorder="1" applyAlignment="1">
      <alignment horizontal="right" vertical="center"/>
    </xf>
    <xf numFmtId="0" fontId="2" fillId="2" borderId="2" xfId="0" applyFont="1" applyFill="1" applyBorder="1" applyAlignment="1">
      <alignment horizontal="center" vertical="center"/>
    </xf>
    <xf numFmtId="0" fontId="2" fillId="2" borderId="3" xfId="0" applyFont="1" applyFill="1" applyBorder="1" applyAlignment="1">
      <alignment horizontal="center" vertical="center"/>
    </xf>
    <xf numFmtId="0" fontId="2" fillId="2" borderId="4" xfId="0" applyFont="1" applyFill="1" applyBorder="1" applyAlignment="1">
      <alignment horizontal="center" vertical="center"/>
    </xf>
    <xf numFmtId="0" fontId="2" fillId="0" borderId="1" xfId="0" applyFont="1" applyBorder="1" applyAlignment="1">
      <alignment horizontal="center" vertical="center"/>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2" fillId="0" borderId="2" xfId="0" applyFont="1" applyBorder="1" applyAlignment="1">
      <alignment horizontal="left" vertical="center"/>
    </xf>
    <xf numFmtId="0" fontId="2" fillId="0" borderId="3" xfId="0" applyFont="1" applyBorder="1" applyAlignment="1">
      <alignment horizontal="left" vertical="center"/>
    </xf>
    <xf numFmtId="0" fontId="2" fillId="0" borderId="4" xfId="0" applyFont="1" applyBorder="1" applyAlignment="1">
      <alignment horizontal="left" vertical="center"/>
    </xf>
    <xf numFmtId="0" fontId="2" fillId="2" borderId="1" xfId="0" applyFont="1" applyFill="1" applyBorder="1" applyAlignment="1">
      <alignment horizontal="center" vertical="center"/>
    </xf>
    <xf numFmtId="0" fontId="2" fillId="2" borderId="29" xfId="0" applyFont="1" applyFill="1" applyBorder="1" applyAlignment="1">
      <alignment horizontal="left" vertical="top" wrapText="1"/>
    </xf>
    <xf numFmtId="0" fontId="2" fillId="2" borderId="30" xfId="0" applyFont="1" applyFill="1" applyBorder="1" applyAlignment="1">
      <alignment horizontal="left" vertical="top"/>
    </xf>
    <xf numFmtId="0" fontId="2" fillId="2" borderId="31" xfId="0" applyFont="1" applyFill="1" applyBorder="1" applyAlignment="1">
      <alignment horizontal="left" vertical="top"/>
    </xf>
    <xf numFmtId="0" fontId="2" fillId="2" borderId="32" xfId="0" applyFont="1" applyFill="1" applyBorder="1" applyAlignment="1">
      <alignment horizontal="left" vertical="top"/>
    </xf>
    <xf numFmtId="0" fontId="2" fillId="2" borderId="33" xfId="0" applyFont="1" applyFill="1" applyBorder="1" applyAlignment="1">
      <alignment horizontal="left" vertical="top"/>
    </xf>
    <xf numFmtId="0" fontId="2" fillId="2" borderId="34" xfId="0" applyFont="1" applyFill="1" applyBorder="1" applyAlignment="1">
      <alignment horizontal="left" vertical="top"/>
    </xf>
    <xf numFmtId="0" fontId="4" fillId="0" borderId="16" xfId="0" applyFont="1" applyBorder="1" applyAlignment="1">
      <alignment horizontal="center" vertical="center"/>
    </xf>
    <xf numFmtId="0" fontId="4" fillId="0" borderId="17" xfId="0" applyFont="1" applyBorder="1" applyAlignment="1">
      <alignment horizontal="center" vertical="center"/>
    </xf>
    <xf numFmtId="0" fontId="4" fillId="12" borderId="2" xfId="0" applyFont="1" applyFill="1" applyBorder="1" applyAlignment="1">
      <alignment horizontal="center"/>
    </xf>
    <xf numFmtId="0" fontId="4" fillId="12" borderId="3" xfId="0" applyFont="1" applyFill="1" applyBorder="1" applyAlignment="1">
      <alignment horizontal="center"/>
    </xf>
    <xf numFmtId="0" fontId="4" fillId="12" borderId="4" xfId="0" applyFont="1" applyFill="1" applyBorder="1" applyAlignment="1">
      <alignment horizontal="center"/>
    </xf>
    <xf numFmtId="0" fontId="4" fillId="18" borderId="1" xfId="0" applyFont="1" applyFill="1" applyBorder="1" applyAlignment="1">
      <alignment horizontal="center" vertical="center"/>
    </xf>
    <xf numFmtId="0" fontId="4" fillId="2" borderId="1" xfId="0" applyFont="1" applyFill="1" applyBorder="1" applyAlignment="1">
      <alignment horizontal="center" vertical="center"/>
    </xf>
    <xf numFmtId="0" fontId="4" fillId="13" borderId="1" xfId="0" applyFont="1" applyFill="1" applyBorder="1" applyAlignment="1">
      <alignment horizontal="center" vertical="center"/>
    </xf>
    <xf numFmtId="0" fontId="12" fillId="0" borderId="0" xfId="0" applyFont="1" applyAlignment="1">
      <alignment horizontal="left" vertical="center" wrapText="1"/>
    </xf>
    <xf numFmtId="0" fontId="52" fillId="0" borderId="33" xfId="0" applyFont="1" applyBorder="1" applyAlignment="1">
      <alignment horizontal="center"/>
    </xf>
  </cellXfs>
  <cellStyles count="5">
    <cellStyle name="Comma" xfId="1" builtinId="3"/>
    <cellStyle name="Comma 2" xfId="4" xr:uid="{0FF04BB4-A9C7-4C47-92C8-1D06BF054367}"/>
    <cellStyle name="Normal" xfId="0" builtinId="0"/>
    <cellStyle name="Normal 2" xfId="3" xr:uid="{3D774358-893B-44E9-8191-1B74180A0A5B}"/>
    <cellStyle name="Percent" xfId="2" builtinId="5"/>
  </cellStyles>
  <dxfs count="23">
    <dxf>
      <fill>
        <patternFill patternType="solid">
          <fgColor rgb="FFFF0000"/>
          <bgColor rgb="FF00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C00000"/>
      </font>
    </dxf>
    <dxf>
      <font>
        <color rgb="FF9C0006"/>
      </font>
      <fill>
        <patternFill>
          <bgColor rgb="FFFFC7CE"/>
        </patternFill>
      </fill>
    </dxf>
    <dxf>
      <font>
        <color rgb="FF9C0006"/>
      </font>
      <fill>
        <patternFill>
          <bgColor rgb="FFFFC7CE"/>
        </patternFill>
      </fill>
    </dxf>
    <dxf>
      <font>
        <color rgb="FFC00000"/>
      </font>
    </dxf>
    <dxf>
      <font>
        <color rgb="FF9C0006"/>
      </font>
      <fill>
        <patternFill>
          <bgColor rgb="FFFFC7CE"/>
        </patternFill>
      </fill>
    </dxf>
    <dxf>
      <font>
        <color rgb="FF9C0006"/>
      </font>
      <fill>
        <patternFill>
          <bgColor rgb="FFFFC7CE"/>
        </patternFill>
      </fill>
    </dxf>
    <dxf>
      <font>
        <color rgb="FFC00000"/>
      </font>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2110F8"/>
      <color rgb="FF99FF33"/>
      <color rgb="FF66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2.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tyles" Target="styles.xml"/><Relationship Id="rId36" Type="http://schemas.microsoft.com/office/2006/relationships/vbaProject" Target="vbaProject.bin"/><Relationship Id="rId10" Type="http://schemas.openxmlformats.org/officeDocument/2006/relationships/worksheet" Target="worksheets/sheet10.xml"/><Relationship Id="rId19" Type="http://schemas.openxmlformats.org/officeDocument/2006/relationships/worksheet" Target="worksheets/sheet19.xml"/><Relationship Id="rId31" Type="http://schemas.microsoft.com/office/2022/11/relationships/FeaturePropertyBag" Target="featurePropertyBag/featurePropertyBag.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theme" Target="theme/theme1.xml"/><Relationship Id="rId30" Type="http://schemas.microsoft.com/office/2017/10/relationships/person" Target="persons/person.xml"/><Relationship Id="rId35" Type="http://schemas.openxmlformats.org/officeDocument/2006/relationships/customXml" Target="../customXml/item3.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7</xdr:col>
      <xdr:colOff>380999</xdr:colOff>
      <xdr:row>50</xdr:row>
      <xdr:rowOff>81643</xdr:rowOff>
    </xdr:from>
    <xdr:to>
      <xdr:col>8</xdr:col>
      <xdr:colOff>687699</xdr:colOff>
      <xdr:row>53</xdr:row>
      <xdr:rowOff>121138</xdr:rowOff>
    </xdr:to>
    <xdr:grpSp>
      <xdr:nvGrpSpPr>
        <xdr:cNvPr id="2" name="Group 1">
          <a:extLst>
            <a:ext uri="{FF2B5EF4-FFF2-40B4-BE49-F238E27FC236}">
              <a16:creationId xmlns:a16="http://schemas.microsoft.com/office/drawing/2014/main" id="{4FB8B45B-820B-4351-B59C-671151D6C568}"/>
            </a:ext>
          </a:extLst>
        </xdr:cNvPr>
        <xdr:cNvGrpSpPr/>
      </xdr:nvGrpSpPr>
      <xdr:grpSpPr>
        <a:xfrm>
          <a:off x="5050970" y="12534900"/>
          <a:ext cx="1231986" cy="605552"/>
          <a:chOff x="2588317" y="17604686"/>
          <a:chExt cx="1283803" cy="650184"/>
        </a:xfrm>
      </xdr:grpSpPr>
      <xdr:sp macro="" textlink="">
        <xdr:nvSpPr>
          <xdr:cNvPr id="3" name="TextBox 2">
            <a:extLst>
              <a:ext uri="{FF2B5EF4-FFF2-40B4-BE49-F238E27FC236}">
                <a16:creationId xmlns:a16="http://schemas.microsoft.com/office/drawing/2014/main" id="{9665DCF6-EDD3-61E2-E12B-07DC08E229A2}"/>
              </a:ext>
            </a:extLst>
          </xdr:cNvPr>
          <xdr:cNvSpPr txBox="1"/>
        </xdr:nvSpPr>
        <xdr:spPr>
          <a:xfrm>
            <a:off x="2588317" y="17604686"/>
            <a:ext cx="1283803" cy="650184"/>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Proceed</a:t>
            </a:r>
          </a:p>
          <a:p>
            <a:endParaRPr lang="en-MY" sz="300" b="1">
              <a:solidFill>
                <a:sysClr val="windowText" lastClr="000000"/>
              </a:solidFill>
              <a:latin typeface="Calibri" panose="020F0502020204030204" pitchFamily="34" charset="0"/>
              <a:ea typeface="Calibri" panose="020F0502020204030204" pitchFamily="34" charset="0"/>
              <a:cs typeface="Calibri" panose="020F0502020204030204" pitchFamily="34" charset="0"/>
            </a:endParaRPr>
          </a:p>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Reject</a:t>
            </a:r>
            <a:endParaRPr lang="en-MY" sz="1100" u="none">
              <a:solidFill>
                <a:sysClr val="windowText" lastClr="000000"/>
              </a:solidFill>
            </a:endParaRPr>
          </a:p>
        </xdr:txBody>
      </xdr:sp>
      <xdr:sp macro="" textlink="">
        <xdr:nvSpPr>
          <xdr:cNvPr id="4" name="Rectangle 3">
            <a:extLst>
              <a:ext uri="{FF2B5EF4-FFF2-40B4-BE49-F238E27FC236}">
                <a16:creationId xmlns:a16="http://schemas.microsoft.com/office/drawing/2014/main" id="{5C2E6480-C9FE-ED88-FB4F-0F017CE3C3A9}"/>
              </a:ext>
            </a:extLst>
          </xdr:cNvPr>
          <xdr:cNvSpPr/>
        </xdr:nvSpPr>
        <xdr:spPr>
          <a:xfrm>
            <a:off x="3544662" y="17686032"/>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sp macro="" textlink="">
        <xdr:nvSpPr>
          <xdr:cNvPr id="5" name="Rectangle 4">
            <a:extLst>
              <a:ext uri="{FF2B5EF4-FFF2-40B4-BE49-F238E27FC236}">
                <a16:creationId xmlns:a16="http://schemas.microsoft.com/office/drawing/2014/main" id="{DEAC5DE5-4538-BE44-9F06-20E92BF60F7D}"/>
              </a:ext>
            </a:extLst>
          </xdr:cNvPr>
          <xdr:cNvSpPr/>
        </xdr:nvSpPr>
        <xdr:spPr>
          <a:xfrm>
            <a:off x="3543833" y="17987519"/>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grpSp>
    <xdr:clientData/>
  </xdr:twoCellAnchor>
  <xdr:twoCellAnchor>
    <xdr:from>
      <xdr:col>3</xdr:col>
      <xdr:colOff>183697</xdr:colOff>
      <xdr:row>92</xdr:row>
      <xdr:rowOff>110894</xdr:rowOff>
    </xdr:from>
    <xdr:to>
      <xdr:col>19</xdr:col>
      <xdr:colOff>2722</xdr:colOff>
      <xdr:row>100</xdr:row>
      <xdr:rowOff>93886</xdr:rowOff>
    </xdr:to>
    <xdr:grpSp>
      <xdr:nvGrpSpPr>
        <xdr:cNvPr id="6" name="Group 5">
          <a:extLst>
            <a:ext uri="{FF2B5EF4-FFF2-40B4-BE49-F238E27FC236}">
              <a16:creationId xmlns:a16="http://schemas.microsoft.com/office/drawing/2014/main" id="{F4DF35D4-973F-4F19-9374-4A44CAC5E38B}"/>
            </a:ext>
          </a:extLst>
        </xdr:cNvPr>
        <xdr:cNvGrpSpPr/>
      </xdr:nvGrpSpPr>
      <xdr:grpSpPr>
        <a:xfrm>
          <a:off x="1076326" y="21621065"/>
          <a:ext cx="16452396" cy="1463450"/>
          <a:chOff x="833438" y="361950"/>
          <a:chExt cx="11504524" cy="1142981"/>
        </a:xfrm>
      </xdr:grpSpPr>
      <xdr:sp macro="" textlink="">
        <xdr:nvSpPr>
          <xdr:cNvPr id="7" name="TextBox 6">
            <a:extLst>
              <a:ext uri="{FF2B5EF4-FFF2-40B4-BE49-F238E27FC236}">
                <a16:creationId xmlns:a16="http://schemas.microsoft.com/office/drawing/2014/main" id="{2271EE7A-022F-4DB1-2D21-6362996B0D9E}"/>
              </a:ext>
            </a:extLst>
          </xdr:cNvPr>
          <xdr:cNvSpPr txBox="1"/>
        </xdr:nvSpPr>
        <xdr:spPr>
          <a:xfrm>
            <a:off x="833438" y="361950"/>
            <a:ext cx="3706448" cy="1142981"/>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100" b="1">
                <a:solidFill>
                  <a:sysClr val="windowText" lastClr="000000"/>
                </a:solidFill>
              </a:rPr>
              <a:t>Credit</a:t>
            </a:r>
            <a:r>
              <a:rPr lang="en-MY" sz="1100" b="1" baseline="0">
                <a:solidFill>
                  <a:sysClr val="windowText" lastClr="000000"/>
                </a:solidFill>
              </a:rPr>
              <a:t> Analyst 1: </a:t>
            </a:r>
            <a:r>
              <a:rPr lang="en-MY" sz="1100" b="1">
                <a:solidFill>
                  <a:sysClr val="windowText" lastClr="000000"/>
                </a:solidFill>
              </a:rPr>
              <a:t>Maker</a:t>
            </a:r>
          </a:p>
          <a:p>
            <a:r>
              <a:rPr lang="en-MY" sz="1100" b="1">
                <a:solidFill>
                  <a:sysClr val="windowText" lastClr="000000"/>
                </a:solidFill>
              </a:rPr>
              <a:t>Name: Lim Kian Hou </a:t>
            </a:r>
          </a:p>
          <a:p>
            <a:r>
              <a:rPr lang="en-MY" sz="1100" b="1">
                <a:solidFill>
                  <a:sysClr val="windowText" lastClr="000000"/>
                </a:solidFill>
              </a:rPr>
              <a:t>Signature: </a:t>
            </a:r>
          </a:p>
          <a:p>
            <a:endParaRPr lang="en-MY" sz="1100">
              <a:solidFill>
                <a:sysClr val="windowText" lastClr="000000"/>
              </a:solidFill>
            </a:endParaRPr>
          </a:p>
          <a:p>
            <a:endParaRPr lang="en-MY" sz="1100" b="1" u="none">
              <a:solidFill>
                <a:sysClr val="windowText" lastClr="000000"/>
              </a:solidFill>
            </a:endParaRPr>
          </a:p>
          <a:p>
            <a:endParaRPr lang="en-MY" sz="1100" b="1" u="none">
              <a:solidFill>
                <a:sysClr val="windowText" lastClr="000000"/>
              </a:solidFill>
            </a:endParaRPr>
          </a:p>
          <a:p>
            <a:r>
              <a:rPr lang="en-MY" sz="1100" b="1" u="none">
                <a:solidFill>
                  <a:sysClr val="windowText" lastClr="000000"/>
                </a:solidFill>
              </a:rPr>
              <a:t>Date:</a:t>
            </a:r>
          </a:p>
          <a:p>
            <a:endParaRPr lang="en-MY" sz="1100" u="none">
              <a:solidFill>
                <a:sysClr val="windowText" lastClr="000000"/>
              </a:solidFill>
            </a:endParaRPr>
          </a:p>
          <a:p>
            <a:endParaRPr lang="en-MY" sz="1100" u="none">
              <a:solidFill>
                <a:sysClr val="windowText" lastClr="000000"/>
              </a:solidFill>
            </a:endParaRPr>
          </a:p>
        </xdr:txBody>
      </xdr:sp>
      <xdr:sp macro="" textlink="">
        <xdr:nvSpPr>
          <xdr:cNvPr id="8" name="TextBox 7">
            <a:extLst>
              <a:ext uri="{FF2B5EF4-FFF2-40B4-BE49-F238E27FC236}">
                <a16:creationId xmlns:a16="http://schemas.microsoft.com/office/drawing/2014/main" id="{C2A54CC3-C379-94CC-3EFE-FFBDF20443E6}"/>
              </a:ext>
            </a:extLst>
          </xdr:cNvPr>
          <xdr:cNvSpPr txBox="1"/>
        </xdr:nvSpPr>
        <xdr:spPr>
          <a:xfrm>
            <a:off x="4733925" y="361950"/>
            <a:ext cx="3706448" cy="1142981"/>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100" b="1">
                <a:solidFill>
                  <a:sysClr val="windowText" lastClr="000000"/>
                </a:solidFill>
              </a:rPr>
              <a:t>Credit</a:t>
            </a:r>
            <a:r>
              <a:rPr lang="en-MY" sz="1100" b="1" baseline="0">
                <a:solidFill>
                  <a:sysClr val="windowText" lastClr="000000"/>
                </a:solidFill>
              </a:rPr>
              <a:t> Analyst 2: </a:t>
            </a:r>
            <a:r>
              <a:rPr lang="en-MY" sz="1100" b="1">
                <a:solidFill>
                  <a:sysClr val="windowText" lastClr="000000"/>
                </a:solidFill>
              </a:rPr>
              <a:t>Checker</a:t>
            </a:r>
            <a:endParaRPr lang="en-MY" sz="1100" b="1" baseline="0">
              <a:solidFill>
                <a:sysClr val="windowText" lastClr="000000"/>
              </a:solidFill>
              <a:effectLst/>
              <a:latin typeface="+mn-lt"/>
              <a:ea typeface="+mn-ea"/>
              <a:cs typeface="+mn-cs"/>
            </a:endParaRPr>
          </a:p>
          <a:p>
            <a:r>
              <a:rPr lang="en-MY" sz="1100" b="1">
                <a:solidFill>
                  <a:sysClr val="windowText" lastClr="000000"/>
                </a:solidFill>
                <a:effectLst/>
                <a:latin typeface="+mn-lt"/>
                <a:ea typeface="+mn-ea"/>
                <a:cs typeface="+mn-cs"/>
              </a:rPr>
              <a:t>Name: Siew Weng Sheng </a:t>
            </a:r>
          </a:p>
          <a:p>
            <a:r>
              <a:rPr lang="en-MY" sz="1100" b="1">
                <a:solidFill>
                  <a:sysClr val="windowText" lastClr="000000"/>
                </a:solidFill>
                <a:effectLst/>
                <a:latin typeface="+mn-lt"/>
                <a:ea typeface="+mn-ea"/>
                <a:cs typeface="+mn-cs"/>
              </a:rPr>
              <a:t>Signature</a:t>
            </a:r>
            <a:r>
              <a:rPr lang="en-MY" sz="1100" b="1">
                <a:solidFill>
                  <a:sysClr val="windowText" lastClr="000000"/>
                </a:solidFill>
              </a:rPr>
              <a:t>: </a:t>
            </a:r>
          </a:p>
          <a:p>
            <a:endParaRPr lang="en-MY" sz="1100">
              <a:solidFill>
                <a:sysClr val="windowText" lastClr="000000"/>
              </a:solidFill>
            </a:endParaRPr>
          </a:p>
          <a:p>
            <a:endParaRPr lang="en-MY" sz="1100" b="1" u="none">
              <a:solidFill>
                <a:sysClr val="windowText" lastClr="000000"/>
              </a:solidFill>
            </a:endParaRPr>
          </a:p>
          <a:p>
            <a:endParaRPr lang="en-MY" sz="1100" b="1" u="none">
              <a:solidFill>
                <a:sysClr val="windowText" lastClr="000000"/>
              </a:solidFill>
            </a:endParaRPr>
          </a:p>
          <a:p>
            <a:r>
              <a:rPr lang="en-MY" sz="1100" b="1" u="none">
                <a:solidFill>
                  <a:sysClr val="windowText" lastClr="000000"/>
                </a:solidFill>
              </a:rPr>
              <a:t>Date:</a:t>
            </a:r>
          </a:p>
          <a:p>
            <a:endParaRPr lang="en-MY" sz="1100" u="none">
              <a:solidFill>
                <a:sysClr val="windowText" lastClr="000000"/>
              </a:solidFill>
            </a:endParaRPr>
          </a:p>
          <a:p>
            <a:endParaRPr lang="en-MY" sz="1100" u="none">
              <a:solidFill>
                <a:sysClr val="windowText" lastClr="000000"/>
              </a:solidFill>
            </a:endParaRPr>
          </a:p>
        </xdr:txBody>
      </xdr:sp>
      <xdr:sp macro="" textlink="">
        <xdr:nvSpPr>
          <xdr:cNvPr id="9" name="TextBox 8">
            <a:extLst>
              <a:ext uri="{FF2B5EF4-FFF2-40B4-BE49-F238E27FC236}">
                <a16:creationId xmlns:a16="http://schemas.microsoft.com/office/drawing/2014/main" id="{59DB4C58-94DD-ADAE-CF9B-20223BFD6FAB}"/>
              </a:ext>
            </a:extLst>
          </xdr:cNvPr>
          <xdr:cNvSpPr txBox="1"/>
        </xdr:nvSpPr>
        <xdr:spPr>
          <a:xfrm>
            <a:off x="8634413" y="361950"/>
            <a:ext cx="3703549" cy="1142981"/>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100" b="1">
                <a:solidFill>
                  <a:sysClr val="windowText" lastClr="000000"/>
                </a:solidFill>
                <a:effectLst/>
                <a:latin typeface="+mn-lt"/>
                <a:ea typeface="+mn-ea"/>
                <a:cs typeface="+mn-cs"/>
              </a:rPr>
              <a:t>Approval</a:t>
            </a:r>
            <a:r>
              <a:rPr lang="en-MY" sz="1100" b="1" baseline="0">
                <a:solidFill>
                  <a:sysClr val="windowText" lastClr="000000"/>
                </a:solidFill>
                <a:effectLst/>
                <a:latin typeface="+mn-lt"/>
                <a:ea typeface="+mn-ea"/>
                <a:cs typeface="+mn-cs"/>
              </a:rPr>
              <a:t> by Chief Credit Officer</a:t>
            </a:r>
          </a:p>
          <a:p>
            <a:r>
              <a:rPr lang="en-MY" sz="1100" b="1">
                <a:solidFill>
                  <a:sysClr val="windowText" lastClr="000000"/>
                </a:solidFill>
                <a:effectLst/>
                <a:latin typeface="+mn-lt"/>
                <a:ea typeface="+mn-ea"/>
                <a:cs typeface="+mn-cs"/>
              </a:rPr>
              <a:t>Name: Fong Keng Mun</a:t>
            </a:r>
            <a:endParaRPr lang="en-MY">
              <a:solidFill>
                <a:sysClr val="windowText" lastClr="000000"/>
              </a:solidFill>
              <a:effectLst/>
            </a:endParaRPr>
          </a:p>
          <a:p>
            <a:r>
              <a:rPr lang="en-MY" sz="1100" b="1">
                <a:solidFill>
                  <a:sysClr val="windowText" lastClr="000000"/>
                </a:solidFill>
                <a:effectLst/>
                <a:latin typeface="+mn-lt"/>
                <a:ea typeface="+mn-ea"/>
                <a:cs typeface="+mn-cs"/>
              </a:rPr>
              <a:t>Signature: </a:t>
            </a:r>
            <a:endParaRPr lang="en-MY">
              <a:solidFill>
                <a:sysClr val="windowText" lastClr="000000"/>
              </a:solidFill>
              <a:effectLst/>
            </a:endParaRPr>
          </a:p>
          <a:p>
            <a:endParaRPr lang="en-MY" sz="1100">
              <a:solidFill>
                <a:sysClr val="windowText" lastClr="000000"/>
              </a:solidFill>
            </a:endParaRPr>
          </a:p>
          <a:p>
            <a:endParaRPr lang="en-MY" sz="1100" b="1" u="none">
              <a:solidFill>
                <a:sysClr val="windowText" lastClr="000000"/>
              </a:solidFill>
            </a:endParaRPr>
          </a:p>
          <a:p>
            <a:endParaRPr lang="en-MY" sz="1100" b="1" u="none">
              <a:solidFill>
                <a:sysClr val="windowText" lastClr="000000"/>
              </a:solidFill>
            </a:endParaRPr>
          </a:p>
          <a:p>
            <a:r>
              <a:rPr lang="en-MY" sz="1100" b="1" u="none">
                <a:solidFill>
                  <a:sysClr val="windowText" lastClr="000000"/>
                </a:solidFill>
              </a:rPr>
              <a:t>Date:</a:t>
            </a:r>
          </a:p>
          <a:p>
            <a:endParaRPr lang="en-MY" sz="1100" u="none">
              <a:solidFill>
                <a:sysClr val="windowText" lastClr="000000"/>
              </a:solidFill>
            </a:endParaRPr>
          </a:p>
          <a:p>
            <a:endParaRPr lang="en-MY" sz="1100" u="none">
              <a:solidFill>
                <a:sysClr val="windowText" lastClr="000000"/>
              </a:solidFill>
            </a:endParaRPr>
          </a:p>
        </xdr:txBody>
      </xdr:sp>
    </xdr:grpSp>
    <xdr:clientData/>
  </xdr:twoCellAnchor>
  <xdr:oneCellAnchor>
    <xdr:from>
      <xdr:col>14</xdr:col>
      <xdr:colOff>1194958</xdr:colOff>
      <xdr:row>0</xdr:row>
      <xdr:rowOff>164523</xdr:rowOff>
    </xdr:from>
    <xdr:ext cx="2310765" cy="526252"/>
    <xdr:pic>
      <xdr:nvPicPr>
        <xdr:cNvPr id="10" name="Picture 9">
          <a:extLst>
            <a:ext uri="{FF2B5EF4-FFF2-40B4-BE49-F238E27FC236}">
              <a16:creationId xmlns:a16="http://schemas.microsoft.com/office/drawing/2014/main" id="{0B63BD34-59A5-4237-A3FB-3DBFAC85ECF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12824983" y="164523"/>
          <a:ext cx="2310765" cy="526252"/>
        </a:xfrm>
        <a:prstGeom prst="rect">
          <a:avLst/>
        </a:prstGeom>
      </xdr:spPr>
    </xdr:pic>
    <xdr:clientData/>
  </xdr:oneCellAnchor>
  <xdr:twoCellAnchor>
    <xdr:from>
      <xdr:col>3</xdr:col>
      <xdr:colOff>206803</xdr:colOff>
      <xdr:row>74</xdr:row>
      <xdr:rowOff>12564</xdr:rowOff>
    </xdr:from>
    <xdr:to>
      <xdr:col>11</xdr:col>
      <xdr:colOff>1599377</xdr:colOff>
      <xdr:row>77</xdr:row>
      <xdr:rowOff>16007</xdr:rowOff>
    </xdr:to>
    <xdr:grpSp>
      <xdr:nvGrpSpPr>
        <xdr:cNvPr id="11" name="Group 10">
          <a:extLst>
            <a:ext uri="{FF2B5EF4-FFF2-40B4-BE49-F238E27FC236}">
              <a16:creationId xmlns:a16="http://schemas.microsoft.com/office/drawing/2014/main" id="{5D79FAD7-6AF3-40EE-BA9A-6B43456BE61F}"/>
            </a:ext>
          </a:extLst>
        </xdr:cNvPr>
        <xdr:cNvGrpSpPr/>
      </xdr:nvGrpSpPr>
      <xdr:grpSpPr>
        <a:xfrm>
          <a:off x="1099432" y="17788935"/>
          <a:ext cx="8871059" cy="656586"/>
          <a:chOff x="1084464" y="16074116"/>
          <a:chExt cx="9175860" cy="628652"/>
        </a:xfrm>
      </xdr:grpSpPr>
      <xdr:grpSp>
        <xdr:nvGrpSpPr>
          <xdr:cNvPr id="12" name="Group 11">
            <a:extLst>
              <a:ext uri="{FF2B5EF4-FFF2-40B4-BE49-F238E27FC236}">
                <a16:creationId xmlns:a16="http://schemas.microsoft.com/office/drawing/2014/main" id="{4BAB5028-AB48-7869-682C-C1A0D4B2C1F1}"/>
              </a:ext>
            </a:extLst>
          </xdr:cNvPr>
          <xdr:cNvGrpSpPr/>
        </xdr:nvGrpSpPr>
        <xdr:grpSpPr>
          <a:xfrm>
            <a:off x="8831036" y="16078198"/>
            <a:ext cx="1429288" cy="624570"/>
            <a:chOff x="2588317" y="17604686"/>
            <a:chExt cx="1283803" cy="650184"/>
          </a:xfrm>
        </xdr:grpSpPr>
        <xdr:sp macro="" textlink="">
          <xdr:nvSpPr>
            <xdr:cNvPr id="17" name="TextBox 16">
              <a:extLst>
                <a:ext uri="{FF2B5EF4-FFF2-40B4-BE49-F238E27FC236}">
                  <a16:creationId xmlns:a16="http://schemas.microsoft.com/office/drawing/2014/main" id="{549EB79C-C3F0-7AA0-78FE-62A84DA9081F}"/>
                </a:ext>
              </a:extLst>
            </xdr:cNvPr>
            <xdr:cNvSpPr txBox="1"/>
          </xdr:nvSpPr>
          <xdr:spPr>
            <a:xfrm>
              <a:off x="2588317" y="17604686"/>
              <a:ext cx="1283803" cy="650184"/>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Proceed</a:t>
              </a:r>
            </a:p>
            <a:p>
              <a:endParaRPr lang="en-MY" sz="300" b="1">
                <a:solidFill>
                  <a:sysClr val="windowText" lastClr="000000"/>
                </a:solidFill>
                <a:latin typeface="Calibri" panose="020F0502020204030204" pitchFamily="34" charset="0"/>
                <a:ea typeface="Calibri" panose="020F0502020204030204" pitchFamily="34" charset="0"/>
                <a:cs typeface="Calibri" panose="020F0502020204030204" pitchFamily="34" charset="0"/>
              </a:endParaRPr>
            </a:p>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Reject</a:t>
              </a:r>
              <a:endParaRPr lang="en-MY" sz="1100" u="none">
                <a:solidFill>
                  <a:sysClr val="windowText" lastClr="000000"/>
                </a:solidFill>
              </a:endParaRPr>
            </a:p>
          </xdr:txBody>
        </xdr:sp>
        <xdr:sp macro="" textlink="">
          <xdr:nvSpPr>
            <xdr:cNvPr id="18" name="Rectangle 17">
              <a:extLst>
                <a:ext uri="{FF2B5EF4-FFF2-40B4-BE49-F238E27FC236}">
                  <a16:creationId xmlns:a16="http://schemas.microsoft.com/office/drawing/2014/main" id="{9D5E2208-30E4-2BC2-A26A-F9801DB26CCB}"/>
                </a:ext>
              </a:extLst>
            </xdr:cNvPr>
            <xdr:cNvSpPr/>
          </xdr:nvSpPr>
          <xdr:spPr>
            <a:xfrm>
              <a:off x="3544662" y="17686032"/>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sp macro="" textlink="">
          <xdr:nvSpPr>
            <xdr:cNvPr id="19" name="Rectangle 18">
              <a:extLst>
                <a:ext uri="{FF2B5EF4-FFF2-40B4-BE49-F238E27FC236}">
                  <a16:creationId xmlns:a16="http://schemas.microsoft.com/office/drawing/2014/main" id="{91B757CB-ED93-245D-FC57-A408CC15584B}"/>
                </a:ext>
              </a:extLst>
            </xdr:cNvPr>
            <xdr:cNvSpPr/>
          </xdr:nvSpPr>
          <xdr:spPr>
            <a:xfrm>
              <a:off x="3543833" y="17987519"/>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grpSp>
      <xdr:grpSp>
        <xdr:nvGrpSpPr>
          <xdr:cNvPr id="13" name="Group 12">
            <a:extLst>
              <a:ext uri="{FF2B5EF4-FFF2-40B4-BE49-F238E27FC236}">
                <a16:creationId xmlns:a16="http://schemas.microsoft.com/office/drawing/2014/main" id="{A1C76313-CF73-2C6D-C0B7-3D1015B7A192}"/>
              </a:ext>
            </a:extLst>
          </xdr:cNvPr>
          <xdr:cNvGrpSpPr/>
        </xdr:nvGrpSpPr>
        <xdr:grpSpPr>
          <a:xfrm>
            <a:off x="1084464" y="16074116"/>
            <a:ext cx="1429288" cy="624570"/>
            <a:chOff x="2588317" y="17604686"/>
            <a:chExt cx="1283803" cy="650184"/>
          </a:xfrm>
        </xdr:grpSpPr>
        <xdr:sp macro="" textlink="">
          <xdr:nvSpPr>
            <xdr:cNvPr id="14" name="TextBox 13">
              <a:extLst>
                <a:ext uri="{FF2B5EF4-FFF2-40B4-BE49-F238E27FC236}">
                  <a16:creationId xmlns:a16="http://schemas.microsoft.com/office/drawing/2014/main" id="{F03A2CAD-A183-7754-91A2-3CEED6FEC044}"/>
                </a:ext>
              </a:extLst>
            </xdr:cNvPr>
            <xdr:cNvSpPr txBox="1"/>
          </xdr:nvSpPr>
          <xdr:spPr>
            <a:xfrm>
              <a:off x="2588317" y="17604686"/>
              <a:ext cx="1283803" cy="650184"/>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Proceed</a:t>
              </a:r>
            </a:p>
            <a:p>
              <a:endParaRPr lang="en-MY" sz="300" b="1">
                <a:solidFill>
                  <a:sysClr val="windowText" lastClr="000000"/>
                </a:solidFill>
                <a:latin typeface="Calibri" panose="020F0502020204030204" pitchFamily="34" charset="0"/>
                <a:ea typeface="Calibri" panose="020F0502020204030204" pitchFamily="34" charset="0"/>
                <a:cs typeface="Calibri" panose="020F0502020204030204" pitchFamily="34" charset="0"/>
              </a:endParaRPr>
            </a:p>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Reject</a:t>
              </a:r>
              <a:endParaRPr lang="en-MY" sz="1100" u="none">
                <a:solidFill>
                  <a:sysClr val="windowText" lastClr="000000"/>
                </a:solidFill>
              </a:endParaRPr>
            </a:p>
          </xdr:txBody>
        </xdr:sp>
        <xdr:sp macro="" textlink="">
          <xdr:nvSpPr>
            <xdr:cNvPr id="15" name="Rectangle 14">
              <a:extLst>
                <a:ext uri="{FF2B5EF4-FFF2-40B4-BE49-F238E27FC236}">
                  <a16:creationId xmlns:a16="http://schemas.microsoft.com/office/drawing/2014/main" id="{AB0709A0-C908-7DE7-3279-634513A10CF1}"/>
                </a:ext>
              </a:extLst>
            </xdr:cNvPr>
            <xdr:cNvSpPr/>
          </xdr:nvSpPr>
          <xdr:spPr>
            <a:xfrm>
              <a:off x="3544662" y="17686032"/>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sp macro="" textlink="">
          <xdr:nvSpPr>
            <xdr:cNvPr id="16" name="Rectangle 15">
              <a:extLst>
                <a:ext uri="{FF2B5EF4-FFF2-40B4-BE49-F238E27FC236}">
                  <a16:creationId xmlns:a16="http://schemas.microsoft.com/office/drawing/2014/main" id="{685CCD7B-47C2-DEA9-3BE4-2544F309DAD9}"/>
                </a:ext>
              </a:extLst>
            </xdr:cNvPr>
            <xdr:cNvSpPr/>
          </xdr:nvSpPr>
          <xdr:spPr>
            <a:xfrm>
              <a:off x="3543833" y="17987519"/>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grpSp>
    </xdr:grpSp>
    <xdr:clientData/>
  </xdr:twoCellAnchor>
  <xdr:twoCellAnchor>
    <xdr:from>
      <xdr:col>3</xdr:col>
      <xdr:colOff>204107</xdr:colOff>
      <xdr:row>83</xdr:row>
      <xdr:rowOff>54424</xdr:rowOff>
    </xdr:from>
    <xdr:to>
      <xdr:col>11</xdr:col>
      <xdr:colOff>1596681</xdr:colOff>
      <xdr:row>86</xdr:row>
      <xdr:rowOff>186416</xdr:rowOff>
    </xdr:to>
    <xdr:grpSp>
      <xdr:nvGrpSpPr>
        <xdr:cNvPr id="20" name="Group 19">
          <a:extLst>
            <a:ext uri="{FF2B5EF4-FFF2-40B4-BE49-F238E27FC236}">
              <a16:creationId xmlns:a16="http://schemas.microsoft.com/office/drawing/2014/main" id="{4E7D76F7-708A-4DCA-B142-E39146373239}"/>
            </a:ext>
          </a:extLst>
        </xdr:cNvPr>
        <xdr:cNvGrpSpPr/>
      </xdr:nvGrpSpPr>
      <xdr:grpSpPr>
        <a:xfrm>
          <a:off x="1096736" y="19703138"/>
          <a:ext cx="8871059" cy="785135"/>
          <a:chOff x="1084464" y="16074116"/>
          <a:chExt cx="9175860" cy="628652"/>
        </a:xfrm>
      </xdr:grpSpPr>
      <xdr:grpSp>
        <xdr:nvGrpSpPr>
          <xdr:cNvPr id="21" name="Group 20">
            <a:extLst>
              <a:ext uri="{FF2B5EF4-FFF2-40B4-BE49-F238E27FC236}">
                <a16:creationId xmlns:a16="http://schemas.microsoft.com/office/drawing/2014/main" id="{EBA21A63-3183-442B-A756-CF7356CE265A}"/>
              </a:ext>
            </a:extLst>
          </xdr:cNvPr>
          <xdr:cNvGrpSpPr/>
        </xdr:nvGrpSpPr>
        <xdr:grpSpPr>
          <a:xfrm>
            <a:off x="8831036" y="16078198"/>
            <a:ext cx="1429288" cy="624570"/>
            <a:chOff x="2588317" y="17604686"/>
            <a:chExt cx="1283803" cy="650184"/>
          </a:xfrm>
        </xdr:grpSpPr>
        <xdr:sp macro="" textlink="">
          <xdr:nvSpPr>
            <xdr:cNvPr id="26" name="TextBox 25">
              <a:extLst>
                <a:ext uri="{FF2B5EF4-FFF2-40B4-BE49-F238E27FC236}">
                  <a16:creationId xmlns:a16="http://schemas.microsoft.com/office/drawing/2014/main" id="{FDEE1024-EA99-4EAF-4E1A-236361ED345F}"/>
                </a:ext>
              </a:extLst>
            </xdr:cNvPr>
            <xdr:cNvSpPr txBox="1"/>
          </xdr:nvSpPr>
          <xdr:spPr>
            <a:xfrm>
              <a:off x="2588317" y="17604686"/>
              <a:ext cx="1283803" cy="650184"/>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Proceed</a:t>
              </a:r>
            </a:p>
            <a:p>
              <a:endParaRPr lang="en-MY" sz="300" b="1">
                <a:solidFill>
                  <a:sysClr val="windowText" lastClr="000000"/>
                </a:solidFill>
                <a:latin typeface="Calibri" panose="020F0502020204030204" pitchFamily="34" charset="0"/>
                <a:ea typeface="Calibri" panose="020F0502020204030204" pitchFamily="34" charset="0"/>
                <a:cs typeface="Calibri" panose="020F0502020204030204" pitchFamily="34" charset="0"/>
              </a:endParaRPr>
            </a:p>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Reject</a:t>
              </a:r>
              <a:endParaRPr lang="en-MY" sz="1100" u="none">
                <a:solidFill>
                  <a:sysClr val="windowText" lastClr="000000"/>
                </a:solidFill>
              </a:endParaRPr>
            </a:p>
          </xdr:txBody>
        </xdr:sp>
        <xdr:sp macro="" textlink="">
          <xdr:nvSpPr>
            <xdr:cNvPr id="27" name="Rectangle 26">
              <a:extLst>
                <a:ext uri="{FF2B5EF4-FFF2-40B4-BE49-F238E27FC236}">
                  <a16:creationId xmlns:a16="http://schemas.microsoft.com/office/drawing/2014/main" id="{731F723F-3464-FB05-AB5B-7C4DF19A7A1B}"/>
                </a:ext>
              </a:extLst>
            </xdr:cNvPr>
            <xdr:cNvSpPr/>
          </xdr:nvSpPr>
          <xdr:spPr>
            <a:xfrm>
              <a:off x="3544662" y="17686032"/>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sp macro="" textlink="">
          <xdr:nvSpPr>
            <xdr:cNvPr id="28" name="Rectangle 27">
              <a:extLst>
                <a:ext uri="{FF2B5EF4-FFF2-40B4-BE49-F238E27FC236}">
                  <a16:creationId xmlns:a16="http://schemas.microsoft.com/office/drawing/2014/main" id="{B52696E9-F1B2-57C3-590F-7ED3F613D83A}"/>
                </a:ext>
              </a:extLst>
            </xdr:cNvPr>
            <xdr:cNvSpPr/>
          </xdr:nvSpPr>
          <xdr:spPr>
            <a:xfrm>
              <a:off x="3543833" y="17987519"/>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grpSp>
      <xdr:grpSp>
        <xdr:nvGrpSpPr>
          <xdr:cNvPr id="22" name="Group 21">
            <a:extLst>
              <a:ext uri="{FF2B5EF4-FFF2-40B4-BE49-F238E27FC236}">
                <a16:creationId xmlns:a16="http://schemas.microsoft.com/office/drawing/2014/main" id="{20D9F7B0-55DA-B1C7-34A5-FCEC85CED43C}"/>
              </a:ext>
            </a:extLst>
          </xdr:cNvPr>
          <xdr:cNvGrpSpPr/>
        </xdr:nvGrpSpPr>
        <xdr:grpSpPr>
          <a:xfrm>
            <a:off x="1084464" y="16074116"/>
            <a:ext cx="1429288" cy="624570"/>
            <a:chOff x="2588317" y="17604686"/>
            <a:chExt cx="1283803" cy="650184"/>
          </a:xfrm>
        </xdr:grpSpPr>
        <xdr:sp macro="" textlink="">
          <xdr:nvSpPr>
            <xdr:cNvPr id="23" name="TextBox 22">
              <a:extLst>
                <a:ext uri="{FF2B5EF4-FFF2-40B4-BE49-F238E27FC236}">
                  <a16:creationId xmlns:a16="http://schemas.microsoft.com/office/drawing/2014/main" id="{5EA0DA47-7DA8-8CEC-92CA-C8081B3AFB02}"/>
                </a:ext>
              </a:extLst>
            </xdr:cNvPr>
            <xdr:cNvSpPr txBox="1"/>
          </xdr:nvSpPr>
          <xdr:spPr>
            <a:xfrm>
              <a:off x="2588317" y="17604686"/>
              <a:ext cx="1283803" cy="650184"/>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Proceed</a:t>
              </a:r>
            </a:p>
            <a:p>
              <a:endParaRPr lang="en-MY" sz="300" b="1">
                <a:solidFill>
                  <a:sysClr val="windowText" lastClr="000000"/>
                </a:solidFill>
                <a:latin typeface="Calibri" panose="020F0502020204030204" pitchFamily="34" charset="0"/>
                <a:ea typeface="Calibri" panose="020F0502020204030204" pitchFamily="34" charset="0"/>
                <a:cs typeface="Calibri" panose="020F0502020204030204" pitchFamily="34" charset="0"/>
              </a:endParaRPr>
            </a:p>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Reject</a:t>
              </a:r>
              <a:endParaRPr lang="en-MY" sz="1100" u="none">
                <a:solidFill>
                  <a:sysClr val="windowText" lastClr="000000"/>
                </a:solidFill>
              </a:endParaRPr>
            </a:p>
          </xdr:txBody>
        </xdr:sp>
        <xdr:sp macro="" textlink="">
          <xdr:nvSpPr>
            <xdr:cNvPr id="24" name="Rectangle 23">
              <a:extLst>
                <a:ext uri="{FF2B5EF4-FFF2-40B4-BE49-F238E27FC236}">
                  <a16:creationId xmlns:a16="http://schemas.microsoft.com/office/drawing/2014/main" id="{A2162DDA-EA7A-35C6-E4FD-F801702053BE}"/>
                </a:ext>
              </a:extLst>
            </xdr:cNvPr>
            <xdr:cNvSpPr/>
          </xdr:nvSpPr>
          <xdr:spPr>
            <a:xfrm>
              <a:off x="3544662" y="17686032"/>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sp macro="" textlink="">
          <xdr:nvSpPr>
            <xdr:cNvPr id="25" name="Rectangle 24">
              <a:extLst>
                <a:ext uri="{FF2B5EF4-FFF2-40B4-BE49-F238E27FC236}">
                  <a16:creationId xmlns:a16="http://schemas.microsoft.com/office/drawing/2014/main" id="{3B259658-5B55-6C4E-8760-B1F5EE09052F}"/>
                </a:ext>
              </a:extLst>
            </xdr:cNvPr>
            <xdr:cNvSpPr/>
          </xdr:nvSpPr>
          <xdr:spPr>
            <a:xfrm>
              <a:off x="3543833" y="17987519"/>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grpSp>
    </xdr:grp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71</xdr:row>
      <xdr:rowOff>0</xdr:rowOff>
    </xdr:from>
    <xdr:to>
      <xdr:col>7</xdr:col>
      <xdr:colOff>4081</xdr:colOff>
      <xdr:row>78</xdr:row>
      <xdr:rowOff>81642</xdr:rowOff>
    </xdr:to>
    <xdr:grpSp>
      <xdr:nvGrpSpPr>
        <xdr:cNvPr id="2" name="Group 1">
          <a:extLst>
            <a:ext uri="{FF2B5EF4-FFF2-40B4-BE49-F238E27FC236}">
              <a16:creationId xmlns:a16="http://schemas.microsoft.com/office/drawing/2014/main" id="{ADA8E183-1C64-4A85-9068-2C75DB607EDA}"/>
            </a:ext>
          </a:extLst>
        </xdr:cNvPr>
        <xdr:cNvGrpSpPr/>
      </xdr:nvGrpSpPr>
      <xdr:grpSpPr>
        <a:xfrm>
          <a:off x="109483" y="20517069"/>
          <a:ext cx="11895813" cy="1386392"/>
          <a:chOff x="833438" y="361950"/>
          <a:chExt cx="11504524" cy="1142981"/>
        </a:xfrm>
      </xdr:grpSpPr>
      <xdr:sp macro="" textlink="">
        <xdr:nvSpPr>
          <xdr:cNvPr id="3" name="TextBox 2">
            <a:extLst>
              <a:ext uri="{FF2B5EF4-FFF2-40B4-BE49-F238E27FC236}">
                <a16:creationId xmlns:a16="http://schemas.microsoft.com/office/drawing/2014/main" id="{04B65F6E-BEAD-BCEF-8D14-C177204DA9A7}"/>
              </a:ext>
            </a:extLst>
          </xdr:cNvPr>
          <xdr:cNvSpPr txBox="1"/>
        </xdr:nvSpPr>
        <xdr:spPr>
          <a:xfrm>
            <a:off x="833438" y="361950"/>
            <a:ext cx="3706448" cy="1142981"/>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100" b="1">
                <a:solidFill>
                  <a:sysClr val="windowText" lastClr="000000"/>
                </a:solidFill>
              </a:rPr>
              <a:t>Credit</a:t>
            </a:r>
            <a:r>
              <a:rPr lang="en-MY" sz="1100" b="1" baseline="0">
                <a:solidFill>
                  <a:sysClr val="windowText" lastClr="000000"/>
                </a:solidFill>
              </a:rPr>
              <a:t> Analyst 1: </a:t>
            </a:r>
            <a:r>
              <a:rPr lang="en-MY" sz="1100" b="1">
                <a:solidFill>
                  <a:sysClr val="windowText" lastClr="000000"/>
                </a:solidFill>
              </a:rPr>
              <a:t>Maker</a:t>
            </a:r>
          </a:p>
          <a:p>
            <a:r>
              <a:rPr lang="en-MY" sz="1100" b="1">
                <a:solidFill>
                  <a:sysClr val="windowText" lastClr="000000"/>
                </a:solidFill>
              </a:rPr>
              <a:t>Name:</a:t>
            </a:r>
          </a:p>
          <a:p>
            <a:r>
              <a:rPr lang="en-MY" sz="1100" b="1">
                <a:solidFill>
                  <a:sysClr val="windowText" lastClr="000000"/>
                </a:solidFill>
              </a:rPr>
              <a:t>Signature: </a:t>
            </a:r>
          </a:p>
          <a:p>
            <a:endParaRPr lang="en-MY" sz="1100">
              <a:solidFill>
                <a:sysClr val="windowText" lastClr="000000"/>
              </a:solidFill>
            </a:endParaRPr>
          </a:p>
          <a:p>
            <a:endParaRPr lang="en-MY" sz="1100" b="1" u="none">
              <a:solidFill>
                <a:sysClr val="windowText" lastClr="000000"/>
              </a:solidFill>
            </a:endParaRPr>
          </a:p>
          <a:p>
            <a:endParaRPr lang="en-MY" sz="1100" b="1" u="none">
              <a:solidFill>
                <a:sysClr val="windowText" lastClr="000000"/>
              </a:solidFill>
            </a:endParaRPr>
          </a:p>
          <a:p>
            <a:r>
              <a:rPr lang="en-MY" sz="1100" b="1" u="none">
                <a:solidFill>
                  <a:sysClr val="windowText" lastClr="000000"/>
                </a:solidFill>
              </a:rPr>
              <a:t>Date:</a:t>
            </a:r>
          </a:p>
          <a:p>
            <a:endParaRPr lang="en-MY" sz="1100" u="none">
              <a:solidFill>
                <a:sysClr val="windowText" lastClr="000000"/>
              </a:solidFill>
            </a:endParaRPr>
          </a:p>
          <a:p>
            <a:endParaRPr lang="en-MY" sz="1100" u="none">
              <a:solidFill>
                <a:sysClr val="windowText" lastClr="000000"/>
              </a:solidFill>
            </a:endParaRPr>
          </a:p>
        </xdr:txBody>
      </xdr:sp>
      <xdr:sp macro="" textlink="">
        <xdr:nvSpPr>
          <xdr:cNvPr id="4" name="TextBox 3">
            <a:extLst>
              <a:ext uri="{FF2B5EF4-FFF2-40B4-BE49-F238E27FC236}">
                <a16:creationId xmlns:a16="http://schemas.microsoft.com/office/drawing/2014/main" id="{A73CF3FC-BA04-C878-3A56-715ED549104B}"/>
              </a:ext>
            </a:extLst>
          </xdr:cNvPr>
          <xdr:cNvSpPr txBox="1"/>
        </xdr:nvSpPr>
        <xdr:spPr>
          <a:xfrm>
            <a:off x="4733925" y="361950"/>
            <a:ext cx="3706448" cy="1142981"/>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100" b="1">
                <a:solidFill>
                  <a:sysClr val="windowText" lastClr="000000"/>
                </a:solidFill>
              </a:rPr>
              <a:t>Credit</a:t>
            </a:r>
            <a:r>
              <a:rPr lang="en-MY" sz="1100" b="1" baseline="0">
                <a:solidFill>
                  <a:sysClr val="windowText" lastClr="000000"/>
                </a:solidFill>
              </a:rPr>
              <a:t> Analyst 2: </a:t>
            </a:r>
            <a:r>
              <a:rPr lang="en-MY" sz="1100" b="1">
                <a:solidFill>
                  <a:sysClr val="windowText" lastClr="000000"/>
                </a:solidFill>
              </a:rPr>
              <a:t>Checker</a:t>
            </a:r>
            <a:endParaRPr lang="en-MY" sz="1100" b="1" baseline="0">
              <a:solidFill>
                <a:sysClr val="windowText" lastClr="000000"/>
              </a:solidFill>
              <a:effectLst/>
              <a:latin typeface="+mn-lt"/>
              <a:ea typeface="+mn-ea"/>
              <a:cs typeface="+mn-cs"/>
            </a:endParaRPr>
          </a:p>
          <a:p>
            <a:r>
              <a:rPr lang="en-MY" sz="1100" b="1">
                <a:solidFill>
                  <a:sysClr val="windowText" lastClr="000000"/>
                </a:solidFill>
                <a:effectLst/>
                <a:latin typeface="+mn-lt"/>
                <a:ea typeface="+mn-ea"/>
                <a:cs typeface="+mn-cs"/>
              </a:rPr>
              <a:t>Name:</a:t>
            </a:r>
          </a:p>
          <a:p>
            <a:r>
              <a:rPr lang="en-MY" sz="1100" b="1">
                <a:solidFill>
                  <a:sysClr val="windowText" lastClr="000000"/>
                </a:solidFill>
                <a:effectLst/>
                <a:latin typeface="+mn-lt"/>
                <a:ea typeface="+mn-ea"/>
                <a:cs typeface="+mn-cs"/>
              </a:rPr>
              <a:t>Signature</a:t>
            </a:r>
            <a:r>
              <a:rPr lang="en-MY" sz="1100" b="1">
                <a:solidFill>
                  <a:sysClr val="windowText" lastClr="000000"/>
                </a:solidFill>
              </a:rPr>
              <a:t>: </a:t>
            </a:r>
          </a:p>
          <a:p>
            <a:endParaRPr lang="en-MY" sz="1100">
              <a:solidFill>
                <a:sysClr val="windowText" lastClr="000000"/>
              </a:solidFill>
            </a:endParaRPr>
          </a:p>
          <a:p>
            <a:endParaRPr lang="en-MY" sz="1100" b="1" u="none">
              <a:solidFill>
                <a:sysClr val="windowText" lastClr="000000"/>
              </a:solidFill>
            </a:endParaRPr>
          </a:p>
          <a:p>
            <a:endParaRPr lang="en-MY" sz="1100" b="1" u="none">
              <a:solidFill>
                <a:sysClr val="windowText" lastClr="000000"/>
              </a:solidFill>
            </a:endParaRPr>
          </a:p>
          <a:p>
            <a:r>
              <a:rPr lang="en-MY" sz="1100" b="1" u="none">
                <a:solidFill>
                  <a:sysClr val="windowText" lastClr="000000"/>
                </a:solidFill>
              </a:rPr>
              <a:t>Date:</a:t>
            </a:r>
          </a:p>
          <a:p>
            <a:endParaRPr lang="en-MY" sz="1100" u="none">
              <a:solidFill>
                <a:sysClr val="windowText" lastClr="000000"/>
              </a:solidFill>
            </a:endParaRPr>
          </a:p>
          <a:p>
            <a:endParaRPr lang="en-MY" sz="1100" u="none">
              <a:solidFill>
                <a:sysClr val="windowText" lastClr="000000"/>
              </a:solidFill>
            </a:endParaRPr>
          </a:p>
        </xdr:txBody>
      </xdr:sp>
      <xdr:sp macro="" textlink="">
        <xdr:nvSpPr>
          <xdr:cNvPr id="5" name="TextBox 4">
            <a:extLst>
              <a:ext uri="{FF2B5EF4-FFF2-40B4-BE49-F238E27FC236}">
                <a16:creationId xmlns:a16="http://schemas.microsoft.com/office/drawing/2014/main" id="{192479A4-CC09-B79A-DB2B-70E9E24F177E}"/>
              </a:ext>
            </a:extLst>
          </xdr:cNvPr>
          <xdr:cNvSpPr txBox="1"/>
        </xdr:nvSpPr>
        <xdr:spPr>
          <a:xfrm>
            <a:off x="8634413" y="361950"/>
            <a:ext cx="3703549" cy="1142981"/>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100" b="1">
                <a:solidFill>
                  <a:sysClr val="windowText" lastClr="000000"/>
                </a:solidFill>
                <a:effectLst/>
                <a:latin typeface="+mn-lt"/>
                <a:ea typeface="+mn-ea"/>
                <a:cs typeface="+mn-cs"/>
              </a:rPr>
              <a:t>Approval</a:t>
            </a:r>
            <a:r>
              <a:rPr lang="en-MY" sz="1100" b="1" baseline="0">
                <a:solidFill>
                  <a:sysClr val="windowText" lastClr="000000"/>
                </a:solidFill>
                <a:effectLst/>
                <a:latin typeface="+mn-lt"/>
                <a:ea typeface="+mn-ea"/>
                <a:cs typeface="+mn-cs"/>
              </a:rPr>
              <a:t> by Chief Credit Officer</a:t>
            </a:r>
          </a:p>
          <a:p>
            <a:r>
              <a:rPr lang="en-MY" sz="1100" b="1">
                <a:solidFill>
                  <a:sysClr val="windowText" lastClr="000000"/>
                </a:solidFill>
                <a:effectLst/>
                <a:latin typeface="+mn-lt"/>
                <a:ea typeface="+mn-ea"/>
                <a:cs typeface="+mn-cs"/>
              </a:rPr>
              <a:t>Name:</a:t>
            </a:r>
            <a:endParaRPr lang="en-MY">
              <a:solidFill>
                <a:sysClr val="windowText" lastClr="000000"/>
              </a:solidFill>
              <a:effectLst/>
            </a:endParaRPr>
          </a:p>
          <a:p>
            <a:r>
              <a:rPr lang="en-MY" sz="1100" b="1">
                <a:solidFill>
                  <a:sysClr val="windowText" lastClr="000000"/>
                </a:solidFill>
                <a:effectLst/>
                <a:latin typeface="+mn-lt"/>
                <a:ea typeface="+mn-ea"/>
                <a:cs typeface="+mn-cs"/>
              </a:rPr>
              <a:t>Signature: </a:t>
            </a:r>
            <a:endParaRPr lang="en-MY">
              <a:solidFill>
                <a:sysClr val="windowText" lastClr="000000"/>
              </a:solidFill>
              <a:effectLst/>
            </a:endParaRPr>
          </a:p>
          <a:p>
            <a:endParaRPr lang="en-MY" sz="1100">
              <a:solidFill>
                <a:sysClr val="windowText" lastClr="000000"/>
              </a:solidFill>
            </a:endParaRPr>
          </a:p>
          <a:p>
            <a:endParaRPr lang="en-MY" sz="1100" u="sng">
              <a:solidFill>
                <a:sysClr val="windowText" lastClr="000000"/>
              </a:solidFill>
            </a:endParaRPr>
          </a:p>
          <a:p>
            <a:endParaRPr lang="en-MY" sz="1100" u="sng">
              <a:solidFill>
                <a:sysClr val="windowText" lastClr="000000"/>
              </a:solidFill>
            </a:endParaRPr>
          </a:p>
          <a:p>
            <a:r>
              <a:rPr lang="en-MY" sz="1100" b="1" u="none">
                <a:solidFill>
                  <a:sysClr val="windowText" lastClr="000000"/>
                </a:solidFill>
              </a:rPr>
              <a:t>Date:</a:t>
            </a:r>
          </a:p>
          <a:p>
            <a:endParaRPr lang="en-MY" sz="1100" u="none">
              <a:solidFill>
                <a:sysClr val="windowText" lastClr="000000"/>
              </a:solidFill>
            </a:endParaRPr>
          </a:p>
          <a:p>
            <a:endParaRPr lang="en-MY" sz="1100" u="none">
              <a:solidFill>
                <a:sysClr val="windowText" lastClr="000000"/>
              </a:solidFill>
            </a:endParaRPr>
          </a:p>
        </xdr:txBody>
      </xdr:sp>
    </xdr:grpSp>
    <xdr:clientData/>
  </xdr:twoCellAnchor>
  <xdr:oneCellAnchor>
    <xdr:from>
      <xdr:col>6</xdr:col>
      <xdr:colOff>1378324</xdr:colOff>
      <xdr:row>0</xdr:row>
      <xdr:rowOff>100853</xdr:rowOff>
    </xdr:from>
    <xdr:ext cx="2310765" cy="526252"/>
    <xdr:pic>
      <xdr:nvPicPr>
        <xdr:cNvPr id="6" name="Picture 5">
          <a:extLst>
            <a:ext uri="{FF2B5EF4-FFF2-40B4-BE49-F238E27FC236}">
              <a16:creationId xmlns:a16="http://schemas.microsoft.com/office/drawing/2014/main" id="{6FC45550-03F5-484B-B413-E3802F2C130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9226924" y="100853"/>
          <a:ext cx="2310765" cy="526252"/>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xdr:from>
      <xdr:col>11</xdr:col>
      <xdr:colOff>1321173</xdr:colOff>
      <xdr:row>1</xdr:row>
      <xdr:rowOff>124455</xdr:rowOff>
    </xdr:from>
    <xdr:ext cx="1758203" cy="400412"/>
    <xdr:pic>
      <xdr:nvPicPr>
        <xdr:cNvPr id="2" name="Picture 1">
          <a:extLst>
            <a:ext uri="{FF2B5EF4-FFF2-40B4-BE49-F238E27FC236}">
              <a16:creationId xmlns:a16="http://schemas.microsoft.com/office/drawing/2014/main" id="{459BA34C-4AA7-4CD9-9155-565CFFDFBB5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10617573" y="314955"/>
          <a:ext cx="1758203" cy="400412"/>
        </a:xfrm>
        <a:prstGeom prst="rect">
          <a:avLst/>
        </a:prstGeom>
      </xdr:spPr>
    </xdr:pic>
    <xdr:clientData/>
  </xdr:oneCellAnchor>
  <xdr:twoCellAnchor>
    <xdr:from>
      <xdr:col>2</xdr:col>
      <xdr:colOff>80543</xdr:colOff>
      <xdr:row>60</xdr:row>
      <xdr:rowOff>119764</xdr:rowOff>
    </xdr:from>
    <xdr:to>
      <xdr:col>3</xdr:col>
      <xdr:colOff>619564</xdr:colOff>
      <xdr:row>63</xdr:row>
      <xdr:rowOff>186472</xdr:rowOff>
    </xdr:to>
    <xdr:grpSp>
      <xdr:nvGrpSpPr>
        <xdr:cNvPr id="3" name="Group 2">
          <a:extLst>
            <a:ext uri="{FF2B5EF4-FFF2-40B4-BE49-F238E27FC236}">
              <a16:creationId xmlns:a16="http://schemas.microsoft.com/office/drawing/2014/main" id="{8EA74579-0EDE-4EA2-A29B-597BBE45216E}"/>
            </a:ext>
          </a:extLst>
        </xdr:cNvPr>
        <xdr:cNvGrpSpPr/>
      </xdr:nvGrpSpPr>
      <xdr:grpSpPr>
        <a:xfrm>
          <a:off x="304698" y="17393669"/>
          <a:ext cx="1428021" cy="682023"/>
          <a:chOff x="2588317" y="17604686"/>
          <a:chExt cx="1283803" cy="650184"/>
        </a:xfrm>
      </xdr:grpSpPr>
      <xdr:sp macro="" textlink="">
        <xdr:nvSpPr>
          <xdr:cNvPr id="4" name="TextBox 3">
            <a:extLst>
              <a:ext uri="{FF2B5EF4-FFF2-40B4-BE49-F238E27FC236}">
                <a16:creationId xmlns:a16="http://schemas.microsoft.com/office/drawing/2014/main" id="{81E8AE50-07F4-B36F-44C6-777E474D9C9C}"/>
              </a:ext>
            </a:extLst>
          </xdr:cNvPr>
          <xdr:cNvSpPr txBox="1"/>
        </xdr:nvSpPr>
        <xdr:spPr>
          <a:xfrm>
            <a:off x="2588317" y="17604686"/>
            <a:ext cx="1283803" cy="650184"/>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Proceed</a:t>
            </a:r>
          </a:p>
          <a:p>
            <a:endParaRPr lang="en-MY" sz="300" b="1">
              <a:solidFill>
                <a:sysClr val="windowText" lastClr="000000"/>
              </a:solidFill>
              <a:latin typeface="Calibri" panose="020F0502020204030204" pitchFamily="34" charset="0"/>
              <a:ea typeface="Calibri" panose="020F0502020204030204" pitchFamily="34" charset="0"/>
              <a:cs typeface="Calibri" panose="020F0502020204030204" pitchFamily="34" charset="0"/>
            </a:endParaRPr>
          </a:p>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Reject</a:t>
            </a:r>
            <a:endParaRPr lang="en-MY" sz="1100" u="none">
              <a:solidFill>
                <a:sysClr val="windowText" lastClr="000000"/>
              </a:solidFill>
            </a:endParaRPr>
          </a:p>
        </xdr:txBody>
      </xdr:sp>
      <xdr:sp macro="" textlink="">
        <xdr:nvSpPr>
          <xdr:cNvPr id="5" name="Rectangle 4">
            <a:extLst>
              <a:ext uri="{FF2B5EF4-FFF2-40B4-BE49-F238E27FC236}">
                <a16:creationId xmlns:a16="http://schemas.microsoft.com/office/drawing/2014/main" id="{A1746A33-81DB-C4E2-79E4-57047F8A2FCB}"/>
              </a:ext>
            </a:extLst>
          </xdr:cNvPr>
          <xdr:cNvSpPr/>
        </xdr:nvSpPr>
        <xdr:spPr>
          <a:xfrm>
            <a:off x="3544662" y="17686032"/>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solidFill>
                <a:sysClr val="windowText" lastClr="000000"/>
              </a:solidFill>
            </a:endParaRPr>
          </a:p>
        </xdr:txBody>
      </xdr:sp>
      <xdr:sp macro="" textlink="">
        <xdr:nvSpPr>
          <xdr:cNvPr id="6" name="Rectangle 5">
            <a:extLst>
              <a:ext uri="{FF2B5EF4-FFF2-40B4-BE49-F238E27FC236}">
                <a16:creationId xmlns:a16="http://schemas.microsoft.com/office/drawing/2014/main" id="{5E698D82-7451-09D4-441A-FA92FC6265B0}"/>
              </a:ext>
            </a:extLst>
          </xdr:cNvPr>
          <xdr:cNvSpPr/>
        </xdr:nvSpPr>
        <xdr:spPr>
          <a:xfrm>
            <a:off x="3543833" y="17987519"/>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solidFill>
                <a:sysClr val="windowText" lastClr="000000"/>
              </a:solidFill>
            </a:endParaRPr>
          </a:p>
        </xdr:txBody>
      </xdr:sp>
    </xdr:grpSp>
    <xdr:clientData/>
  </xdr:twoCellAnchor>
  <xdr:twoCellAnchor>
    <xdr:from>
      <xdr:col>8</xdr:col>
      <xdr:colOff>110558</xdr:colOff>
      <xdr:row>60</xdr:row>
      <xdr:rowOff>146277</xdr:rowOff>
    </xdr:from>
    <xdr:to>
      <xdr:col>9</xdr:col>
      <xdr:colOff>273482</xdr:colOff>
      <xdr:row>64</xdr:row>
      <xdr:rowOff>0</xdr:rowOff>
    </xdr:to>
    <xdr:grpSp>
      <xdr:nvGrpSpPr>
        <xdr:cNvPr id="7" name="Group 6">
          <a:extLst>
            <a:ext uri="{FF2B5EF4-FFF2-40B4-BE49-F238E27FC236}">
              <a16:creationId xmlns:a16="http://schemas.microsoft.com/office/drawing/2014/main" id="{133FB191-A380-4840-AF41-ACC0FBF391B8}"/>
            </a:ext>
          </a:extLst>
        </xdr:cNvPr>
        <xdr:cNvGrpSpPr/>
      </xdr:nvGrpSpPr>
      <xdr:grpSpPr>
        <a:xfrm>
          <a:off x="6539933" y="17416372"/>
          <a:ext cx="1228454" cy="681128"/>
          <a:chOff x="2588317" y="17604686"/>
          <a:chExt cx="1283803" cy="650184"/>
        </a:xfrm>
      </xdr:grpSpPr>
      <xdr:sp macro="" textlink="">
        <xdr:nvSpPr>
          <xdr:cNvPr id="8" name="TextBox 7">
            <a:extLst>
              <a:ext uri="{FF2B5EF4-FFF2-40B4-BE49-F238E27FC236}">
                <a16:creationId xmlns:a16="http://schemas.microsoft.com/office/drawing/2014/main" id="{3A94C6AA-2D95-EC5C-7155-9084C8A39580}"/>
              </a:ext>
            </a:extLst>
          </xdr:cNvPr>
          <xdr:cNvSpPr txBox="1"/>
        </xdr:nvSpPr>
        <xdr:spPr>
          <a:xfrm>
            <a:off x="2588317" y="17604686"/>
            <a:ext cx="1283803" cy="650184"/>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Proceed</a:t>
            </a:r>
          </a:p>
          <a:p>
            <a:endParaRPr lang="en-MY" sz="300" b="1">
              <a:solidFill>
                <a:sysClr val="windowText" lastClr="000000"/>
              </a:solidFill>
              <a:latin typeface="Calibri" panose="020F0502020204030204" pitchFamily="34" charset="0"/>
              <a:ea typeface="Calibri" panose="020F0502020204030204" pitchFamily="34" charset="0"/>
              <a:cs typeface="Calibri" panose="020F0502020204030204" pitchFamily="34" charset="0"/>
            </a:endParaRPr>
          </a:p>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Reject</a:t>
            </a:r>
            <a:endParaRPr lang="en-MY" sz="1100" u="none">
              <a:solidFill>
                <a:sysClr val="windowText" lastClr="000000"/>
              </a:solidFill>
            </a:endParaRPr>
          </a:p>
        </xdr:txBody>
      </xdr:sp>
      <xdr:sp macro="" textlink="">
        <xdr:nvSpPr>
          <xdr:cNvPr id="9" name="Rectangle 8">
            <a:extLst>
              <a:ext uri="{FF2B5EF4-FFF2-40B4-BE49-F238E27FC236}">
                <a16:creationId xmlns:a16="http://schemas.microsoft.com/office/drawing/2014/main" id="{FD440F06-3FC7-407C-43A7-B65E049288CC}"/>
              </a:ext>
            </a:extLst>
          </xdr:cNvPr>
          <xdr:cNvSpPr/>
        </xdr:nvSpPr>
        <xdr:spPr>
          <a:xfrm>
            <a:off x="3544662" y="17686032"/>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solidFill>
                <a:sysClr val="windowText" lastClr="000000"/>
              </a:solidFill>
            </a:endParaRPr>
          </a:p>
        </xdr:txBody>
      </xdr:sp>
      <xdr:sp macro="" textlink="">
        <xdr:nvSpPr>
          <xdr:cNvPr id="10" name="Rectangle 9">
            <a:extLst>
              <a:ext uri="{FF2B5EF4-FFF2-40B4-BE49-F238E27FC236}">
                <a16:creationId xmlns:a16="http://schemas.microsoft.com/office/drawing/2014/main" id="{D54099DC-C172-678A-E4E0-A9E2177EF696}"/>
              </a:ext>
            </a:extLst>
          </xdr:cNvPr>
          <xdr:cNvSpPr/>
        </xdr:nvSpPr>
        <xdr:spPr>
          <a:xfrm>
            <a:off x="3543833" y="17987519"/>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solidFill>
                <a:sysClr val="windowText" lastClr="000000"/>
              </a:solidFill>
            </a:endParaRPr>
          </a:p>
        </xdr:txBody>
      </xdr:sp>
    </xdr:grpSp>
    <xdr:clientData/>
  </xdr:twoCellAnchor>
  <xdr:twoCellAnchor>
    <xdr:from>
      <xdr:col>2</xdr:col>
      <xdr:colOff>545884</xdr:colOff>
      <xdr:row>65</xdr:row>
      <xdr:rowOff>183697</xdr:rowOff>
    </xdr:from>
    <xdr:to>
      <xdr:col>11</xdr:col>
      <xdr:colOff>2645151</xdr:colOff>
      <xdr:row>71</xdr:row>
      <xdr:rowOff>4383</xdr:rowOff>
    </xdr:to>
    <xdr:grpSp>
      <xdr:nvGrpSpPr>
        <xdr:cNvPr id="11" name="Group 10">
          <a:extLst>
            <a:ext uri="{FF2B5EF4-FFF2-40B4-BE49-F238E27FC236}">
              <a16:creationId xmlns:a16="http://schemas.microsoft.com/office/drawing/2014/main" id="{75ACDBAE-406C-493C-B0BC-47DDBD968D4E}"/>
            </a:ext>
          </a:extLst>
        </xdr:cNvPr>
        <xdr:cNvGrpSpPr/>
      </xdr:nvGrpSpPr>
      <xdr:grpSpPr>
        <a:xfrm>
          <a:off x="771944" y="18485667"/>
          <a:ext cx="11497267" cy="967496"/>
          <a:chOff x="833438" y="361950"/>
          <a:chExt cx="11504524" cy="1142981"/>
        </a:xfrm>
      </xdr:grpSpPr>
      <xdr:sp macro="" textlink="">
        <xdr:nvSpPr>
          <xdr:cNvPr id="12" name="TextBox 11">
            <a:extLst>
              <a:ext uri="{FF2B5EF4-FFF2-40B4-BE49-F238E27FC236}">
                <a16:creationId xmlns:a16="http://schemas.microsoft.com/office/drawing/2014/main" id="{5EF844C3-E05C-760A-18D5-3EBAE4AFAF6D}"/>
              </a:ext>
            </a:extLst>
          </xdr:cNvPr>
          <xdr:cNvSpPr txBox="1"/>
        </xdr:nvSpPr>
        <xdr:spPr>
          <a:xfrm>
            <a:off x="833438" y="361950"/>
            <a:ext cx="3706448" cy="1142981"/>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100" b="1">
                <a:solidFill>
                  <a:sysClr val="windowText" lastClr="000000"/>
                </a:solidFill>
              </a:rPr>
              <a:t>Credit</a:t>
            </a:r>
            <a:r>
              <a:rPr lang="en-MY" sz="1100" b="1" baseline="0">
                <a:solidFill>
                  <a:sysClr val="windowText" lastClr="000000"/>
                </a:solidFill>
              </a:rPr>
              <a:t> Analyst 1: </a:t>
            </a:r>
            <a:r>
              <a:rPr lang="en-MY" sz="1100" b="1">
                <a:solidFill>
                  <a:sysClr val="windowText" lastClr="000000"/>
                </a:solidFill>
              </a:rPr>
              <a:t>Maker</a:t>
            </a:r>
          </a:p>
          <a:p>
            <a:r>
              <a:rPr lang="en-MY" sz="1100" b="1">
                <a:solidFill>
                  <a:sysClr val="windowText" lastClr="000000"/>
                </a:solidFill>
              </a:rPr>
              <a:t>Name: Lim Kian Hou </a:t>
            </a:r>
          </a:p>
          <a:p>
            <a:r>
              <a:rPr lang="en-MY" sz="1100" b="1">
                <a:solidFill>
                  <a:sysClr val="windowText" lastClr="000000"/>
                </a:solidFill>
              </a:rPr>
              <a:t>Signature: </a:t>
            </a:r>
          </a:p>
          <a:p>
            <a:endParaRPr lang="en-MY" sz="1100">
              <a:solidFill>
                <a:sysClr val="windowText" lastClr="000000"/>
              </a:solidFill>
            </a:endParaRPr>
          </a:p>
          <a:p>
            <a:endParaRPr lang="en-MY" sz="1100" b="1" u="none">
              <a:solidFill>
                <a:sysClr val="windowText" lastClr="000000"/>
              </a:solidFill>
            </a:endParaRPr>
          </a:p>
          <a:p>
            <a:r>
              <a:rPr lang="en-MY" sz="1100" b="1" u="none">
                <a:solidFill>
                  <a:sysClr val="windowText" lastClr="000000"/>
                </a:solidFill>
              </a:rPr>
              <a:t>Date:</a:t>
            </a:r>
          </a:p>
          <a:p>
            <a:endParaRPr lang="en-MY" sz="1100" u="none">
              <a:solidFill>
                <a:sysClr val="windowText" lastClr="000000"/>
              </a:solidFill>
            </a:endParaRPr>
          </a:p>
          <a:p>
            <a:endParaRPr lang="en-MY" sz="1100" u="none">
              <a:solidFill>
                <a:sysClr val="windowText" lastClr="000000"/>
              </a:solidFill>
            </a:endParaRPr>
          </a:p>
        </xdr:txBody>
      </xdr:sp>
      <xdr:sp macro="" textlink="">
        <xdr:nvSpPr>
          <xdr:cNvPr id="13" name="TextBox 12">
            <a:extLst>
              <a:ext uri="{FF2B5EF4-FFF2-40B4-BE49-F238E27FC236}">
                <a16:creationId xmlns:a16="http://schemas.microsoft.com/office/drawing/2014/main" id="{17CC86AC-212A-7645-9715-28757B6D65F7}"/>
              </a:ext>
            </a:extLst>
          </xdr:cNvPr>
          <xdr:cNvSpPr txBox="1"/>
        </xdr:nvSpPr>
        <xdr:spPr>
          <a:xfrm>
            <a:off x="4733925" y="361950"/>
            <a:ext cx="3706448" cy="1142981"/>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100" b="1">
                <a:solidFill>
                  <a:sysClr val="windowText" lastClr="000000"/>
                </a:solidFill>
              </a:rPr>
              <a:t>Credit</a:t>
            </a:r>
            <a:r>
              <a:rPr lang="en-MY" sz="1100" b="1" baseline="0">
                <a:solidFill>
                  <a:sysClr val="windowText" lastClr="000000"/>
                </a:solidFill>
              </a:rPr>
              <a:t> Analyst 2: </a:t>
            </a:r>
            <a:r>
              <a:rPr lang="en-MY" sz="1100" b="1">
                <a:solidFill>
                  <a:sysClr val="windowText" lastClr="000000"/>
                </a:solidFill>
              </a:rPr>
              <a:t>Checker</a:t>
            </a:r>
            <a:endParaRPr lang="en-MY" sz="1100" b="1" baseline="0">
              <a:solidFill>
                <a:sysClr val="windowText" lastClr="000000"/>
              </a:solidFill>
              <a:effectLst/>
              <a:latin typeface="+mn-lt"/>
              <a:ea typeface="+mn-ea"/>
              <a:cs typeface="+mn-cs"/>
            </a:endParaRPr>
          </a:p>
          <a:p>
            <a:r>
              <a:rPr lang="en-MY" sz="1100" b="1">
                <a:solidFill>
                  <a:sysClr val="windowText" lastClr="000000"/>
                </a:solidFill>
                <a:effectLst/>
                <a:latin typeface="+mn-lt"/>
                <a:ea typeface="+mn-ea"/>
                <a:cs typeface="+mn-cs"/>
              </a:rPr>
              <a:t>Name: Siew Weng Sheng</a:t>
            </a:r>
          </a:p>
          <a:p>
            <a:r>
              <a:rPr lang="en-MY" sz="1100" b="1">
                <a:solidFill>
                  <a:sysClr val="windowText" lastClr="000000"/>
                </a:solidFill>
                <a:effectLst/>
                <a:latin typeface="+mn-lt"/>
                <a:ea typeface="+mn-ea"/>
                <a:cs typeface="+mn-cs"/>
              </a:rPr>
              <a:t>Signature</a:t>
            </a:r>
            <a:r>
              <a:rPr lang="en-MY" sz="1100" b="1">
                <a:solidFill>
                  <a:sysClr val="windowText" lastClr="000000"/>
                </a:solidFill>
              </a:rPr>
              <a:t>: </a:t>
            </a:r>
          </a:p>
          <a:p>
            <a:endParaRPr lang="en-MY" sz="1100">
              <a:solidFill>
                <a:sysClr val="windowText" lastClr="000000"/>
              </a:solidFill>
            </a:endParaRPr>
          </a:p>
          <a:p>
            <a:endParaRPr lang="en-MY" sz="1100" b="1" u="none">
              <a:solidFill>
                <a:sysClr val="windowText" lastClr="000000"/>
              </a:solidFill>
            </a:endParaRPr>
          </a:p>
          <a:p>
            <a:r>
              <a:rPr lang="en-MY" sz="1100" b="1" u="none">
                <a:solidFill>
                  <a:sysClr val="windowText" lastClr="000000"/>
                </a:solidFill>
              </a:rPr>
              <a:t>Date:</a:t>
            </a:r>
          </a:p>
          <a:p>
            <a:endParaRPr lang="en-MY" sz="1100" u="none">
              <a:solidFill>
                <a:sysClr val="windowText" lastClr="000000"/>
              </a:solidFill>
            </a:endParaRPr>
          </a:p>
          <a:p>
            <a:endParaRPr lang="en-MY" sz="1100" u="none">
              <a:solidFill>
                <a:sysClr val="windowText" lastClr="000000"/>
              </a:solidFill>
            </a:endParaRPr>
          </a:p>
        </xdr:txBody>
      </xdr:sp>
      <xdr:sp macro="" textlink="">
        <xdr:nvSpPr>
          <xdr:cNvPr id="14" name="TextBox 13">
            <a:extLst>
              <a:ext uri="{FF2B5EF4-FFF2-40B4-BE49-F238E27FC236}">
                <a16:creationId xmlns:a16="http://schemas.microsoft.com/office/drawing/2014/main" id="{459580AC-8E81-3079-5C4A-BBDD178CFF88}"/>
              </a:ext>
            </a:extLst>
          </xdr:cNvPr>
          <xdr:cNvSpPr txBox="1"/>
        </xdr:nvSpPr>
        <xdr:spPr>
          <a:xfrm>
            <a:off x="8634413" y="361950"/>
            <a:ext cx="3703549" cy="1142981"/>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100" b="1">
                <a:solidFill>
                  <a:sysClr val="windowText" lastClr="000000"/>
                </a:solidFill>
                <a:effectLst/>
                <a:latin typeface="+mn-lt"/>
                <a:ea typeface="+mn-ea"/>
                <a:cs typeface="+mn-cs"/>
              </a:rPr>
              <a:t>Approval</a:t>
            </a:r>
            <a:r>
              <a:rPr lang="en-MY" sz="1100" b="1" baseline="0">
                <a:solidFill>
                  <a:sysClr val="windowText" lastClr="000000"/>
                </a:solidFill>
                <a:effectLst/>
                <a:latin typeface="+mn-lt"/>
                <a:ea typeface="+mn-ea"/>
                <a:cs typeface="+mn-cs"/>
              </a:rPr>
              <a:t> by Chief Credit Officer</a:t>
            </a:r>
          </a:p>
          <a:p>
            <a:r>
              <a:rPr lang="en-MY" sz="1100" b="1">
                <a:solidFill>
                  <a:sysClr val="windowText" lastClr="000000"/>
                </a:solidFill>
                <a:effectLst/>
                <a:latin typeface="+mn-lt"/>
                <a:ea typeface="+mn-ea"/>
                <a:cs typeface="+mn-cs"/>
              </a:rPr>
              <a:t>Name: Fong Keng Mun</a:t>
            </a:r>
            <a:endParaRPr lang="en-MY">
              <a:solidFill>
                <a:sysClr val="windowText" lastClr="000000"/>
              </a:solidFill>
              <a:effectLst/>
            </a:endParaRPr>
          </a:p>
          <a:p>
            <a:r>
              <a:rPr lang="en-MY" sz="1100" b="1">
                <a:solidFill>
                  <a:sysClr val="windowText" lastClr="000000"/>
                </a:solidFill>
                <a:effectLst/>
                <a:latin typeface="+mn-lt"/>
                <a:ea typeface="+mn-ea"/>
                <a:cs typeface="+mn-cs"/>
              </a:rPr>
              <a:t>Signature: </a:t>
            </a:r>
            <a:endParaRPr lang="en-MY">
              <a:solidFill>
                <a:sysClr val="windowText" lastClr="000000"/>
              </a:solidFill>
              <a:effectLst/>
            </a:endParaRPr>
          </a:p>
          <a:p>
            <a:endParaRPr lang="en-MY" sz="1100">
              <a:solidFill>
                <a:sysClr val="windowText" lastClr="000000"/>
              </a:solidFill>
            </a:endParaRPr>
          </a:p>
          <a:p>
            <a:endParaRPr lang="en-MY" sz="1100" b="1" u="none">
              <a:solidFill>
                <a:sysClr val="windowText" lastClr="000000"/>
              </a:solidFill>
            </a:endParaRPr>
          </a:p>
          <a:p>
            <a:r>
              <a:rPr lang="en-MY" sz="1100" b="1" u="none">
                <a:solidFill>
                  <a:sysClr val="windowText" lastClr="000000"/>
                </a:solidFill>
              </a:rPr>
              <a:t>Date:</a:t>
            </a:r>
          </a:p>
          <a:p>
            <a:endParaRPr lang="en-MY" sz="1100" u="none">
              <a:solidFill>
                <a:sysClr val="windowText" lastClr="000000"/>
              </a:solidFill>
            </a:endParaRPr>
          </a:p>
          <a:p>
            <a:endParaRPr lang="en-MY" sz="1100" u="none">
              <a:solidFill>
                <a:sysClr val="windowText" lastClr="000000"/>
              </a:solidFill>
            </a:endParaRPr>
          </a:p>
        </xdr:txBody>
      </xdr:sp>
    </xdr:grpSp>
    <xdr:clientData/>
  </xdr:twoCellAnchor>
  <xdr:twoCellAnchor>
    <xdr:from>
      <xdr:col>2</xdr:col>
      <xdr:colOff>80543</xdr:colOff>
      <xdr:row>75</xdr:row>
      <xdr:rowOff>119764</xdr:rowOff>
    </xdr:from>
    <xdr:to>
      <xdr:col>3</xdr:col>
      <xdr:colOff>619564</xdr:colOff>
      <xdr:row>78</xdr:row>
      <xdr:rowOff>186472</xdr:rowOff>
    </xdr:to>
    <xdr:grpSp>
      <xdr:nvGrpSpPr>
        <xdr:cNvPr id="15" name="Group 14">
          <a:extLst>
            <a:ext uri="{FF2B5EF4-FFF2-40B4-BE49-F238E27FC236}">
              <a16:creationId xmlns:a16="http://schemas.microsoft.com/office/drawing/2014/main" id="{D5957F57-B332-404D-A0D4-9E93B94BDE46}"/>
            </a:ext>
          </a:extLst>
        </xdr:cNvPr>
        <xdr:cNvGrpSpPr/>
      </xdr:nvGrpSpPr>
      <xdr:grpSpPr>
        <a:xfrm>
          <a:off x="304698" y="20521044"/>
          <a:ext cx="1428021" cy="682023"/>
          <a:chOff x="2588317" y="17604686"/>
          <a:chExt cx="1283803" cy="650184"/>
        </a:xfrm>
      </xdr:grpSpPr>
      <xdr:sp macro="" textlink="">
        <xdr:nvSpPr>
          <xdr:cNvPr id="16" name="TextBox 15">
            <a:extLst>
              <a:ext uri="{FF2B5EF4-FFF2-40B4-BE49-F238E27FC236}">
                <a16:creationId xmlns:a16="http://schemas.microsoft.com/office/drawing/2014/main" id="{29B10078-D092-CAA7-C414-076F7B1B603A}"/>
              </a:ext>
            </a:extLst>
          </xdr:cNvPr>
          <xdr:cNvSpPr txBox="1"/>
        </xdr:nvSpPr>
        <xdr:spPr>
          <a:xfrm>
            <a:off x="2588317" y="17604686"/>
            <a:ext cx="1283803" cy="650184"/>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Proceed</a:t>
            </a:r>
          </a:p>
          <a:p>
            <a:endParaRPr lang="en-MY" sz="300" b="1">
              <a:solidFill>
                <a:sysClr val="windowText" lastClr="000000"/>
              </a:solidFill>
              <a:latin typeface="Calibri" panose="020F0502020204030204" pitchFamily="34" charset="0"/>
              <a:ea typeface="Calibri" panose="020F0502020204030204" pitchFamily="34" charset="0"/>
              <a:cs typeface="Calibri" panose="020F0502020204030204" pitchFamily="34" charset="0"/>
            </a:endParaRPr>
          </a:p>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Reject</a:t>
            </a:r>
            <a:endParaRPr lang="en-MY" sz="1100" u="none">
              <a:solidFill>
                <a:sysClr val="windowText" lastClr="000000"/>
              </a:solidFill>
            </a:endParaRPr>
          </a:p>
        </xdr:txBody>
      </xdr:sp>
      <xdr:sp macro="" textlink="">
        <xdr:nvSpPr>
          <xdr:cNvPr id="17" name="Rectangle 16">
            <a:extLst>
              <a:ext uri="{FF2B5EF4-FFF2-40B4-BE49-F238E27FC236}">
                <a16:creationId xmlns:a16="http://schemas.microsoft.com/office/drawing/2014/main" id="{5D2F55CC-DD13-F285-55AB-503B303CDA61}"/>
              </a:ext>
            </a:extLst>
          </xdr:cNvPr>
          <xdr:cNvSpPr/>
        </xdr:nvSpPr>
        <xdr:spPr>
          <a:xfrm>
            <a:off x="3544662" y="17686032"/>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solidFill>
                <a:sysClr val="windowText" lastClr="000000"/>
              </a:solidFill>
            </a:endParaRPr>
          </a:p>
        </xdr:txBody>
      </xdr:sp>
      <xdr:sp macro="" textlink="">
        <xdr:nvSpPr>
          <xdr:cNvPr id="18" name="Rectangle 17">
            <a:extLst>
              <a:ext uri="{FF2B5EF4-FFF2-40B4-BE49-F238E27FC236}">
                <a16:creationId xmlns:a16="http://schemas.microsoft.com/office/drawing/2014/main" id="{59EAA346-4C74-86EE-B169-6248FD7AF48B}"/>
              </a:ext>
            </a:extLst>
          </xdr:cNvPr>
          <xdr:cNvSpPr/>
        </xdr:nvSpPr>
        <xdr:spPr>
          <a:xfrm>
            <a:off x="3543833" y="17987519"/>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solidFill>
                <a:sysClr val="windowText" lastClr="000000"/>
              </a:solidFill>
            </a:endParaRPr>
          </a:p>
        </xdr:txBody>
      </xdr:sp>
    </xdr:grpSp>
    <xdr:clientData/>
  </xdr:twoCellAnchor>
  <xdr:twoCellAnchor>
    <xdr:from>
      <xdr:col>2</xdr:col>
      <xdr:colOff>80543</xdr:colOff>
      <xdr:row>85</xdr:row>
      <xdr:rowOff>119764</xdr:rowOff>
    </xdr:from>
    <xdr:to>
      <xdr:col>3</xdr:col>
      <xdr:colOff>619564</xdr:colOff>
      <xdr:row>88</xdr:row>
      <xdr:rowOff>186472</xdr:rowOff>
    </xdr:to>
    <xdr:grpSp>
      <xdr:nvGrpSpPr>
        <xdr:cNvPr id="19" name="Group 18">
          <a:extLst>
            <a:ext uri="{FF2B5EF4-FFF2-40B4-BE49-F238E27FC236}">
              <a16:creationId xmlns:a16="http://schemas.microsoft.com/office/drawing/2014/main" id="{DF02F220-3750-46A8-BB80-8B5C8F60E096}"/>
            </a:ext>
          </a:extLst>
        </xdr:cNvPr>
        <xdr:cNvGrpSpPr/>
      </xdr:nvGrpSpPr>
      <xdr:grpSpPr>
        <a:xfrm>
          <a:off x="304698" y="22441919"/>
          <a:ext cx="1428021" cy="682023"/>
          <a:chOff x="2588317" y="17604686"/>
          <a:chExt cx="1283803" cy="650184"/>
        </a:xfrm>
      </xdr:grpSpPr>
      <xdr:sp macro="" textlink="">
        <xdr:nvSpPr>
          <xdr:cNvPr id="20" name="TextBox 19">
            <a:extLst>
              <a:ext uri="{FF2B5EF4-FFF2-40B4-BE49-F238E27FC236}">
                <a16:creationId xmlns:a16="http://schemas.microsoft.com/office/drawing/2014/main" id="{40BF5816-2C67-49AB-87DC-0A9873698431}"/>
              </a:ext>
            </a:extLst>
          </xdr:cNvPr>
          <xdr:cNvSpPr txBox="1"/>
        </xdr:nvSpPr>
        <xdr:spPr>
          <a:xfrm>
            <a:off x="2588317" y="17604686"/>
            <a:ext cx="1283803" cy="650184"/>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Proceed</a:t>
            </a:r>
          </a:p>
          <a:p>
            <a:endParaRPr lang="en-MY" sz="300" b="1">
              <a:solidFill>
                <a:sysClr val="windowText" lastClr="000000"/>
              </a:solidFill>
              <a:latin typeface="Calibri" panose="020F0502020204030204" pitchFamily="34" charset="0"/>
              <a:ea typeface="Calibri" panose="020F0502020204030204" pitchFamily="34" charset="0"/>
              <a:cs typeface="Calibri" panose="020F0502020204030204" pitchFamily="34" charset="0"/>
            </a:endParaRPr>
          </a:p>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Reject</a:t>
            </a:r>
            <a:endParaRPr lang="en-MY" sz="1100" u="none">
              <a:solidFill>
                <a:sysClr val="windowText" lastClr="000000"/>
              </a:solidFill>
            </a:endParaRPr>
          </a:p>
        </xdr:txBody>
      </xdr:sp>
      <xdr:sp macro="" textlink="">
        <xdr:nvSpPr>
          <xdr:cNvPr id="21" name="Rectangle 20">
            <a:extLst>
              <a:ext uri="{FF2B5EF4-FFF2-40B4-BE49-F238E27FC236}">
                <a16:creationId xmlns:a16="http://schemas.microsoft.com/office/drawing/2014/main" id="{20779E99-C7BF-3E91-2538-E296B5B6D7A5}"/>
              </a:ext>
            </a:extLst>
          </xdr:cNvPr>
          <xdr:cNvSpPr/>
        </xdr:nvSpPr>
        <xdr:spPr>
          <a:xfrm>
            <a:off x="3544662" y="17686032"/>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sp macro="" textlink="">
        <xdr:nvSpPr>
          <xdr:cNvPr id="22" name="Rectangle 21">
            <a:extLst>
              <a:ext uri="{FF2B5EF4-FFF2-40B4-BE49-F238E27FC236}">
                <a16:creationId xmlns:a16="http://schemas.microsoft.com/office/drawing/2014/main" id="{3D7AC8C8-D4A3-0C75-79C6-7BAD115492B8}"/>
              </a:ext>
            </a:extLst>
          </xdr:cNvPr>
          <xdr:cNvSpPr/>
        </xdr:nvSpPr>
        <xdr:spPr>
          <a:xfrm>
            <a:off x="3543833" y="17987519"/>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grpSp>
    <xdr:clientData/>
  </xdr:twoCellAnchor>
</xdr:wsDr>
</file>

<file path=xl/drawings/drawing4.xml><?xml version="1.0" encoding="utf-8"?>
<xdr:wsDr xmlns:xdr="http://schemas.openxmlformats.org/drawingml/2006/spreadsheetDrawing" xmlns:a="http://schemas.openxmlformats.org/drawingml/2006/main">
  <xdr:oneCellAnchor>
    <xdr:from>
      <xdr:col>10</xdr:col>
      <xdr:colOff>1379203</xdr:colOff>
      <xdr:row>1</xdr:row>
      <xdr:rowOff>121583</xdr:rowOff>
    </xdr:from>
    <xdr:ext cx="2310765" cy="526252"/>
    <xdr:pic>
      <xdr:nvPicPr>
        <xdr:cNvPr id="2" name="Picture 6">
          <a:extLst>
            <a:ext uri="{FF2B5EF4-FFF2-40B4-BE49-F238E27FC236}">
              <a16:creationId xmlns:a16="http://schemas.microsoft.com/office/drawing/2014/main" id="{95CA91AE-4BA7-4DA2-B38F-23AD6DCA12B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9361153" y="312083"/>
          <a:ext cx="2310765" cy="526252"/>
        </a:xfrm>
        <a:prstGeom prst="rect">
          <a:avLst/>
        </a:prstGeom>
      </xdr:spPr>
    </xdr:pic>
    <xdr:clientData/>
  </xdr:oneCellAnchor>
  <xdr:twoCellAnchor>
    <xdr:from>
      <xdr:col>8</xdr:col>
      <xdr:colOff>247650</xdr:colOff>
      <xdr:row>63</xdr:row>
      <xdr:rowOff>136070</xdr:rowOff>
    </xdr:from>
    <xdr:to>
      <xdr:col>9</xdr:col>
      <xdr:colOff>554351</xdr:colOff>
      <xdr:row>66</xdr:row>
      <xdr:rowOff>103447</xdr:rowOff>
    </xdr:to>
    <xdr:grpSp>
      <xdr:nvGrpSpPr>
        <xdr:cNvPr id="3" name="Group 2">
          <a:extLst>
            <a:ext uri="{FF2B5EF4-FFF2-40B4-BE49-F238E27FC236}">
              <a16:creationId xmlns:a16="http://schemas.microsoft.com/office/drawing/2014/main" id="{9105D6A0-EC59-40A8-87CE-A04DCBA75E30}"/>
            </a:ext>
          </a:extLst>
        </xdr:cNvPr>
        <xdr:cNvGrpSpPr/>
      </xdr:nvGrpSpPr>
      <xdr:grpSpPr>
        <a:xfrm>
          <a:off x="6616065" y="12771935"/>
          <a:ext cx="1240151" cy="607457"/>
          <a:chOff x="2588317" y="17604686"/>
          <a:chExt cx="1283803" cy="650184"/>
        </a:xfrm>
      </xdr:grpSpPr>
      <xdr:sp macro="" textlink="">
        <xdr:nvSpPr>
          <xdr:cNvPr id="4" name="TextBox 3">
            <a:extLst>
              <a:ext uri="{FF2B5EF4-FFF2-40B4-BE49-F238E27FC236}">
                <a16:creationId xmlns:a16="http://schemas.microsoft.com/office/drawing/2014/main" id="{CF46A7FD-84B5-68BE-EC2F-492D7F1297A7}"/>
              </a:ext>
            </a:extLst>
          </xdr:cNvPr>
          <xdr:cNvSpPr txBox="1"/>
        </xdr:nvSpPr>
        <xdr:spPr>
          <a:xfrm>
            <a:off x="2588317" y="17604686"/>
            <a:ext cx="1283803" cy="650184"/>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Proceed</a:t>
            </a:r>
          </a:p>
          <a:p>
            <a:endParaRPr lang="en-MY" sz="300" b="1">
              <a:solidFill>
                <a:sysClr val="windowText" lastClr="000000"/>
              </a:solidFill>
              <a:latin typeface="Calibri" panose="020F0502020204030204" pitchFamily="34" charset="0"/>
              <a:ea typeface="Calibri" panose="020F0502020204030204" pitchFamily="34" charset="0"/>
              <a:cs typeface="Calibri" panose="020F0502020204030204" pitchFamily="34" charset="0"/>
            </a:endParaRPr>
          </a:p>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Reject</a:t>
            </a:r>
            <a:endParaRPr lang="en-MY" sz="1100" u="none">
              <a:solidFill>
                <a:sysClr val="windowText" lastClr="000000"/>
              </a:solidFill>
            </a:endParaRPr>
          </a:p>
        </xdr:txBody>
      </xdr:sp>
      <xdr:sp macro="" textlink="">
        <xdr:nvSpPr>
          <xdr:cNvPr id="5" name="Rectangle 4">
            <a:extLst>
              <a:ext uri="{FF2B5EF4-FFF2-40B4-BE49-F238E27FC236}">
                <a16:creationId xmlns:a16="http://schemas.microsoft.com/office/drawing/2014/main" id="{7D706FAD-2B54-C0BA-119E-8CE4BF15A2DD}"/>
              </a:ext>
            </a:extLst>
          </xdr:cNvPr>
          <xdr:cNvSpPr/>
        </xdr:nvSpPr>
        <xdr:spPr>
          <a:xfrm>
            <a:off x="3544662" y="17686032"/>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sp macro="" textlink="">
        <xdr:nvSpPr>
          <xdr:cNvPr id="6" name="Rectangle 5">
            <a:extLst>
              <a:ext uri="{FF2B5EF4-FFF2-40B4-BE49-F238E27FC236}">
                <a16:creationId xmlns:a16="http://schemas.microsoft.com/office/drawing/2014/main" id="{C0DE86E7-7A50-E7FB-5E03-4ECC7FFEF9FD}"/>
              </a:ext>
            </a:extLst>
          </xdr:cNvPr>
          <xdr:cNvSpPr/>
        </xdr:nvSpPr>
        <xdr:spPr>
          <a:xfrm>
            <a:off x="3543833" y="17987519"/>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grpSp>
    <xdr:clientData/>
  </xdr:twoCellAnchor>
  <xdr:twoCellAnchor>
    <xdr:from>
      <xdr:col>2</xdr:col>
      <xdr:colOff>0</xdr:colOff>
      <xdr:row>70</xdr:row>
      <xdr:rowOff>0</xdr:rowOff>
    </xdr:from>
    <xdr:to>
      <xdr:col>13</xdr:col>
      <xdr:colOff>81809</xdr:colOff>
      <xdr:row>76</xdr:row>
      <xdr:rowOff>22392</xdr:rowOff>
    </xdr:to>
    <xdr:grpSp>
      <xdr:nvGrpSpPr>
        <xdr:cNvPr id="7" name="Group 6">
          <a:extLst>
            <a:ext uri="{FF2B5EF4-FFF2-40B4-BE49-F238E27FC236}">
              <a16:creationId xmlns:a16="http://schemas.microsoft.com/office/drawing/2014/main" id="{0829D506-4A3B-4C7A-8E58-DFBC27278249}"/>
            </a:ext>
          </a:extLst>
        </xdr:cNvPr>
        <xdr:cNvGrpSpPr/>
      </xdr:nvGrpSpPr>
      <xdr:grpSpPr>
        <a:xfrm>
          <a:off x="771525" y="14001750"/>
          <a:ext cx="11237489" cy="1142532"/>
          <a:chOff x="833438" y="361950"/>
          <a:chExt cx="11504524" cy="1142981"/>
        </a:xfrm>
      </xdr:grpSpPr>
      <xdr:sp macro="" textlink="">
        <xdr:nvSpPr>
          <xdr:cNvPr id="8" name="TextBox 7">
            <a:extLst>
              <a:ext uri="{FF2B5EF4-FFF2-40B4-BE49-F238E27FC236}">
                <a16:creationId xmlns:a16="http://schemas.microsoft.com/office/drawing/2014/main" id="{B1B5400B-8725-7A4A-9E51-77AFCC8A8B63}"/>
              </a:ext>
            </a:extLst>
          </xdr:cNvPr>
          <xdr:cNvSpPr txBox="1"/>
        </xdr:nvSpPr>
        <xdr:spPr>
          <a:xfrm>
            <a:off x="833438" y="361950"/>
            <a:ext cx="3706448" cy="1142981"/>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100" b="1">
                <a:solidFill>
                  <a:sysClr val="windowText" lastClr="000000"/>
                </a:solidFill>
              </a:rPr>
              <a:t>Credit</a:t>
            </a:r>
            <a:r>
              <a:rPr lang="en-MY" sz="1100" b="1" baseline="0">
                <a:solidFill>
                  <a:sysClr val="windowText" lastClr="000000"/>
                </a:solidFill>
              </a:rPr>
              <a:t> Analyst 1: </a:t>
            </a:r>
            <a:r>
              <a:rPr lang="en-MY" sz="1100" b="1">
                <a:solidFill>
                  <a:sysClr val="windowText" lastClr="000000"/>
                </a:solidFill>
              </a:rPr>
              <a:t>Maker</a:t>
            </a:r>
          </a:p>
          <a:p>
            <a:r>
              <a:rPr lang="en-MY" sz="1100" b="1">
                <a:solidFill>
                  <a:sysClr val="windowText" lastClr="000000"/>
                </a:solidFill>
              </a:rPr>
              <a:t>Name: Lim Kian Hou </a:t>
            </a:r>
          </a:p>
          <a:p>
            <a:r>
              <a:rPr lang="en-MY" sz="1100" b="1">
                <a:solidFill>
                  <a:sysClr val="windowText" lastClr="000000"/>
                </a:solidFill>
              </a:rPr>
              <a:t>Signature: </a:t>
            </a:r>
          </a:p>
          <a:p>
            <a:endParaRPr lang="en-MY" sz="1100">
              <a:solidFill>
                <a:sysClr val="windowText" lastClr="000000"/>
              </a:solidFill>
            </a:endParaRPr>
          </a:p>
          <a:p>
            <a:endParaRPr lang="en-MY" sz="1100" b="1" u="none">
              <a:solidFill>
                <a:sysClr val="windowText" lastClr="000000"/>
              </a:solidFill>
            </a:endParaRPr>
          </a:p>
          <a:p>
            <a:r>
              <a:rPr lang="en-MY" sz="1100" b="1" u="none">
                <a:solidFill>
                  <a:sysClr val="windowText" lastClr="000000"/>
                </a:solidFill>
              </a:rPr>
              <a:t>Date:</a:t>
            </a:r>
          </a:p>
          <a:p>
            <a:endParaRPr lang="en-MY" sz="1100" u="none">
              <a:solidFill>
                <a:sysClr val="windowText" lastClr="000000"/>
              </a:solidFill>
            </a:endParaRPr>
          </a:p>
          <a:p>
            <a:endParaRPr lang="en-MY" sz="1100" u="none">
              <a:solidFill>
                <a:sysClr val="windowText" lastClr="000000"/>
              </a:solidFill>
            </a:endParaRPr>
          </a:p>
        </xdr:txBody>
      </xdr:sp>
      <xdr:sp macro="" textlink="">
        <xdr:nvSpPr>
          <xdr:cNvPr id="9" name="TextBox 8">
            <a:extLst>
              <a:ext uri="{FF2B5EF4-FFF2-40B4-BE49-F238E27FC236}">
                <a16:creationId xmlns:a16="http://schemas.microsoft.com/office/drawing/2014/main" id="{D1CA34B7-D035-F3AC-9F1A-AF6D778DA927}"/>
              </a:ext>
            </a:extLst>
          </xdr:cNvPr>
          <xdr:cNvSpPr txBox="1"/>
        </xdr:nvSpPr>
        <xdr:spPr>
          <a:xfrm>
            <a:off x="4733925" y="361950"/>
            <a:ext cx="3706448" cy="1142981"/>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100" b="1">
                <a:solidFill>
                  <a:sysClr val="windowText" lastClr="000000"/>
                </a:solidFill>
              </a:rPr>
              <a:t>Credit</a:t>
            </a:r>
            <a:r>
              <a:rPr lang="en-MY" sz="1100" b="1" baseline="0">
                <a:solidFill>
                  <a:sysClr val="windowText" lastClr="000000"/>
                </a:solidFill>
              </a:rPr>
              <a:t> Analyst 2: </a:t>
            </a:r>
            <a:r>
              <a:rPr lang="en-MY" sz="1100" b="1">
                <a:solidFill>
                  <a:sysClr val="windowText" lastClr="000000"/>
                </a:solidFill>
              </a:rPr>
              <a:t>Checker</a:t>
            </a:r>
            <a:endParaRPr lang="en-MY" sz="1100" b="1" baseline="0">
              <a:solidFill>
                <a:sysClr val="windowText" lastClr="000000"/>
              </a:solidFill>
              <a:effectLst/>
              <a:latin typeface="+mn-lt"/>
              <a:ea typeface="+mn-ea"/>
              <a:cs typeface="+mn-cs"/>
            </a:endParaRPr>
          </a:p>
          <a:p>
            <a:r>
              <a:rPr lang="en-MY" sz="1100" b="1">
                <a:solidFill>
                  <a:sysClr val="windowText" lastClr="000000"/>
                </a:solidFill>
                <a:effectLst/>
                <a:latin typeface="+mn-lt"/>
                <a:ea typeface="+mn-ea"/>
                <a:cs typeface="+mn-cs"/>
              </a:rPr>
              <a:t>Name: Siew Weng Sheng </a:t>
            </a:r>
          </a:p>
          <a:p>
            <a:r>
              <a:rPr lang="en-MY" sz="1100" b="1">
                <a:solidFill>
                  <a:sysClr val="windowText" lastClr="000000"/>
                </a:solidFill>
                <a:effectLst/>
                <a:latin typeface="+mn-lt"/>
                <a:ea typeface="+mn-ea"/>
                <a:cs typeface="+mn-cs"/>
              </a:rPr>
              <a:t>Signature</a:t>
            </a:r>
            <a:r>
              <a:rPr lang="en-MY" sz="1100" b="1">
                <a:solidFill>
                  <a:sysClr val="windowText" lastClr="000000"/>
                </a:solidFill>
              </a:rPr>
              <a:t>: </a:t>
            </a:r>
          </a:p>
          <a:p>
            <a:endParaRPr lang="en-MY" sz="1100">
              <a:solidFill>
                <a:sysClr val="windowText" lastClr="000000"/>
              </a:solidFill>
            </a:endParaRPr>
          </a:p>
          <a:p>
            <a:endParaRPr lang="en-MY" sz="1100" b="1" u="none">
              <a:solidFill>
                <a:sysClr val="windowText" lastClr="000000"/>
              </a:solidFill>
            </a:endParaRPr>
          </a:p>
          <a:p>
            <a:r>
              <a:rPr lang="en-MY" sz="1100" b="1" u="none">
                <a:solidFill>
                  <a:sysClr val="windowText" lastClr="000000"/>
                </a:solidFill>
              </a:rPr>
              <a:t>Date:</a:t>
            </a:r>
          </a:p>
          <a:p>
            <a:endParaRPr lang="en-MY" sz="1100" u="none">
              <a:solidFill>
                <a:sysClr val="windowText" lastClr="000000"/>
              </a:solidFill>
            </a:endParaRPr>
          </a:p>
          <a:p>
            <a:endParaRPr lang="en-MY" sz="1100" u="none">
              <a:solidFill>
                <a:sysClr val="windowText" lastClr="000000"/>
              </a:solidFill>
            </a:endParaRPr>
          </a:p>
        </xdr:txBody>
      </xdr:sp>
      <xdr:sp macro="" textlink="">
        <xdr:nvSpPr>
          <xdr:cNvPr id="10" name="TextBox 9">
            <a:extLst>
              <a:ext uri="{FF2B5EF4-FFF2-40B4-BE49-F238E27FC236}">
                <a16:creationId xmlns:a16="http://schemas.microsoft.com/office/drawing/2014/main" id="{308B675E-CBF1-E451-835B-B65341F591AC}"/>
              </a:ext>
            </a:extLst>
          </xdr:cNvPr>
          <xdr:cNvSpPr txBox="1"/>
        </xdr:nvSpPr>
        <xdr:spPr>
          <a:xfrm>
            <a:off x="8634413" y="361950"/>
            <a:ext cx="3703549" cy="1142981"/>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100" b="1">
                <a:solidFill>
                  <a:sysClr val="windowText" lastClr="000000"/>
                </a:solidFill>
                <a:effectLst/>
                <a:latin typeface="+mn-lt"/>
                <a:ea typeface="+mn-ea"/>
                <a:cs typeface="+mn-cs"/>
              </a:rPr>
              <a:t>Approval</a:t>
            </a:r>
            <a:r>
              <a:rPr lang="en-MY" sz="1100" b="1" baseline="0">
                <a:solidFill>
                  <a:sysClr val="windowText" lastClr="000000"/>
                </a:solidFill>
                <a:effectLst/>
                <a:latin typeface="+mn-lt"/>
                <a:ea typeface="+mn-ea"/>
                <a:cs typeface="+mn-cs"/>
              </a:rPr>
              <a:t> by Chief Credit Officer</a:t>
            </a:r>
          </a:p>
          <a:p>
            <a:r>
              <a:rPr lang="en-MY" sz="1100" b="1">
                <a:solidFill>
                  <a:sysClr val="windowText" lastClr="000000"/>
                </a:solidFill>
                <a:effectLst/>
                <a:latin typeface="+mn-lt"/>
                <a:ea typeface="+mn-ea"/>
                <a:cs typeface="+mn-cs"/>
              </a:rPr>
              <a:t>Name: Fong Keng Mun </a:t>
            </a:r>
            <a:endParaRPr lang="en-MY">
              <a:solidFill>
                <a:sysClr val="windowText" lastClr="000000"/>
              </a:solidFill>
              <a:effectLst/>
            </a:endParaRPr>
          </a:p>
          <a:p>
            <a:r>
              <a:rPr lang="en-MY" sz="1100" b="1">
                <a:solidFill>
                  <a:sysClr val="windowText" lastClr="000000"/>
                </a:solidFill>
                <a:effectLst/>
                <a:latin typeface="+mn-lt"/>
                <a:ea typeface="+mn-ea"/>
                <a:cs typeface="+mn-cs"/>
              </a:rPr>
              <a:t>Signature: </a:t>
            </a:r>
            <a:endParaRPr lang="en-MY">
              <a:solidFill>
                <a:sysClr val="windowText" lastClr="000000"/>
              </a:solidFill>
              <a:effectLst/>
            </a:endParaRPr>
          </a:p>
          <a:p>
            <a:endParaRPr lang="en-MY" sz="1100">
              <a:solidFill>
                <a:sysClr val="windowText" lastClr="000000"/>
              </a:solidFill>
            </a:endParaRPr>
          </a:p>
          <a:p>
            <a:endParaRPr lang="en-MY" sz="1100" b="1" u="none">
              <a:solidFill>
                <a:sysClr val="windowText" lastClr="000000"/>
              </a:solidFill>
            </a:endParaRPr>
          </a:p>
          <a:p>
            <a:r>
              <a:rPr lang="en-MY" sz="1100" b="1" u="none">
                <a:solidFill>
                  <a:sysClr val="windowText" lastClr="000000"/>
                </a:solidFill>
              </a:rPr>
              <a:t>Date:</a:t>
            </a:r>
          </a:p>
          <a:p>
            <a:endParaRPr lang="en-MY" sz="1100" u="none">
              <a:solidFill>
                <a:sysClr val="windowText" lastClr="000000"/>
              </a:solidFill>
            </a:endParaRPr>
          </a:p>
          <a:p>
            <a:endParaRPr lang="en-MY" sz="1100" u="none">
              <a:solidFill>
                <a:sysClr val="windowText" lastClr="000000"/>
              </a:solidFill>
            </a:endParaRPr>
          </a:p>
        </xdr:txBody>
      </xdr:sp>
    </xdr:grpSp>
    <xdr:clientData/>
  </xdr:twoCellAnchor>
</xdr:wsDr>
</file>

<file path=xl/drawings/drawing5.xml><?xml version="1.0" encoding="utf-8"?>
<xdr:wsDr xmlns:xdr="http://schemas.openxmlformats.org/drawingml/2006/spreadsheetDrawing" xmlns:a="http://schemas.openxmlformats.org/drawingml/2006/main">
  <xdr:twoCellAnchor editAs="oneCell">
    <xdr:from>
      <xdr:col>15</xdr:col>
      <xdr:colOff>0</xdr:colOff>
      <xdr:row>2</xdr:row>
      <xdr:rowOff>0</xdr:rowOff>
    </xdr:from>
    <xdr:to>
      <xdr:col>27</xdr:col>
      <xdr:colOff>123825</xdr:colOff>
      <xdr:row>27</xdr:row>
      <xdr:rowOff>141194</xdr:rowOff>
    </xdr:to>
    <xdr:pic>
      <xdr:nvPicPr>
        <xdr:cNvPr id="203" name="Picture 202">
          <a:extLst>
            <a:ext uri="{FF2B5EF4-FFF2-40B4-BE49-F238E27FC236}">
              <a16:creationId xmlns:a16="http://schemas.microsoft.com/office/drawing/2014/main" id="{88D60D38-1921-4100-88DE-494A05FC631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201775" y="323850"/>
          <a:ext cx="7439025" cy="7820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xdr:from>
      <xdr:col>6</xdr:col>
      <xdr:colOff>448235</xdr:colOff>
      <xdr:row>35</xdr:row>
      <xdr:rowOff>145676</xdr:rowOff>
    </xdr:from>
    <xdr:to>
      <xdr:col>8</xdr:col>
      <xdr:colOff>89647</xdr:colOff>
      <xdr:row>38</xdr:row>
      <xdr:rowOff>134470</xdr:rowOff>
    </xdr:to>
    <xdr:sp macro="[0]!Proposed_Facility" textlink="">
      <xdr:nvSpPr>
        <xdr:cNvPr id="2" name="TextBox 1">
          <a:extLst>
            <a:ext uri="{FF2B5EF4-FFF2-40B4-BE49-F238E27FC236}">
              <a16:creationId xmlns:a16="http://schemas.microsoft.com/office/drawing/2014/main" id="{DD095146-468E-4A73-8A31-129EA772C328}"/>
            </a:ext>
          </a:extLst>
        </xdr:cNvPr>
        <xdr:cNvSpPr txBox="1"/>
      </xdr:nvSpPr>
      <xdr:spPr>
        <a:xfrm>
          <a:off x="6577573" y="5646364"/>
          <a:ext cx="1108262" cy="488856"/>
        </a:xfrm>
        <a:prstGeom prst="rect">
          <a:avLst/>
        </a:prstGeom>
        <a:ln/>
      </xdr:spPr>
      <xdr:style>
        <a:lnRef idx="1">
          <a:schemeClr val="accent3"/>
        </a:lnRef>
        <a:fillRef idx="2">
          <a:schemeClr val="accent3"/>
        </a:fillRef>
        <a:effectRef idx="1">
          <a:schemeClr val="accent3"/>
        </a:effectRef>
        <a:fontRef idx="minor">
          <a:schemeClr val="dk1"/>
        </a:fontRef>
      </xdr:style>
      <xdr:txBody>
        <a:bodyPr vertOverflow="clip" horzOverflow="clip" wrap="square" rtlCol="0" anchor="ctr"/>
        <a:lstStyle/>
        <a:p>
          <a:pPr algn="ctr"/>
          <a:r>
            <a:rPr lang="en-MY" sz="900" b="0" cap="none" spc="0">
              <a:ln w="0"/>
              <a:solidFill>
                <a:schemeClr val="tx1"/>
              </a:solidFill>
              <a:effectLst>
                <a:outerShdw blurRad="38100" dist="19050" dir="2700000" algn="tl" rotWithShape="0">
                  <a:schemeClr val="dk1">
                    <a:alpha val="40000"/>
                  </a:schemeClr>
                </a:outerShdw>
              </a:effectLst>
            </a:rPr>
            <a:t>Input</a:t>
          </a:r>
          <a:r>
            <a:rPr lang="en-MY" sz="900" b="0" cap="none" spc="0" baseline="0">
              <a:ln w="0"/>
              <a:solidFill>
                <a:schemeClr val="tx1"/>
              </a:solidFill>
              <a:effectLst>
                <a:outerShdw blurRad="38100" dist="19050" dir="2700000" algn="tl" rotWithShape="0">
                  <a:schemeClr val="dk1">
                    <a:alpha val="40000"/>
                  </a:schemeClr>
                </a:outerShdw>
              </a:effectLst>
            </a:rPr>
            <a:t> Proposed Facility</a:t>
          </a:r>
        </a:p>
      </xdr:txBody>
    </xdr:sp>
    <xdr:clientData/>
  </xdr:twoCellAnchor>
  <xdr:twoCellAnchor>
    <xdr:from>
      <xdr:col>6</xdr:col>
      <xdr:colOff>448235</xdr:colOff>
      <xdr:row>31</xdr:row>
      <xdr:rowOff>145675</xdr:rowOff>
    </xdr:from>
    <xdr:to>
      <xdr:col>8</xdr:col>
      <xdr:colOff>89647</xdr:colOff>
      <xdr:row>34</xdr:row>
      <xdr:rowOff>134469</xdr:rowOff>
    </xdr:to>
    <xdr:sp macro="[0]!CompareCTOS" textlink="">
      <xdr:nvSpPr>
        <xdr:cNvPr id="3" name="TextBox 2">
          <a:extLst>
            <a:ext uri="{FF2B5EF4-FFF2-40B4-BE49-F238E27FC236}">
              <a16:creationId xmlns:a16="http://schemas.microsoft.com/office/drawing/2014/main" id="{148EA892-0454-4C89-B29C-6C47D06BF20D}"/>
            </a:ext>
          </a:extLst>
        </xdr:cNvPr>
        <xdr:cNvSpPr txBox="1"/>
      </xdr:nvSpPr>
      <xdr:spPr>
        <a:xfrm>
          <a:off x="6577573" y="4979613"/>
          <a:ext cx="1108262" cy="488856"/>
        </a:xfrm>
        <a:prstGeom prst="rect">
          <a:avLst/>
        </a:prstGeom>
        <a:ln/>
      </xdr:spPr>
      <xdr:style>
        <a:lnRef idx="1">
          <a:schemeClr val="accent3"/>
        </a:lnRef>
        <a:fillRef idx="2">
          <a:schemeClr val="accent3"/>
        </a:fillRef>
        <a:effectRef idx="1">
          <a:schemeClr val="accent3"/>
        </a:effectRef>
        <a:fontRef idx="minor">
          <a:schemeClr val="dk1"/>
        </a:fontRef>
      </xdr:style>
      <xdr:txBody>
        <a:bodyPr vertOverflow="clip" horzOverflow="clip" wrap="square" rtlCol="0" anchor="ctr"/>
        <a:lstStyle/>
        <a:p>
          <a:pPr algn="ctr"/>
          <a:r>
            <a:rPr lang="en-MY" sz="900" b="0" cap="none" spc="0">
              <a:ln w="0"/>
              <a:solidFill>
                <a:schemeClr val="tx1"/>
              </a:solidFill>
              <a:effectLst>
                <a:outerShdw blurRad="38100" dist="19050" dir="2700000" algn="tl" rotWithShape="0">
                  <a:schemeClr val="dk1">
                    <a:alpha val="40000"/>
                  </a:schemeClr>
                </a:outerShdw>
              </a:effectLst>
            </a:rPr>
            <a:t>Compare With CTOS</a:t>
          </a:r>
          <a:endParaRPr lang="en-MY" sz="900" b="0" cap="none" spc="0" baseline="0">
            <a:ln w="0"/>
            <a:solidFill>
              <a:schemeClr val="tx1"/>
            </a:solidFill>
            <a:effectLst>
              <a:outerShdw blurRad="38100" dist="19050" dir="2700000" algn="tl" rotWithShape="0">
                <a:schemeClr val="dk1">
                  <a:alpha val="40000"/>
                </a:schemeClr>
              </a:outerShdw>
            </a:effectLst>
          </a:endParaRP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6</xdr:col>
      <xdr:colOff>448235</xdr:colOff>
      <xdr:row>32</xdr:row>
      <xdr:rowOff>145676</xdr:rowOff>
    </xdr:from>
    <xdr:to>
      <xdr:col>8</xdr:col>
      <xdr:colOff>89647</xdr:colOff>
      <xdr:row>35</xdr:row>
      <xdr:rowOff>134470</xdr:rowOff>
    </xdr:to>
    <xdr:sp macro="[0]!Proposed_Facility" textlink="">
      <xdr:nvSpPr>
        <xdr:cNvPr id="2" name="TextBox 1">
          <a:extLst>
            <a:ext uri="{FF2B5EF4-FFF2-40B4-BE49-F238E27FC236}">
              <a16:creationId xmlns:a16="http://schemas.microsoft.com/office/drawing/2014/main" id="{19A1FC4A-E4FB-4AF7-B738-75DC607E5BC0}"/>
            </a:ext>
          </a:extLst>
        </xdr:cNvPr>
        <xdr:cNvSpPr txBox="1"/>
      </xdr:nvSpPr>
      <xdr:spPr>
        <a:xfrm>
          <a:off x="6577573" y="5479676"/>
          <a:ext cx="1108262" cy="488857"/>
        </a:xfrm>
        <a:prstGeom prst="rect">
          <a:avLst/>
        </a:prstGeom>
        <a:ln/>
      </xdr:spPr>
      <xdr:style>
        <a:lnRef idx="1">
          <a:schemeClr val="accent3"/>
        </a:lnRef>
        <a:fillRef idx="2">
          <a:schemeClr val="accent3"/>
        </a:fillRef>
        <a:effectRef idx="1">
          <a:schemeClr val="accent3"/>
        </a:effectRef>
        <a:fontRef idx="minor">
          <a:schemeClr val="dk1"/>
        </a:fontRef>
      </xdr:style>
      <xdr:txBody>
        <a:bodyPr vertOverflow="clip" horzOverflow="clip" wrap="square" rtlCol="0" anchor="ctr"/>
        <a:lstStyle/>
        <a:p>
          <a:pPr algn="ctr"/>
          <a:r>
            <a:rPr lang="en-MY" sz="900" b="0" cap="none" spc="0">
              <a:ln w="0"/>
              <a:solidFill>
                <a:schemeClr val="tx1"/>
              </a:solidFill>
              <a:effectLst>
                <a:outerShdw blurRad="38100" dist="19050" dir="2700000" algn="tl" rotWithShape="0">
                  <a:schemeClr val="dk1">
                    <a:alpha val="40000"/>
                  </a:schemeClr>
                </a:outerShdw>
              </a:effectLst>
            </a:rPr>
            <a:t>Input</a:t>
          </a:r>
          <a:r>
            <a:rPr lang="en-MY" sz="900" b="0" cap="none" spc="0" baseline="0">
              <a:ln w="0"/>
              <a:solidFill>
                <a:schemeClr val="tx1"/>
              </a:solidFill>
              <a:effectLst>
                <a:outerShdw blurRad="38100" dist="19050" dir="2700000" algn="tl" rotWithShape="0">
                  <a:schemeClr val="dk1">
                    <a:alpha val="40000"/>
                  </a:schemeClr>
                </a:outerShdw>
              </a:effectLst>
            </a:rPr>
            <a:t> Proposed Facility</a:t>
          </a:r>
        </a:p>
      </xdr:txBody>
    </xdr:sp>
    <xdr:clientData/>
  </xdr:twoCellAnchor>
  <xdr:twoCellAnchor>
    <xdr:from>
      <xdr:col>6</xdr:col>
      <xdr:colOff>448235</xdr:colOff>
      <xdr:row>28</xdr:row>
      <xdr:rowOff>145675</xdr:rowOff>
    </xdr:from>
    <xdr:to>
      <xdr:col>8</xdr:col>
      <xdr:colOff>89647</xdr:colOff>
      <xdr:row>31</xdr:row>
      <xdr:rowOff>134469</xdr:rowOff>
    </xdr:to>
    <xdr:sp macro="[0]!CompareCTOS" textlink="">
      <xdr:nvSpPr>
        <xdr:cNvPr id="3" name="TextBox 2">
          <a:extLst>
            <a:ext uri="{FF2B5EF4-FFF2-40B4-BE49-F238E27FC236}">
              <a16:creationId xmlns:a16="http://schemas.microsoft.com/office/drawing/2014/main" id="{717936AF-58DD-4371-9140-474FD56442FF}"/>
            </a:ext>
          </a:extLst>
        </xdr:cNvPr>
        <xdr:cNvSpPr txBox="1"/>
      </xdr:nvSpPr>
      <xdr:spPr>
        <a:xfrm>
          <a:off x="6577573" y="4812925"/>
          <a:ext cx="1108262" cy="488857"/>
        </a:xfrm>
        <a:prstGeom prst="rect">
          <a:avLst/>
        </a:prstGeom>
        <a:ln/>
      </xdr:spPr>
      <xdr:style>
        <a:lnRef idx="1">
          <a:schemeClr val="accent3"/>
        </a:lnRef>
        <a:fillRef idx="2">
          <a:schemeClr val="accent3"/>
        </a:fillRef>
        <a:effectRef idx="1">
          <a:schemeClr val="accent3"/>
        </a:effectRef>
        <a:fontRef idx="minor">
          <a:schemeClr val="dk1"/>
        </a:fontRef>
      </xdr:style>
      <xdr:txBody>
        <a:bodyPr vertOverflow="clip" horzOverflow="clip" wrap="square" rtlCol="0" anchor="ctr"/>
        <a:lstStyle/>
        <a:p>
          <a:pPr algn="ctr"/>
          <a:r>
            <a:rPr lang="en-MY" sz="900" b="0" cap="none" spc="0">
              <a:ln w="0"/>
              <a:solidFill>
                <a:schemeClr val="tx1"/>
              </a:solidFill>
              <a:effectLst>
                <a:outerShdw blurRad="38100" dist="19050" dir="2700000" algn="tl" rotWithShape="0">
                  <a:schemeClr val="dk1">
                    <a:alpha val="40000"/>
                  </a:schemeClr>
                </a:outerShdw>
              </a:effectLst>
            </a:rPr>
            <a:t>Compare With CTOS</a:t>
          </a:r>
          <a:endParaRPr lang="en-MY" sz="900" b="0" cap="none" spc="0" baseline="0">
            <a:ln w="0"/>
            <a:solidFill>
              <a:schemeClr val="tx1"/>
            </a:solidFill>
            <a:effectLst>
              <a:outerShdw blurRad="38100" dist="19050" dir="2700000" algn="tl" rotWithShape="0">
                <a:schemeClr val="dk1">
                  <a:alpha val="40000"/>
                </a:schemeClr>
              </a:outerShdw>
            </a:effectLst>
          </a:endParaRP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magnisave-my.sharepoint.com/Users/Joe/Desktop/Moneysave%20Capital/Project%20F/Copy%20of%20RSME%20Calculator.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Joe/Desktop/Moneysave%20Capital/Project%20F/Copy%20of%20RSME%20Calculator.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pplication Details"/>
      <sheetName val="Security Value - Examples"/>
      <sheetName val="Security Value - Main"/>
      <sheetName val="Security Value - Output"/>
      <sheetName val="WCR"/>
      <sheetName val="DSR_(SB_Partnership_Others)"/>
      <sheetName val="DSR_(Sole Prop)"/>
      <sheetName val="ADSR_Proxy on Individual"/>
      <sheetName val="ADSR_Proxy on Company"/>
      <sheetName val="OUTPUT - ADSR"/>
      <sheetName val="validate"/>
      <sheetName val="Financial Info Details"/>
      <sheetName val="Calculation Sheet"/>
      <sheetName val="Lookup"/>
      <sheetName val="SecurityType"/>
      <sheetName val="AMD_AMW"/>
      <sheetName val="Sheet1"/>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sheetData sheetId="9" refreshError="1"/>
      <sheetData sheetId="10">
        <row r="36">
          <cell r="C36" t="str">
            <v>Select Facility</v>
          </cell>
        </row>
        <row r="37">
          <cell r="C37" t="str">
            <v>Overdraft 1</v>
          </cell>
        </row>
        <row r="38">
          <cell r="C38" t="str">
            <v>Overdraft 2</v>
          </cell>
        </row>
        <row r="39">
          <cell r="C39" t="str">
            <v>Overdraft 3</v>
          </cell>
        </row>
        <row r="40">
          <cell r="C40" t="str">
            <v>Overdraft 4</v>
          </cell>
        </row>
        <row r="41">
          <cell r="C41" t="str">
            <v>Overdraft 5</v>
          </cell>
        </row>
        <row r="42">
          <cell r="C42" t="str">
            <v>Overdraft 6</v>
          </cell>
        </row>
        <row r="43">
          <cell r="C43" t="str">
            <v>Overdraft 7</v>
          </cell>
        </row>
        <row r="44">
          <cell r="C44" t="str">
            <v>Overdraft 8</v>
          </cell>
        </row>
        <row r="45">
          <cell r="C45" t="str">
            <v>Overdraft 9</v>
          </cell>
        </row>
        <row r="46">
          <cell r="C46" t="str">
            <v>Overdraft 10</v>
          </cell>
        </row>
        <row r="47">
          <cell r="C47" t="str">
            <v>Overdraft 11</v>
          </cell>
        </row>
        <row r="48">
          <cell r="C48" t="str">
            <v>Overdraft 12</v>
          </cell>
        </row>
        <row r="49">
          <cell r="C49" t="str">
            <v>Overdraft 13</v>
          </cell>
        </row>
        <row r="50">
          <cell r="C50" t="str">
            <v>Overdraft 14</v>
          </cell>
        </row>
        <row r="51">
          <cell r="C51" t="str">
            <v>Overdraft 15</v>
          </cell>
        </row>
        <row r="70">
          <cell r="C70" t="str">
            <v>Select Facility</v>
          </cell>
        </row>
        <row r="71">
          <cell r="C71" t="str">
            <v>Term Loan 1</v>
          </cell>
        </row>
        <row r="72">
          <cell r="C72" t="str">
            <v>Term Loan 2</v>
          </cell>
        </row>
        <row r="73">
          <cell r="C73" t="str">
            <v>Term Loan 3</v>
          </cell>
        </row>
        <row r="74">
          <cell r="C74" t="str">
            <v>Term Loan 4</v>
          </cell>
        </row>
        <row r="75">
          <cell r="C75" t="str">
            <v>Term Loan 5</v>
          </cell>
        </row>
        <row r="76">
          <cell r="C76" t="str">
            <v>Term Loan 6</v>
          </cell>
        </row>
        <row r="77">
          <cell r="C77" t="str">
            <v>Term Loan 7</v>
          </cell>
        </row>
        <row r="78">
          <cell r="C78" t="str">
            <v>Term Loan 8</v>
          </cell>
        </row>
        <row r="79">
          <cell r="C79" t="str">
            <v>Term Loan 9</v>
          </cell>
        </row>
        <row r="80">
          <cell r="C80" t="str">
            <v>Term Loan 10</v>
          </cell>
        </row>
        <row r="81">
          <cell r="C81" t="str">
            <v>Term Loan 11</v>
          </cell>
        </row>
        <row r="82">
          <cell r="C82" t="str">
            <v>Term Loan 12</v>
          </cell>
        </row>
        <row r="83">
          <cell r="C83" t="str">
            <v>Term Loan 13</v>
          </cell>
        </row>
        <row r="84">
          <cell r="C84" t="str">
            <v>Term Loan 14</v>
          </cell>
        </row>
        <row r="85">
          <cell r="C85" t="str">
            <v>Term Loan 15</v>
          </cell>
        </row>
        <row r="87">
          <cell r="C87" t="str">
            <v>Select Source</v>
          </cell>
        </row>
        <row r="88">
          <cell r="C88" t="str">
            <v>CCRIS</v>
          </cell>
        </row>
        <row r="89">
          <cell r="C89" t="str">
            <v>Letter Offer</v>
          </cell>
        </row>
        <row r="90">
          <cell r="C90" t="str">
            <v>Latest FYE Audited Accounts</v>
          </cell>
        </row>
        <row r="91">
          <cell r="C91" t="str">
            <v>Latest FYE Management Accounts</v>
          </cell>
        </row>
        <row r="92">
          <cell r="C92" t="str">
            <v>Declaration Form</v>
          </cell>
        </row>
        <row r="93">
          <cell r="C93" t="str">
            <v>Others</v>
          </cell>
        </row>
        <row r="95">
          <cell r="C95" t="str">
            <v>Select Facility</v>
          </cell>
        </row>
        <row r="96">
          <cell r="C96" t="str">
            <v>Overdraft with Reduction/ Sinking Fund 1</v>
          </cell>
        </row>
        <row r="97">
          <cell r="C97" t="str">
            <v>Overdraft with Reduction/ Sinking Fund 2</v>
          </cell>
        </row>
        <row r="98">
          <cell r="C98" t="str">
            <v>Overdraft with Reduction/ Sinking Fund 3</v>
          </cell>
        </row>
        <row r="99">
          <cell r="C99" t="str">
            <v>Overdraft with Reduction/ Sinking Fund 4</v>
          </cell>
        </row>
        <row r="100">
          <cell r="C100" t="str">
            <v>Overdraft with Reduction/ Sinking Fund 5</v>
          </cell>
        </row>
        <row r="101">
          <cell r="C101" t="str">
            <v>Overdraft with Reduction/ Sinking Fund 6</v>
          </cell>
        </row>
        <row r="102">
          <cell r="C102" t="str">
            <v>Overdraft with Reduction/ Sinking Fund 7</v>
          </cell>
        </row>
        <row r="103">
          <cell r="C103" t="str">
            <v>Overdraft with Reduction/ Sinking Fund 8</v>
          </cell>
        </row>
        <row r="104">
          <cell r="C104" t="str">
            <v>Overdraft with Reduction/ Sinking Fund 9</v>
          </cell>
        </row>
        <row r="105">
          <cell r="C105" t="str">
            <v>Overdraft with Reduction/ Sinking Fund 10</v>
          </cell>
        </row>
        <row r="106">
          <cell r="C106" t="str">
            <v>Overdraft with Reduction/ Sinking Fund 11</v>
          </cell>
        </row>
        <row r="107">
          <cell r="C107" t="str">
            <v>Overdraft with Reduction/ Sinking Fund 12</v>
          </cell>
        </row>
        <row r="108">
          <cell r="C108" t="str">
            <v>Overdraft with Reduction/ Sinking Fund 13</v>
          </cell>
        </row>
        <row r="109">
          <cell r="C109" t="str">
            <v>Overdraft with Reduction/ Sinking Fund 14</v>
          </cell>
        </row>
        <row r="110">
          <cell r="C110" t="str">
            <v>Overdraft with Reduction/ Sinking Fund 15</v>
          </cell>
        </row>
        <row r="113">
          <cell r="C113" t="str">
            <v>Select Facility</v>
          </cell>
        </row>
        <row r="114">
          <cell r="C114" t="str">
            <v>TR 1</v>
          </cell>
        </row>
        <row r="115">
          <cell r="C115" t="str">
            <v>TR 2</v>
          </cell>
        </row>
        <row r="116">
          <cell r="C116" t="str">
            <v>TR 3</v>
          </cell>
        </row>
        <row r="117">
          <cell r="C117" t="str">
            <v>TR 4</v>
          </cell>
        </row>
        <row r="118">
          <cell r="C118" t="str">
            <v>TR 5</v>
          </cell>
        </row>
        <row r="119">
          <cell r="C119" t="str">
            <v>TR 6</v>
          </cell>
        </row>
        <row r="120">
          <cell r="C120" t="str">
            <v>TR 7</v>
          </cell>
        </row>
        <row r="121">
          <cell r="C121" t="str">
            <v>TR 8</v>
          </cell>
        </row>
        <row r="122">
          <cell r="C122" t="str">
            <v>TR 9</v>
          </cell>
        </row>
        <row r="123">
          <cell r="C123" t="str">
            <v>TR 10</v>
          </cell>
        </row>
        <row r="124">
          <cell r="C124" t="str">
            <v>TR 11</v>
          </cell>
        </row>
        <row r="125">
          <cell r="C125" t="str">
            <v>TR 12</v>
          </cell>
        </row>
        <row r="126">
          <cell r="C126" t="str">
            <v>TR 13</v>
          </cell>
        </row>
        <row r="127">
          <cell r="C127" t="str">
            <v>TR 14</v>
          </cell>
        </row>
        <row r="128">
          <cell r="C128" t="str">
            <v>TR 15</v>
          </cell>
        </row>
        <row r="131">
          <cell r="C131" t="str">
            <v>Select Facility</v>
          </cell>
        </row>
        <row r="132">
          <cell r="C132" t="str">
            <v>Hire Purchase/Leasing 1 (with other FI)</v>
          </cell>
        </row>
        <row r="133">
          <cell r="C133" t="str">
            <v>Hire Purchase/Leasing 2 (with other FI)</v>
          </cell>
        </row>
        <row r="134">
          <cell r="C134" t="str">
            <v>Hire Purchase/Leasing 3 (with other FI)</v>
          </cell>
        </row>
        <row r="135">
          <cell r="C135" t="str">
            <v>Hire Purchase/Leasing 4 (with other FI)</v>
          </cell>
        </row>
        <row r="136">
          <cell r="C136" t="str">
            <v>Hire Purchase/Leasing 5 (with other FI)</v>
          </cell>
        </row>
        <row r="137">
          <cell r="C137" t="str">
            <v>Hire Purchase/Leasing 6 (with other FI)</v>
          </cell>
        </row>
        <row r="138">
          <cell r="C138" t="str">
            <v>Hire Purchase/Leasing 7 (with other FI)</v>
          </cell>
        </row>
        <row r="139">
          <cell r="C139" t="str">
            <v>Hire Purchase/Leasing 8 (with other FI)</v>
          </cell>
        </row>
        <row r="140">
          <cell r="C140" t="str">
            <v>Hire Purchase/Leasing 9 (with other FI)</v>
          </cell>
        </row>
        <row r="141">
          <cell r="C141" t="str">
            <v>Hire Purchase/Leasing 10 (with other FI)</v>
          </cell>
        </row>
        <row r="142">
          <cell r="C142" t="str">
            <v>Hire Purchase/Leasing 11 (with other FI)</v>
          </cell>
        </row>
        <row r="143">
          <cell r="C143" t="str">
            <v>Hire Purchase/Leasing 12 (with other FI)</v>
          </cell>
        </row>
        <row r="144">
          <cell r="C144" t="str">
            <v>Hire Purchase/Leasing 13 (with other FI)</v>
          </cell>
        </row>
        <row r="145">
          <cell r="C145" t="str">
            <v>Hire Purchase/Leasing 14 (with other FI)</v>
          </cell>
        </row>
        <row r="146">
          <cell r="C146" t="str">
            <v>Hire Purchase/Leasing 15 (with other FI)</v>
          </cell>
        </row>
        <row r="147">
          <cell r="C147" t="str">
            <v>Hire Purchase/Leasing 1 (with bank)</v>
          </cell>
        </row>
        <row r="148">
          <cell r="C148" t="str">
            <v>Hire Purchase/Leasing 2 (with bank)</v>
          </cell>
        </row>
        <row r="149">
          <cell r="C149" t="str">
            <v>Hire Purchase/Leasing 3 (with bank)</v>
          </cell>
        </row>
        <row r="150">
          <cell r="C150" t="str">
            <v>Hire Purchase/Leasing 4 (with bank)</v>
          </cell>
        </row>
        <row r="151">
          <cell r="C151" t="str">
            <v>Hire Purchase/Leasing 5 (with bank)</v>
          </cell>
        </row>
        <row r="152">
          <cell r="C152" t="str">
            <v>Hire Purchase/Leasing 6 (with bank)</v>
          </cell>
        </row>
        <row r="153">
          <cell r="C153" t="str">
            <v>Hire Purchase/Leasing 7 (with bank)</v>
          </cell>
        </row>
        <row r="154">
          <cell r="C154" t="str">
            <v>Hire Purchase/Leasing 8 (with bank)</v>
          </cell>
        </row>
        <row r="155">
          <cell r="C155" t="str">
            <v>Hire Purchase/Leasing 9 (with bank)</v>
          </cell>
        </row>
        <row r="156">
          <cell r="C156" t="str">
            <v>Hire Purchase/Leasing 10 (with bank)</v>
          </cell>
        </row>
        <row r="157">
          <cell r="C157" t="str">
            <v>Hire Purchase/Leasing 11 (with bank)</v>
          </cell>
        </row>
        <row r="158">
          <cell r="C158" t="str">
            <v>Hire Purchase/Leasing 12 (with bank)</v>
          </cell>
        </row>
        <row r="159">
          <cell r="C159" t="str">
            <v>Hire Purchase/Leasing 13 (with bank)</v>
          </cell>
        </row>
        <row r="160">
          <cell r="C160" t="str">
            <v>Hire Purchase/Leasing 14 (with bank)</v>
          </cell>
        </row>
        <row r="161">
          <cell r="C161" t="str">
            <v>Hire Purchase/Leasing 15 (with bank)</v>
          </cell>
        </row>
        <row r="164">
          <cell r="C164" t="str">
            <v>Select Facility</v>
          </cell>
        </row>
        <row r="165">
          <cell r="C165" t="str">
            <v>Credit Card 1 (with other FI)</v>
          </cell>
        </row>
        <row r="166">
          <cell r="C166" t="str">
            <v>Credit Card 2 (with other FI)</v>
          </cell>
        </row>
        <row r="167">
          <cell r="C167" t="str">
            <v>Credit Card 3 (with other FI)</v>
          </cell>
        </row>
        <row r="168">
          <cell r="C168" t="str">
            <v>Credit Card 4 (with other FI)</v>
          </cell>
        </row>
        <row r="169">
          <cell r="C169" t="str">
            <v>Credit Card 5 (with other FI)</v>
          </cell>
        </row>
        <row r="170">
          <cell r="C170" t="str">
            <v>Credit Card 6 (with other FI)</v>
          </cell>
        </row>
        <row r="171">
          <cell r="C171" t="str">
            <v>Credit Card 7 (with other FI)</v>
          </cell>
        </row>
        <row r="172">
          <cell r="C172" t="str">
            <v>Credit Card 8 (with other FI)</v>
          </cell>
        </row>
        <row r="173">
          <cell r="C173" t="str">
            <v>Credit Card 9 (with other FI)</v>
          </cell>
        </row>
        <row r="174">
          <cell r="C174" t="str">
            <v>Credit Card 10 (with other FI)</v>
          </cell>
        </row>
        <row r="175">
          <cell r="C175" t="str">
            <v>Credit Card 11 (with other FI)</v>
          </cell>
        </row>
        <row r="176">
          <cell r="C176" t="str">
            <v>Credit Card 12 (with other FI)</v>
          </cell>
        </row>
        <row r="177">
          <cell r="C177" t="str">
            <v>Credit Card 13 (with other FI)</v>
          </cell>
        </row>
        <row r="178">
          <cell r="C178" t="str">
            <v>Credit Card 14 (with other FI)</v>
          </cell>
        </row>
        <row r="179">
          <cell r="C179" t="str">
            <v>Credit Card 15 (with other FI)</v>
          </cell>
        </row>
        <row r="180">
          <cell r="C180" t="str">
            <v>Credit Card 1 (with bank)</v>
          </cell>
        </row>
        <row r="181">
          <cell r="C181" t="str">
            <v>Credit Card 2 (with bank)</v>
          </cell>
        </row>
        <row r="182">
          <cell r="C182" t="str">
            <v>Credit Card 3 (with bank)</v>
          </cell>
        </row>
        <row r="183">
          <cell r="C183" t="str">
            <v>Credit Card 4 (with bank)</v>
          </cell>
        </row>
        <row r="184">
          <cell r="C184" t="str">
            <v>Credit Card 5 (with bank)</v>
          </cell>
        </row>
        <row r="185">
          <cell r="C185" t="str">
            <v>Credit Card 6 (with bank)</v>
          </cell>
        </row>
        <row r="186">
          <cell r="C186" t="str">
            <v>Credit Card 7 (with bank)</v>
          </cell>
        </row>
        <row r="187">
          <cell r="C187" t="str">
            <v>Credit Card 8 (with bank)</v>
          </cell>
        </row>
        <row r="188">
          <cell r="C188" t="str">
            <v>Credit Card 9 (with bank)</v>
          </cell>
        </row>
        <row r="189">
          <cell r="C189" t="str">
            <v>Credit Card 10 (with bank)</v>
          </cell>
        </row>
        <row r="190">
          <cell r="C190" t="str">
            <v>Credit Card 11 (with bank)</v>
          </cell>
        </row>
        <row r="191">
          <cell r="C191" t="str">
            <v>Credit Card 12 (with bank)</v>
          </cell>
        </row>
        <row r="192">
          <cell r="C192" t="str">
            <v>Credit Card 13 (with bank)</v>
          </cell>
        </row>
        <row r="193">
          <cell r="C193" t="str">
            <v>Credit Card 14 (with bank)</v>
          </cell>
        </row>
        <row r="194">
          <cell r="C194" t="str">
            <v>Credit Card 15 (with bank)</v>
          </cell>
        </row>
        <row r="225">
          <cell r="C225" t="str">
            <v>Select Facility</v>
          </cell>
        </row>
        <row r="226">
          <cell r="C226" t="str">
            <v>BA 1</v>
          </cell>
        </row>
        <row r="227">
          <cell r="C227" t="str">
            <v>BA 2</v>
          </cell>
        </row>
        <row r="228">
          <cell r="C228" t="str">
            <v>BA 3</v>
          </cell>
        </row>
        <row r="229">
          <cell r="C229" t="str">
            <v>BA 4</v>
          </cell>
        </row>
        <row r="230">
          <cell r="C230" t="str">
            <v>BA 5</v>
          </cell>
        </row>
        <row r="231">
          <cell r="C231" t="str">
            <v>BA 6</v>
          </cell>
        </row>
        <row r="232">
          <cell r="C232" t="str">
            <v>BA 7</v>
          </cell>
        </row>
        <row r="233">
          <cell r="C233" t="str">
            <v>BA 8</v>
          </cell>
        </row>
        <row r="234">
          <cell r="C234" t="str">
            <v>BA 9</v>
          </cell>
        </row>
        <row r="235">
          <cell r="C235" t="str">
            <v>BA 10</v>
          </cell>
        </row>
        <row r="236">
          <cell r="C236" t="str">
            <v>BA 11</v>
          </cell>
        </row>
        <row r="237">
          <cell r="C237" t="str">
            <v>BA 12</v>
          </cell>
        </row>
        <row r="238">
          <cell r="C238" t="str">
            <v>BA 13</v>
          </cell>
        </row>
        <row r="239">
          <cell r="C239" t="str">
            <v>BA 14</v>
          </cell>
        </row>
        <row r="240">
          <cell r="C240" t="str">
            <v>BA 15</v>
          </cell>
        </row>
      </sheetData>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pplication Details"/>
      <sheetName val="Security Value - Examples"/>
      <sheetName val="Security Value - Main"/>
      <sheetName val="Security Value - Output"/>
      <sheetName val="WCR"/>
      <sheetName val="DSR_(SB_Partnership_Others)"/>
      <sheetName val="DSR_(Sole Prop)"/>
      <sheetName val="ADSR_Proxy on Individual"/>
      <sheetName val="ADSR_Proxy on Company"/>
      <sheetName val="OUTPUT - ADSR"/>
      <sheetName val="validate"/>
      <sheetName val="Financial Info Details"/>
      <sheetName val="Calculation Sheet"/>
      <sheetName val="Lookup"/>
      <sheetName val="SecurityType"/>
      <sheetName val="AMD_AMW"/>
      <sheetName val="Sheet1"/>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sheetData sheetId="9" refreshError="1"/>
      <sheetData sheetId="10">
        <row r="36">
          <cell r="C36" t="str">
            <v>Select Facility</v>
          </cell>
        </row>
        <row r="37">
          <cell r="C37" t="str">
            <v>Overdraft 1</v>
          </cell>
        </row>
        <row r="38">
          <cell r="C38" t="str">
            <v>Overdraft 2</v>
          </cell>
        </row>
        <row r="39">
          <cell r="C39" t="str">
            <v>Overdraft 3</v>
          </cell>
        </row>
        <row r="40">
          <cell r="C40" t="str">
            <v>Overdraft 4</v>
          </cell>
        </row>
        <row r="41">
          <cell r="C41" t="str">
            <v>Overdraft 5</v>
          </cell>
        </row>
        <row r="42">
          <cell r="C42" t="str">
            <v>Overdraft 6</v>
          </cell>
        </row>
        <row r="43">
          <cell r="C43" t="str">
            <v>Overdraft 7</v>
          </cell>
        </row>
        <row r="44">
          <cell r="C44" t="str">
            <v>Overdraft 8</v>
          </cell>
        </row>
        <row r="45">
          <cell r="C45" t="str">
            <v>Overdraft 9</v>
          </cell>
        </row>
        <row r="46">
          <cell r="C46" t="str">
            <v>Overdraft 10</v>
          </cell>
        </row>
        <row r="47">
          <cell r="C47" t="str">
            <v>Overdraft 11</v>
          </cell>
        </row>
        <row r="48">
          <cell r="C48" t="str">
            <v>Overdraft 12</v>
          </cell>
        </row>
        <row r="49">
          <cell r="C49" t="str">
            <v>Overdraft 13</v>
          </cell>
        </row>
        <row r="50">
          <cell r="C50" t="str">
            <v>Overdraft 14</v>
          </cell>
        </row>
        <row r="51">
          <cell r="C51" t="str">
            <v>Overdraft 15</v>
          </cell>
        </row>
        <row r="70">
          <cell r="C70" t="str">
            <v>Select Facility</v>
          </cell>
        </row>
        <row r="71">
          <cell r="C71" t="str">
            <v>Term Loan 1</v>
          </cell>
        </row>
        <row r="72">
          <cell r="C72" t="str">
            <v>Term Loan 2</v>
          </cell>
        </row>
        <row r="73">
          <cell r="C73" t="str">
            <v>Term Loan 3</v>
          </cell>
        </row>
        <row r="74">
          <cell r="C74" t="str">
            <v>Term Loan 4</v>
          </cell>
        </row>
        <row r="75">
          <cell r="C75" t="str">
            <v>Term Loan 5</v>
          </cell>
        </row>
        <row r="76">
          <cell r="C76" t="str">
            <v>Term Loan 6</v>
          </cell>
        </row>
        <row r="77">
          <cell r="C77" t="str">
            <v>Term Loan 7</v>
          </cell>
        </row>
        <row r="78">
          <cell r="C78" t="str">
            <v>Term Loan 8</v>
          </cell>
        </row>
        <row r="79">
          <cell r="C79" t="str">
            <v>Term Loan 9</v>
          </cell>
        </row>
        <row r="80">
          <cell r="C80" t="str">
            <v>Term Loan 10</v>
          </cell>
        </row>
        <row r="81">
          <cell r="C81" t="str">
            <v>Term Loan 11</v>
          </cell>
        </row>
        <row r="82">
          <cell r="C82" t="str">
            <v>Term Loan 12</v>
          </cell>
        </row>
        <row r="83">
          <cell r="C83" t="str">
            <v>Term Loan 13</v>
          </cell>
        </row>
        <row r="84">
          <cell r="C84" t="str">
            <v>Term Loan 14</v>
          </cell>
        </row>
        <row r="85">
          <cell r="C85" t="str">
            <v>Term Loan 15</v>
          </cell>
        </row>
        <row r="87">
          <cell r="C87" t="str">
            <v>Select Source</v>
          </cell>
        </row>
        <row r="88">
          <cell r="C88" t="str">
            <v>CCRIS</v>
          </cell>
        </row>
        <row r="89">
          <cell r="C89" t="str">
            <v>Letter Offer</v>
          </cell>
        </row>
        <row r="90">
          <cell r="C90" t="str">
            <v>Latest FYE Audited Accounts</v>
          </cell>
        </row>
        <row r="91">
          <cell r="C91" t="str">
            <v>Latest FYE Management Accounts</v>
          </cell>
        </row>
        <row r="92">
          <cell r="C92" t="str">
            <v>Declaration Form</v>
          </cell>
        </row>
        <row r="93">
          <cell r="C93" t="str">
            <v>Others</v>
          </cell>
        </row>
        <row r="95">
          <cell r="C95" t="str">
            <v>Select Facility</v>
          </cell>
        </row>
        <row r="96">
          <cell r="C96" t="str">
            <v>Overdraft with Reduction/ Sinking Fund 1</v>
          </cell>
        </row>
        <row r="97">
          <cell r="C97" t="str">
            <v>Overdraft with Reduction/ Sinking Fund 2</v>
          </cell>
        </row>
        <row r="98">
          <cell r="C98" t="str">
            <v>Overdraft with Reduction/ Sinking Fund 3</v>
          </cell>
        </row>
        <row r="99">
          <cell r="C99" t="str">
            <v>Overdraft with Reduction/ Sinking Fund 4</v>
          </cell>
        </row>
        <row r="100">
          <cell r="C100" t="str">
            <v>Overdraft with Reduction/ Sinking Fund 5</v>
          </cell>
        </row>
        <row r="101">
          <cell r="C101" t="str">
            <v>Overdraft with Reduction/ Sinking Fund 6</v>
          </cell>
        </row>
        <row r="102">
          <cell r="C102" t="str">
            <v>Overdraft with Reduction/ Sinking Fund 7</v>
          </cell>
        </row>
        <row r="103">
          <cell r="C103" t="str">
            <v>Overdraft with Reduction/ Sinking Fund 8</v>
          </cell>
        </row>
        <row r="104">
          <cell r="C104" t="str">
            <v>Overdraft with Reduction/ Sinking Fund 9</v>
          </cell>
        </row>
        <row r="105">
          <cell r="C105" t="str">
            <v>Overdraft with Reduction/ Sinking Fund 10</v>
          </cell>
        </row>
        <row r="106">
          <cell r="C106" t="str">
            <v>Overdraft with Reduction/ Sinking Fund 11</v>
          </cell>
        </row>
        <row r="107">
          <cell r="C107" t="str">
            <v>Overdraft with Reduction/ Sinking Fund 12</v>
          </cell>
        </row>
        <row r="108">
          <cell r="C108" t="str">
            <v>Overdraft with Reduction/ Sinking Fund 13</v>
          </cell>
        </row>
        <row r="109">
          <cell r="C109" t="str">
            <v>Overdraft with Reduction/ Sinking Fund 14</v>
          </cell>
        </row>
        <row r="110">
          <cell r="C110" t="str">
            <v>Overdraft with Reduction/ Sinking Fund 15</v>
          </cell>
        </row>
        <row r="113">
          <cell r="C113" t="str">
            <v>Select Facility</v>
          </cell>
        </row>
        <row r="114">
          <cell r="C114" t="str">
            <v>TR 1</v>
          </cell>
        </row>
        <row r="115">
          <cell r="C115" t="str">
            <v>TR 2</v>
          </cell>
        </row>
        <row r="116">
          <cell r="C116" t="str">
            <v>TR 3</v>
          </cell>
        </row>
        <row r="117">
          <cell r="C117" t="str">
            <v>TR 4</v>
          </cell>
        </row>
        <row r="118">
          <cell r="C118" t="str">
            <v>TR 5</v>
          </cell>
        </row>
        <row r="119">
          <cell r="C119" t="str">
            <v>TR 6</v>
          </cell>
        </row>
        <row r="120">
          <cell r="C120" t="str">
            <v>TR 7</v>
          </cell>
        </row>
        <row r="121">
          <cell r="C121" t="str">
            <v>TR 8</v>
          </cell>
        </row>
        <row r="122">
          <cell r="C122" t="str">
            <v>TR 9</v>
          </cell>
        </row>
        <row r="123">
          <cell r="C123" t="str">
            <v>TR 10</v>
          </cell>
        </row>
        <row r="124">
          <cell r="C124" t="str">
            <v>TR 11</v>
          </cell>
        </row>
        <row r="125">
          <cell r="C125" t="str">
            <v>TR 12</v>
          </cell>
        </row>
        <row r="126">
          <cell r="C126" t="str">
            <v>TR 13</v>
          </cell>
        </row>
        <row r="127">
          <cell r="C127" t="str">
            <v>TR 14</v>
          </cell>
        </row>
        <row r="128">
          <cell r="C128" t="str">
            <v>TR 15</v>
          </cell>
        </row>
        <row r="131">
          <cell r="C131" t="str">
            <v>Select Facility</v>
          </cell>
        </row>
        <row r="132">
          <cell r="C132" t="str">
            <v>Hire Purchase/Leasing 1 (with other FI)</v>
          </cell>
        </row>
        <row r="133">
          <cell r="C133" t="str">
            <v>Hire Purchase/Leasing 2 (with other FI)</v>
          </cell>
        </row>
        <row r="134">
          <cell r="C134" t="str">
            <v>Hire Purchase/Leasing 3 (with other FI)</v>
          </cell>
        </row>
        <row r="135">
          <cell r="C135" t="str">
            <v>Hire Purchase/Leasing 4 (with other FI)</v>
          </cell>
        </row>
        <row r="136">
          <cell r="C136" t="str">
            <v>Hire Purchase/Leasing 5 (with other FI)</v>
          </cell>
        </row>
        <row r="137">
          <cell r="C137" t="str">
            <v>Hire Purchase/Leasing 6 (with other FI)</v>
          </cell>
        </row>
        <row r="138">
          <cell r="C138" t="str">
            <v>Hire Purchase/Leasing 7 (with other FI)</v>
          </cell>
        </row>
        <row r="139">
          <cell r="C139" t="str">
            <v>Hire Purchase/Leasing 8 (with other FI)</v>
          </cell>
        </row>
        <row r="140">
          <cell r="C140" t="str">
            <v>Hire Purchase/Leasing 9 (with other FI)</v>
          </cell>
        </row>
        <row r="141">
          <cell r="C141" t="str">
            <v>Hire Purchase/Leasing 10 (with other FI)</v>
          </cell>
        </row>
        <row r="142">
          <cell r="C142" t="str">
            <v>Hire Purchase/Leasing 11 (with other FI)</v>
          </cell>
        </row>
        <row r="143">
          <cell r="C143" t="str">
            <v>Hire Purchase/Leasing 12 (with other FI)</v>
          </cell>
        </row>
        <row r="144">
          <cell r="C144" t="str">
            <v>Hire Purchase/Leasing 13 (with other FI)</v>
          </cell>
        </row>
        <row r="145">
          <cell r="C145" t="str">
            <v>Hire Purchase/Leasing 14 (with other FI)</v>
          </cell>
        </row>
        <row r="146">
          <cell r="C146" t="str">
            <v>Hire Purchase/Leasing 15 (with other FI)</v>
          </cell>
        </row>
        <row r="147">
          <cell r="C147" t="str">
            <v>Hire Purchase/Leasing 1 (with bank)</v>
          </cell>
        </row>
        <row r="148">
          <cell r="C148" t="str">
            <v>Hire Purchase/Leasing 2 (with bank)</v>
          </cell>
        </row>
        <row r="149">
          <cell r="C149" t="str">
            <v>Hire Purchase/Leasing 3 (with bank)</v>
          </cell>
        </row>
        <row r="150">
          <cell r="C150" t="str">
            <v>Hire Purchase/Leasing 4 (with bank)</v>
          </cell>
        </row>
        <row r="151">
          <cell r="C151" t="str">
            <v>Hire Purchase/Leasing 5 (with bank)</v>
          </cell>
        </row>
        <row r="152">
          <cell r="C152" t="str">
            <v>Hire Purchase/Leasing 6 (with bank)</v>
          </cell>
        </row>
        <row r="153">
          <cell r="C153" t="str">
            <v>Hire Purchase/Leasing 7 (with bank)</v>
          </cell>
        </row>
        <row r="154">
          <cell r="C154" t="str">
            <v>Hire Purchase/Leasing 8 (with bank)</v>
          </cell>
        </row>
        <row r="155">
          <cell r="C155" t="str">
            <v>Hire Purchase/Leasing 9 (with bank)</v>
          </cell>
        </row>
        <row r="156">
          <cell r="C156" t="str">
            <v>Hire Purchase/Leasing 10 (with bank)</v>
          </cell>
        </row>
        <row r="157">
          <cell r="C157" t="str">
            <v>Hire Purchase/Leasing 11 (with bank)</v>
          </cell>
        </row>
        <row r="158">
          <cell r="C158" t="str">
            <v>Hire Purchase/Leasing 12 (with bank)</v>
          </cell>
        </row>
        <row r="159">
          <cell r="C159" t="str">
            <v>Hire Purchase/Leasing 13 (with bank)</v>
          </cell>
        </row>
        <row r="160">
          <cell r="C160" t="str">
            <v>Hire Purchase/Leasing 14 (with bank)</v>
          </cell>
        </row>
        <row r="161">
          <cell r="C161" t="str">
            <v>Hire Purchase/Leasing 15 (with bank)</v>
          </cell>
        </row>
        <row r="164">
          <cell r="C164" t="str">
            <v>Select Facility</v>
          </cell>
        </row>
        <row r="165">
          <cell r="C165" t="str">
            <v>Credit Card 1 (with other FI)</v>
          </cell>
        </row>
        <row r="166">
          <cell r="C166" t="str">
            <v>Credit Card 2 (with other FI)</v>
          </cell>
        </row>
        <row r="167">
          <cell r="C167" t="str">
            <v>Credit Card 3 (with other FI)</v>
          </cell>
        </row>
        <row r="168">
          <cell r="C168" t="str">
            <v>Credit Card 4 (with other FI)</v>
          </cell>
        </row>
        <row r="169">
          <cell r="C169" t="str">
            <v>Credit Card 5 (with other FI)</v>
          </cell>
        </row>
        <row r="170">
          <cell r="C170" t="str">
            <v>Credit Card 6 (with other FI)</v>
          </cell>
        </row>
        <row r="171">
          <cell r="C171" t="str">
            <v>Credit Card 7 (with other FI)</v>
          </cell>
        </row>
        <row r="172">
          <cell r="C172" t="str">
            <v>Credit Card 8 (with other FI)</v>
          </cell>
        </row>
        <row r="173">
          <cell r="C173" t="str">
            <v>Credit Card 9 (with other FI)</v>
          </cell>
        </row>
        <row r="174">
          <cell r="C174" t="str">
            <v>Credit Card 10 (with other FI)</v>
          </cell>
        </row>
        <row r="175">
          <cell r="C175" t="str">
            <v>Credit Card 11 (with other FI)</v>
          </cell>
        </row>
        <row r="176">
          <cell r="C176" t="str">
            <v>Credit Card 12 (with other FI)</v>
          </cell>
        </row>
        <row r="177">
          <cell r="C177" t="str">
            <v>Credit Card 13 (with other FI)</v>
          </cell>
        </row>
        <row r="178">
          <cell r="C178" t="str">
            <v>Credit Card 14 (with other FI)</v>
          </cell>
        </row>
        <row r="179">
          <cell r="C179" t="str">
            <v>Credit Card 15 (with other FI)</v>
          </cell>
        </row>
        <row r="180">
          <cell r="C180" t="str">
            <v>Credit Card 1 (with bank)</v>
          </cell>
        </row>
        <row r="181">
          <cell r="C181" t="str">
            <v>Credit Card 2 (with bank)</v>
          </cell>
        </row>
        <row r="182">
          <cell r="C182" t="str">
            <v>Credit Card 3 (with bank)</v>
          </cell>
        </row>
        <row r="183">
          <cell r="C183" t="str">
            <v>Credit Card 4 (with bank)</v>
          </cell>
        </row>
        <row r="184">
          <cell r="C184" t="str">
            <v>Credit Card 5 (with bank)</v>
          </cell>
        </row>
        <row r="185">
          <cell r="C185" t="str">
            <v>Credit Card 6 (with bank)</v>
          </cell>
        </row>
        <row r="186">
          <cell r="C186" t="str">
            <v>Credit Card 7 (with bank)</v>
          </cell>
        </row>
        <row r="187">
          <cell r="C187" t="str">
            <v>Credit Card 8 (with bank)</v>
          </cell>
        </row>
        <row r="188">
          <cell r="C188" t="str">
            <v>Credit Card 9 (with bank)</v>
          </cell>
        </row>
        <row r="189">
          <cell r="C189" t="str">
            <v>Credit Card 10 (with bank)</v>
          </cell>
        </row>
        <row r="190">
          <cell r="C190" t="str">
            <v>Credit Card 11 (with bank)</v>
          </cell>
        </row>
        <row r="191">
          <cell r="C191" t="str">
            <v>Credit Card 12 (with bank)</v>
          </cell>
        </row>
        <row r="192">
          <cell r="C192" t="str">
            <v>Credit Card 13 (with bank)</v>
          </cell>
        </row>
        <row r="193">
          <cell r="C193" t="str">
            <v>Credit Card 14 (with bank)</v>
          </cell>
        </row>
        <row r="194">
          <cell r="C194" t="str">
            <v>Credit Card 15 (with bank)</v>
          </cell>
        </row>
        <row r="225">
          <cell r="C225" t="str">
            <v>Select Facility</v>
          </cell>
        </row>
        <row r="226">
          <cell r="C226" t="str">
            <v>BA 1</v>
          </cell>
        </row>
        <row r="227">
          <cell r="C227" t="str">
            <v>BA 2</v>
          </cell>
        </row>
        <row r="228">
          <cell r="C228" t="str">
            <v>BA 3</v>
          </cell>
        </row>
        <row r="229">
          <cell r="C229" t="str">
            <v>BA 4</v>
          </cell>
        </row>
        <row r="230">
          <cell r="C230" t="str">
            <v>BA 5</v>
          </cell>
        </row>
        <row r="231">
          <cell r="C231" t="str">
            <v>BA 6</v>
          </cell>
        </row>
        <row r="232">
          <cell r="C232" t="str">
            <v>BA 7</v>
          </cell>
        </row>
        <row r="233">
          <cell r="C233" t="str">
            <v>BA 8</v>
          </cell>
        </row>
        <row r="234">
          <cell r="C234" t="str">
            <v>BA 9</v>
          </cell>
        </row>
        <row r="235">
          <cell r="C235" t="str">
            <v>BA 10</v>
          </cell>
        </row>
        <row r="236">
          <cell r="C236" t="str">
            <v>BA 11</v>
          </cell>
        </row>
        <row r="237">
          <cell r="C237" t="str">
            <v>BA 12</v>
          </cell>
        </row>
        <row r="238">
          <cell r="C238" t="str">
            <v>BA 13</v>
          </cell>
        </row>
        <row r="239">
          <cell r="C239" t="str">
            <v>BA 14</v>
          </cell>
        </row>
        <row r="240">
          <cell r="C240" t="str">
            <v>BA 15</v>
          </cell>
        </row>
      </sheetData>
      <sheetData sheetId="11" refreshError="1"/>
      <sheetData sheetId="12" refreshError="1"/>
      <sheetData sheetId="13" refreshError="1"/>
      <sheetData sheetId="14" refreshError="1"/>
      <sheetData sheetId="15" refreshError="1"/>
      <sheetData sheetId="16" refreshError="1"/>
    </sheetDataSet>
  </externalBook>
</externalLink>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persons/person.xml><?xml version="1.0" encoding="utf-8"?>
<personList xmlns="http://schemas.microsoft.com/office/spreadsheetml/2018/threadedcomments" xmlns:x="http://schemas.openxmlformats.org/spreadsheetml/2006/main">
  <person displayName="Chan Meng Kwan" id="{C1A242B7-B661-4325-8D4A-1936649206C7}" userId="S::joe.kwan@magnisavegroup.com::6a366463-5129-424a-af3c-71dd53bf3ce6" providerId="AD"/>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G43" dT="2019-09-23T10:12:46.09" personId="{C1A242B7-B661-4325-8D4A-1936649206C7}" id="{61F54643-B308-4217-8D6C-CA66E18F3D1E}">
    <text>BLR/BFR + 2.5%</text>
  </threadedComment>
  <threadedComment ref="Q43" dT="2019-09-23T10:12:46.09" personId="{C1A242B7-B661-4325-8D4A-1936649206C7}" id="{80F11064-EBC8-46E1-A74F-2D89320CD862}">
    <text>BLR/BFR + 2.5%</text>
  </threadedComment>
  <threadedComment ref="AA43" dT="2019-09-23T10:12:46.09" personId="{C1A242B7-B661-4325-8D4A-1936649206C7}" id="{CBEB86A0-5FE0-409B-9441-9D1B05E2317F}">
    <text>BLR/BFR + 2.5%</text>
  </threadedComment>
  <threadedComment ref="AJ43" dT="2019-09-23T10:12:46.09" personId="{C1A242B7-B661-4325-8D4A-1936649206C7}" id="{89F0A51A-3823-4EB9-A0F1-F0E9A1874161}">
    <text>BLR/BFR + 2.5%</text>
  </threadedComment>
  <threadedComment ref="AS43" dT="2019-09-23T10:12:46.09" personId="{C1A242B7-B661-4325-8D4A-1936649206C7}" id="{4D93DCE7-36A8-4784-92F0-28336D0D0B27}">
    <text>BLR/BFR + 2.5%</text>
  </threadedComment>
  <threadedComment ref="BB43" dT="2019-09-23T10:12:46.09" personId="{C1A242B7-B661-4325-8D4A-1936649206C7}" id="{7B8403D7-1DE4-4960-B694-F3C374016341}">
    <text>BLR/BFR + 2.5%</text>
  </threadedComment>
  <threadedComment ref="BK43" dT="2019-09-23T10:12:46.09" personId="{C1A242B7-B661-4325-8D4A-1936649206C7}" id="{230A8ED3-A207-473B-B8D3-007B0B2B4B83}">
    <text>BLR/BFR + 2.5%</text>
  </threadedComment>
</ThreadedComments>
</file>

<file path=xl/threadedComments/threadedComment2.xml><?xml version="1.0" encoding="utf-8"?>
<ThreadedComments xmlns="http://schemas.microsoft.com/office/spreadsheetml/2018/threadedcomments" xmlns:x="http://schemas.openxmlformats.org/spreadsheetml/2006/main">
  <threadedComment ref="Y54" dT="2019-09-23T10:12:46.09" personId="{C1A242B7-B661-4325-8D4A-1936649206C7}" id="{C3F6746E-8B2F-47B6-953E-2EAC93AD24A6}">
    <text>BLR/BFR + 2.5%</text>
  </threadedComment>
</ThreadedComments>
</file>

<file path=xl/threadedComments/threadedComment3.xml><?xml version="1.0" encoding="utf-8"?>
<ThreadedComments xmlns="http://schemas.microsoft.com/office/spreadsheetml/2018/threadedcomments" xmlns:x="http://schemas.openxmlformats.org/spreadsheetml/2006/main">
  <threadedComment ref="G43" dT="2019-09-23T10:12:46.09" personId="{C1A242B7-B661-4325-8D4A-1936649206C7}" id="{7BD32315-1854-47F4-895F-2BF8CFCB5CF5}">
    <text>BLR/BFR + 2.5%</text>
  </threadedComment>
  <threadedComment ref="P43" dT="2019-09-23T10:12:46.09" personId="{C1A242B7-B661-4325-8D4A-1936649206C7}" id="{C60AAAB4-45E7-4F3A-B3DF-832F83EA4CE1}">
    <text>BLR/BFR + 2.5%</text>
  </threadedComment>
  <threadedComment ref="Y43" dT="2019-09-23T10:12:46.09" personId="{C1A242B7-B661-4325-8D4A-1936649206C7}" id="{04669764-0E24-4ED7-BB83-A3713C772974}">
    <text>BLR/BFR + 2.5%</text>
  </threadedComment>
  <threadedComment ref="AH43" dT="2019-09-23T10:12:46.09" personId="{C1A242B7-B661-4325-8D4A-1936649206C7}" id="{A0BCB7FE-BCAF-44BC-8C7D-DC25DB6CADB7}">
    <text>BLR/BFR + 2.5%</text>
  </threadedComment>
  <threadedComment ref="AQ43" dT="2019-09-23T10:12:46.09" personId="{C1A242B7-B661-4325-8D4A-1936649206C7}" id="{A024217C-D29D-4794-94DC-4EE24465363F}">
    <text>BLR/BFR + 2.5%</text>
  </threadedComment>
  <threadedComment ref="AZ43" dT="2019-09-23T10:12:46.09" personId="{C1A242B7-B661-4325-8D4A-1936649206C7}" id="{8F2DB6F3-85AE-4040-ACFD-5D308B6BF7A9}">
    <text>BLR/BFR + 2.5%</text>
  </threadedComment>
  <threadedComment ref="BI43" dT="2019-09-23T10:12:46.09" personId="{C1A242B7-B661-4325-8D4A-1936649206C7}" id="{173AB5DC-3A0F-4119-BE17-118EE0D46C9C}">
    <text>BLR/BFR + 2.5%</text>
  </threadedComment>
</ThreadedComments>
</file>

<file path=xl/threadedComments/threadedComment4.xml><?xml version="1.0" encoding="utf-8"?>
<ThreadedComments xmlns="http://schemas.microsoft.com/office/spreadsheetml/2018/threadedcomments" xmlns:x="http://schemas.openxmlformats.org/spreadsheetml/2006/main">
  <threadedComment ref="G43" dT="2019-09-23T10:12:46.09" personId="{C1A242B7-B661-4325-8D4A-1936649206C7}" id="{62CA7331-F36F-4222-ACC8-2A570A45254A}">
    <text>BLR/BFR + 2.5%</text>
  </threadedComment>
  <threadedComment ref="Q43" dT="2019-09-23T10:12:46.09" personId="{C1A242B7-B661-4325-8D4A-1936649206C7}" id="{0E9BFC68-579F-49D7-B521-93EDBDB32D1D}">
    <text>BLR/BFR + 2.5%</text>
  </threadedComment>
  <threadedComment ref="AA43" dT="2019-09-23T10:12:46.09" personId="{C1A242B7-B661-4325-8D4A-1936649206C7}" id="{B57240E7-5C3E-4940-A54C-090A874141CA}">
    <text>BLR/BFR + 2.5%</text>
  </threadedComment>
  <threadedComment ref="AJ43" dT="2019-09-23T10:12:46.09" personId="{C1A242B7-B661-4325-8D4A-1936649206C7}" id="{1E194A6B-B3A4-4BCD-8B4F-793E8DB3C61D}">
    <text>BLR/BFR + 2.5%</text>
  </threadedComment>
  <threadedComment ref="AS43" dT="2019-09-23T10:12:46.09" personId="{C1A242B7-B661-4325-8D4A-1936649206C7}" id="{6E256182-8B66-4934-8534-0B6E392124FD}">
    <text>BLR/BFR + 2.5%</text>
  </threadedComment>
  <threadedComment ref="BB43" dT="2019-09-23T10:12:46.09" personId="{C1A242B7-B661-4325-8D4A-1936649206C7}" id="{3EAADB16-E40B-47A5-BAAF-9EE729778E62}">
    <text>BLR/BFR + 2.5%</text>
  </threadedComment>
  <threadedComment ref="BK43" dT="2019-09-23T10:12:46.09" personId="{C1A242B7-B661-4325-8D4A-1936649206C7}" id="{5B4015EE-7D7B-42E0-A2E3-387BFDBDC352}">
    <text>BLR/BFR + 2.5%</text>
  </threadedComment>
</ThreadedComments>
</file>

<file path=xl/worksheets/_rels/sheet4.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2.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2.vml"/><Relationship Id="rId1" Type="http://schemas.openxmlformats.org/officeDocument/2006/relationships/printerSettings" Target="../printerSettings/printerSettings13.bin"/><Relationship Id="rId4" Type="http://schemas.microsoft.com/office/2017/10/relationships/threadedComment" Target="../threadedComments/threadedComment1.xml"/></Relationships>
</file>

<file path=xl/worksheets/_rels/sheet17.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7.xml"/><Relationship Id="rId1" Type="http://schemas.openxmlformats.org/officeDocument/2006/relationships/printerSettings" Target="../printerSettings/printerSettings14.bin"/><Relationship Id="rId5" Type="http://schemas.microsoft.com/office/2017/10/relationships/threadedComment" Target="../threadedComments/threadedComment2.xml"/><Relationship Id="rId4" Type="http://schemas.openxmlformats.org/officeDocument/2006/relationships/comments" Target="../comments2.xml"/></Relationships>
</file>

<file path=xl/worksheets/_rels/sheet18.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4.vml"/><Relationship Id="rId1" Type="http://schemas.openxmlformats.org/officeDocument/2006/relationships/printerSettings" Target="../printerSettings/printerSettings15.bin"/><Relationship Id="rId4" Type="http://schemas.microsoft.com/office/2017/10/relationships/threadedComment" Target="../threadedComments/threadedComment3.xml"/></Relationships>
</file>

<file path=xl/worksheets/_rels/sheet19.xml.rels><?xml version="1.0" encoding="UTF-8" standalone="yes"?>
<Relationships xmlns="http://schemas.openxmlformats.org/package/2006/relationships"><Relationship Id="rId3" Type="http://schemas.microsoft.com/office/2017/10/relationships/threadedComment" Target="../threadedComments/threadedComment4.xml"/><Relationship Id="rId2" Type="http://schemas.openxmlformats.org/officeDocument/2006/relationships/comments" Target="../comments4.xml"/><Relationship Id="rId1" Type="http://schemas.openxmlformats.org/officeDocument/2006/relationships/vmlDrawing" Target="../drawings/vmlDrawing5.vml"/></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632718-732C-4F0C-B5AF-F6EC5F7FAC1D}">
  <sheetPr>
    <tabColor rgb="FFFFC000"/>
  </sheetPr>
  <dimension ref="B2:E17"/>
  <sheetViews>
    <sheetView zoomScale="85" zoomScaleNormal="85" workbookViewId="0">
      <selection activeCell="D23" sqref="D23"/>
    </sheetView>
  </sheetViews>
  <sheetFormatPr defaultColWidth="9.109375" defaultRowHeight="13.8"/>
  <cols>
    <col min="1" max="1" width="9.109375" style="2"/>
    <col min="2" max="2" width="3.33203125" style="2" bestFit="1" customWidth="1"/>
    <col min="3" max="3" width="45.33203125" style="2" bestFit="1" customWidth="1"/>
    <col min="4" max="4" width="28.88671875" style="2" customWidth="1"/>
    <col min="5" max="5" width="17.5546875" style="91" customWidth="1"/>
    <col min="6" max="16384" width="9.109375" style="2"/>
  </cols>
  <sheetData>
    <row r="2" spans="2:5">
      <c r="C2" s="2" t="s">
        <v>0</v>
      </c>
    </row>
    <row r="3" spans="2:5">
      <c r="C3" s="2" t="s">
        <v>1</v>
      </c>
      <c r="D3" s="92" t="s">
        <v>2</v>
      </c>
    </row>
    <row r="4" spans="2:5">
      <c r="C4" s="2" t="s">
        <v>3</v>
      </c>
      <c r="D4" s="92" t="s">
        <v>4</v>
      </c>
    </row>
    <row r="6" spans="2:5" s="91" customFormat="1" ht="27.6">
      <c r="B6" s="93" t="s">
        <v>5</v>
      </c>
      <c r="C6" s="93" t="s">
        <v>6</v>
      </c>
      <c r="D6" s="93" t="s">
        <v>7</v>
      </c>
      <c r="E6" s="93" t="s">
        <v>8</v>
      </c>
    </row>
    <row r="7" spans="2:5">
      <c r="B7" s="5">
        <v>1</v>
      </c>
      <c r="C7" s="5" t="s">
        <v>9</v>
      </c>
      <c r="D7" s="52" t="s">
        <v>10</v>
      </c>
      <c r="E7" s="52" t="s">
        <v>1</v>
      </c>
    </row>
    <row r="8" spans="2:5">
      <c r="B8" s="5">
        <f>B7+1</f>
        <v>2</v>
      </c>
      <c r="C8" s="5" t="s">
        <v>11</v>
      </c>
      <c r="D8" s="52" t="s">
        <v>12</v>
      </c>
      <c r="E8" s="52" t="s">
        <v>13</v>
      </c>
    </row>
    <row r="9" spans="2:5">
      <c r="B9" s="5">
        <f t="shared" ref="B9:B15" si="0">B8+1</f>
        <v>3</v>
      </c>
      <c r="C9" s="5" t="s">
        <v>14</v>
      </c>
      <c r="D9" s="52" t="s">
        <v>10</v>
      </c>
      <c r="E9" s="52" t="s">
        <v>1</v>
      </c>
    </row>
    <row r="10" spans="2:5">
      <c r="B10" s="5">
        <f t="shared" si="0"/>
        <v>4</v>
      </c>
      <c r="C10" s="5" t="s">
        <v>15</v>
      </c>
      <c r="D10" s="52" t="s">
        <v>10</v>
      </c>
      <c r="E10" s="52" t="s">
        <v>1</v>
      </c>
    </row>
    <row r="11" spans="2:5">
      <c r="B11" s="5">
        <f t="shared" si="0"/>
        <v>5</v>
      </c>
      <c r="C11" s="5" t="s">
        <v>16</v>
      </c>
      <c r="D11" s="52" t="s">
        <v>12</v>
      </c>
      <c r="E11" s="52" t="s">
        <v>13</v>
      </c>
    </row>
    <row r="12" spans="2:5">
      <c r="B12" s="5">
        <f t="shared" si="0"/>
        <v>6</v>
      </c>
      <c r="C12" s="5" t="s">
        <v>17</v>
      </c>
      <c r="D12" s="52" t="s">
        <v>12</v>
      </c>
      <c r="E12" s="52" t="s">
        <v>13</v>
      </c>
    </row>
    <row r="13" spans="2:5">
      <c r="B13" s="5">
        <f t="shared" si="0"/>
        <v>7</v>
      </c>
      <c r="C13" s="5" t="s">
        <v>18</v>
      </c>
      <c r="D13" s="52" t="s">
        <v>10</v>
      </c>
      <c r="E13" s="52" t="s">
        <v>3</v>
      </c>
    </row>
    <row r="14" spans="2:5">
      <c r="B14" s="5">
        <f t="shared" si="0"/>
        <v>8</v>
      </c>
      <c r="C14" s="5" t="s">
        <v>19</v>
      </c>
      <c r="D14" s="52" t="s">
        <v>12</v>
      </c>
      <c r="E14" s="52" t="s">
        <v>13</v>
      </c>
    </row>
    <row r="15" spans="2:5">
      <c r="B15" s="5">
        <f t="shared" si="0"/>
        <v>9</v>
      </c>
      <c r="C15" s="5" t="s">
        <v>20</v>
      </c>
      <c r="D15" s="52" t="s">
        <v>10</v>
      </c>
      <c r="E15" s="52" t="s">
        <v>1</v>
      </c>
    </row>
    <row r="17" spans="5:5">
      <c r="E17" s="94"/>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9BA5D-AADF-4EC4-ABB0-D6B52670D497}">
  <sheetPr>
    <tabColor rgb="FFFFC000"/>
  </sheetPr>
  <dimension ref="B2:C9"/>
  <sheetViews>
    <sheetView workbookViewId="0">
      <selection activeCell="D23" sqref="D23"/>
    </sheetView>
  </sheetViews>
  <sheetFormatPr defaultColWidth="9.109375" defaultRowHeight="13.8"/>
  <cols>
    <col min="1" max="1" width="9.109375" style="2"/>
    <col min="2" max="2" width="18" style="2" bestFit="1" customWidth="1"/>
    <col min="3" max="3" width="53.33203125" style="2" bestFit="1" customWidth="1"/>
    <col min="4" max="16384" width="9.109375" style="2"/>
  </cols>
  <sheetData>
    <row r="2" spans="2:3">
      <c r="B2" s="63" t="s">
        <v>21</v>
      </c>
    </row>
    <row r="4" spans="2:3">
      <c r="B4" s="65" t="s">
        <v>22</v>
      </c>
      <c r="C4" s="65" t="s">
        <v>23</v>
      </c>
    </row>
    <row r="5" spans="2:3">
      <c r="B5" s="5" t="s">
        <v>24</v>
      </c>
      <c r="C5" s="52" t="s">
        <v>25</v>
      </c>
    </row>
    <row r="6" spans="2:3">
      <c r="B6" s="5" t="s">
        <v>26</v>
      </c>
      <c r="C6" s="5" t="s">
        <v>27</v>
      </c>
    </row>
    <row r="7" spans="2:3">
      <c r="B7" s="5" t="s">
        <v>28</v>
      </c>
      <c r="C7" s="5" t="s">
        <v>29</v>
      </c>
    </row>
    <row r="8" spans="2:3">
      <c r="B8" s="5" t="s">
        <v>30</v>
      </c>
      <c r="C8" s="52" t="s">
        <v>31</v>
      </c>
    </row>
    <row r="9" spans="2:3">
      <c r="B9" s="5" t="s">
        <v>32</v>
      </c>
      <c r="C9" s="52" t="s">
        <v>33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BD4B76-CDC5-4DA9-B706-E205BEC23BCE}">
  <sheetPr codeName="Sheet1"/>
  <dimension ref="B2:C17"/>
  <sheetViews>
    <sheetView zoomScale="85" zoomScaleNormal="85" workbookViewId="0">
      <selection activeCell="C9" sqref="C9"/>
    </sheetView>
  </sheetViews>
  <sheetFormatPr defaultRowHeight="14.4"/>
  <cols>
    <col min="2" max="2" width="12.6640625" style="43" bestFit="1" customWidth="1"/>
    <col min="3" max="3" width="132.44140625" bestFit="1" customWidth="1"/>
  </cols>
  <sheetData>
    <row r="2" spans="2:3" s="47" customFormat="1">
      <c r="B2" s="48" t="s">
        <v>34</v>
      </c>
    </row>
    <row r="3" spans="2:3">
      <c r="B3" s="42">
        <v>1</v>
      </c>
      <c r="C3" s="14" t="s">
        <v>35</v>
      </c>
    </row>
    <row r="4" spans="2:3">
      <c r="B4" s="42">
        <v>2</v>
      </c>
      <c r="C4" s="14" t="s">
        <v>36</v>
      </c>
    </row>
    <row r="5" spans="2:3">
      <c r="B5" s="42">
        <v>3</v>
      </c>
      <c r="C5" s="14" t="s">
        <v>37</v>
      </c>
    </row>
    <row r="6" spans="2:3">
      <c r="B6" s="42">
        <v>4</v>
      </c>
      <c r="C6" s="14" t="s">
        <v>38</v>
      </c>
    </row>
    <row r="7" spans="2:3">
      <c r="B7" s="42">
        <v>5</v>
      </c>
      <c r="C7" s="14" t="s">
        <v>39</v>
      </c>
    </row>
    <row r="8" spans="2:3">
      <c r="B8" s="42">
        <v>6</v>
      </c>
      <c r="C8" s="14" t="s">
        <v>40</v>
      </c>
    </row>
    <row r="9" spans="2:3">
      <c r="B9" s="42">
        <v>7</v>
      </c>
      <c r="C9" s="14" t="s">
        <v>41</v>
      </c>
    </row>
    <row r="10" spans="2:3">
      <c r="B10" s="42">
        <v>8</v>
      </c>
      <c r="C10" s="14" t="s">
        <v>42</v>
      </c>
    </row>
    <row r="12" spans="2:3" s="47" customFormat="1">
      <c r="B12" s="46" t="s">
        <v>43</v>
      </c>
      <c r="C12" s="16" t="s">
        <v>44</v>
      </c>
    </row>
    <row r="13" spans="2:3">
      <c r="B13" s="44"/>
      <c r="C13" s="15" t="s">
        <v>45</v>
      </c>
    </row>
    <row r="14" spans="2:3">
      <c r="B14" s="49"/>
      <c r="C14" s="15" t="s">
        <v>46</v>
      </c>
    </row>
    <row r="15" spans="2:3">
      <c r="B15" s="76"/>
      <c r="C15" s="15" t="s">
        <v>47</v>
      </c>
    </row>
    <row r="16" spans="2:3">
      <c r="B16" s="45"/>
      <c r="C16" s="15" t="s">
        <v>48</v>
      </c>
    </row>
    <row r="17" spans="2:3">
      <c r="B17" s="80" t="s">
        <v>49</v>
      </c>
      <c r="C17" s="15" t="s">
        <v>50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D0AE35-290F-4F9C-B19E-D5969EEA56F6}">
  <sheetPr>
    <tabColor rgb="FFFFFF00"/>
    <pageSetUpPr fitToPage="1"/>
  </sheetPr>
  <dimension ref="A1:BH74"/>
  <sheetViews>
    <sheetView showGridLines="0" zoomScaleNormal="100" zoomScaleSheetLayoutView="100" workbookViewId="0">
      <selection activeCell="AK26" sqref="AK26:AK27"/>
    </sheetView>
  </sheetViews>
  <sheetFormatPr defaultColWidth="2.6640625" defaultRowHeight="13.8"/>
  <cols>
    <col min="1" max="16" width="2.6640625" style="261" customWidth="1"/>
    <col min="17" max="18" width="4.109375" style="261" customWidth="1"/>
    <col min="19" max="35" width="2.6640625" style="261"/>
    <col min="36" max="37" width="4.109375" style="261" customWidth="1"/>
    <col min="38" max="54" width="2.6640625" style="261"/>
    <col min="55" max="56" width="4.109375" style="261" customWidth="1"/>
    <col min="57" max="16384" width="2.6640625" style="261"/>
  </cols>
  <sheetData>
    <row r="1" spans="1:56" ht="18">
      <c r="A1" s="282" t="s">
        <v>51</v>
      </c>
      <c r="B1" s="282"/>
      <c r="C1" s="282"/>
      <c r="D1" s="282"/>
      <c r="E1" s="282"/>
      <c r="F1" s="282"/>
      <c r="G1" s="282"/>
      <c r="H1" s="282"/>
      <c r="I1" s="283"/>
      <c r="J1" s="283"/>
      <c r="K1" s="283"/>
      <c r="L1" s="283"/>
      <c r="M1" s="283"/>
      <c r="N1" s="283"/>
      <c r="O1" s="283"/>
      <c r="P1" s="283"/>
      <c r="Q1" s="283"/>
      <c r="R1" s="283"/>
      <c r="S1" s="283"/>
      <c r="T1" s="284"/>
      <c r="U1" s="282"/>
      <c r="V1" s="282"/>
      <c r="W1" s="282"/>
      <c r="X1" s="282"/>
      <c r="Y1" s="282"/>
      <c r="Z1" s="282"/>
      <c r="AA1" s="282"/>
      <c r="AB1" s="283"/>
      <c r="AC1" s="283"/>
      <c r="AD1" s="283"/>
      <c r="AE1" s="283"/>
      <c r="AF1" s="283"/>
      <c r="AG1" s="283"/>
      <c r="AH1" s="283"/>
      <c r="AI1" s="283"/>
      <c r="AJ1" s="283"/>
      <c r="AK1" s="283"/>
      <c r="AN1" s="282"/>
      <c r="AO1" s="282"/>
      <c r="AP1" s="282"/>
      <c r="AQ1" s="282"/>
      <c r="AR1" s="282"/>
      <c r="AS1" s="282"/>
      <c r="AT1" s="282"/>
      <c r="AU1" s="283"/>
      <c r="AV1" s="283"/>
      <c r="AW1" s="283"/>
      <c r="AX1" s="283"/>
      <c r="AY1" s="283"/>
      <c r="AZ1" s="283"/>
      <c r="BA1" s="283"/>
      <c r="BB1" s="283"/>
      <c r="BC1" s="283"/>
      <c r="BD1" s="283"/>
    </row>
    <row r="3" spans="1:56" s="262" customFormat="1" ht="15.6">
      <c r="B3" s="266"/>
      <c r="C3" s="874"/>
      <c r="D3" s="874"/>
      <c r="E3" s="874"/>
      <c r="F3" s="874"/>
      <c r="G3" s="874"/>
      <c r="H3" s="874"/>
      <c r="I3" s="874"/>
      <c r="J3" s="874"/>
      <c r="K3" s="874"/>
      <c r="L3" s="874"/>
      <c r="M3" s="874"/>
      <c r="N3" s="874"/>
      <c r="O3" s="874"/>
      <c r="P3" s="874"/>
      <c r="Q3" s="875"/>
      <c r="R3" s="267"/>
      <c r="U3" s="266"/>
      <c r="V3" s="874"/>
      <c r="W3" s="874"/>
      <c r="X3" s="874"/>
      <c r="Y3" s="874"/>
      <c r="Z3" s="874"/>
      <c r="AA3" s="874"/>
      <c r="AB3" s="874"/>
      <c r="AC3" s="874"/>
      <c r="AD3" s="874"/>
      <c r="AE3" s="874"/>
      <c r="AF3" s="874"/>
      <c r="AG3" s="874"/>
      <c r="AH3" s="874"/>
      <c r="AI3" s="874"/>
      <c r="AJ3" s="875"/>
      <c r="AK3" s="267"/>
      <c r="AN3" s="266"/>
      <c r="AO3" s="874"/>
      <c r="AP3" s="874"/>
      <c r="AQ3" s="874"/>
      <c r="AR3" s="874"/>
      <c r="AS3" s="874"/>
      <c r="AT3" s="874"/>
      <c r="AU3" s="874"/>
      <c r="AV3" s="874"/>
      <c r="AW3" s="874"/>
      <c r="AX3" s="874"/>
      <c r="AY3" s="874"/>
      <c r="AZ3" s="874"/>
      <c r="BA3" s="874"/>
      <c r="BB3" s="874"/>
      <c r="BC3" s="875"/>
      <c r="BD3" s="267"/>
    </row>
    <row r="4" spans="1:56" s="262" customFormat="1" ht="15.75" customHeight="1">
      <c r="B4" s="876" t="s">
        <v>52</v>
      </c>
      <c r="C4" s="876"/>
      <c r="D4" s="876"/>
      <c r="E4" s="876"/>
      <c r="F4" s="876"/>
      <c r="G4" s="876"/>
      <c r="H4" s="876"/>
      <c r="I4" s="876"/>
      <c r="J4" s="876"/>
      <c r="K4" s="877" t="e">
        <f>#REF!</f>
        <v>#REF!</v>
      </c>
      <c r="L4" s="877"/>
      <c r="M4" s="877"/>
      <c r="N4" s="877"/>
      <c r="O4" s="877"/>
      <c r="P4" s="877"/>
      <c r="Q4" s="877"/>
      <c r="R4" s="274"/>
      <c r="U4" s="876" t="s">
        <v>52</v>
      </c>
      <c r="V4" s="876"/>
      <c r="W4" s="876"/>
      <c r="X4" s="876"/>
      <c r="Y4" s="876"/>
      <c r="Z4" s="876"/>
      <c r="AA4" s="876"/>
      <c r="AB4" s="876"/>
      <c r="AC4" s="876"/>
      <c r="AD4" s="877" t="e">
        <f>#REF!</f>
        <v>#REF!</v>
      </c>
      <c r="AE4" s="877"/>
      <c r="AF4" s="877"/>
      <c r="AG4" s="877"/>
      <c r="AH4" s="877"/>
      <c r="AI4" s="877"/>
      <c r="AJ4" s="877"/>
      <c r="AK4" s="274"/>
      <c r="AN4" s="876" t="s">
        <v>52</v>
      </c>
      <c r="AO4" s="876"/>
      <c r="AP4" s="876"/>
      <c r="AQ4" s="876"/>
      <c r="AR4" s="876"/>
      <c r="AS4" s="876"/>
      <c r="AT4" s="876"/>
      <c r="AU4" s="876"/>
      <c r="AV4" s="876"/>
      <c r="AW4" s="877" t="e">
        <f>#REF!</f>
        <v>#REF!</v>
      </c>
      <c r="AX4" s="877"/>
      <c r="AY4" s="877"/>
      <c r="AZ4" s="877"/>
      <c r="BA4" s="877"/>
      <c r="BB4" s="877"/>
      <c r="BC4" s="877"/>
      <c r="BD4" s="274"/>
    </row>
    <row r="5" spans="1:56" s="262" customFormat="1" ht="15.75" customHeight="1">
      <c r="B5" s="878" t="s">
        <v>53</v>
      </c>
      <c r="C5" s="878"/>
      <c r="D5" s="878"/>
      <c r="E5" s="878"/>
      <c r="F5" s="878"/>
      <c r="G5" s="878"/>
      <c r="H5" s="878"/>
      <c r="I5" s="878"/>
      <c r="J5" s="878"/>
      <c r="K5" s="879" t="e">
        <f>#REF!</f>
        <v>#REF!</v>
      </c>
      <c r="L5" s="879"/>
      <c r="M5" s="879"/>
      <c r="N5" s="879"/>
      <c r="O5" s="879"/>
      <c r="P5" s="879"/>
      <c r="Q5" s="879"/>
      <c r="R5" s="268"/>
      <c r="U5" s="878" t="s">
        <v>53</v>
      </c>
      <c r="V5" s="878"/>
      <c r="W5" s="878"/>
      <c r="X5" s="878"/>
      <c r="Y5" s="878"/>
      <c r="Z5" s="878"/>
      <c r="AA5" s="878"/>
      <c r="AB5" s="878"/>
      <c r="AC5" s="878"/>
      <c r="AD5" s="879" t="e">
        <f>#REF!</f>
        <v>#REF!</v>
      </c>
      <c r="AE5" s="879"/>
      <c r="AF5" s="879"/>
      <c r="AG5" s="879"/>
      <c r="AH5" s="879"/>
      <c r="AI5" s="879"/>
      <c r="AJ5" s="879"/>
      <c r="AK5" s="268"/>
      <c r="AN5" s="878" t="s">
        <v>53</v>
      </c>
      <c r="AO5" s="878"/>
      <c r="AP5" s="878"/>
      <c r="AQ5" s="878"/>
      <c r="AR5" s="878"/>
      <c r="AS5" s="878"/>
      <c r="AT5" s="878"/>
      <c r="AU5" s="878"/>
      <c r="AV5" s="878"/>
      <c r="AW5" s="879" t="e">
        <f>#REF!</f>
        <v>#REF!</v>
      </c>
      <c r="AX5" s="879"/>
      <c r="AY5" s="879"/>
      <c r="AZ5" s="879"/>
      <c r="BA5" s="879"/>
      <c r="BB5" s="879"/>
      <c r="BC5" s="879"/>
      <c r="BD5" s="268"/>
    </row>
    <row r="6" spans="1:56" s="262" customFormat="1" ht="4.2" customHeight="1"/>
    <row r="7" spans="1:56" ht="12.75" customHeight="1">
      <c r="B7" s="880" t="e">
        <f>#REF!</f>
        <v>#REF!</v>
      </c>
      <c r="C7" s="881"/>
      <c r="D7" s="881"/>
      <c r="E7" s="881"/>
      <c r="F7" s="881"/>
      <c r="G7" s="881"/>
      <c r="H7" s="881"/>
      <c r="I7" s="881"/>
      <c r="J7" s="881"/>
      <c r="K7" s="881"/>
      <c r="L7" s="881"/>
      <c r="M7" s="884" t="e">
        <f>N19</f>
        <v>#REF!</v>
      </c>
      <c r="N7" s="885"/>
      <c r="O7" s="885"/>
      <c r="P7" s="885"/>
      <c r="Q7" s="885"/>
      <c r="R7" s="886"/>
      <c r="U7" s="880" t="e">
        <f>B7</f>
        <v>#REF!</v>
      </c>
      <c r="V7" s="881"/>
      <c r="W7" s="881"/>
      <c r="X7" s="881"/>
      <c r="Y7" s="881"/>
      <c r="Z7" s="881"/>
      <c r="AA7" s="881"/>
      <c r="AB7" s="881"/>
      <c r="AC7" s="881"/>
      <c r="AD7" s="881"/>
      <c r="AE7" s="881"/>
      <c r="AF7" s="884" t="e">
        <f>AG19</f>
        <v>#REF!</v>
      </c>
      <c r="AG7" s="885"/>
      <c r="AH7" s="885"/>
      <c r="AI7" s="885"/>
      <c r="AJ7" s="885"/>
      <c r="AK7" s="886"/>
      <c r="AN7" s="880" t="e">
        <f>B7</f>
        <v>#REF!</v>
      </c>
      <c r="AO7" s="881"/>
      <c r="AP7" s="881"/>
      <c r="AQ7" s="881"/>
      <c r="AR7" s="881"/>
      <c r="AS7" s="881"/>
      <c r="AT7" s="881"/>
      <c r="AU7" s="881"/>
      <c r="AV7" s="881"/>
      <c r="AW7" s="881"/>
      <c r="AX7" s="881"/>
      <c r="AY7" s="884" t="e">
        <f>AZ19</f>
        <v>#REF!</v>
      </c>
      <c r="AZ7" s="885"/>
      <c r="BA7" s="885"/>
      <c r="BB7" s="885"/>
      <c r="BC7" s="885"/>
      <c r="BD7" s="886"/>
    </row>
    <row r="8" spans="1:56" ht="12.75" customHeight="1">
      <c r="B8" s="882"/>
      <c r="C8" s="883"/>
      <c r="D8" s="883"/>
      <c r="E8" s="883"/>
      <c r="F8" s="883"/>
      <c r="G8" s="883"/>
      <c r="H8" s="883"/>
      <c r="I8" s="883"/>
      <c r="J8" s="883"/>
      <c r="K8" s="883"/>
      <c r="L8" s="883"/>
      <c r="M8" s="887"/>
      <c r="N8" s="888"/>
      <c r="O8" s="888"/>
      <c r="P8" s="888"/>
      <c r="Q8" s="888"/>
      <c r="R8" s="889"/>
      <c r="U8" s="882"/>
      <c r="V8" s="883"/>
      <c r="W8" s="883"/>
      <c r="X8" s="883"/>
      <c r="Y8" s="883"/>
      <c r="Z8" s="883"/>
      <c r="AA8" s="883"/>
      <c r="AB8" s="883"/>
      <c r="AC8" s="883"/>
      <c r="AD8" s="883"/>
      <c r="AE8" s="883"/>
      <c r="AF8" s="887"/>
      <c r="AG8" s="888"/>
      <c r="AH8" s="888"/>
      <c r="AI8" s="888"/>
      <c r="AJ8" s="888"/>
      <c r="AK8" s="889"/>
      <c r="AN8" s="882"/>
      <c r="AO8" s="883"/>
      <c r="AP8" s="883"/>
      <c r="AQ8" s="883"/>
      <c r="AR8" s="883"/>
      <c r="AS8" s="883"/>
      <c r="AT8" s="883"/>
      <c r="AU8" s="883"/>
      <c r="AV8" s="883"/>
      <c r="AW8" s="883"/>
      <c r="AX8" s="883"/>
      <c r="AY8" s="887"/>
      <c r="AZ8" s="888"/>
      <c r="BA8" s="888"/>
      <c r="BB8" s="888"/>
      <c r="BC8" s="888"/>
      <c r="BD8" s="889"/>
    </row>
    <row r="9" spans="1:56" ht="12.75" customHeight="1">
      <c r="B9" s="882"/>
      <c r="C9" s="883"/>
      <c r="D9" s="883"/>
      <c r="E9" s="883"/>
      <c r="F9" s="883"/>
      <c r="G9" s="883"/>
      <c r="H9" s="883"/>
      <c r="I9" s="883"/>
      <c r="J9" s="883"/>
      <c r="K9" s="883"/>
      <c r="L9" s="883"/>
      <c r="M9" s="887"/>
      <c r="N9" s="888"/>
      <c r="O9" s="888"/>
      <c r="P9" s="888"/>
      <c r="Q9" s="888"/>
      <c r="R9" s="889"/>
      <c r="U9" s="882"/>
      <c r="V9" s="883"/>
      <c r="W9" s="883"/>
      <c r="X9" s="883"/>
      <c r="Y9" s="883"/>
      <c r="Z9" s="883"/>
      <c r="AA9" s="883"/>
      <c r="AB9" s="883"/>
      <c r="AC9" s="883"/>
      <c r="AD9" s="883"/>
      <c r="AE9" s="883"/>
      <c r="AF9" s="887"/>
      <c r="AG9" s="888"/>
      <c r="AH9" s="888"/>
      <c r="AI9" s="888"/>
      <c r="AJ9" s="888"/>
      <c r="AK9" s="889"/>
      <c r="AN9" s="882"/>
      <c r="AO9" s="883"/>
      <c r="AP9" s="883"/>
      <c r="AQ9" s="883"/>
      <c r="AR9" s="883"/>
      <c r="AS9" s="883"/>
      <c r="AT9" s="883"/>
      <c r="AU9" s="883"/>
      <c r="AV9" s="883"/>
      <c r="AW9" s="883"/>
      <c r="AX9" s="883"/>
      <c r="AY9" s="887"/>
      <c r="AZ9" s="888"/>
      <c r="BA9" s="888"/>
      <c r="BB9" s="888"/>
      <c r="BC9" s="888"/>
      <c r="BD9" s="889"/>
    </row>
    <row r="10" spans="1:56" ht="12.75" customHeight="1">
      <c r="B10" s="882"/>
      <c r="C10" s="883"/>
      <c r="D10" s="883"/>
      <c r="E10" s="883"/>
      <c r="F10" s="883"/>
      <c r="G10" s="883"/>
      <c r="H10" s="883"/>
      <c r="I10" s="883"/>
      <c r="J10" s="883"/>
      <c r="K10" s="883"/>
      <c r="L10" s="883"/>
      <c r="M10" s="887"/>
      <c r="N10" s="888"/>
      <c r="O10" s="888"/>
      <c r="P10" s="888"/>
      <c r="Q10" s="888"/>
      <c r="R10" s="889"/>
      <c r="U10" s="882"/>
      <c r="V10" s="883"/>
      <c r="W10" s="883"/>
      <c r="X10" s="883"/>
      <c r="Y10" s="883"/>
      <c r="Z10" s="883"/>
      <c r="AA10" s="883"/>
      <c r="AB10" s="883"/>
      <c r="AC10" s="883"/>
      <c r="AD10" s="883"/>
      <c r="AE10" s="883"/>
      <c r="AF10" s="887"/>
      <c r="AG10" s="888"/>
      <c r="AH10" s="888"/>
      <c r="AI10" s="888"/>
      <c r="AJ10" s="888"/>
      <c r="AK10" s="889"/>
      <c r="AN10" s="882"/>
      <c r="AO10" s="883"/>
      <c r="AP10" s="883"/>
      <c r="AQ10" s="883"/>
      <c r="AR10" s="883"/>
      <c r="AS10" s="883"/>
      <c r="AT10" s="883"/>
      <c r="AU10" s="883"/>
      <c r="AV10" s="883"/>
      <c r="AW10" s="883"/>
      <c r="AX10" s="883"/>
      <c r="AY10" s="887"/>
      <c r="AZ10" s="888"/>
      <c r="BA10" s="888"/>
      <c r="BB10" s="888"/>
      <c r="BC10" s="888"/>
      <c r="BD10" s="889"/>
    </row>
    <row r="11" spans="1:56" ht="12.75" customHeight="1">
      <c r="B11" s="882"/>
      <c r="C11" s="883"/>
      <c r="D11" s="883"/>
      <c r="E11" s="883"/>
      <c r="F11" s="883"/>
      <c r="G11" s="883"/>
      <c r="H11" s="883"/>
      <c r="I11" s="883"/>
      <c r="J11" s="883"/>
      <c r="K11" s="883"/>
      <c r="L11" s="883"/>
      <c r="M11" s="887"/>
      <c r="N11" s="888"/>
      <c r="O11" s="888"/>
      <c r="P11" s="888"/>
      <c r="Q11" s="888"/>
      <c r="R11" s="889"/>
      <c r="U11" s="882"/>
      <c r="V11" s="883"/>
      <c r="W11" s="883"/>
      <c r="X11" s="883"/>
      <c r="Y11" s="883"/>
      <c r="Z11" s="883"/>
      <c r="AA11" s="883"/>
      <c r="AB11" s="883"/>
      <c r="AC11" s="883"/>
      <c r="AD11" s="883"/>
      <c r="AE11" s="883"/>
      <c r="AF11" s="887"/>
      <c r="AG11" s="888"/>
      <c r="AH11" s="888"/>
      <c r="AI11" s="888"/>
      <c r="AJ11" s="888"/>
      <c r="AK11" s="889"/>
      <c r="AN11" s="882"/>
      <c r="AO11" s="883"/>
      <c r="AP11" s="883"/>
      <c r="AQ11" s="883"/>
      <c r="AR11" s="883"/>
      <c r="AS11" s="883"/>
      <c r="AT11" s="883"/>
      <c r="AU11" s="883"/>
      <c r="AV11" s="883"/>
      <c r="AW11" s="883"/>
      <c r="AX11" s="883"/>
      <c r="AY11" s="887"/>
      <c r="AZ11" s="888"/>
      <c r="BA11" s="888"/>
      <c r="BB11" s="888"/>
      <c r="BC11" s="888"/>
      <c r="BD11" s="889"/>
    </row>
    <row r="12" spans="1:56" ht="12.75" customHeight="1">
      <c r="B12" s="882"/>
      <c r="C12" s="883"/>
      <c r="D12" s="883"/>
      <c r="E12" s="883"/>
      <c r="F12" s="883"/>
      <c r="G12" s="883"/>
      <c r="H12" s="883"/>
      <c r="I12" s="883"/>
      <c r="J12" s="883"/>
      <c r="K12" s="883"/>
      <c r="L12" s="883"/>
      <c r="M12" s="887"/>
      <c r="N12" s="888"/>
      <c r="O12" s="888"/>
      <c r="P12" s="888"/>
      <c r="Q12" s="888"/>
      <c r="R12" s="889"/>
      <c r="U12" s="882"/>
      <c r="V12" s="883"/>
      <c r="W12" s="883"/>
      <c r="X12" s="883"/>
      <c r="Y12" s="883"/>
      <c r="Z12" s="883"/>
      <c r="AA12" s="883"/>
      <c r="AB12" s="883"/>
      <c r="AC12" s="883"/>
      <c r="AD12" s="883"/>
      <c r="AE12" s="883"/>
      <c r="AF12" s="887"/>
      <c r="AG12" s="888"/>
      <c r="AH12" s="888"/>
      <c r="AI12" s="888"/>
      <c r="AJ12" s="888"/>
      <c r="AK12" s="889"/>
      <c r="AN12" s="882"/>
      <c r="AO12" s="883"/>
      <c r="AP12" s="883"/>
      <c r="AQ12" s="883"/>
      <c r="AR12" s="883"/>
      <c r="AS12" s="883"/>
      <c r="AT12" s="883"/>
      <c r="AU12" s="883"/>
      <c r="AV12" s="883"/>
      <c r="AW12" s="883"/>
      <c r="AX12" s="883"/>
      <c r="AY12" s="887"/>
      <c r="AZ12" s="888"/>
      <c r="BA12" s="888"/>
      <c r="BB12" s="888"/>
      <c r="BC12" s="888"/>
      <c r="BD12" s="889"/>
    </row>
    <row r="13" spans="1:56" ht="12.75" customHeight="1">
      <c r="B13" s="893"/>
      <c r="C13" s="894"/>
      <c r="D13" s="894"/>
      <c r="E13" s="894"/>
      <c r="F13" s="894"/>
      <c r="G13" s="894"/>
      <c r="H13" s="894"/>
      <c r="I13" s="894"/>
      <c r="J13" s="894"/>
      <c r="K13" s="894"/>
      <c r="L13" s="894"/>
      <c r="M13" s="890"/>
      <c r="N13" s="891"/>
      <c r="O13" s="891"/>
      <c r="P13" s="891"/>
      <c r="Q13" s="891"/>
      <c r="R13" s="892"/>
      <c r="U13" s="893"/>
      <c r="V13" s="894"/>
      <c r="W13" s="894"/>
      <c r="X13" s="894"/>
      <c r="Y13" s="894"/>
      <c r="Z13" s="894"/>
      <c r="AA13" s="894"/>
      <c r="AB13" s="894"/>
      <c r="AC13" s="894"/>
      <c r="AD13" s="894"/>
      <c r="AE13" s="894"/>
      <c r="AF13" s="890"/>
      <c r="AG13" s="891"/>
      <c r="AH13" s="891"/>
      <c r="AI13" s="891"/>
      <c r="AJ13" s="891"/>
      <c r="AK13" s="892"/>
      <c r="AN13" s="893"/>
      <c r="AO13" s="894"/>
      <c r="AP13" s="894"/>
      <c r="AQ13" s="894"/>
      <c r="AR13" s="894"/>
      <c r="AS13" s="894"/>
      <c r="AT13" s="894"/>
      <c r="AU13" s="894"/>
      <c r="AV13" s="894"/>
      <c r="AW13" s="894"/>
      <c r="AX13" s="894"/>
      <c r="AY13" s="890"/>
      <c r="AZ13" s="891"/>
      <c r="BA13" s="891"/>
      <c r="BB13" s="891"/>
      <c r="BC13" s="891"/>
      <c r="BD13" s="892"/>
    </row>
    <row r="14" spans="1:56" ht="12.75" customHeight="1">
      <c r="B14" s="895" t="s">
        <v>54</v>
      </c>
      <c r="C14" s="895"/>
      <c r="D14" s="895"/>
      <c r="E14" s="895"/>
      <c r="F14" s="895"/>
      <c r="G14" s="895"/>
      <c r="H14" s="895"/>
      <c r="I14" s="895"/>
      <c r="J14" s="895"/>
      <c r="K14" s="895"/>
      <c r="L14" s="895"/>
      <c r="M14" s="896"/>
      <c r="N14" s="897"/>
      <c r="O14" s="897"/>
      <c r="P14" s="897"/>
      <c r="Q14" s="897"/>
      <c r="R14" s="898"/>
      <c r="U14" s="895" t="s">
        <v>54</v>
      </c>
      <c r="V14" s="895"/>
      <c r="W14" s="895"/>
      <c r="X14" s="895"/>
      <c r="Y14" s="895"/>
      <c r="Z14" s="895"/>
      <c r="AA14" s="895"/>
      <c r="AB14" s="895"/>
      <c r="AC14" s="895"/>
      <c r="AD14" s="895"/>
      <c r="AE14" s="895"/>
      <c r="AF14" s="896"/>
      <c r="AG14" s="897"/>
      <c r="AH14" s="897"/>
      <c r="AI14" s="897"/>
      <c r="AJ14" s="897"/>
      <c r="AK14" s="898"/>
      <c r="AN14" s="895" t="s">
        <v>54</v>
      </c>
      <c r="AO14" s="895"/>
      <c r="AP14" s="895"/>
      <c r="AQ14" s="895"/>
      <c r="AR14" s="895"/>
      <c r="AS14" s="895"/>
      <c r="AT14" s="895"/>
      <c r="AU14" s="895"/>
      <c r="AV14" s="895"/>
      <c r="AW14" s="895"/>
      <c r="AX14" s="895"/>
      <c r="AY14" s="896"/>
      <c r="AZ14" s="897"/>
      <c r="BA14" s="897"/>
      <c r="BB14" s="897"/>
      <c r="BC14" s="897"/>
      <c r="BD14" s="898"/>
    </row>
    <row r="15" spans="1:56" ht="12.75" customHeight="1">
      <c r="B15" s="899" t="s">
        <v>55</v>
      </c>
      <c r="C15" s="900"/>
      <c r="D15" s="900"/>
      <c r="E15" s="900"/>
      <c r="F15" s="900"/>
      <c r="G15" s="900"/>
      <c r="H15" s="900"/>
      <c r="I15" s="900"/>
      <c r="J15" s="900"/>
      <c r="K15" s="900"/>
      <c r="L15" s="900"/>
      <c r="M15" s="900"/>
      <c r="N15" s="900"/>
      <c r="O15" s="900"/>
      <c r="P15" s="900"/>
      <c r="Q15" s="900"/>
      <c r="R15" s="275"/>
      <c r="U15" s="899" t="s">
        <v>55</v>
      </c>
      <c r="V15" s="900"/>
      <c r="W15" s="900"/>
      <c r="X15" s="900"/>
      <c r="Y15" s="900"/>
      <c r="Z15" s="900"/>
      <c r="AA15" s="900"/>
      <c r="AB15" s="900"/>
      <c r="AC15" s="900"/>
      <c r="AD15" s="900"/>
      <c r="AE15" s="900"/>
      <c r="AF15" s="900"/>
      <c r="AG15" s="900"/>
      <c r="AH15" s="900"/>
      <c r="AI15" s="900"/>
      <c r="AJ15" s="900"/>
      <c r="AK15" s="275"/>
      <c r="AN15" s="899" t="s">
        <v>55</v>
      </c>
      <c r="AO15" s="900"/>
      <c r="AP15" s="900"/>
      <c r="AQ15" s="900"/>
      <c r="AR15" s="900"/>
      <c r="AS15" s="900"/>
      <c r="AT15" s="900"/>
      <c r="AU15" s="900"/>
      <c r="AV15" s="900"/>
      <c r="AW15" s="900"/>
      <c r="AX15" s="900"/>
      <c r="AY15" s="900"/>
      <c r="AZ15" s="900"/>
      <c r="BA15" s="900"/>
      <c r="BB15" s="900"/>
      <c r="BC15" s="900"/>
      <c r="BD15" s="275"/>
    </row>
    <row r="16" spans="1:56" ht="12.75" customHeight="1">
      <c r="B16" s="901" t="s">
        <v>56</v>
      </c>
      <c r="C16" s="902"/>
      <c r="D16" s="902"/>
      <c r="E16" s="902"/>
      <c r="F16" s="902"/>
      <c r="G16" s="902"/>
      <c r="H16" s="902"/>
      <c r="I16" s="902"/>
      <c r="J16" s="902"/>
      <c r="K16" s="902"/>
      <c r="L16" s="902"/>
      <c r="M16" s="902"/>
      <c r="N16" s="852" t="e">
        <f>#REF!</f>
        <v>#REF!</v>
      </c>
      <c r="O16" s="852"/>
      <c r="P16" s="852"/>
      <c r="Q16" s="852"/>
      <c r="R16" s="853"/>
      <c r="U16" s="901" t="s">
        <v>56</v>
      </c>
      <c r="V16" s="902"/>
      <c r="W16" s="902"/>
      <c r="X16" s="902"/>
      <c r="Y16" s="902"/>
      <c r="Z16" s="902"/>
      <c r="AA16" s="902"/>
      <c r="AB16" s="902"/>
      <c r="AC16" s="902"/>
      <c r="AD16" s="902"/>
      <c r="AE16" s="902"/>
      <c r="AF16" s="902"/>
      <c r="AG16" s="852" t="e">
        <f>N16</f>
        <v>#REF!</v>
      </c>
      <c r="AH16" s="852"/>
      <c r="AI16" s="852"/>
      <c r="AJ16" s="852"/>
      <c r="AK16" s="853"/>
      <c r="AN16" s="901" t="s">
        <v>56</v>
      </c>
      <c r="AO16" s="902"/>
      <c r="AP16" s="902"/>
      <c r="AQ16" s="902"/>
      <c r="AR16" s="902"/>
      <c r="AS16" s="902"/>
      <c r="AT16" s="902"/>
      <c r="AU16" s="902"/>
      <c r="AV16" s="902"/>
      <c r="AW16" s="902"/>
      <c r="AX16" s="902"/>
      <c r="AY16" s="902"/>
      <c r="AZ16" s="852" t="e">
        <f>N16</f>
        <v>#REF!</v>
      </c>
      <c r="BA16" s="852"/>
      <c r="BB16" s="852"/>
      <c r="BC16" s="852"/>
      <c r="BD16" s="853"/>
    </row>
    <row r="17" spans="2:56" ht="12.75" customHeight="1">
      <c r="B17" s="854" t="s">
        <v>57</v>
      </c>
      <c r="C17" s="855"/>
      <c r="D17" s="855"/>
      <c r="E17" s="855"/>
      <c r="F17" s="855"/>
      <c r="G17" s="855"/>
      <c r="H17" s="855"/>
      <c r="I17" s="855"/>
      <c r="J17" s="855"/>
      <c r="K17" s="855"/>
      <c r="L17" s="855"/>
      <c r="M17" s="855"/>
      <c r="N17" s="856">
        <f>O22</f>
        <v>2.5000000000000001E-2</v>
      </c>
      <c r="O17" s="856"/>
      <c r="P17" s="856"/>
      <c r="Q17" s="856"/>
      <c r="R17" s="857"/>
      <c r="U17" s="854" t="s">
        <v>57</v>
      </c>
      <c r="V17" s="855"/>
      <c r="W17" s="855"/>
      <c r="X17" s="855"/>
      <c r="Y17" s="855"/>
      <c r="Z17" s="855"/>
      <c r="AA17" s="855"/>
      <c r="AB17" s="855"/>
      <c r="AC17" s="855"/>
      <c r="AD17" s="855"/>
      <c r="AE17" s="855"/>
      <c r="AF17" s="855"/>
      <c r="AG17" s="856">
        <f>AH22</f>
        <v>2.5000000000000001E-2</v>
      </c>
      <c r="AH17" s="856"/>
      <c r="AI17" s="856"/>
      <c r="AJ17" s="856"/>
      <c r="AK17" s="857"/>
      <c r="AN17" s="854" t="s">
        <v>57</v>
      </c>
      <c r="AO17" s="855"/>
      <c r="AP17" s="855"/>
      <c r="AQ17" s="855"/>
      <c r="AR17" s="855"/>
      <c r="AS17" s="855"/>
      <c r="AT17" s="855"/>
      <c r="AU17" s="855"/>
      <c r="AV17" s="855"/>
      <c r="AW17" s="855"/>
      <c r="AX17" s="855"/>
      <c r="AY17" s="855"/>
      <c r="AZ17" s="856">
        <f>BA22</f>
        <v>2.5000000000000001E-2</v>
      </c>
      <c r="BA17" s="856"/>
      <c r="BB17" s="856"/>
      <c r="BC17" s="856"/>
      <c r="BD17" s="857"/>
    </row>
    <row r="18" spans="2:56">
      <c r="B18" s="854"/>
      <c r="C18" s="855"/>
      <c r="D18" s="855"/>
      <c r="E18" s="855"/>
      <c r="F18" s="855"/>
      <c r="G18" s="855"/>
      <c r="H18" s="855"/>
      <c r="I18" s="855"/>
      <c r="J18" s="855"/>
      <c r="K18" s="855"/>
      <c r="L18" s="855"/>
      <c r="M18" s="855"/>
      <c r="N18" s="856"/>
      <c r="O18" s="856"/>
      <c r="P18" s="856"/>
      <c r="Q18" s="856"/>
      <c r="R18" s="857"/>
      <c r="U18" s="854"/>
      <c r="V18" s="855"/>
      <c r="W18" s="855"/>
      <c r="X18" s="855"/>
      <c r="Y18" s="855"/>
      <c r="Z18" s="855"/>
      <c r="AA18" s="855"/>
      <c r="AB18" s="855"/>
      <c r="AC18" s="855"/>
      <c r="AD18" s="855"/>
      <c r="AE18" s="855"/>
      <c r="AF18" s="855"/>
      <c r="AG18" s="856"/>
      <c r="AH18" s="856"/>
      <c r="AI18" s="856"/>
      <c r="AJ18" s="856"/>
      <c r="AK18" s="857"/>
      <c r="AN18" s="854"/>
      <c r="AO18" s="855"/>
      <c r="AP18" s="855"/>
      <c r="AQ18" s="855"/>
      <c r="AR18" s="855"/>
      <c r="AS18" s="855"/>
      <c r="AT18" s="855"/>
      <c r="AU18" s="855"/>
      <c r="AV18" s="855"/>
      <c r="AW18" s="855"/>
      <c r="AX18" s="855"/>
      <c r="AY18" s="855"/>
      <c r="AZ18" s="856"/>
      <c r="BA18" s="856"/>
      <c r="BB18" s="856"/>
      <c r="BC18" s="856"/>
      <c r="BD18" s="857"/>
    </row>
    <row r="19" spans="2:56" ht="12.75" customHeight="1">
      <c r="B19" s="858" t="s">
        <v>58</v>
      </c>
      <c r="C19" s="859"/>
      <c r="D19" s="859"/>
      <c r="E19" s="859"/>
      <c r="F19" s="859"/>
      <c r="G19" s="859"/>
      <c r="H19" s="859"/>
      <c r="I19" s="859"/>
      <c r="J19" s="859"/>
      <c r="K19" s="859"/>
      <c r="L19" s="859"/>
      <c r="M19" s="859"/>
      <c r="N19" s="860" t="e">
        <f>N16-N17</f>
        <v>#REF!</v>
      </c>
      <c r="O19" s="860"/>
      <c r="P19" s="860"/>
      <c r="Q19" s="860"/>
      <c r="R19" s="861"/>
      <c r="U19" s="858" t="s">
        <v>58</v>
      </c>
      <c r="V19" s="859"/>
      <c r="W19" s="859"/>
      <c r="X19" s="859"/>
      <c r="Y19" s="859"/>
      <c r="Z19" s="859"/>
      <c r="AA19" s="859"/>
      <c r="AB19" s="859"/>
      <c r="AC19" s="859"/>
      <c r="AD19" s="859"/>
      <c r="AE19" s="859"/>
      <c r="AF19" s="859"/>
      <c r="AG19" s="860" t="e">
        <f>AG16-AG17</f>
        <v>#REF!</v>
      </c>
      <c r="AH19" s="860"/>
      <c r="AI19" s="860"/>
      <c r="AJ19" s="860"/>
      <c r="AK19" s="861"/>
      <c r="AN19" s="858" t="s">
        <v>58</v>
      </c>
      <c r="AO19" s="859"/>
      <c r="AP19" s="859"/>
      <c r="AQ19" s="859"/>
      <c r="AR19" s="859"/>
      <c r="AS19" s="859"/>
      <c r="AT19" s="859"/>
      <c r="AU19" s="859"/>
      <c r="AV19" s="859"/>
      <c r="AW19" s="859"/>
      <c r="AX19" s="859"/>
      <c r="AY19" s="859"/>
      <c r="AZ19" s="860" t="e">
        <f>AZ16-AZ17</f>
        <v>#REF!</v>
      </c>
      <c r="BA19" s="860"/>
      <c r="BB19" s="860"/>
      <c r="BC19" s="860"/>
      <c r="BD19" s="861"/>
    </row>
    <row r="20" spans="2:56" ht="12.75" customHeight="1">
      <c r="B20" s="858"/>
      <c r="C20" s="859"/>
      <c r="D20" s="859"/>
      <c r="E20" s="859"/>
      <c r="F20" s="859"/>
      <c r="G20" s="859"/>
      <c r="H20" s="859"/>
      <c r="I20" s="859"/>
      <c r="J20" s="859"/>
      <c r="K20" s="859"/>
      <c r="L20" s="859"/>
      <c r="M20" s="859"/>
      <c r="N20" s="860"/>
      <c r="O20" s="860"/>
      <c r="P20" s="860"/>
      <c r="Q20" s="860"/>
      <c r="R20" s="861"/>
      <c r="U20" s="858"/>
      <c r="V20" s="859"/>
      <c r="W20" s="859"/>
      <c r="X20" s="859"/>
      <c r="Y20" s="859"/>
      <c r="Z20" s="859"/>
      <c r="AA20" s="859"/>
      <c r="AB20" s="859"/>
      <c r="AC20" s="859"/>
      <c r="AD20" s="859"/>
      <c r="AE20" s="859"/>
      <c r="AF20" s="859"/>
      <c r="AG20" s="860"/>
      <c r="AH20" s="860"/>
      <c r="AI20" s="860"/>
      <c r="AJ20" s="860"/>
      <c r="AK20" s="861"/>
      <c r="AN20" s="858"/>
      <c r="AO20" s="859"/>
      <c r="AP20" s="859"/>
      <c r="AQ20" s="859"/>
      <c r="AR20" s="859"/>
      <c r="AS20" s="859"/>
      <c r="AT20" s="859"/>
      <c r="AU20" s="859"/>
      <c r="AV20" s="859"/>
      <c r="AW20" s="859"/>
      <c r="AX20" s="859"/>
      <c r="AY20" s="859"/>
      <c r="AZ20" s="860"/>
      <c r="BA20" s="860"/>
      <c r="BB20" s="860"/>
      <c r="BC20" s="860"/>
      <c r="BD20" s="861"/>
    </row>
    <row r="21" spans="2:56">
      <c r="B21" s="866" t="s">
        <v>59</v>
      </c>
      <c r="C21" s="867"/>
      <c r="D21" s="867"/>
      <c r="E21" s="867"/>
      <c r="F21" s="867"/>
      <c r="G21" s="867"/>
      <c r="H21" s="867"/>
      <c r="I21" s="867"/>
      <c r="J21" s="867"/>
      <c r="K21" s="867"/>
      <c r="L21" s="867"/>
      <c r="M21" s="867"/>
      <c r="N21" s="867"/>
      <c r="O21" s="867"/>
      <c r="P21" s="867"/>
      <c r="Q21" s="867"/>
      <c r="R21" s="272"/>
      <c r="U21" s="866" t="s">
        <v>59</v>
      </c>
      <c r="V21" s="867"/>
      <c r="W21" s="867"/>
      <c r="X21" s="867"/>
      <c r="Y21" s="867"/>
      <c r="Z21" s="867"/>
      <c r="AA21" s="867"/>
      <c r="AB21" s="867"/>
      <c r="AC21" s="867"/>
      <c r="AD21" s="867"/>
      <c r="AE21" s="867"/>
      <c r="AF21" s="867"/>
      <c r="AG21" s="867"/>
      <c r="AH21" s="867"/>
      <c r="AI21" s="867"/>
      <c r="AJ21" s="867"/>
      <c r="AK21" s="272"/>
      <c r="AN21" s="866" t="s">
        <v>59</v>
      </c>
      <c r="AO21" s="867"/>
      <c r="AP21" s="867"/>
      <c r="AQ21" s="867"/>
      <c r="AR21" s="867"/>
      <c r="AS21" s="867"/>
      <c r="AT21" s="867"/>
      <c r="AU21" s="867"/>
      <c r="AV21" s="867"/>
      <c r="AW21" s="867"/>
      <c r="AX21" s="867"/>
      <c r="AY21" s="867"/>
      <c r="AZ21" s="867"/>
      <c r="BA21" s="867"/>
      <c r="BB21" s="867"/>
      <c r="BC21" s="867"/>
      <c r="BD21" s="272"/>
    </row>
    <row r="22" spans="2:56" ht="15.75" customHeight="1">
      <c r="B22" s="868" t="s">
        <v>60</v>
      </c>
      <c r="C22" s="869"/>
      <c r="D22" s="869"/>
      <c r="E22" s="869"/>
      <c r="F22" s="869"/>
      <c r="G22" s="869"/>
      <c r="H22" s="869"/>
      <c r="I22" s="869"/>
      <c r="J22" s="869"/>
      <c r="K22" s="869"/>
      <c r="L22" s="869"/>
      <c r="M22" s="869"/>
      <c r="N22" s="265"/>
      <c r="O22" s="870">
        <f>MIN(SUMIF(R24:R38,"Yes",O24:Q38),8%)</f>
        <v>2.5000000000000001E-2</v>
      </c>
      <c r="P22" s="870"/>
      <c r="Q22" s="870"/>
      <c r="R22" s="871"/>
      <c r="U22" s="868" t="s">
        <v>60</v>
      </c>
      <c r="V22" s="869"/>
      <c r="W22" s="869"/>
      <c r="X22" s="869"/>
      <c r="Y22" s="869"/>
      <c r="Z22" s="869"/>
      <c r="AA22" s="869"/>
      <c r="AB22" s="869"/>
      <c r="AC22" s="869"/>
      <c r="AD22" s="869"/>
      <c r="AE22" s="869"/>
      <c r="AF22" s="869"/>
      <c r="AG22" s="265"/>
      <c r="AH22" s="870">
        <f>MIN(SUMIF(AK24:AK38,"Yes",AH24:AJ38),8%)</f>
        <v>2.5000000000000001E-2</v>
      </c>
      <c r="AI22" s="870"/>
      <c r="AJ22" s="870"/>
      <c r="AK22" s="871"/>
      <c r="AN22" s="868" t="s">
        <v>60</v>
      </c>
      <c r="AO22" s="869"/>
      <c r="AP22" s="869"/>
      <c r="AQ22" s="869"/>
      <c r="AR22" s="869"/>
      <c r="AS22" s="869"/>
      <c r="AT22" s="869"/>
      <c r="AU22" s="869"/>
      <c r="AV22" s="869"/>
      <c r="AW22" s="869"/>
      <c r="AX22" s="869"/>
      <c r="AY22" s="869"/>
      <c r="AZ22" s="265"/>
      <c r="BA22" s="870">
        <f>MIN(SUMIF(BD24:BD38,"Yes",BA24:BC38),8%)</f>
        <v>2.5000000000000001E-2</v>
      </c>
      <c r="BB22" s="870"/>
      <c r="BC22" s="870"/>
      <c r="BD22" s="871"/>
    </row>
    <row r="23" spans="2:56" ht="15.6">
      <c r="B23" s="868"/>
      <c r="C23" s="869"/>
      <c r="D23" s="869"/>
      <c r="E23" s="869"/>
      <c r="F23" s="869"/>
      <c r="G23" s="869"/>
      <c r="H23" s="869"/>
      <c r="I23" s="869"/>
      <c r="J23" s="869"/>
      <c r="K23" s="869"/>
      <c r="L23" s="869"/>
      <c r="M23" s="869"/>
      <c r="N23" s="265"/>
      <c r="O23" s="870"/>
      <c r="P23" s="870"/>
      <c r="Q23" s="870"/>
      <c r="R23" s="871"/>
      <c r="U23" s="868"/>
      <c r="V23" s="869"/>
      <c r="W23" s="869"/>
      <c r="X23" s="869"/>
      <c r="Y23" s="869"/>
      <c r="Z23" s="869"/>
      <c r="AA23" s="869"/>
      <c r="AB23" s="869"/>
      <c r="AC23" s="869"/>
      <c r="AD23" s="869"/>
      <c r="AE23" s="869"/>
      <c r="AF23" s="869"/>
      <c r="AG23" s="265"/>
      <c r="AH23" s="870"/>
      <c r="AI23" s="870"/>
      <c r="AJ23" s="870"/>
      <c r="AK23" s="871"/>
      <c r="AN23" s="868"/>
      <c r="AO23" s="869"/>
      <c r="AP23" s="869"/>
      <c r="AQ23" s="869"/>
      <c r="AR23" s="869"/>
      <c r="AS23" s="869"/>
      <c r="AT23" s="869"/>
      <c r="AU23" s="869"/>
      <c r="AV23" s="869"/>
      <c r="AW23" s="869"/>
      <c r="AX23" s="869"/>
      <c r="AY23" s="869"/>
      <c r="AZ23" s="265"/>
      <c r="BA23" s="870"/>
      <c r="BB23" s="870"/>
      <c r="BC23" s="870"/>
      <c r="BD23" s="871"/>
    </row>
    <row r="24" spans="2:56" ht="12.75" customHeight="1">
      <c r="B24" s="872">
        <v>1</v>
      </c>
      <c r="C24" s="873" t="s">
        <v>61</v>
      </c>
      <c r="D24" s="873"/>
      <c r="E24" s="873"/>
      <c r="F24" s="873"/>
      <c r="G24" s="873"/>
      <c r="H24" s="873"/>
      <c r="I24" s="873"/>
      <c r="J24" s="873"/>
      <c r="K24" s="873"/>
      <c r="L24" s="873"/>
      <c r="M24" s="873"/>
      <c r="N24" s="873"/>
      <c r="O24" s="844">
        <v>2.5000000000000001E-2</v>
      </c>
      <c r="P24" s="844"/>
      <c r="Q24" s="844"/>
      <c r="R24" s="843" t="s">
        <v>62</v>
      </c>
      <c r="U24" s="872">
        <v>1</v>
      </c>
      <c r="V24" s="873" t="s">
        <v>61</v>
      </c>
      <c r="W24" s="873"/>
      <c r="X24" s="873"/>
      <c r="Y24" s="873"/>
      <c r="Z24" s="873"/>
      <c r="AA24" s="873"/>
      <c r="AB24" s="873"/>
      <c r="AC24" s="873"/>
      <c r="AD24" s="873"/>
      <c r="AE24" s="873"/>
      <c r="AF24" s="873"/>
      <c r="AG24" s="873"/>
      <c r="AH24" s="844">
        <v>2.5000000000000001E-2</v>
      </c>
      <c r="AI24" s="844"/>
      <c r="AJ24" s="844"/>
      <c r="AK24" s="843" t="s">
        <v>62</v>
      </c>
      <c r="AN24" s="872">
        <v>1</v>
      </c>
      <c r="AO24" s="873" t="s">
        <v>61</v>
      </c>
      <c r="AP24" s="873"/>
      <c r="AQ24" s="873"/>
      <c r="AR24" s="873"/>
      <c r="AS24" s="873"/>
      <c r="AT24" s="873"/>
      <c r="AU24" s="873"/>
      <c r="AV24" s="873"/>
      <c r="AW24" s="873"/>
      <c r="AX24" s="873"/>
      <c r="AY24" s="873"/>
      <c r="AZ24" s="873"/>
      <c r="BA24" s="844">
        <v>2.5000000000000001E-2</v>
      </c>
      <c r="BB24" s="844"/>
      <c r="BC24" s="844"/>
      <c r="BD24" s="843" t="s">
        <v>62</v>
      </c>
    </row>
    <row r="25" spans="2:56">
      <c r="B25" s="872"/>
      <c r="C25" s="873"/>
      <c r="D25" s="873"/>
      <c r="E25" s="873"/>
      <c r="F25" s="873"/>
      <c r="G25" s="873"/>
      <c r="H25" s="873"/>
      <c r="I25" s="873"/>
      <c r="J25" s="873"/>
      <c r="K25" s="873"/>
      <c r="L25" s="873"/>
      <c r="M25" s="873"/>
      <c r="N25" s="873"/>
      <c r="O25" s="844"/>
      <c r="P25" s="844"/>
      <c r="Q25" s="844"/>
      <c r="R25" s="843"/>
      <c r="U25" s="872"/>
      <c r="V25" s="873"/>
      <c r="W25" s="873"/>
      <c r="X25" s="873"/>
      <c r="Y25" s="873"/>
      <c r="Z25" s="873"/>
      <c r="AA25" s="873"/>
      <c r="AB25" s="873"/>
      <c r="AC25" s="873"/>
      <c r="AD25" s="873"/>
      <c r="AE25" s="873"/>
      <c r="AF25" s="873"/>
      <c r="AG25" s="873"/>
      <c r="AH25" s="844"/>
      <c r="AI25" s="844"/>
      <c r="AJ25" s="844"/>
      <c r="AK25" s="843"/>
      <c r="AN25" s="872"/>
      <c r="AO25" s="873"/>
      <c r="AP25" s="873"/>
      <c r="AQ25" s="873"/>
      <c r="AR25" s="873"/>
      <c r="AS25" s="873"/>
      <c r="AT25" s="873"/>
      <c r="AU25" s="873"/>
      <c r="AV25" s="873"/>
      <c r="AW25" s="873"/>
      <c r="AX25" s="873"/>
      <c r="AY25" s="873"/>
      <c r="AZ25" s="873"/>
      <c r="BA25" s="844"/>
      <c r="BB25" s="844"/>
      <c r="BC25" s="844"/>
      <c r="BD25" s="843"/>
    </row>
    <row r="26" spans="2:56" ht="12.75" customHeight="1">
      <c r="B26" s="862">
        <v>2</v>
      </c>
      <c r="C26" s="863" t="s">
        <v>63</v>
      </c>
      <c r="D26" s="863"/>
      <c r="E26" s="863"/>
      <c r="F26" s="863"/>
      <c r="G26" s="863"/>
      <c r="H26" s="863"/>
      <c r="I26" s="863"/>
      <c r="J26" s="863"/>
      <c r="K26" s="863"/>
      <c r="L26" s="863"/>
      <c r="M26" s="863"/>
      <c r="N26" s="863"/>
      <c r="O26" s="864">
        <v>0.02</v>
      </c>
      <c r="P26" s="864"/>
      <c r="Q26" s="864"/>
      <c r="R26" s="843" t="s">
        <v>5</v>
      </c>
      <c r="U26" s="862">
        <v>2</v>
      </c>
      <c r="V26" s="863" t="s">
        <v>63</v>
      </c>
      <c r="W26" s="863"/>
      <c r="X26" s="863"/>
      <c r="Y26" s="863"/>
      <c r="Z26" s="863"/>
      <c r="AA26" s="863"/>
      <c r="AB26" s="863"/>
      <c r="AC26" s="863"/>
      <c r="AD26" s="863"/>
      <c r="AE26" s="863"/>
      <c r="AF26" s="863"/>
      <c r="AG26" s="863"/>
      <c r="AH26" s="864">
        <v>0.02</v>
      </c>
      <c r="AI26" s="864"/>
      <c r="AJ26" s="864"/>
      <c r="AK26" s="843" t="s">
        <v>5</v>
      </c>
      <c r="AN26" s="862">
        <v>2</v>
      </c>
      <c r="AO26" s="863" t="s">
        <v>63</v>
      </c>
      <c r="AP26" s="863"/>
      <c r="AQ26" s="863"/>
      <c r="AR26" s="863"/>
      <c r="AS26" s="863"/>
      <c r="AT26" s="863"/>
      <c r="AU26" s="863"/>
      <c r="AV26" s="863"/>
      <c r="AW26" s="863"/>
      <c r="AX26" s="863"/>
      <c r="AY26" s="863"/>
      <c r="AZ26" s="863"/>
      <c r="BA26" s="864">
        <v>0.02</v>
      </c>
      <c r="BB26" s="864"/>
      <c r="BC26" s="864"/>
      <c r="BD26" s="843" t="s">
        <v>5</v>
      </c>
    </row>
    <row r="27" spans="2:56" ht="12.9" customHeight="1">
      <c r="B27" s="862"/>
      <c r="C27" s="863"/>
      <c r="D27" s="863"/>
      <c r="E27" s="863"/>
      <c r="F27" s="863"/>
      <c r="G27" s="863"/>
      <c r="H27" s="863"/>
      <c r="I27" s="863"/>
      <c r="J27" s="863"/>
      <c r="K27" s="863"/>
      <c r="L27" s="863"/>
      <c r="M27" s="863"/>
      <c r="N27" s="863"/>
      <c r="O27" s="864"/>
      <c r="P27" s="864"/>
      <c r="Q27" s="864"/>
      <c r="R27" s="843"/>
      <c r="U27" s="862"/>
      <c r="V27" s="863"/>
      <c r="W27" s="863"/>
      <c r="X27" s="863"/>
      <c r="Y27" s="863"/>
      <c r="Z27" s="863"/>
      <c r="AA27" s="863"/>
      <c r="AB27" s="863"/>
      <c r="AC27" s="863"/>
      <c r="AD27" s="863"/>
      <c r="AE27" s="863"/>
      <c r="AF27" s="863"/>
      <c r="AG27" s="863"/>
      <c r="AH27" s="864"/>
      <c r="AI27" s="864"/>
      <c r="AJ27" s="864"/>
      <c r="AK27" s="843"/>
      <c r="AN27" s="862"/>
      <c r="AO27" s="863"/>
      <c r="AP27" s="863"/>
      <c r="AQ27" s="863"/>
      <c r="AR27" s="863"/>
      <c r="AS27" s="863"/>
      <c r="AT27" s="863"/>
      <c r="AU27" s="863"/>
      <c r="AV27" s="863"/>
      <c r="AW27" s="863"/>
      <c r="AX27" s="863"/>
      <c r="AY27" s="863"/>
      <c r="AZ27" s="863"/>
      <c r="BA27" s="864"/>
      <c r="BB27" s="864"/>
      <c r="BC27" s="864"/>
      <c r="BD27" s="843"/>
    </row>
    <row r="28" spans="2:56" ht="12.75" customHeight="1">
      <c r="B28" s="848">
        <v>3</v>
      </c>
      <c r="C28" s="865" t="s">
        <v>64</v>
      </c>
      <c r="D28" s="865"/>
      <c r="E28" s="865"/>
      <c r="F28" s="865"/>
      <c r="G28" s="865"/>
      <c r="H28" s="865"/>
      <c r="I28" s="865"/>
      <c r="J28" s="865"/>
      <c r="K28" s="865"/>
      <c r="L28" s="865"/>
      <c r="M28" s="865"/>
      <c r="N28" s="865"/>
      <c r="O28" s="850">
        <v>1.4999999999999999E-2</v>
      </c>
      <c r="P28" s="850"/>
      <c r="Q28" s="850"/>
      <c r="R28" s="843" t="s">
        <v>5</v>
      </c>
      <c r="U28" s="848">
        <v>3</v>
      </c>
      <c r="V28" s="865" t="s">
        <v>64</v>
      </c>
      <c r="W28" s="865"/>
      <c r="X28" s="865"/>
      <c r="Y28" s="865"/>
      <c r="Z28" s="865"/>
      <c r="AA28" s="865"/>
      <c r="AB28" s="865"/>
      <c r="AC28" s="865"/>
      <c r="AD28" s="865"/>
      <c r="AE28" s="865"/>
      <c r="AF28" s="865"/>
      <c r="AG28" s="865"/>
      <c r="AH28" s="850">
        <v>1.4999999999999999E-2</v>
      </c>
      <c r="AI28" s="850"/>
      <c r="AJ28" s="850"/>
      <c r="AK28" s="843" t="s">
        <v>5</v>
      </c>
      <c r="AN28" s="848">
        <v>3</v>
      </c>
      <c r="AO28" s="865" t="s">
        <v>64</v>
      </c>
      <c r="AP28" s="865"/>
      <c r="AQ28" s="865"/>
      <c r="AR28" s="865"/>
      <c r="AS28" s="865"/>
      <c r="AT28" s="865"/>
      <c r="AU28" s="865"/>
      <c r="AV28" s="865"/>
      <c r="AW28" s="865"/>
      <c r="AX28" s="865"/>
      <c r="AY28" s="865"/>
      <c r="AZ28" s="865"/>
      <c r="BA28" s="850">
        <v>1.4999999999999999E-2</v>
      </c>
      <c r="BB28" s="850"/>
      <c r="BC28" s="850"/>
      <c r="BD28" s="843" t="s">
        <v>5</v>
      </c>
    </row>
    <row r="29" spans="2:56">
      <c r="B29" s="848"/>
      <c r="C29" s="865"/>
      <c r="D29" s="865"/>
      <c r="E29" s="865"/>
      <c r="F29" s="865"/>
      <c r="G29" s="865"/>
      <c r="H29" s="865"/>
      <c r="I29" s="865"/>
      <c r="J29" s="865"/>
      <c r="K29" s="865"/>
      <c r="L29" s="865"/>
      <c r="M29" s="865"/>
      <c r="N29" s="865"/>
      <c r="O29" s="850"/>
      <c r="P29" s="850"/>
      <c r="Q29" s="850"/>
      <c r="R29" s="843"/>
      <c r="U29" s="848"/>
      <c r="V29" s="865"/>
      <c r="W29" s="865"/>
      <c r="X29" s="865"/>
      <c r="Y29" s="865"/>
      <c r="Z29" s="865"/>
      <c r="AA29" s="865"/>
      <c r="AB29" s="865"/>
      <c r="AC29" s="865"/>
      <c r="AD29" s="865"/>
      <c r="AE29" s="865"/>
      <c r="AF29" s="865"/>
      <c r="AG29" s="865"/>
      <c r="AH29" s="850"/>
      <c r="AI29" s="850"/>
      <c r="AJ29" s="850"/>
      <c r="AK29" s="843"/>
      <c r="AN29" s="848"/>
      <c r="AO29" s="865"/>
      <c r="AP29" s="865"/>
      <c r="AQ29" s="865"/>
      <c r="AR29" s="865"/>
      <c r="AS29" s="865"/>
      <c r="AT29" s="865"/>
      <c r="AU29" s="865"/>
      <c r="AV29" s="865"/>
      <c r="AW29" s="865"/>
      <c r="AX29" s="865"/>
      <c r="AY29" s="865"/>
      <c r="AZ29" s="865"/>
      <c r="BA29" s="850"/>
      <c r="BB29" s="850"/>
      <c r="BC29" s="850"/>
      <c r="BD29" s="843"/>
    </row>
    <row r="30" spans="2:56" ht="12.75" customHeight="1">
      <c r="B30" s="311">
        <v>4</v>
      </c>
      <c r="C30" s="846" t="s">
        <v>65</v>
      </c>
      <c r="D30" s="846"/>
      <c r="E30" s="846"/>
      <c r="F30" s="846"/>
      <c r="G30" s="846"/>
      <c r="H30" s="846"/>
      <c r="I30" s="846"/>
      <c r="J30" s="846"/>
      <c r="K30" s="846"/>
      <c r="L30" s="846"/>
      <c r="M30" s="846"/>
      <c r="N30" s="846"/>
      <c r="O30" s="847">
        <v>2.5000000000000001E-2</v>
      </c>
      <c r="P30" s="847"/>
      <c r="Q30" s="847"/>
      <c r="R30" s="843" t="s">
        <v>5</v>
      </c>
      <c r="U30" s="311">
        <v>4</v>
      </c>
      <c r="V30" s="846" t="s">
        <v>65</v>
      </c>
      <c r="W30" s="846"/>
      <c r="X30" s="846"/>
      <c r="Y30" s="846"/>
      <c r="Z30" s="846"/>
      <c r="AA30" s="846"/>
      <c r="AB30" s="846"/>
      <c r="AC30" s="846"/>
      <c r="AD30" s="846"/>
      <c r="AE30" s="846"/>
      <c r="AF30" s="846"/>
      <c r="AG30" s="846"/>
      <c r="AH30" s="847">
        <v>2.5000000000000001E-2</v>
      </c>
      <c r="AI30" s="847"/>
      <c r="AJ30" s="847"/>
      <c r="AK30" s="843" t="s">
        <v>5</v>
      </c>
      <c r="AN30" s="311">
        <v>4</v>
      </c>
      <c r="AO30" s="846" t="s">
        <v>65</v>
      </c>
      <c r="AP30" s="846"/>
      <c r="AQ30" s="846"/>
      <c r="AR30" s="846"/>
      <c r="AS30" s="846"/>
      <c r="AT30" s="846"/>
      <c r="AU30" s="846"/>
      <c r="AV30" s="846"/>
      <c r="AW30" s="846"/>
      <c r="AX30" s="846"/>
      <c r="AY30" s="846"/>
      <c r="AZ30" s="846"/>
      <c r="BA30" s="847">
        <v>2.5000000000000001E-2</v>
      </c>
      <c r="BB30" s="847"/>
      <c r="BC30" s="847"/>
      <c r="BD30" s="843" t="s">
        <v>5</v>
      </c>
    </row>
    <row r="31" spans="2:56">
      <c r="B31" s="312"/>
      <c r="C31" s="846"/>
      <c r="D31" s="846"/>
      <c r="E31" s="846"/>
      <c r="F31" s="846"/>
      <c r="G31" s="846"/>
      <c r="H31" s="846"/>
      <c r="I31" s="846"/>
      <c r="J31" s="846"/>
      <c r="K31" s="846"/>
      <c r="L31" s="846"/>
      <c r="M31" s="846"/>
      <c r="N31" s="846"/>
      <c r="O31" s="847"/>
      <c r="P31" s="847"/>
      <c r="Q31" s="847"/>
      <c r="R31" s="843"/>
      <c r="U31" s="312"/>
      <c r="V31" s="846"/>
      <c r="W31" s="846"/>
      <c r="X31" s="846"/>
      <c r="Y31" s="846"/>
      <c r="Z31" s="846"/>
      <c r="AA31" s="846"/>
      <c r="AB31" s="846"/>
      <c r="AC31" s="846"/>
      <c r="AD31" s="846"/>
      <c r="AE31" s="846"/>
      <c r="AF31" s="846"/>
      <c r="AG31" s="846"/>
      <c r="AH31" s="847"/>
      <c r="AI31" s="847"/>
      <c r="AJ31" s="847"/>
      <c r="AK31" s="843"/>
      <c r="AN31" s="312"/>
      <c r="AO31" s="846"/>
      <c r="AP31" s="846"/>
      <c r="AQ31" s="846"/>
      <c r="AR31" s="846"/>
      <c r="AS31" s="846"/>
      <c r="AT31" s="846"/>
      <c r="AU31" s="846"/>
      <c r="AV31" s="846"/>
      <c r="AW31" s="846"/>
      <c r="AX31" s="846"/>
      <c r="AY31" s="846"/>
      <c r="AZ31" s="846"/>
      <c r="BA31" s="847"/>
      <c r="BB31" s="847"/>
      <c r="BC31" s="847"/>
      <c r="BD31" s="843"/>
    </row>
    <row r="32" spans="2:56" ht="12.75" customHeight="1">
      <c r="B32" s="848">
        <v>5</v>
      </c>
      <c r="C32" s="851" t="s">
        <v>66</v>
      </c>
      <c r="D32" s="849"/>
      <c r="E32" s="849"/>
      <c r="F32" s="849"/>
      <c r="G32" s="849"/>
      <c r="H32" s="849"/>
      <c r="I32" s="849"/>
      <c r="J32" s="849"/>
      <c r="K32" s="849"/>
      <c r="L32" s="849"/>
      <c r="M32" s="849"/>
      <c r="N32" s="849"/>
      <c r="O32" s="850">
        <v>5.0000000000000001E-3</v>
      </c>
      <c r="P32" s="850"/>
      <c r="Q32" s="850"/>
      <c r="R32" s="843" t="s">
        <v>5</v>
      </c>
      <c r="U32" s="848">
        <v>5</v>
      </c>
      <c r="V32" s="851" t="s">
        <v>66</v>
      </c>
      <c r="W32" s="849"/>
      <c r="X32" s="849"/>
      <c r="Y32" s="849"/>
      <c r="Z32" s="849"/>
      <c r="AA32" s="849"/>
      <c r="AB32" s="849"/>
      <c r="AC32" s="849"/>
      <c r="AD32" s="849"/>
      <c r="AE32" s="849"/>
      <c r="AF32" s="849"/>
      <c r="AG32" s="849"/>
      <c r="AH32" s="850">
        <v>5.0000000000000001E-3</v>
      </c>
      <c r="AI32" s="850"/>
      <c r="AJ32" s="850"/>
      <c r="AK32" s="843" t="s">
        <v>5</v>
      </c>
      <c r="AN32" s="848">
        <v>5</v>
      </c>
      <c r="AO32" s="851" t="s">
        <v>66</v>
      </c>
      <c r="AP32" s="849"/>
      <c r="AQ32" s="849"/>
      <c r="AR32" s="849"/>
      <c r="AS32" s="849"/>
      <c r="AT32" s="849"/>
      <c r="AU32" s="849"/>
      <c r="AV32" s="849"/>
      <c r="AW32" s="849"/>
      <c r="AX32" s="849"/>
      <c r="AY32" s="849"/>
      <c r="AZ32" s="849"/>
      <c r="BA32" s="850">
        <v>5.0000000000000001E-3</v>
      </c>
      <c r="BB32" s="850"/>
      <c r="BC32" s="850"/>
      <c r="BD32" s="843" t="s">
        <v>5</v>
      </c>
    </row>
    <row r="33" spans="2:60">
      <c r="B33" s="848"/>
      <c r="C33" s="849"/>
      <c r="D33" s="849"/>
      <c r="E33" s="849"/>
      <c r="F33" s="849"/>
      <c r="G33" s="849"/>
      <c r="H33" s="849"/>
      <c r="I33" s="849"/>
      <c r="J33" s="849"/>
      <c r="K33" s="849"/>
      <c r="L33" s="849"/>
      <c r="M33" s="849"/>
      <c r="N33" s="849"/>
      <c r="O33" s="850"/>
      <c r="P33" s="850"/>
      <c r="Q33" s="850"/>
      <c r="R33" s="843"/>
      <c r="U33" s="848"/>
      <c r="V33" s="849"/>
      <c r="W33" s="849"/>
      <c r="X33" s="849"/>
      <c r="Y33" s="849"/>
      <c r="Z33" s="849"/>
      <c r="AA33" s="849"/>
      <c r="AB33" s="849"/>
      <c r="AC33" s="849"/>
      <c r="AD33" s="849"/>
      <c r="AE33" s="849"/>
      <c r="AF33" s="849"/>
      <c r="AG33" s="849"/>
      <c r="AH33" s="850"/>
      <c r="AI33" s="850"/>
      <c r="AJ33" s="850"/>
      <c r="AK33" s="843"/>
      <c r="AN33" s="848"/>
      <c r="AO33" s="849"/>
      <c r="AP33" s="849"/>
      <c r="AQ33" s="849"/>
      <c r="AR33" s="849"/>
      <c r="AS33" s="849"/>
      <c r="AT33" s="849"/>
      <c r="AU33" s="849"/>
      <c r="AV33" s="849"/>
      <c r="AW33" s="849"/>
      <c r="AX33" s="849"/>
      <c r="AY33" s="849"/>
      <c r="AZ33" s="849"/>
      <c r="BA33" s="850"/>
      <c r="BB33" s="850"/>
      <c r="BC33" s="850"/>
      <c r="BD33" s="843"/>
    </row>
    <row r="34" spans="2:60" ht="12.75" customHeight="1">
      <c r="B34" s="845">
        <v>6</v>
      </c>
      <c r="C34" s="846" t="s">
        <v>67</v>
      </c>
      <c r="D34" s="846"/>
      <c r="E34" s="846"/>
      <c r="F34" s="846"/>
      <c r="G34" s="846"/>
      <c r="H34" s="846"/>
      <c r="I34" s="846"/>
      <c r="J34" s="846"/>
      <c r="K34" s="846"/>
      <c r="L34" s="846"/>
      <c r="M34" s="846"/>
      <c r="N34" s="846"/>
      <c r="O34" s="847">
        <v>1.4999999999999999E-2</v>
      </c>
      <c r="P34" s="847"/>
      <c r="Q34" s="847"/>
      <c r="R34" s="843" t="s">
        <v>5</v>
      </c>
      <c r="U34" s="845">
        <v>6</v>
      </c>
      <c r="V34" s="846" t="s">
        <v>67</v>
      </c>
      <c r="W34" s="846"/>
      <c r="X34" s="846"/>
      <c r="Y34" s="846"/>
      <c r="Z34" s="846"/>
      <c r="AA34" s="846"/>
      <c r="AB34" s="846"/>
      <c r="AC34" s="846"/>
      <c r="AD34" s="846"/>
      <c r="AE34" s="846"/>
      <c r="AF34" s="846"/>
      <c r="AG34" s="846"/>
      <c r="AH34" s="847">
        <v>1.4999999999999999E-2</v>
      </c>
      <c r="AI34" s="847"/>
      <c r="AJ34" s="847"/>
      <c r="AK34" s="843" t="s">
        <v>5</v>
      </c>
      <c r="AN34" s="845">
        <v>6</v>
      </c>
      <c r="AO34" s="846" t="s">
        <v>67</v>
      </c>
      <c r="AP34" s="846"/>
      <c r="AQ34" s="846"/>
      <c r="AR34" s="846"/>
      <c r="AS34" s="846"/>
      <c r="AT34" s="846"/>
      <c r="AU34" s="846"/>
      <c r="AV34" s="846"/>
      <c r="AW34" s="846"/>
      <c r="AX34" s="846"/>
      <c r="AY34" s="846"/>
      <c r="AZ34" s="846"/>
      <c r="BA34" s="847">
        <v>1.4999999999999999E-2</v>
      </c>
      <c r="BB34" s="847"/>
      <c r="BC34" s="847"/>
      <c r="BD34" s="843" t="s">
        <v>5</v>
      </c>
    </row>
    <row r="35" spans="2:60">
      <c r="B35" s="845"/>
      <c r="C35" s="846"/>
      <c r="D35" s="846"/>
      <c r="E35" s="846"/>
      <c r="F35" s="846"/>
      <c r="G35" s="846"/>
      <c r="H35" s="846"/>
      <c r="I35" s="846"/>
      <c r="J35" s="846"/>
      <c r="K35" s="846"/>
      <c r="L35" s="846"/>
      <c r="M35" s="846"/>
      <c r="N35" s="846"/>
      <c r="O35" s="847"/>
      <c r="P35" s="847"/>
      <c r="Q35" s="847"/>
      <c r="R35" s="843"/>
      <c r="U35" s="845"/>
      <c r="V35" s="846"/>
      <c r="W35" s="846"/>
      <c r="X35" s="846"/>
      <c r="Y35" s="846"/>
      <c r="Z35" s="846"/>
      <c r="AA35" s="846"/>
      <c r="AB35" s="846"/>
      <c r="AC35" s="846"/>
      <c r="AD35" s="846"/>
      <c r="AE35" s="846"/>
      <c r="AF35" s="846"/>
      <c r="AG35" s="846"/>
      <c r="AH35" s="847"/>
      <c r="AI35" s="847"/>
      <c r="AJ35" s="847"/>
      <c r="AK35" s="843"/>
      <c r="AN35" s="845"/>
      <c r="AO35" s="846"/>
      <c r="AP35" s="846"/>
      <c r="AQ35" s="846"/>
      <c r="AR35" s="846"/>
      <c r="AS35" s="846"/>
      <c r="AT35" s="846"/>
      <c r="AU35" s="846"/>
      <c r="AV35" s="846"/>
      <c r="AW35" s="846"/>
      <c r="AX35" s="846"/>
      <c r="AY35" s="846"/>
      <c r="AZ35" s="846"/>
      <c r="BA35" s="847"/>
      <c r="BB35" s="847"/>
      <c r="BC35" s="847"/>
      <c r="BD35" s="843"/>
    </row>
    <row r="36" spans="2:60" ht="12.75" customHeight="1">
      <c r="B36" s="848">
        <v>7</v>
      </c>
      <c r="C36" s="849" t="s">
        <v>68</v>
      </c>
      <c r="D36" s="849"/>
      <c r="E36" s="849"/>
      <c r="F36" s="849"/>
      <c r="G36" s="849"/>
      <c r="H36" s="849"/>
      <c r="I36" s="849"/>
      <c r="J36" s="849"/>
      <c r="K36" s="849"/>
      <c r="L36" s="849"/>
      <c r="M36" s="849"/>
      <c r="N36" s="849"/>
      <c r="O36" s="850">
        <v>5.0000000000000001E-3</v>
      </c>
      <c r="P36" s="850"/>
      <c r="Q36" s="850"/>
      <c r="R36" s="843" t="s">
        <v>5</v>
      </c>
      <c r="U36" s="848">
        <v>7</v>
      </c>
      <c r="V36" s="849" t="s">
        <v>68</v>
      </c>
      <c r="W36" s="849"/>
      <c r="X36" s="849"/>
      <c r="Y36" s="849"/>
      <c r="Z36" s="849"/>
      <c r="AA36" s="849"/>
      <c r="AB36" s="849"/>
      <c r="AC36" s="849"/>
      <c r="AD36" s="849"/>
      <c r="AE36" s="849"/>
      <c r="AF36" s="849"/>
      <c r="AG36" s="849"/>
      <c r="AH36" s="850">
        <v>5.0000000000000001E-3</v>
      </c>
      <c r="AI36" s="850"/>
      <c r="AJ36" s="850"/>
      <c r="AK36" s="843" t="s">
        <v>5</v>
      </c>
      <c r="AN36" s="848">
        <v>7</v>
      </c>
      <c r="AO36" s="849" t="s">
        <v>68</v>
      </c>
      <c r="AP36" s="849"/>
      <c r="AQ36" s="849"/>
      <c r="AR36" s="849"/>
      <c r="AS36" s="849"/>
      <c r="AT36" s="849"/>
      <c r="AU36" s="849"/>
      <c r="AV36" s="849"/>
      <c r="AW36" s="849"/>
      <c r="AX36" s="849"/>
      <c r="AY36" s="849"/>
      <c r="AZ36" s="849"/>
      <c r="BA36" s="850">
        <v>5.0000000000000001E-3</v>
      </c>
      <c r="BB36" s="850"/>
      <c r="BC36" s="850"/>
      <c r="BD36" s="843" t="s">
        <v>5</v>
      </c>
    </row>
    <row r="37" spans="2:60">
      <c r="B37" s="848"/>
      <c r="C37" s="849"/>
      <c r="D37" s="849"/>
      <c r="E37" s="849"/>
      <c r="F37" s="849"/>
      <c r="G37" s="849"/>
      <c r="H37" s="849"/>
      <c r="I37" s="849"/>
      <c r="J37" s="849"/>
      <c r="K37" s="849"/>
      <c r="L37" s="849"/>
      <c r="M37" s="849"/>
      <c r="N37" s="849"/>
      <c r="O37" s="850"/>
      <c r="P37" s="850"/>
      <c r="Q37" s="850"/>
      <c r="R37" s="843"/>
      <c r="U37" s="848"/>
      <c r="V37" s="849"/>
      <c r="W37" s="849"/>
      <c r="X37" s="849"/>
      <c r="Y37" s="849"/>
      <c r="Z37" s="849"/>
      <c r="AA37" s="849"/>
      <c r="AB37" s="849"/>
      <c r="AC37" s="849"/>
      <c r="AD37" s="849"/>
      <c r="AE37" s="849"/>
      <c r="AF37" s="849"/>
      <c r="AG37" s="849"/>
      <c r="AH37" s="850"/>
      <c r="AI37" s="850"/>
      <c r="AJ37" s="850"/>
      <c r="AK37" s="843"/>
      <c r="AN37" s="848"/>
      <c r="AO37" s="849"/>
      <c r="AP37" s="849"/>
      <c r="AQ37" s="849"/>
      <c r="AR37" s="849"/>
      <c r="AS37" s="849"/>
      <c r="AT37" s="849"/>
      <c r="AU37" s="849"/>
      <c r="AV37" s="849"/>
      <c r="AW37" s="849"/>
      <c r="AX37" s="849"/>
      <c r="AY37" s="849"/>
      <c r="AZ37" s="849"/>
      <c r="BA37" s="850"/>
      <c r="BB37" s="850"/>
      <c r="BC37" s="850"/>
      <c r="BD37" s="843"/>
    </row>
    <row r="38" spans="2:60" ht="12.75" customHeight="1">
      <c r="B38" s="391">
        <v>8</v>
      </c>
      <c r="C38" s="835" t="s">
        <v>69</v>
      </c>
      <c r="D38" s="835"/>
      <c r="E38" s="835"/>
      <c r="F38" s="835"/>
      <c r="G38" s="835"/>
      <c r="H38" s="835"/>
      <c r="I38" s="835"/>
      <c r="J38" s="835"/>
      <c r="K38" s="835"/>
      <c r="L38" s="835"/>
      <c r="M38" s="835"/>
      <c r="N38" s="835"/>
      <c r="O38" s="836">
        <f>O43</f>
        <v>0</v>
      </c>
      <c r="P38" s="836"/>
      <c r="Q38" s="836"/>
      <c r="R38" s="843" t="s">
        <v>5</v>
      </c>
      <c r="U38" s="391">
        <v>8</v>
      </c>
      <c r="V38" s="835" t="s">
        <v>69</v>
      </c>
      <c r="W38" s="835"/>
      <c r="X38" s="835"/>
      <c r="Y38" s="835"/>
      <c r="Z38" s="835"/>
      <c r="AA38" s="835"/>
      <c r="AB38" s="835"/>
      <c r="AC38" s="835"/>
      <c r="AD38" s="835"/>
      <c r="AE38" s="835"/>
      <c r="AF38" s="835"/>
      <c r="AG38" s="835"/>
      <c r="AH38" s="836">
        <f>AH43</f>
        <v>0</v>
      </c>
      <c r="AI38" s="836"/>
      <c r="AJ38" s="836"/>
      <c r="AK38" s="843" t="s">
        <v>5</v>
      </c>
      <c r="AN38" s="391">
        <v>8</v>
      </c>
      <c r="AO38" s="835" t="s">
        <v>69</v>
      </c>
      <c r="AP38" s="835"/>
      <c r="AQ38" s="835"/>
      <c r="AR38" s="835"/>
      <c r="AS38" s="835"/>
      <c r="AT38" s="835"/>
      <c r="AU38" s="835"/>
      <c r="AV38" s="835"/>
      <c r="AW38" s="835"/>
      <c r="AX38" s="835"/>
      <c r="AY38" s="835"/>
      <c r="AZ38" s="835"/>
      <c r="BA38" s="836">
        <f>BA43</f>
        <v>0</v>
      </c>
      <c r="BB38" s="836"/>
      <c r="BC38" s="836"/>
      <c r="BD38" s="843" t="s">
        <v>5</v>
      </c>
    </row>
    <row r="39" spans="2:60">
      <c r="B39" s="392"/>
      <c r="C39" s="835"/>
      <c r="D39" s="835"/>
      <c r="E39" s="835"/>
      <c r="F39" s="835"/>
      <c r="G39" s="835"/>
      <c r="H39" s="835"/>
      <c r="I39" s="835"/>
      <c r="J39" s="835"/>
      <c r="K39" s="835"/>
      <c r="L39" s="835"/>
      <c r="M39" s="835"/>
      <c r="N39" s="835"/>
      <c r="O39" s="836"/>
      <c r="P39" s="836"/>
      <c r="Q39" s="836"/>
      <c r="R39" s="843"/>
      <c r="U39" s="392"/>
      <c r="V39" s="835"/>
      <c r="W39" s="835"/>
      <c r="X39" s="835"/>
      <c r="Y39" s="835"/>
      <c r="Z39" s="835"/>
      <c r="AA39" s="835"/>
      <c r="AB39" s="835"/>
      <c r="AC39" s="835"/>
      <c r="AD39" s="835"/>
      <c r="AE39" s="835"/>
      <c r="AF39" s="835"/>
      <c r="AG39" s="835"/>
      <c r="AH39" s="836"/>
      <c r="AI39" s="836"/>
      <c r="AJ39" s="836"/>
      <c r="AK39" s="843"/>
      <c r="AN39" s="392"/>
      <c r="AO39" s="835"/>
      <c r="AP39" s="835"/>
      <c r="AQ39" s="835"/>
      <c r="AR39" s="835"/>
      <c r="AS39" s="835"/>
      <c r="AT39" s="835"/>
      <c r="AU39" s="835"/>
      <c r="AV39" s="835"/>
      <c r="AW39" s="835"/>
      <c r="AX39" s="835"/>
      <c r="AY39" s="835"/>
      <c r="AZ39" s="835"/>
      <c r="BA39" s="836"/>
      <c r="BB39" s="836"/>
      <c r="BC39" s="836"/>
      <c r="BD39" s="843"/>
    </row>
    <row r="40" spans="2:60" ht="12.75" customHeight="1">
      <c r="B40" s="263"/>
      <c r="R40" s="264"/>
      <c r="U40" s="263"/>
      <c r="AK40" s="264"/>
      <c r="AN40" s="263"/>
      <c r="BD40" s="264"/>
    </row>
    <row r="41" spans="2:60" ht="12.75" customHeight="1">
      <c r="B41" s="263" t="s">
        <v>70</v>
      </c>
      <c r="R41" s="264"/>
      <c r="U41" s="263" t="s">
        <v>70</v>
      </c>
      <c r="AK41" s="264"/>
      <c r="AN41" s="263" t="s">
        <v>70</v>
      </c>
      <c r="BD41" s="264"/>
    </row>
    <row r="42" spans="2:60" ht="12.75" customHeight="1">
      <c r="B42" s="837" t="s">
        <v>71</v>
      </c>
      <c r="C42" s="838"/>
      <c r="D42" s="838"/>
      <c r="E42" s="838"/>
      <c r="F42" s="838"/>
      <c r="G42" s="838"/>
      <c r="H42" s="838"/>
      <c r="I42" s="838"/>
      <c r="J42" s="838"/>
      <c r="K42" s="838"/>
      <c r="L42" s="838"/>
      <c r="M42" s="838"/>
      <c r="N42" s="838"/>
      <c r="O42" s="838"/>
      <c r="P42" s="838"/>
      <c r="Q42" s="838"/>
      <c r="R42" s="271"/>
      <c r="U42" s="837" t="s">
        <v>71</v>
      </c>
      <c r="V42" s="838"/>
      <c r="W42" s="838"/>
      <c r="X42" s="838"/>
      <c r="Y42" s="838"/>
      <c r="Z42" s="838"/>
      <c r="AA42" s="838"/>
      <c r="AB42" s="838"/>
      <c r="AC42" s="838"/>
      <c r="AD42" s="838"/>
      <c r="AE42" s="838"/>
      <c r="AF42" s="838"/>
      <c r="AG42" s="838"/>
      <c r="AH42" s="838"/>
      <c r="AI42" s="838"/>
      <c r="AJ42" s="838"/>
      <c r="AK42" s="271"/>
      <c r="AN42" s="837" t="s">
        <v>71</v>
      </c>
      <c r="AO42" s="838"/>
      <c r="AP42" s="838"/>
      <c r="AQ42" s="838"/>
      <c r="AR42" s="838"/>
      <c r="AS42" s="838"/>
      <c r="AT42" s="838"/>
      <c r="AU42" s="838"/>
      <c r="AV42" s="838"/>
      <c r="AW42" s="838"/>
      <c r="AX42" s="838"/>
      <c r="AY42" s="838"/>
      <c r="AZ42" s="838"/>
      <c r="BA42" s="838"/>
      <c r="BB42" s="838"/>
      <c r="BC42" s="838"/>
      <c r="BD42" s="271"/>
    </row>
    <row r="43" spans="2:60" ht="12.75" customHeight="1">
      <c r="B43" s="839" t="s">
        <v>72</v>
      </c>
      <c r="C43" s="840"/>
      <c r="D43" s="840"/>
      <c r="E43" s="840"/>
      <c r="F43" s="840"/>
      <c r="G43" s="840"/>
      <c r="H43" s="840"/>
      <c r="I43" s="840"/>
      <c r="J43" s="840"/>
      <c r="K43" s="840"/>
      <c r="L43" s="840"/>
      <c r="M43" s="840"/>
      <c r="N43" s="840"/>
      <c r="O43" s="841">
        <f>SUMIF(R45:R59,"Yes",O45:Q59)</f>
        <v>0</v>
      </c>
      <c r="P43" s="841"/>
      <c r="Q43" s="841"/>
      <c r="R43" s="842"/>
      <c r="U43" s="839" t="s">
        <v>72</v>
      </c>
      <c r="V43" s="840"/>
      <c r="W43" s="840"/>
      <c r="X43" s="840"/>
      <c r="Y43" s="840"/>
      <c r="Z43" s="840"/>
      <c r="AA43" s="840"/>
      <c r="AB43" s="840"/>
      <c r="AC43" s="840"/>
      <c r="AD43" s="840"/>
      <c r="AE43" s="840"/>
      <c r="AF43" s="840"/>
      <c r="AG43" s="840"/>
      <c r="AH43" s="841">
        <f>SUMIF(AK45:AK59,"Yes",AH45:AJ59)</f>
        <v>0</v>
      </c>
      <c r="AI43" s="841"/>
      <c r="AJ43" s="841"/>
      <c r="AK43" s="842"/>
      <c r="AN43" s="839" t="s">
        <v>72</v>
      </c>
      <c r="AO43" s="840"/>
      <c r="AP43" s="840"/>
      <c r="AQ43" s="840"/>
      <c r="AR43" s="840"/>
      <c r="AS43" s="840"/>
      <c r="AT43" s="840"/>
      <c r="AU43" s="840"/>
      <c r="AV43" s="840"/>
      <c r="AW43" s="840"/>
      <c r="AX43" s="840"/>
      <c r="AY43" s="840"/>
      <c r="AZ43" s="840"/>
      <c r="BA43" s="841">
        <f>SUMIF(BD45:BD59,"Yes",BA45:BC59)</f>
        <v>0</v>
      </c>
      <c r="BB43" s="841"/>
      <c r="BC43" s="841"/>
      <c r="BD43" s="842"/>
    </row>
    <row r="44" spans="2:60">
      <c r="B44" s="839"/>
      <c r="C44" s="840"/>
      <c r="D44" s="840"/>
      <c r="E44" s="840"/>
      <c r="F44" s="840"/>
      <c r="G44" s="840"/>
      <c r="H44" s="840"/>
      <c r="I44" s="840"/>
      <c r="J44" s="840"/>
      <c r="K44" s="840"/>
      <c r="L44" s="840"/>
      <c r="M44" s="840"/>
      <c r="N44" s="840"/>
      <c r="O44" s="841"/>
      <c r="P44" s="841"/>
      <c r="Q44" s="841"/>
      <c r="R44" s="842"/>
      <c r="U44" s="839"/>
      <c r="V44" s="840"/>
      <c r="W44" s="840"/>
      <c r="X44" s="840"/>
      <c r="Y44" s="840"/>
      <c r="Z44" s="840"/>
      <c r="AA44" s="840"/>
      <c r="AB44" s="840"/>
      <c r="AC44" s="840"/>
      <c r="AD44" s="840"/>
      <c r="AE44" s="840"/>
      <c r="AF44" s="840"/>
      <c r="AG44" s="840"/>
      <c r="AH44" s="841"/>
      <c r="AI44" s="841"/>
      <c r="AJ44" s="841"/>
      <c r="AK44" s="842"/>
      <c r="AN44" s="839"/>
      <c r="AO44" s="840"/>
      <c r="AP44" s="840"/>
      <c r="AQ44" s="840"/>
      <c r="AR44" s="840"/>
      <c r="AS44" s="840"/>
      <c r="AT44" s="840"/>
      <c r="AU44" s="840"/>
      <c r="AV44" s="840"/>
      <c r="AW44" s="840"/>
      <c r="AX44" s="840"/>
      <c r="AY44" s="840"/>
      <c r="AZ44" s="840"/>
      <c r="BA44" s="841"/>
      <c r="BB44" s="841"/>
      <c r="BC44" s="841"/>
      <c r="BD44" s="842"/>
    </row>
    <row r="45" spans="2:60" ht="32.25" customHeight="1">
      <c r="B45" s="313">
        <v>1</v>
      </c>
      <c r="C45" s="832" t="s">
        <v>73</v>
      </c>
      <c r="D45" s="832"/>
      <c r="E45" s="832"/>
      <c r="F45" s="832"/>
      <c r="G45" s="832"/>
      <c r="H45" s="832"/>
      <c r="I45" s="832"/>
      <c r="J45" s="832"/>
      <c r="K45" s="832"/>
      <c r="L45" s="832"/>
      <c r="M45" s="832"/>
      <c r="N45" s="832"/>
      <c r="O45" s="833">
        <v>0.01</v>
      </c>
      <c r="P45" s="833"/>
      <c r="Q45" s="833"/>
      <c r="R45" s="314" t="s">
        <v>5</v>
      </c>
      <c r="U45" s="313">
        <v>1</v>
      </c>
      <c r="V45" s="832" t="s">
        <v>73</v>
      </c>
      <c r="W45" s="832"/>
      <c r="X45" s="832"/>
      <c r="Y45" s="832"/>
      <c r="Z45" s="832"/>
      <c r="AA45" s="832"/>
      <c r="AB45" s="832"/>
      <c r="AC45" s="832"/>
      <c r="AD45" s="832"/>
      <c r="AE45" s="832"/>
      <c r="AF45" s="832"/>
      <c r="AG45" s="832"/>
      <c r="AH45" s="833">
        <v>0.01</v>
      </c>
      <c r="AI45" s="833"/>
      <c r="AJ45" s="833"/>
      <c r="AK45" s="314" t="s">
        <v>5</v>
      </c>
      <c r="AN45" s="313">
        <v>1</v>
      </c>
      <c r="AO45" s="832" t="s">
        <v>73</v>
      </c>
      <c r="AP45" s="832"/>
      <c r="AQ45" s="832"/>
      <c r="AR45" s="832"/>
      <c r="AS45" s="832"/>
      <c r="AT45" s="832"/>
      <c r="AU45" s="832"/>
      <c r="AV45" s="832"/>
      <c r="AW45" s="832"/>
      <c r="AX45" s="832"/>
      <c r="AY45" s="832"/>
      <c r="AZ45" s="832"/>
      <c r="BA45" s="833">
        <v>0.01</v>
      </c>
      <c r="BB45" s="833"/>
      <c r="BC45" s="833"/>
      <c r="BD45" s="314" t="s">
        <v>5</v>
      </c>
    </row>
    <row r="46" spans="2:60" ht="34.5" customHeight="1">
      <c r="B46" s="310">
        <v>2</v>
      </c>
      <c r="C46" s="834" t="s">
        <v>74</v>
      </c>
      <c r="D46" s="834"/>
      <c r="E46" s="834"/>
      <c r="F46" s="834"/>
      <c r="G46" s="834"/>
      <c r="H46" s="834"/>
      <c r="I46" s="834"/>
      <c r="J46" s="834"/>
      <c r="K46" s="834"/>
      <c r="L46" s="834"/>
      <c r="M46" s="834"/>
      <c r="N46" s="834"/>
      <c r="O46" s="822">
        <v>1.4999999999999999E-2</v>
      </c>
      <c r="P46" s="822"/>
      <c r="Q46" s="822"/>
      <c r="R46" s="314" t="s">
        <v>5</v>
      </c>
      <c r="U46" s="310">
        <v>2</v>
      </c>
      <c r="V46" s="834" t="s">
        <v>74</v>
      </c>
      <c r="W46" s="834"/>
      <c r="X46" s="834"/>
      <c r="Y46" s="834"/>
      <c r="Z46" s="834"/>
      <c r="AA46" s="834"/>
      <c r="AB46" s="834"/>
      <c r="AC46" s="834"/>
      <c r="AD46" s="834"/>
      <c r="AE46" s="834"/>
      <c r="AF46" s="834"/>
      <c r="AG46" s="834"/>
      <c r="AH46" s="822">
        <v>1.4999999999999999E-2</v>
      </c>
      <c r="AI46" s="822"/>
      <c r="AJ46" s="822"/>
      <c r="AK46" s="314" t="s">
        <v>5</v>
      </c>
      <c r="AN46" s="310">
        <v>2</v>
      </c>
      <c r="AO46" s="834" t="s">
        <v>74</v>
      </c>
      <c r="AP46" s="834"/>
      <c r="AQ46" s="834"/>
      <c r="AR46" s="834"/>
      <c r="AS46" s="834"/>
      <c r="AT46" s="834"/>
      <c r="AU46" s="834"/>
      <c r="AV46" s="834"/>
      <c r="AW46" s="834"/>
      <c r="AX46" s="834"/>
      <c r="AY46" s="834"/>
      <c r="AZ46" s="834"/>
      <c r="BA46" s="822">
        <v>1.4999999999999999E-2</v>
      </c>
      <c r="BB46" s="822"/>
      <c r="BC46" s="822"/>
      <c r="BD46" s="314" t="s">
        <v>5</v>
      </c>
    </row>
    <row r="47" spans="2:60" ht="21.75" customHeight="1">
      <c r="B47" s="310">
        <v>3</v>
      </c>
      <c r="C47" s="827" t="s">
        <v>75</v>
      </c>
      <c r="D47" s="827"/>
      <c r="E47" s="827"/>
      <c r="F47" s="827"/>
      <c r="G47" s="827"/>
      <c r="H47" s="827"/>
      <c r="I47" s="827"/>
      <c r="J47" s="827"/>
      <c r="K47" s="827"/>
      <c r="L47" s="827"/>
      <c r="M47" s="827"/>
      <c r="N47" s="827"/>
      <c r="O47" s="828">
        <v>1.4999999999999999E-2</v>
      </c>
      <c r="P47" s="828"/>
      <c r="Q47" s="828"/>
      <c r="R47" s="314" t="s">
        <v>5</v>
      </c>
      <c r="U47" s="310">
        <v>3</v>
      </c>
      <c r="V47" s="827" t="s">
        <v>75</v>
      </c>
      <c r="W47" s="827"/>
      <c r="X47" s="827"/>
      <c r="Y47" s="827"/>
      <c r="Z47" s="827"/>
      <c r="AA47" s="827"/>
      <c r="AB47" s="827"/>
      <c r="AC47" s="827"/>
      <c r="AD47" s="827"/>
      <c r="AE47" s="827"/>
      <c r="AF47" s="827"/>
      <c r="AG47" s="827"/>
      <c r="AH47" s="828">
        <v>1.4999999999999999E-2</v>
      </c>
      <c r="AI47" s="828"/>
      <c r="AJ47" s="828"/>
      <c r="AK47" s="314" t="s">
        <v>5</v>
      </c>
      <c r="AN47" s="310">
        <v>3</v>
      </c>
      <c r="AO47" s="827" t="s">
        <v>75</v>
      </c>
      <c r="AP47" s="827"/>
      <c r="AQ47" s="827"/>
      <c r="AR47" s="827"/>
      <c r="AS47" s="827"/>
      <c r="AT47" s="827"/>
      <c r="AU47" s="827"/>
      <c r="AV47" s="827"/>
      <c r="AW47" s="827"/>
      <c r="AX47" s="827"/>
      <c r="AY47" s="827"/>
      <c r="AZ47" s="827"/>
      <c r="BA47" s="828">
        <v>1.4999999999999999E-2</v>
      </c>
      <c r="BB47" s="828"/>
      <c r="BC47" s="828"/>
      <c r="BD47" s="314" t="s">
        <v>5</v>
      </c>
      <c r="BH47" s="379"/>
    </row>
    <row r="48" spans="2:60" ht="19.5" customHeight="1">
      <c r="B48" s="310">
        <v>4</v>
      </c>
      <c r="C48" s="827" t="s">
        <v>76</v>
      </c>
      <c r="D48" s="827"/>
      <c r="E48" s="827"/>
      <c r="F48" s="827"/>
      <c r="G48" s="827"/>
      <c r="H48" s="827"/>
      <c r="I48" s="827"/>
      <c r="J48" s="827"/>
      <c r="K48" s="827"/>
      <c r="L48" s="827"/>
      <c r="M48" s="827"/>
      <c r="N48" s="827"/>
      <c r="O48" s="828">
        <v>2.5000000000000001E-3</v>
      </c>
      <c r="P48" s="828"/>
      <c r="Q48" s="828"/>
      <c r="R48" s="314" t="s">
        <v>5</v>
      </c>
      <c r="U48" s="310">
        <v>4</v>
      </c>
      <c r="V48" s="827" t="s">
        <v>76</v>
      </c>
      <c r="W48" s="827"/>
      <c r="X48" s="827"/>
      <c r="Y48" s="827"/>
      <c r="Z48" s="827"/>
      <c r="AA48" s="827"/>
      <c r="AB48" s="827"/>
      <c r="AC48" s="827"/>
      <c r="AD48" s="827"/>
      <c r="AE48" s="827"/>
      <c r="AF48" s="827"/>
      <c r="AG48" s="827"/>
      <c r="AH48" s="828">
        <v>2.5000000000000001E-3</v>
      </c>
      <c r="AI48" s="828"/>
      <c r="AJ48" s="828"/>
      <c r="AK48" s="314" t="s">
        <v>5</v>
      </c>
      <c r="AN48" s="310">
        <v>4</v>
      </c>
      <c r="AO48" s="827" t="s">
        <v>76</v>
      </c>
      <c r="AP48" s="827"/>
      <c r="AQ48" s="827"/>
      <c r="AR48" s="827"/>
      <c r="AS48" s="827"/>
      <c r="AT48" s="827"/>
      <c r="AU48" s="827"/>
      <c r="AV48" s="827"/>
      <c r="AW48" s="827"/>
      <c r="AX48" s="827"/>
      <c r="AY48" s="827"/>
      <c r="AZ48" s="827"/>
      <c r="BA48" s="828">
        <v>2.5000000000000001E-3</v>
      </c>
      <c r="BB48" s="828"/>
      <c r="BC48" s="828"/>
      <c r="BD48" s="314" t="s">
        <v>5</v>
      </c>
    </row>
    <row r="49" spans="1:56" ht="24.75" customHeight="1">
      <c r="B49" s="310"/>
      <c r="C49" s="827" t="s">
        <v>77</v>
      </c>
      <c r="D49" s="827"/>
      <c r="E49" s="827"/>
      <c r="F49" s="827"/>
      <c r="G49" s="827"/>
      <c r="H49" s="827"/>
      <c r="I49" s="827"/>
      <c r="J49" s="827"/>
      <c r="K49" s="827"/>
      <c r="L49" s="827"/>
      <c r="M49" s="827"/>
      <c r="N49" s="827"/>
      <c r="O49" s="828">
        <v>5.0000000000000001E-3</v>
      </c>
      <c r="P49" s="828"/>
      <c r="Q49" s="828"/>
      <c r="R49" s="273" t="s">
        <v>5</v>
      </c>
      <c r="U49" s="310"/>
      <c r="V49" s="827" t="s">
        <v>77</v>
      </c>
      <c r="W49" s="827"/>
      <c r="X49" s="827"/>
      <c r="Y49" s="827"/>
      <c r="Z49" s="827"/>
      <c r="AA49" s="827"/>
      <c r="AB49" s="827"/>
      <c r="AC49" s="827"/>
      <c r="AD49" s="827"/>
      <c r="AE49" s="827"/>
      <c r="AF49" s="827"/>
      <c r="AG49" s="827"/>
      <c r="AH49" s="828">
        <v>5.0000000000000001E-3</v>
      </c>
      <c r="AI49" s="828"/>
      <c r="AJ49" s="828"/>
      <c r="AK49" s="273" t="s">
        <v>5</v>
      </c>
      <c r="AN49" s="310"/>
      <c r="AO49" s="827" t="s">
        <v>77</v>
      </c>
      <c r="AP49" s="827"/>
      <c r="AQ49" s="827"/>
      <c r="AR49" s="827"/>
      <c r="AS49" s="827"/>
      <c r="AT49" s="827"/>
      <c r="AU49" s="827"/>
      <c r="AV49" s="827"/>
      <c r="AW49" s="827"/>
      <c r="AX49" s="827"/>
      <c r="AY49" s="827"/>
      <c r="AZ49" s="827"/>
      <c r="BA49" s="828">
        <v>5.0000000000000001E-3</v>
      </c>
      <c r="BB49" s="828"/>
      <c r="BC49" s="828"/>
      <c r="BD49" s="273" t="s">
        <v>5</v>
      </c>
    </row>
    <row r="50" spans="1:56" ht="24.75" customHeight="1">
      <c r="B50" s="310"/>
      <c r="C50" s="827" t="s">
        <v>78</v>
      </c>
      <c r="D50" s="827"/>
      <c r="E50" s="827"/>
      <c r="F50" s="827"/>
      <c r="G50" s="827"/>
      <c r="H50" s="827"/>
      <c r="I50" s="827"/>
      <c r="J50" s="827"/>
      <c r="K50" s="827"/>
      <c r="L50" s="827"/>
      <c r="M50" s="827"/>
      <c r="N50" s="827"/>
      <c r="O50" s="828">
        <v>7.4999999999999997E-3</v>
      </c>
      <c r="P50" s="828"/>
      <c r="Q50" s="828"/>
      <c r="R50" s="273" t="s">
        <v>5</v>
      </c>
      <c r="U50" s="310"/>
      <c r="V50" s="827" t="s">
        <v>78</v>
      </c>
      <c r="W50" s="827"/>
      <c r="X50" s="827"/>
      <c r="Y50" s="827"/>
      <c r="Z50" s="827"/>
      <c r="AA50" s="827"/>
      <c r="AB50" s="827"/>
      <c r="AC50" s="827"/>
      <c r="AD50" s="827"/>
      <c r="AE50" s="827"/>
      <c r="AF50" s="827"/>
      <c r="AG50" s="827"/>
      <c r="AH50" s="828">
        <v>7.4999999999999997E-3</v>
      </c>
      <c r="AI50" s="828"/>
      <c r="AJ50" s="828"/>
      <c r="AK50" s="273" t="s">
        <v>5</v>
      </c>
      <c r="AN50" s="310"/>
      <c r="AO50" s="827" t="s">
        <v>78</v>
      </c>
      <c r="AP50" s="827"/>
      <c r="AQ50" s="827"/>
      <c r="AR50" s="827"/>
      <c r="AS50" s="827"/>
      <c r="AT50" s="827"/>
      <c r="AU50" s="827"/>
      <c r="AV50" s="827"/>
      <c r="AW50" s="827"/>
      <c r="AX50" s="827"/>
      <c r="AY50" s="827"/>
      <c r="AZ50" s="827"/>
      <c r="BA50" s="828">
        <v>7.4999999999999997E-3</v>
      </c>
      <c r="BB50" s="828"/>
      <c r="BC50" s="828"/>
      <c r="BD50" s="273" t="s">
        <v>5</v>
      </c>
    </row>
    <row r="51" spans="1:56" ht="12.75" customHeight="1">
      <c r="B51" s="826"/>
      <c r="C51" s="827" t="s">
        <v>79</v>
      </c>
      <c r="D51" s="827"/>
      <c r="E51" s="827"/>
      <c r="F51" s="827"/>
      <c r="G51" s="827"/>
      <c r="H51" s="827"/>
      <c r="I51" s="827"/>
      <c r="J51" s="827"/>
      <c r="K51" s="827"/>
      <c r="L51" s="827"/>
      <c r="M51" s="827"/>
      <c r="N51" s="827"/>
      <c r="O51" s="828">
        <v>0.01</v>
      </c>
      <c r="P51" s="828"/>
      <c r="Q51" s="828"/>
      <c r="R51" s="829" t="s">
        <v>5</v>
      </c>
      <c r="U51" s="826"/>
      <c r="V51" s="827" t="s">
        <v>79</v>
      </c>
      <c r="W51" s="827"/>
      <c r="X51" s="827"/>
      <c r="Y51" s="827"/>
      <c r="Z51" s="827"/>
      <c r="AA51" s="827"/>
      <c r="AB51" s="827"/>
      <c r="AC51" s="827"/>
      <c r="AD51" s="827"/>
      <c r="AE51" s="827"/>
      <c r="AF51" s="827"/>
      <c r="AG51" s="827"/>
      <c r="AH51" s="828">
        <v>0.01</v>
      </c>
      <c r="AI51" s="828"/>
      <c r="AJ51" s="828"/>
      <c r="AK51" s="829" t="s">
        <v>5</v>
      </c>
      <c r="AN51" s="826"/>
      <c r="AO51" s="827" t="s">
        <v>79</v>
      </c>
      <c r="AP51" s="827"/>
      <c r="AQ51" s="827"/>
      <c r="AR51" s="827"/>
      <c r="AS51" s="827"/>
      <c r="AT51" s="827"/>
      <c r="AU51" s="827"/>
      <c r="AV51" s="827"/>
      <c r="AW51" s="827"/>
      <c r="AX51" s="827"/>
      <c r="AY51" s="827"/>
      <c r="AZ51" s="827"/>
      <c r="BA51" s="828">
        <v>0.01</v>
      </c>
      <c r="BB51" s="828"/>
      <c r="BC51" s="828"/>
      <c r="BD51" s="829" t="s">
        <v>5</v>
      </c>
    </row>
    <row r="52" spans="1:56">
      <c r="B52" s="826"/>
      <c r="C52" s="827"/>
      <c r="D52" s="827"/>
      <c r="E52" s="827"/>
      <c r="F52" s="827"/>
      <c r="G52" s="827"/>
      <c r="H52" s="827"/>
      <c r="I52" s="827"/>
      <c r="J52" s="827"/>
      <c r="K52" s="827"/>
      <c r="L52" s="827"/>
      <c r="M52" s="827"/>
      <c r="N52" s="827"/>
      <c r="O52" s="828"/>
      <c r="P52" s="828"/>
      <c r="Q52" s="828"/>
      <c r="R52" s="829"/>
      <c r="U52" s="826"/>
      <c r="V52" s="827"/>
      <c r="W52" s="827"/>
      <c r="X52" s="827"/>
      <c r="Y52" s="827"/>
      <c r="Z52" s="827"/>
      <c r="AA52" s="827"/>
      <c r="AB52" s="827"/>
      <c r="AC52" s="827"/>
      <c r="AD52" s="827"/>
      <c r="AE52" s="827"/>
      <c r="AF52" s="827"/>
      <c r="AG52" s="827"/>
      <c r="AH52" s="828"/>
      <c r="AI52" s="828"/>
      <c r="AJ52" s="828"/>
      <c r="AK52" s="829"/>
      <c r="AN52" s="826"/>
      <c r="AO52" s="827"/>
      <c r="AP52" s="827"/>
      <c r="AQ52" s="827"/>
      <c r="AR52" s="827"/>
      <c r="AS52" s="827"/>
      <c r="AT52" s="827"/>
      <c r="AU52" s="827"/>
      <c r="AV52" s="827"/>
      <c r="AW52" s="827"/>
      <c r="AX52" s="827"/>
      <c r="AY52" s="827"/>
      <c r="AZ52" s="827"/>
      <c r="BA52" s="828"/>
      <c r="BB52" s="828"/>
      <c r="BC52" s="828"/>
      <c r="BD52" s="829"/>
    </row>
    <row r="53" spans="1:56" ht="12.75" customHeight="1">
      <c r="B53" s="826">
        <v>5</v>
      </c>
      <c r="C53" s="830" t="s">
        <v>80</v>
      </c>
      <c r="D53" s="830"/>
      <c r="E53" s="830"/>
      <c r="F53" s="830"/>
      <c r="G53" s="830"/>
      <c r="H53" s="830"/>
      <c r="I53" s="830"/>
      <c r="J53" s="830"/>
      <c r="K53" s="830"/>
      <c r="L53" s="830"/>
      <c r="M53" s="830"/>
      <c r="N53" s="830"/>
      <c r="O53" s="822">
        <v>0.01</v>
      </c>
      <c r="P53" s="831"/>
      <c r="Q53" s="831"/>
      <c r="R53" s="829" t="s">
        <v>5</v>
      </c>
      <c r="U53" s="826">
        <v>5</v>
      </c>
      <c r="V53" s="830" t="s">
        <v>80</v>
      </c>
      <c r="W53" s="830"/>
      <c r="X53" s="830"/>
      <c r="Y53" s="830"/>
      <c r="Z53" s="830"/>
      <c r="AA53" s="830"/>
      <c r="AB53" s="830"/>
      <c r="AC53" s="830"/>
      <c r="AD53" s="830"/>
      <c r="AE53" s="830"/>
      <c r="AF53" s="830"/>
      <c r="AG53" s="830"/>
      <c r="AH53" s="822">
        <v>0.01</v>
      </c>
      <c r="AI53" s="831"/>
      <c r="AJ53" s="831"/>
      <c r="AK53" s="829" t="s">
        <v>5</v>
      </c>
      <c r="AN53" s="826">
        <v>5</v>
      </c>
      <c r="AO53" s="830" t="s">
        <v>80</v>
      </c>
      <c r="AP53" s="830"/>
      <c r="AQ53" s="830"/>
      <c r="AR53" s="830"/>
      <c r="AS53" s="830"/>
      <c r="AT53" s="830"/>
      <c r="AU53" s="830"/>
      <c r="AV53" s="830"/>
      <c r="AW53" s="830"/>
      <c r="AX53" s="830"/>
      <c r="AY53" s="830"/>
      <c r="AZ53" s="830"/>
      <c r="BA53" s="822">
        <v>0.01</v>
      </c>
      <c r="BB53" s="831"/>
      <c r="BC53" s="831"/>
      <c r="BD53" s="829" t="s">
        <v>5</v>
      </c>
    </row>
    <row r="54" spans="1:56">
      <c r="B54" s="826"/>
      <c r="C54" s="830"/>
      <c r="D54" s="830"/>
      <c r="E54" s="830"/>
      <c r="F54" s="830"/>
      <c r="G54" s="830"/>
      <c r="H54" s="830"/>
      <c r="I54" s="830"/>
      <c r="J54" s="830"/>
      <c r="K54" s="830"/>
      <c r="L54" s="830"/>
      <c r="M54" s="830"/>
      <c r="N54" s="830"/>
      <c r="O54" s="831"/>
      <c r="P54" s="831"/>
      <c r="Q54" s="831"/>
      <c r="R54" s="829"/>
      <c r="U54" s="826"/>
      <c r="V54" s="830"/>
      <c r="W54" s="830"/>
      <c r="X54" s="830"/>
      <c r="Y54" s="830"/>
      <c r="Z54" s="830"/>
      <c r="AA54" s="830"/>
      <c r="AB54" s="830"/>
      <c r="AC54" s="830"/>
      <c r="AD54" s="830"/>
      <c r="AE54" s="830"/>
      <c r="AF54" s="830"/>
      <c r="AG54" s="830"/>
      <c r="AH54" s="831"/>
      <c r="AI54" s="831"/>
      <c r="AJ54" s="831"/>
      <c r="AK54" s="829"/>
      <c r="AN54" s="826"/>
      <c r="AO54" s="830"/>
      <c r="AP54" s="830"/>
      <c r="AQ54" s="830"/>
      <c r="AR54" s="830"/>
      <c r="AS54" s="830"/>
      <c r="AT54" s="830"/>
      <c r="AU54" s="830"/>
      <c r="AV54" s="830"/>
      <c r="AW54" s="830"/>
      <c r="AX54" s="830"/>
      <c r="AY54" s="830"/>
      <c r="AZ54" s="830"/>
      <c r="BA54" s="831"/>
      <c r="BB54" s="831"/>
      <c r="BC54" s="831"/>
      <c r="BD54" s="829"/>
    </row>
    <row r="55" spans="1:56" ht="33.75" customHeight="1">
      <c r="B55" s="310">
        <v>6</v>
      </c>
      <c r="C55" s="825" t="s">
        <v>81</v>
      </c>
      <c r="D55" s="825"/>
      <c r="E55" s="825"/>
      <c r="F55" s="825"/>
      <c r="G55" s="825"/>
      <c r="H55" s="825"/>
      <c r="I55" s="825"/>
      <c r="J55" s="825"/>
      <c r="K55" s="825"/>
      <c r="L55" s="825"/>
      <c r="M55" s="825"/>
      <c r="N55" s="825"/>
      <c r="O55" s="822">
        <v>5.0000000000000001E-3</v>
      </c>
      <c r="P55" s="822"/>
      <c r="Q55" s="822"/>
      <c r="R55" s="308" t="s">
        <v>5</v>
      </c>
      <c r="U55" s="310">
        <v>6</v>
      </c>
      <c r="V55" s="825" t="s">
        <v>81</v>
      </c>
      <c r="W55" s="825"/>
      <c r="X55" s="825"/>
      <c r="Y55" s="825"/>
      <c r="Z55" s="825"/>
      <c r="AA55" s="825"/>
      <c r="AB55" s="825"/>
      <c r="AC55" s="825"/>
      <c r="AD55" s="825"/>
      <c r="AE55" s="825"/>
      <c r="AF55" s="825"/>
      <c r="AG55" s="825"/>
      <c r="AH55" s="822">
        <v>5.0000000000000001E-3</v>
      </c>
      <c r="AI55" s="822"/>
      <c r="AJ55" s="822"/>
      <c r="AK55" s="308" t="s">
        <v>5</v>
      </c>
      <c r="AN55" s="310">
        <v>6</v>
      </c>
      <c r="AO55" s="825" t="s">
        <v>81</v>
      </c>
      <c r="AP55" s="825"/>
      <c r="AQ55" s="825"/>
      <c r="AR55" s="825"/>
      <c r="AS55" s="825"/>
      <c r="AT55" s="825"/>
      <c r="AU55" s="825"/>
      <c r="AV55" s="825"/>
      <c r="AW55" s="825"/>
      <c r="AX55" s="825"/>
      <c r="AY55" s="825"/>
      <c r="AZ55" s="825"/>
      <c r="BA55" s="822">
        <v>5.0000000000000001E-3</v>
      </c>
      <c r="BB55" s="822"/>
      <c r="BC55" s="822"/>
      <c r="BD55" s="308" t="s">
        <v>5</v>
      </c>
    </row>
    <row r="56" spans="1:56" ht="33" customHeight="1">
      <c r="B56" s="310">
        <v>7</v>
      </c>
      <c r="C56" s="825" t="s">
        <v>82</v>
      </c>
      <c r="D56" s="825"/>
      <c r="E56" s="825"/>
      <c r="F56" s="825"/>
      <c r="G56" s="825"/>
      <c r="H56" s="825"/>
      <c r="I56" s="825"/>
      <c r="J56" s="825"/>
      <c r="K56" s="825"/>
      <c r="L56" s="825"/>
      <c r="M56" s="825"/>
      <c r="N56" s="825"/>
      <c r="O56" s="822">
        <v>5.0000000000000001E-3</v>
      </c>
      <c r="P56" s="822"/>
      <c r="Q56" s="822"/>
      <c r="R56" s="308" t="s">
        <v>5</v>
      </c>
      <c r="U56" s="310">
        <v>7</v>
      </c>
      <c r="V56" s="825" t="s">
        <v>82</v>
      </c>
      <c r="W56" s="825"/>
      <c r="X56" s="825"/>
      <c r="Y56" s="825"/>
      <c r="Z56" s="825"/>
      <c r="AA56" s="825"/>
      <c r="AB56" s="825"/>
      <c r="AC56" s="825"/>
      <c r="AD56" s="825"/>
      <c r="AE56" s="825"/>
      <c r="AF56" s="825"/>
      <c r="AG56" s="825"/>
      <c r="AH56" s="822">
        <v>5.0000000000000001E-3</v>
      </c>
      <c r="AI56" s="822"/>
      <c r="AJ56" s="822"/>
      <c r="AK56" s="308" t="s">
        <v>5</v>
      </c>
      <c r="AM56" s="378"/>
      <c r="AN56" s="310">
        <v>7</v>
      </c>
      <c r="AO56" s="825" t="s">
        <v>82</v>
      </c>
      <c r="AP56" s="825"/>
      <c r="AQ56" s="825"/>
      <c r="AR56" s="825"/>
      <c r="AS56" s="825"/>
      <c r="AT56" s="825"/>
      <c r="AU56" s="825"/>
      <c r="AV56" s="825"/>
      <c r="AW56" s="825"/>
      <c r="AX56" s="825"/>
      <c r="AY56" s="825"/>
      <c r="AZ56" s="825"/>
      <c r="BA56" s="822">
        <v>5.0000000000000001E-3</v>
      </c>
      <c r="BB56" s="822"/>
      <c r="BC56" s="822"/>
      <c r="BD56" s="308" t="s">
        <v>5</v>
      </c>
    </row>
    <row r="57" spans="1:56">
      <c r="A57" s="378"/>
      <c r="B57" s="318">
        <v>8</v>
      </c>
      <c r="C57" s="821" t="s">
        <v>83</v>
      </c>
      <c r="D57" s="821"/>
      <c r="E57" s="821"/>
      <c r="F57" s="821"/>
      <c r="G57" s="821"/>
      <c r="H57" s="821"/>
      <c r="I57" s="821"/>
      <c r="J57" s="821"/>
      <c r="K57" s="821"/>
      <c r="L57" s="821"/>
      <c r="M57" s="821"/>
      <c r="N57" s="821"/>
      <c r="O57" s="822">
        <v>5.0000000000000001E-3</v>
      </c>
      <c r="P57" s="822"/>
      <c r="Q57" s="822"/>
      <c r="R57" s="308" t="s">
        <v>5</v>
      </c>
      <c r="T57" s="378"/>
      <c r="U57" s="318">
        <v>8</v>
      </c>
      <c r="V57" s="821" t="s">
        <v>83</v>
      </c>
      <c r="W57" s="821"/>
      <c r="X57" s="821"/>
      <c r="Y57" s="821"/>
      <c r="Z57" s="821"/>
      <c r="AA57" s="821"/>
      <c r="AB57" s="821"/>
      <c r="AC57" s="821"/>
      <c r="AD57" s="821"/>
      <c r="AE57" s="821"/>
      <c r="AF57" s="821"/>
      <c r="AG57" s="821"/>
      <c r="AH57" s="822">
        <v>5.0000000000000001E-3</v>
      </c>
      <c r="AI57" s="822"/>
      <c r="AJ57" s="822"/>
      <c r="AK57" s="308" t="s">
        <v>5</v>
      </c>
      <c r="AM57" s="378"/>
      <c r="AN57" s="318">
        <v>8</v>
      </c>
      <c r="AO57" s="821" t="s">
        <v>83</v>
      </c>
      <c r="AP57" s="821"/>
      <c r="AQ57" s="821"/>
      <c r="AR57" s="821"/>
      <c r="AS57" s="821"/>
      <c r="AT57" s="821"/>
      <c r="AU57" s="821"/>
      <c r="AV57" s="821"/>
      <c r="AW57" s="821"/>
      <c r="AX57" s="821"/>
      <c r="AY57" s="821"/>
      <c r="AZ57" s="821"/>
      <c r="BA57" s="822">
        <v>5.0000000000000001E-3</v>
      </c>
      <c r="BB57" s="822"/>
      <c r="BC57" s="822"/>
      <c r="BD57" s="308" t="s">
        <v>5</v>
      </c>
    </row>
    <row r="58" spans="1:56">
      <c r="A58" s="378"/>
      <c r="B58" s="318">
        <v>9</v>
      </c>
      <c r="C58" s="821" t="s">
        <v>84</v>
      </c>
      <c r="D58" s="821"/>
      <c r="E58" s="821"/>
      <c r="F58" s="821"/>
      <c r="G58" s="821"/>
      <c r="H58" s="821"/>
      <c r="I58" s="821"/>
      <c r="J58" s="821"/>
      <c r="K58" s="821"/>
      <c r="L58" s="821"/>
      <c r="M58" s="821"/>
      <c r="N58" s="821"/>
      <c r="O58" s="822">
        <v>0.02</v>
      </c>
      <c r="P58" s="822"/>
      <c r="Q58" s="822"/>
      <c r="R58" s="308" t="s">
        <v>5</v>
      </c>
      <c r="T58" s="378"/>
      <c r="U58" s="318">
        <v>9</v>
      </c>
      <c r="V58" s="821" t="s">
        <v>84</v>
      </c>
      <c r="W58" s="821"/>
      <c r="X58" s="821"/>
      <c r="Y58" s="821"/>
      <c r="Z58" s="821"/>
      <c r="AA58" s="821"/>
      <c r="AB58" s="821"/>
      <c r="AC58" s="821"/>
      <c r="AD58" s="821"/>
      <c r="AE58" s="821"/>
      <c r="AF58" s="821"/>
      <c r="AG58" s="821"/>
      <c r="AH58" s="822">
        <v>0.02</v>
      </c>
      <c r="AI58" s="822"/>
      <c r="AJ58" s="822"/>
      <c r="AK58" s="308" t="s">
        <v>5</v>
      </c>
      <c r="AM58" s="378"/>
      <c r="AN58" s="318">
        <v>9</v>
      </c>
      <c r="AO58" s="821" t="s">
        <v>84</v>
      </c>
      <c r="AP58" s="821"/>
      <c r="AQ58" s="821"/>
      <c r="AR58" s="821"/>
      <c r="AS58" s="821"/>
      <c r="AT58" s="821"/>
      <c r="AU58" s="821"/>
      <c r="AV58" s="821"/>
      <c r="AW58" s="821"/>
      <c r="AX58" s="821"/>
      <c r="AY58" s="821"/>
      <c r="AZ58" s="821"/>
      <c r="BA58" s="822">
        <v>0.02</v>
      </c>
      <c r="BB58" s="822"/>
      <c r="BC58" s="822"/>
      <c r="BD58" s="308" t="s">
        <v>5</v>
      </c>
    </row>
    <row r="59" spans="1:56" ht="37.5" customHeight="1">
      <c r="A59" s="378"/>
      <c r="B59" s="394">
        <v>10</v>
      </c>
      <c r="C59" s="823" t="s">
        <v>85</v>
      </c>
      <c r="D59" s="823"/>
      <c r="E59" s="823"/>
      <c r="F59" s="823"/>
      <c r="G59" s="823"/>
      <c r="H59" s="823"/>
      <c r="I59" s="823"/>
      <c r="J59" s="823"/>
      <c r="K59" s="823"/>
      <c r="L59" s="823"/>
      <c r="M59" s="823"/>
      <c r="N59" s="823"/>
      <c r="O59" s="824">
        <v>1.4999999999999999E-2</v>
      </c>
      <c r="P59" s="824"/>
      <c r="Q59" s="824"/>
      <c r="R59" s="393" t="s">
        <v>5</v>
      </c>
      <c r="T59" s="378"/>
      <c r="U59" s="394">
        <v>10</v>
      </c>
      <c r="V59" s="823" t="s">
        <v>85</v>
      </c>
      <c r="W59" s="823"/>
      <c r="X59" s="823"/>
      <c r="Y59" s="823"/>
      <c r="Z59" s="823"/>
      <c r="AA59" s="823"/>
      <c r="AB59" s="823"/>
      <c r="AC59" s="823"/>
      <c r="AD59" s="823"/>
      <c r="AE59" s="823"/>
      <c r="AF59" s="823"/>
      <c r="AG59" s="823"/>
      <c r="AH59" s="824">
        <v>1.4999999999999999E-2</v>
      </c>
      <c r="AI59" s="824"/>
      <c r="AJ59" s="824"/>
      <c r="AK59" s="393" t="s">
        <v>5</v>
      </c>
      <c r="AM59" s="378"/>
      <c r="AN59" s="394">
        <v>10</v>
      </c>
      <c r="AO59" s="823" t="s">
        <v>85</v>
      </c>
      <c r="AP59" s="823"/>
      <c r="AQ59" s="823"/>
      <c r="AR59" s="823"/>
      <c r="AS59" s="823"/>
      <c r="AT59" s="823"/>
      <c r="AU59" s="823"/>
      <c r="AV59" s="823"/>
      <c r="AW59" s="823"/>
      <c r="AX59" s="823"/>
      <c r="AY59" s="823"/>
      <c r="AZ59" s="823"/>
      <c r="BA59" s="824">
        <v>1.4999999999999999E-2</v>
      </c>
      <c r="BB59" s="824"/>
      <c r="BC59" s="824"/>
      <c r="BD59" s="393" t="s">
        <v>5</v>
      </c>
    </row>
    <row r="60" spans="1:56">
      <c r="B60" s="315"/>
      <c r="C60" s="903"/>
      <c r="D60" s="903"/>
      <c r="E60" s="903"/>
      <c r="F60" s="903"/>
      <c r="G60" s="903"/>
      <c r="H60" s="903"/>
      <c r="I60" s="903"/>
      <c r="J60" s="903"/>
      <c r="K60" s="903"/>
      <c r="L60" s="903"/>
      <c r="M60" s="903"/>
      <c r="N60" s="903"/>
      <c r="O60" s="822"/>
      <c r="P60" s="831"/>
      <c r="Q60" s="831"/>
      <c r="R60" s="309"/>
      <c r="U60" s="315"/>
      <c r="V60" s="903"/>
      <c r="W60" s="903"/>
      <c r="X60" s="903"/>
      <c r="Y60" s="903"/>
      <c r="Z60" s="903"/>
      <c r="AA60" s="903"/>
      <c r="AB60" s="903"/>
      <c r="AC60" s="903"/>
      <c r="AD60" s="903"/>
      <c r="AE60" s="903"/>
      <c r="AF60" s="903"/>
      <c r="AG60" s="903"/>
      <c r="AH60" s="822"/>
      <c r="AI60" s="831"/>
      <c r="AJ60" s="831"/>
      <c r="AK60" s="309"/>
      <c r="AN60" s="315"/>
      <c r="AO60" s="903"/>
      <c r="AP60" s="903"/>
      <c r="AQ60" s="903"/>
      <c r="AR60" s="903"/>
      <c r="AS60" s="903"/>
      <c r="AT60" s="903"/>
      <c r="AU60" s="903"/>
      <c r="AV60" s="903"/>
      <c r="AW60" s="903"/>
      <c r="AX60" s="903"/>
      <c r="AY60" s="903"/>
      <c r="AZ60" s="903"/>
      <c r="BA60" s="822"/>
      <c r="BB60" s="831"/>
      <c r="BC60" s="831"/>
      <c r="BD60" s="309"/>
    </row>
    <row r="61" spans="1:56">
      <c r="B61" s="315"/>
      <c r="C61" s="903"/>
      <c r="D61" s="903"/>
      <c r="E61" s="903"/>
      <c r="F61" s="903"/>
      <c r="G61" s="903"/>
      <c r="H61" s="903"/>
      <c r="I61" s="903"/>
      <c r="J61" s="903"/>
      <c r="K61" s="903"/>
      <c r="L61" s="903"/>
      <c r="M61" s="903"/>
      <c r="N61" s="903"/>
      <c r="O61" s="822"/>
      <c r="P61" s="822"/>
      <c r="Q61" s="822"/>
      <c r="R61" s="309"/>
      <c r="U61" s="315"/>
      <c r="V61" s="903"/>
      <c r="W61" s="903"/>
      <c r="X61" s="903"/>
      <c r="Y61" s="903"/>
      <c r="Z61" s="903"/>
      <c r="AA61" s="903"/>
      <c r="AB61" s="903"/>
      <c r="AC61" s="903"/>
      <c r="AD61" s="903"/>
      <c r="AE61" s="903"/>
      <c r="AF61" s="903"/>
      <c r="AG61" s="903"/>
      <c r="AH61" s="822"/>
      <c r="AI61" s="822"/>
      <c r="AJ61" s="822"/>
      <c r="AK61" s="309"/>
      <c r="AN61" s="315"/>
      <c r="AO61" s="903"/>
      <c r="AP61" s="903"/>
      <c r="AQ61" s="903"/>
      <c r="AR61" s="903"/>
      <c r="AS61" s="903"/>
      <c r="AT61" s="903"/>
      <c r="AU61" s="903"/>
      <c r="AV61" s="903"/>
      <c r="AW61" s="903"/>
      <c r="AX61" s="903"/>
      <c r="AY61" s="903"/>
      <c r="AZ61" s="903"/>
      <c r="BA61" s="822"/>
      <c r="BB61" s="822"/>
      <c r="BC61" s="822"/>
      <c r="BD61" s="309"/>
    </row>
    <row r="62" spans="1:56">
      <c r="B62" s="315"/>
      <c r="C62" s="903"/>
      <c r="D62" s="903"/>
      <c r="E62" s="903"/>
      <c r="F62" s="903"/>
      <c r="G62" s="903"/>
      <c r="H62" s="903"/>
      <c r="I62" s="903"/>
      <c r="J62" s="903"/>
      <c r="K62" s="903"/>
      <c r="L62" s="903"/>
      <c r="M62" s="903"/>
      <c r="N62" s="903"/>
      <c r="O62" s="822"/>
      <c r="P62" s="822"/>
      <c r="Q62" s="822"/>
      <c r="R62" s="309"/>
      <c r="U62" s="315"/>
      <c r="V62" s="903"/>
      <c r="W62" s="903"/>
      <c r="X62" s="903"/>
      <c r="Y62" s="903"/>
      <c r="Z62" s="903"/>
      <c r="AA62" s="903"/>
      <c r="AB62" s="903"/>
      <c r="AC62" s="903"/>
      <c r="AD62" s="903"/>
      <c r="AE62" s="903"/>
      <c r="AF62" s="903"/>
      <c r="AG62" s="903"/>
      <c r="AH62" s="822"/>
      <c r="AI62" s="822"/>
      <c r="AJ62" s="822"/>
      <c r="AK62" s="309"/>
      <c r="AN62" s="315"/>
      <c r="AO62" s="903"/>
      <c r="AP62" s="903"/>
      <c r="AQ62" s="903"/>
      <c r="AR62" s="903"/>
      <c r="AS62" s="903"/>
      <c r="AT62" s="903"/>
      <c r="AU62" s="903"/>
      <c r="AV62" s="903"/>
      <c r="AW62" s="903"/>
      <c r="AX62" s="903"/>
      <c r="AY62" s="903"/>
      <c r="AZ62" s="903"/>
      <c r="BA62" s="822"/>
      <c r="BB62" s="822"/>
      <c r="BC62" s="822"/>
      <c r="BD62" s="309"/>
    </row>
    <row r="63" spans="1:56">
      <c r="B63" s="315"/>
      <c r="C63" s="316"/>
      <c r="D63" s="316"/>
      <c r="E63" s="316"/>
      <c r="F63" s="316"/>
      <c r="G63" s="316"/>
      <c r="H63" s="316"/>
      <c r="I63" s="316"/>
      <c r="J63" s="316"/>
      <c r="K63" s="316"/>
      <c r="L63" s="316"/>
      <c r="M63" s="316"/>
      <c r="N63" s="316"/>
      <c r="O63" s="822"/>
      <c r="P63" s="822"/>
      <c r="Q63" s="822"/>
      <c r="R63" s="309"/>
      <c r="U63" s="315"/>
      <c r="V63" s="316"/>
      <c r="W63" s="316"/>
      <c r="X63" s="316"/>
      <c r="Y63" s="316"/>
      <c r="Z63" s="316"/>
      <c r="AA63" s="316"/>
      <c r="AB63" s="316"/>
      <c r="AC63" s="316"/>
      <c r="AD63" s="316"/>
      <c r="AE63" s="316"/>
      <c r="AF63" s="316"/>
      <c r="AG63" s="316"/>
      <c r="AH63" s="822"/>
      <c r="AI63" s="822"/>
      <c r="AJ63" s="822"/>
      <c r="AK63" s="309"/>
      <c r="AN63" s="315"/>
      <c r="AO63" s="316"/>
      <c r="AP63" s="316"/>
      <c r="AQ63" s="316"/>
      <c r="AR63" s="316"/>
      <c r="AS63" s="316"/>
      <c r="AT63" s="316"/>
      <c r="AU63" s="316"/>
      <c r="AV63" s="316"/>
      <c r="AW63" s="316"/>
      <c r="AX63" s="316"/>
      <c r="AY63" s="316"/>
      <c r="AZ63" s="316"/>
      <c r="BA63" s="822"/>
      <c r="BB63" s="822"/>
      <c r="BC63" s="822"/>
      <c r="BD63" s="309"/>
    </row>
    <row r="64" spans="1:56" ht="13.2" customHeight="1">
      <c r="B64" s="317"/>
      <c r="C64" s="317"/>
      <c r="D64" s="317"/>
      <c r="E64" s="317"/>
      <c r="F64" s="317"/>
      <c r="G64" s="317"/>
      <c r="H64" s="317"/>
      <c r="I64" s="317"/>
      <c r="J64" s="317"/>
      <c r="K64" s="317"/>
      <c r="L64" s="317"/>
      <c r="M64" s="317"/>
      <c r="N64" s="317"/>
      <c r="O64" s="317"/>
      <c r="P64" s="317"/>
      <c r="Q64" s="317"/>
      <c r="R64" s="317"/>
      <c r="U64" s="317"/>
      <c r="V64" s="317"/>
      <c r="W64" s="317"/>
      <c r="X64" s="317"/>
      <c r="Y64" s="317"/>
      <c r="Z64" s="317"/>
      <c r="AA64" s="317"/>
      <c r="AB64" s="317"/>
      <c r="AC64" s="317"/>
      <c r="AD64" s="317"/>
      <c r="AE64" s="317"/>
      <c r="AF64" s="317"/>
      <c r="AG64" s="317"/>
      <c r="AH64" s="317"/>
      <c r="AI64" s="317"/>
      <c r="AJ64" s="317"/>
      <c r="AK64" s="317"/>
      <c r="AN64" s="317"/>
      <c r="AO64" s="317"/>
      <c r="AP64" s="317"/>
      <c r="AQ64" s="317"/>
      <c r="AR64" s="317"/>
      <c r="AS64" s="317"/>
      <c r="AT64" s="317"/>
      <c r="AU64" s="317"/>
      <c r="AV64" s="317"/>
      <c r="AW64" s="317"/>
      <c r="AX64" s="317"/>
      <c r="AY64" s="317"/>
      <c r="AZ64" s="317"/>
      <c r="BA64" s="317"/>
      <c r="BB64" s="317"/>
      <c r="BC64" s="317"/>
      <c r="BD64" s="317"/>
    </row>
    <row r="65" spans="3:56">
      <c r="N65" s="905"/>
      <c r="O65" s="906"/>
      <c r="P65" s="906"/>
      <c r="Q65" s="906"/>
      <c r="R65" s="270"/>
      <c r="AG65" s="905"/>
      <c r="AH65" s="906"/>
      <c r="AI65" s="906"/>
      <c r="AJ65" s="906"/>
      <c r="AK65" s="270"/>
      <c r="AZ65" s="905"/>
      <c r="BA65" s="906"/>
      <c r="BB65" s="906"/>
      <c r="BC65" s="906"/>
      <c r="BD65" s="270"/>
    </row>
    <row r="66" spans="3:56">
      <c r="N66" s="905"/>
      <c r="O66" s="906"/>
      <c r="P66" s="906"/>
      <c r="Q66" s="906"/>
      <c r="R66" s="270"/>
      <c r="AG66" s="905"/>
      <c r="AH66" s="906"/>
      <c r="AI66" s="906"/>
      <c r="AJ66" s="906"/>
      <c r="AK66" s="270"/>
      <c r="AZ66" s="905"/>
      <c r="BA66" s="906"/>
      <c r="BB66" s="906"/>
      <c r="BC66" s="906"/>
      <c r="BD66" s="270"/>
    </row>
    <row r="67" spans="3:56">
      <c r="N67" s="905"/>
      <c r="O67" s="906"/>
      <c r="P67" s="906"/>
      <c r="Q67" s="906"/>
      <c r="R67" s="270"/>
      <c r="AG67" s="905"/>
      <c r="AH67" s="906"/>
      <c r="AI67" s="906"/>
      <c r="AJ67" s="906"/>
      <c r="AK67" s="270"/>
      <c r="AZ67" s="905"/>
      <c r="BA67" s="906"/>
      <c r="BB67" s="906"/>
      <c r="BC67" s="906"/>
      <c r="BD67" s="270"/>
    </row>
    <row r="68" spans="3:56">
      <c r="N68" s="905"/>
      <c r="O68" s="906"/>
      <c r="P68" s="906"/>
      <c r="Q68" s="906"/>
      <c r="R68" s="270"/>
      <c r="AG68" s="905"/>
      <c r="AH68" s="906"/>
      <c r="AI68" s="906"/>
      <c r="AJ68" s="906"/>
      <c r="AK68" s="270"/>
      <c r="AZ68" s="905"/>
      <c r="BA68" s="906"/>
      <c r="BB68" s="906"/>
      <c r="BC68" s="906"/>
      <c r="BD68" s="270"/>
    </row>
    <row r="69" spans="3:56">
      <c r="N69" s="904"/>
      <c r="O69" s="904"/>
      <c r="P69" s="904"/>
      <c r="Q69" s="904"/>
      <c r="R69" s="269"/>
      <c r="AG69" s="904"/>
      <c r="AH69" s="904"/>
      <c r="AI69" s="904"/>
      <c r="AJ69" s="904"/>
      <c r="AK69" s="269"/>
      <c r="AZ69" s="904"/>
      <c r="BA69" s="904"/>
      <c r="BB69" s="904"/>
      <c r="BC69" s="904"/>
      <c r="BD69" s="269"/>
    </row>
    <row r="70" spans="3:56">
      <c r="N70" s="904"/>
      <c r="O70" s="904"/>
      <c r="P70" s="904"/>
      <c r="Q70" s="904"/>
      <c r="R70" s="269"/>
      <c r="AG70" s="904"/>
      <c r="AH70" s="904"/>
      <c r="AI70" s="904"/>
      <c r="AJ70" s="904"/>
      <c r="AK70" s="269"/>
      <c r="AZ70" s="904"/>
      <c r="BA70" s="904"/>
      <c r="BB70" s="904"/>
      <c r="BC70" s="904"/>
      <c r="BD70" s="269"/>
    </row>
    <row r="71" spans="3:56">
      <c r="C71" s="261" t="s">
        <v>62</v>
      </c>
      <c r="N71" s="904"/>
      <c r="O71" s="904"/>
      <c r="P71" s="904"/>
      <c r="Q71" s="904"/>
      <c r="R71" s="269"/>
      <c r="V71" s="261" t="s">
        <v>62</v>
      </c>
      <c r="AG71" s="904"/>
      <c r="AH71" s="904"/>
      <c r="AI71" s="904"/>
      <c r="AJ71" s="904"/>
      <c r="AK71" s="269"/>
      <c r="AO71" s="261" t="s">
        <v>62</v>
      </c>
      <c r="AZ71" s="904"/>
      <c r="BA71" s="904"/>
      <c r="BB71" s="904"/>
      <c r="BC71" s="904"/>
      <c r="BD71" s="269"/>
    </row>
    <row r="72" spans="3:56">
      <c r="C72" s="261" t="s">
        <v>5</v>
      </c>
      <c r="N72" s="904"/>
      <c r="O72" s="904"/>
      <c r="P72" s="904"/>
      <c r="Q72" s="904"/>
      <c r="R72" s="269"/>
      <c r="V72" s="261" t="s">
        <v>5</v>
      </c>
      <c r="AG72" s="904"/>
      <c r="AH72" s="904"/>
      <c r="AI72" s="904"/>
      <c r="AJ72" s="904"/>
      <c r="AK72" s="269"/>
      <c r="AO72" s="261" t="s">
        <v>5</v>
      </c>
      <c r="AZ72" s="904"/>
      <c r="BA72" s="904"/>
      <c r="BB72" s="904"/>
      <c r="BC72" s="904"/>
      <c r="BD72" s="269"/>
    </row>
    <row r="73" spans="3:56">
      <c r="N73" s="904"/>
      <c r="O73" s="904"/>
      <c r="P73" s="904"/>
      <c r="Q73" s="904"/>
      <c r="R73" s="269"/>
      <c r="AG73" s="904"/>
      <c r="AH73" s="904"/>
      <c r="AI73" s="904"/>
      <c r="AJ73" s="904"/>
      <c r="AK73" s="269"/>
      <c r="AZ73" s="904"/>
      <c r="BA73" s="904"/>
      <c r="BB73" s="904"/>
      <c r="BC73" s="904"/>
      <c r="BD73" s="269"/>
    </row>
    <row r="74" spans="3:56">
      <c r="N74" s="904"/>
      <c r="O74" s="904"/>
      <c r="P74" s="904"/>
      <c r="Q74" s="904"/>
      <c r="R74" s="269"/>
      <c r="AG74" s="904"/>
      <c r="AH74" s="904"/>
      <c r="AI74" s="904"/>
      <c r="AJ74" s="904"/>
      <c r="AK74" s="269"/>
      <c r="AZ74" s="904"/>
      <c r="BA74" s="904"/>
      <c r="BB74" s="904"/>
      <c r="BC74" s="904"/>
      <c r="BD74" s="269"/>
    </row>
  </sheetData>
  <mergeCells count="300">
    <mergeCell ref="AO60:AZ60"/>
    <mergeCell ref="BA60:BC60"/>
    <mergeCell ref="AO61:AZ61"/>
    <mergeCell ref="BA61:BC61"/>
    <mergeCell ref="AO62:AZ62"/>
    <mergeCell ref="BA62:BC62"/>
    <mergeCell ref="BA63:BC63"/>
    <mergeCell ref="AZ65:BC65"/>
    <mergeCell ref="AZ66:BC66"/>
    <mergeCell ref="AG73:AJ73"/>
    <mergeCell ref="AG74:AJ74"/>
    <mergeCell ref="AZ67:BC67"/>
    <mergeCell ref="AZ68:BC68"/>
    <mergeCell ref="AZ69:BC69"/>
    <mergeCell ref="AZ70:BC70"/>
    <mergeCell ref="AZ71:BC71"/>
    <mergeCell ref="AZ72:BC72"/>
    <mergeCell ref="AZ73:BC73"/>
    <mergeCell ref="AZ74:BC74"/>
    <mergeCell ref="AH63:AJ63"/>
    <mergeCell ref="AG65:AJ65"/>
    <mergeCell ref="AG66:AJ66"/>
    <mergeCell ref="AG67:AJ67"/>
    <mergeCell ref="AG68:AJ68"/>
    <mergeCell ref="AG69:AJ69"/>
    <mergeCell ref="AG70:AJ70"/>
    <mergeCell ref="AG71:AJ71"/>
    <mergeCell ref="AG72:AJ72"/>
    <mergeCell ref="C47:N47"/>
    <mergeCell ref="O47:Q47"/>
    <mergeCell ref="O46:Q46"/>
    <mergeCell ref="AK38:AK39"/>
    <mergeCell ref="V60:AG60"/>
    <mergeCell ref="AH60:AJ60"/>
    <mergeCell ref="V61:AG61"/>
    <mergeCell ref="AH61:AJ61"/>
    <mergeCell ref="V62:AG62"/>
    <mergeCell ref="AH62:AJ62"/>
    <mergeCell ref="U53:U54"/>
    <mergeCell ref="V53:AG54"/>
    <mergeCell ref="AH53:AJ54"/>
    <mergeCell ref="AK53:AK54"/>
    <mergeCell ref="V49:AG49"/>
    <mergeCell ref="AH49:AJ49"/>
    <mergeCell ref="V50:AG50"/>
    <mergeCell ref="AH50:AJ50"/>
    <mergeCell ref="U51:U52"/>
    <mergeCell ref="V51:AG52"/>
    <mergeCell ref="AH51:AJ52"/>
    <mergeCell ref="O63:Q63"/>
    <mergeCell ref="O51:Q52"/>
    <mergeCell ref="O55:Q55"/>
    <mergeCell ref="N71:Q71"/>
    <mergeCell ref="C36:N37"/>
    <mergeCell ref="O61:Q61"/>
    <mergeCell ref="O62:Q62"/>
    <mergeCell ref="C61:N61"/>
    <mergeCell ref="C62:N62"/>
    <mergeCell ref="C56:N56"/>
    <mergeCell ref="O56:Q56"/>
    <mergeCell ref="C57:N57"/>
    <mergeCell ref="O57:Q57"/>
    <mergeCell ref="C58:N58"/>
    <mergeCell ref="O58:Q58"/>
    <mergeCell ref="C53:N54"/>
    <mergeCell ref="C38:N39"/>
    <mergeCell ref="B43:N44"/>
    <mergeCell ref="C45:N45"/>
    <mergeCell ref="O45:Q45"/>
    <mergeCell ref="C59:N59"/>
    <mergeCell ref="B42:Q42"/>
    <mergeCell ref="O38:Q39"/>
    <mergeCell ref="B36:B37"/>
    <mergeCell ref="N72:Q72"/>
    <mergeCell ref="N73:Q73"/>
    <mergeCell ref="N74:Q74"/>
    <mergeCell ref="N65:Q65"/>
    <mergeCell ref="N66:Q66"/>
    <mergeCell ref="N67:Q67"/>
    <mergeCell ref="N68:Q68"/>
    <mergeCell ref="N69:Q69"/>
    <mergeCell ref="N70:Q70"/>
    <mergeCell ref="B53:B54"/>
    <mergeCell ref="C46:N46"/>
    <mergeCell ref="B16:M16"/>
    <mergeCell ref="B24:B25"/>
    <mergeCell ref="O24:Q25"/>
    <mergeCell ref="C28:N29"/>
    <mergeCell ref="C26:N27"/>
    <mergeCell ref="C24:N25"/>
    <mergeCell ref="O26:Q27"/>
    <mergeCell ref="O30:Q31"/>
    <mergeCell ref="B22:M23"/>
    <mergeCell ref="B28:B29"/>
    <mergeCell ref="O28:Q29"/>
    <mergeCell ref="B26:B27"/>
    <mergeCell ref="O22:R23"/>
    <mergeCell ref="R24:R25"/>
    <mergeCell ref="R26:R27"/>
    <mergeCell ref="R28:R29"/>
    <mergeCell ref="R30:R31"/>
    <mergeCell ref="R38:R39"/>
    <mergeCell ref="R36:R37"/>
    <mergeCell ref="R51:R52"/>
    <mergeCell ref="R53:R54"/>
    <mergeCell ref="O36:Q37"/>
    <mergeCell ref="R34:R35"/>
    <mergeCell ref="M14:R14"/>
    <mergeCell ref="N16:R16"/>
    <mergeCell ref="N17:R18"/>
    <mergeCell ref="N19:R20"/>
    <mergeCell ref="C3:Q3"/>
    <mergeCell ref="M7:R13"/>
    <mergeCell ref="B4:J4"/>
    <mergeCell ref="B5:J5"/>
    <mergeCell ref="B15:Q15"/>
    <mergeCell ref="K4:Q4"/>
    <mergeCell ref="K5:Q5"/>
    <mergeCell ref="B17:M18"/>
    <mergeCell ref="B19:M20"/>
    <mergeCell ref="B14:L14"/>
    <mergeCell ref="B13:L13"/>
    <mergeCell ref="B7:L12"/>
    <mergeCell ref="C34:N35"/>
    <mergeCell ref="C32:N33"/>
    <mergeCell ref="C30:N31"/>
    <mergeCell ref="B21:Q21"/>
    <mergeCell ref="V3:AJ3"/>
    <mergeCell ref="U4:AC4"/>
    <mergeCell ref="AD4:AJ4"/>
    <mergeCell ref="U5:AC5"/>
    <mergeCell ref="AD5:AJ5"/>
    <mergeCell ref="C60:N60"/>
    <mergeCell ref="O60:Q60"/>
    <mergeCell ref="B34:B35"/>
    <mergeCell ref="O34:Q35"/>
    <mergeCell ref="O43:R44"/>
    <mergeCell ref="C51:N52"/>
    <mergeCell ref="B51:B52"/>
    <mergeCell ref="O53:Q54"/>
    <mergeCell ref="C48:N48"/>
    <mergeCell ref="O48:Q48"/>
    <mergeCell ref="O50:Q50"/>
    <mergeCell ref="C50:N50"/>
    <mergeCell ref="C49:N49"/>
    <mergeCell ref="O49:Q49"/>
    <mergeCell ref="C55:N55"/>
    <mergeCell ref="O59:Q59"/>
    <mergeCell ref="R32:R33"/>
    <mergeCell ref="B32:B33"/>
    <mergeCell ref="O32:Q33"/>
    <mergeCell ref="U15:AJ15"/>
    <mergeCell ref="U16:AF16"/>
    <mergeCell ref="AG16:AK16"/>
    <mergeCell ref="U17:AF18"/>
    <mergeCell ref="AG17:AK18"/>
    <mergeCell ref="U7:AE12"/>
    <mergeCell ref="AF7:AK13"/>
    <mergeCell ref="U13:AE13"/>
    <mergeCell ref="U14:AE14"/>
    <mergeCell ref="AF14:AK14"/>
    <mergeCell ref="U24:U25"/>
    <mergeCell ref="V24:AG25"/>
    <mergeCell ref="AH24:AJ25"/>
    <mergeCell ref="AK24:AK25"/>
    <mergeCell ref="U26:U27"/>
    <mergeCell ref="V26:AG27"/>
    <mergeCell ref="AH26:AJ27"/>
    <mergeCell ref="AK26:AK27"/>
    <mergeCell ref="U19:AF20"/>
    <mergeCell ref="AG19:AK20"/>
    <mergeCell ref="U21:AJ21"/>
    <mergeCell ref="U22:AF23"/>
    <mergeCell ref="AH22:AK23"/>
    <mergeCell ref="U32:U33"/>
    <mergeCell ref="V32:AG33"/>
    <mergeCell ref="AH32:AJ33"/>
    <mergeCell ref="AK32:AK33"/>
    <mergeCell ref="U34:U35"/>
    <mergeCell ref="V34:AG35"/>
    <mergeCell ref="AH34:AJ35"/>
    <mergeCell ref="AK34:AK35"/>
    <mergeCell ref="U28:U29"/>
    <mergeCell ref="V28:AG29"/>
    <mergeCell ref="AH28:AJ29"/>
    <mergeCell ref="AK28:AK29"/>
    <mergeCell ref="V30:AG31"/>
    <mergeCell ref="AH30:AJ31"/>
    <mergeCell ref="AK30:AK31"/>
    <mergeCell ref="AN15:BC15"/>
    <mergeCell ref="AN16:AY16"/>
    <mergeCell ref="V55:AG55"/>
    <mergeCell ref="AH55:AJ55"/>
    <mergeCell ref="V56:AG56"/>
    <mergeCell ref="AH56:AJ56"/>
    <mergeCell ref="V57:AG57"/>
    <mergeCell ref="AH57:AJ57"/>
    <mergeCell ref="AK51:AK52"/>
    <mergeCell ref="V46:AG46"/>
    <mergeCell ref="AH46:AJ46"/>
    <mergeCell ref="V47:AG47"/>
    <mergeCell ref="AH47:AJ47"/>
    <mergeCell ref="V48:AG48"/>
    <mergeCell ref="AH48:AJ48"/>
    <mergeCell ref="U42:AJ42"/>
    <mergeCell ref="U43:AG44"/>
    <mergeCell ref="AH43:AK44"/>
    <mergeCell ref="V45:AG45"/>
    <mergeCell ref="AH45:AJ45"/>
    <mergeCell ref="U36:U37"/>
    <mergeCell ref="V36:AG37"/>
    <mergeCell ref="AH36:AJ37"/>
    <mergeCell ref="AK36:AK37"/>
    <mergeCell ref="AO3:BC3"/>
    <mergeCell ref="AN4:AV4"/>
    <mergeCell ref="AW4:BC4"/>
    <mergeCell ref="AN5:AV5"/>
    <mergeCell ref="AW5:BC5"/>
    <mergeCell ref="AN7:AX12"/>
    <mergeCell ref="AY7:BD13"/>
    <mergeCell ref="AN13:AX13"/>
    <mergeCell ref="AN14:AX14"/>
    <mergeCell ref="AY14:BD14"/>
    <mergeCell ref="AZ16:BD16"/>
    <mergeCell ref="AN17:AY18"/>
    <mergeCell ref="AZ17:BD18"/>
    <mergeCell ref="AN19:AY20"/>
    <mergeCell ref="AZ19:BD20"/>
    <mergeCell ref="V58:AG58"/>
    <mergeCell ref="AH58:AJ58"/>
    <mergeCell ref="V59:AG59"/>
    <mergeCell ref="AH59:AJ59"/>
    <mergeCell ref="V38:AG39"/>
    <mergeCell ref="AH38:AJ39"/>
    <mergeCell ref="AN26:AN27"/>
    <mergeCell ref="AO26:AZ27"/>
    <mergeCell ref="BA26:BC27"/>
    <mergeCell ref="BD26:BD27"/>
    <mergeCell ref="AN28:AN29"/>
    <mergeCell ref="AO28:AZ29"/>
    <mergeCell ref="BA28:BC29"/>
    <mergeCell ref="BD28:BD29"/>
    <mergeCell ref="AN21:BC21"/>
    <mergeCell ref="AN22:AY23"/>
    <mergeCell ref="BA22:BD23"/>
    <mergeCell ref="AN24:AN25"/>
    <mergeCell ref="AO24:AZ25"/>
    <mergeCell ref="BA24:BC25"/>
    <mergeCell ref="BD24:BD25"/>
    <mergeCell ref="AN34:AN35"/>
    <mergeCell ref="AO34:AZ35"/>
    <mergeCell ref="BA34:BC35"/>
    <mergeCell ref="BD34:BD35"/>
    <mergeCell ref="AN36:AN37"/>
    <mergeCell ref="AO36:AZ37"/>
    <mergeCell ref="BA36:BC37"/>
    <mergeCell ref="BD36:BD37"/>
    <mergeCell ref="AO30:AZ31"/>
    <mergeCell ref="BA30:BC31"/>
    <mergeCell ref="BD30:BD31"/>
    <mergeCell ref="AN32:AN33"/>
    <mergeCell ref="AO32:AZ33"/>
    <mergeCell ref="BA32:BC33"/>
    <mergeCell ref="BD32:BD33"/>
    <mergeCell ref="AO45:AZ45"/>
    <mergeCell ref="BA45:BC45"/>
    <mergeCell ref="AO46:AZ46"/>
    <mergeCell ref="BA46:BC46"/>
    <mergeCell ref="AO47:AZ47"/>
    <mergeCell ref="BA47:BC47"/>
    <mergeCell ref="AO38:AZ39"/>
    <mergeCell ref="BA38:BC39"/>
    <mergeCell ref="AN42:BC42"/>
    <mergeCell ref="AN43:AZ44"/>
    <mergeCell ref="BA43:BD44"/>
    <mergeCell ref="BD38:BD39"/>
    <mergeCell ref="AN51:AN52"/>
    <mergeCell ref="AO51:AZ52"/>
    <mergeCell ref="BA51:BC52"/>
    <mergeCell ref="BD51:BD52"/>
    <mergeCell ref="AN53:AN54"/>
    <mergeCell ref="AO53:AZ54"/>
    <mergeCell ref="BA53:BC54"/>
    <mergeCell ref="BD53:BD54"/>
    <mergeCell ref="AO48:AZ48"/>
    <mergeCell ref="BA48:BC48"/>
    <mergeCell ref="AO49:AZ49"/>
    <mergeCell ref="BA49:BC49"/>
    <mergeCell ref="AO50:AZ50"/>
    <mergeCell ref="BA50:BC50"/>
    <mergeCell ref="AO58:AZ58"/>
    <mergeCell ref="BA58:BC58"/>
    <mergeCell ref="AO59:AZ59"/>
    <mergeCell ref="BA59:BC59"/>
    <mergeCell ref="AO55:AZ55"/>
    <mergeCell ref="BA55:BC55"/>
    <mergeCell ref="AO56:AZ56"/>
    <mergeCell ref="BA56:BC56"/>
    <mergeCell ref="AO57:AZ57"/>
    <mergeCell ref="BA57:BC57"/>
  </mergeCells>
  <conditionalFormatting sqref="R24:R39">
    <cfRule type="cellIs" dxfId="22" priority="15" operator="equal">
      <formula>"Yes"</formula>
    </cfRule>
  </conditionalFormatting>
  <conditionalFormatting sqref="B24:R25 B26:Q37 R26:R39">
    <cfRule type="cellIs" dxfId="21" priority="14" operator="equal">
      <formula>"Yes"</formula>
    </cfRule>
  </conditionalFormatting>
  <conditionalFormatting sqref="C24 O24">
    <cfRule type="expression" dxfId="20" priority="13" stopIfTrue="1">
      <formula>$R$24</formula>
    </cfRule>
  </conditionalFormatting>
  <conditionalFormatting sqref="AK24:AK39">
    <cfRule type="cellIs" dxfId="19" priority="12" operator="equal">
      <formula>"Yes"</formula>
    </cfRule>
  </conditionalFormatting>
  <conditionalFormatting sqref="U24:AK25 U26:AJ37 AK26:AK39">
    <cfRule type="cellIs" dxfId="18" priority="11" operator="equal">
      <formula>"Yes"</formula>
    </cfRule>
  </conditionalFormatting>
  <conditionalFormatting sqref="V24 AH24">
    <cfRule type="expression" dxfId="17" priority="10" stopIfTrue="1">
      <formula>$R$24</formula>
    </cfRule>
  </conditionalFormatting>
  <conditionalFormatting sqref="BD24:BD39">
    <cfRule type="cellIs" dxfId="16" priority="9" operator="equal">
      <formula>"Yes"</formula>
    </cfRule>
  </conditionalFormatting>
  <conditionalFormatting sqref="AN24:BD25 AN26:BC37 BD26:BD39">
    <cfRule type="cellIs" dxfId="15" priority="8" operator="equal">
      <formula>"Yes"</formula>
    </cfRule>
  </conditionalFormatting>
  <conditionalFormatting sqref="AO24 BA24">
    <cfRule type="expression" dxfId="14" priority="7" stopIfTrue="1">
      <formula>$R$24</formula>
    </cfRule>
  </conditionalFormatting>
  <conditionalFormatting sqref="R45:R48">
    <cfRule type="containsText" dxfId="13" priority="6" operator="containsText" text="Yes">
      <formula>NOT(ISERROR(SEARCH("Yes",R45)))</formula>
    </cfRule>
  </conditionalFormatting>
  <conditionalFormatting sqref="R46:R59">
    <cfRule type="containsText" dxfId="12" priority="5" operator="containsText" text="Yes">
      <formula>NOT(ISERROR(SEARCH("Yes",R46)))</formula>
    </cfRule>
  </conditionalFormatting>
  <conditionalFormatting sqref="AK45:AK48">
    <cfRule type="containsText" dxfId="11" priority="4" operator="containsText" text="Yes">
      <formula>NOT(ISERROR(SEARCH("Yes",AK45)))</formula>
    </cfRule>
  </conditionalFormatting>
  <conditionalFormatting sqref="AK46:AK59">
    <cfRule type="containsText" dxfId="10" priority="3" operator="containsText" text="Yes">
      <formula>NOT(ISERROR(SEARCH("Yes",AK46)))</formula>
    </cfRule>
  </conditionalFormatting>
  <conditionalFormatting sqref="BD45:BD48">
    <cfRule type="containsText" dxfId="9" priority="2" operator="containsText" text="Yes">
      <formula>NOT(ISERROR(SEARCH("Yes",BD45)))</formula>
    </cfRule>
  </conditionalFormatting>
  <conditionalFormatting sqref="BD46:BD59">
    <cfRule type="containsText" dxfId="8" priority="1" operator="containsText" text="Yes">
      <formula>NOT(ISERROR(SEARCH("Yes",BD46)))</formula>
    </cfRule>
  </conditionalFormatting>
  <dataValidations count="1">
    <dataValidation type="list" allowBlank="1" showInputMessage="1" showErrorMessage="1" sqref="R24:R39 AK24:AK39 BD24:BD39 R45:R59 AK45:AK59 BD45:BD59" xr:uid="{70A071AA-CA27-40C8-B7D3-2E2FA8C3EC19}">
      <formula1>$C$71:$C$72</formula1>
    </dataValidation>
  </dataValidations>
  <printOptions horizontalCentered="1" verticalCentered="1"/>
  <pageMargins left="0" right="0" top="0.78740157480314965" bottom="0" header="0.19685039370078741" footer="0"/>
  <pageSetup scale="60" orientation="portrait" r:id="rId1"/>
  <headerFooter>
    <oddHeader>&amp;C&amp;G</oddHeader>
  </headerFooter>
  <legacyDrawingHF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04FC7E-E130-4C5C-9E75-BC7D2995AA7E}">
  <sheetPr>
    <tabColor rgb="FFFFFF00"/>
  </sheetPr>
  <dimension ref="B2:C11"/>
  <sheetViews>
    <sheetView workbookViewId="0">
      <selection activeCell="D15" sqref="D15"/>
    </sheetView>
  </sheetViews>
  <sheetFormatPr defaultRowHeight="14.4"/>
  <cols>
    <col min="2" max="2" width="23.44140625" bestFit="1" customWidth="1"/>
    <col min="3" max="3" width="10.5546875" bestFit="1" customWidth="1"/>
  </cols>
  <sheetData>
    <row r="2" spans="2:3">
      <c r="B2" s="15" t="s">
        <v>86</v>
      </c>
      <c r="C2" s="276">
        <v>75000</v>
      </c>
    </row>
    <row r="3" spans="2:3">
      <c r="B3" s="15" t="s">
        <v>87</v>
      </c>
      <c r="C3" s="277">
        <v>2</v>
      </c>
    </row>
    <row r="4" spans="2:3">
      <c r="B4" s="15" t="s">
        <v>88</v>
      </c>
      <c r="C4" s="278">
        <v>0.14000000000000001</v>
      </c>
    </row>
    <row r="7" spans="2:3">
      <c r="B7" s="15" t="s">
        <v>89</v>
      </c>
      <c r="C7" s="279">
        <f>C2/C3</f>
        <v>37500</v>
      </c>
    </row>
    <row r="8" spans="2:3">
      <c r="B8" s="15" t="s">
        <v>90</v>
      </c>
      <c r="C8" s="279">
        <f>C2*C4*C3/12/C3</f>
        <v>875.00000000000011</v>
      </c>
    </row>
    <row r="9" spans="2:3">
      <c r="B9" s="15" t="s">
        <v>91</v>
      </c>
      <c r="C9" s="280">
        <f>SUM(C7:C8)</f>
        <v>38375</v>
      </c>
    </row>
    <row r="11" spans="2:3">
      <c r="B11" s="15" t="s">
        <v>92</v>
      </c>
      <c r="C11" s="281">
        <f>RATE(C3,C9,-C2,0,0)*12</f>
        <v>0.18618889668268404</v>
      </c>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57B03F-F04C-4E9A-ABA9-33776B9773E2}">
  <sheetPr>
    <tabColor theme="9" tint="0.79998168889431442"/>
    <pageSetUpPr fitToPage="1"/>
  </sheetPr>
  <dimension ref="C3:X99"/>
  <sheetViews>
    <sheetView tabSelected="1" view="pageBreakPreview" topLeftCell="K19" zoomScale="70" zoomScaleNormal="85" zoomScaleSheetLayoutView="70" workbookViewId="0">
      <selection activeCell="M43" sqref="M43"/>
    </sheetView>
  </sheetViews>
  <sheetFormatPr defaultColWidth="9.109375" defaultRowHeight="14.4"/>
  <cols>
    <col min="1" max="1" width="9.109375" style="437"/>
    <col min="2" max="2" width="1.5546875" style="437" customWidth="1"/>
    <col min="3" max="3" width="2.44140625" style="437" customWidth="1"/>
    <col min="4" max="4" width="14.5546875" style="444" customWidth="1"/>
    <col min="5" max="11" width="13.5546875" style="444" customWidth="1"/>
    <col min="12" max="12" width="26.5546875" style="681" customWidth="1"/>
    <col min="13" max="13" width="25.5546875" style="654" customWidth="1"/>
    <col min="14" max="14" width="1.5546875" style="654" customWidth="1"/>
    <col min="15" max="15" width="25.5546875" style="654" customWidth="1"/>
    <col min="16" max="16" width="1.5546875" style="654" customWidth="1"/>
    <col min="17" max="17" width="25.5546875" style="654" customWidth="1"/>
    <col min="18" max="18" width="1.5546875" style="654" customWidth="1"/>
    <col min="19" max="19" width="25.5546875" style="654" customWidth="1"/>
    <col min="20" max="21" width="1.5546875" style="437" customWidth="1"/>
    <col min="22" max="22" width="28.5546875" style="437" bestFit="1" customWidth="1"/>
    <col min="23" max="23" width="9" style="437" bestFit="1" customWidth="1"/>
    <col min="24" max="24" width="38.6640625" style="437" bestFit="1" customWidth="1"/>
    <col min="25" max="16384" width="9.109375" style="437"/>
  </cols>
  <sheetData>
    <row r="3" spans="4:24" ht="23.4">
      <c r="D3" s="924" t="s">
        <v>899</v>
      </c>
      <c r="E3" s="924"/>
      <c r="F3" s="924"/>
      <c r="G3" s="924"/>
      <c r="H3" s="924"/>
      <c r="I3" s="924"/>
      <c r="J3" s="924"/>
      <c r="K3" s="924"/>
      <c r="L3" s="924"/>
      <c r="M3" s="924"/>
      <c r="N3" s="924"/>
      <c r="O3" s="924"/>
      <c r="P3" s="924"/>
      <c r="Q3" s="924"/>
      <c r="R3" s="768"/>
      <c r="S3" s="768"/>
    </row>
    <row r="4" spans="4:24" s="683" customFormat="1" ht="17.399999999999999">
      <c r="D4" s="685" t="s">
        <v>862</v>
      </c>
      <c r="E4" s="686" t="s">
        <v>1091</v>
      </c>
      <c r="F4" s="686"/>
      <c r="G4" s="686"/>
      <c r="H4" s="686"/>
      <c r="I4" s="686"/>
      <c r="J4" s="686"/>
      <c r="K4" s="686"/>
      <c r="L4" s="687"/>
      <c r="M4" s="688"/>
      <c r="N4" s="688"/>
      <c r="O4" s="688"/>
      <c r="P4" s="688"/>
      <c r="Q4" s="688"/>
      <c r="R4" s="688"/>
      <c r="S4" s="688"/>
    </row>
    <row r="5" spans="4:24" s="683" customFormat="1" ht="17.399999999999999">
      <c r="D5" s="685" t="s">
        <v>863</v>
      </c>
      <c r="E5" s="798" t="s">
        <v>1092</v>
      </c>
      <c r="F5" s="686"/>
      <c r="G5" s="686"/>
      <c r="H5" s="910" t="s">
        <v>814</v>
      </c>
      <c r="I5" s="910"/>
      <c r="J5" s="798" t="s">
        <v>154</v>
      </c>
      <c r="K5" s="686"/>
      <c r="L5" s="687"/>
      <c r="M5" s="688"/>
      <c r="N5" s="688"/>
      <c r="O5" s="688"/>
      <c r="P5" s="688"/>
      <c r="Q5" s="688"/>
      <c r="R5" s="688"/>
      <c r="S5" s="688"/>
    </row>
    <row r="6" spans="4:24" s="683" customFormat="1" ht="17.399999999999999">
      <c r="D6" s="685" t="s">
        <v>864</v>
      </c>
      <c r="E6" s="796"/>
      <c r="F6" s="686"/>
      <c r="G6" s="686"/>
      <c r="H6" s="910" t="s">
        <v>815</v>
      </c>
      <c r="I6" s="910"/>
      <c r="J6" s="799">
        <v>45597</v>
      </c>
      <c r="K6" s="686"/>
      <c r="L6" s="687"/>
      <c r="M6" s="688"/>
      <c r="N6" s="688"/>
      <c r="O6" s="688"/>
      <c r="P6" s="688"/>
      <c r="Q6" s="688"/>
      <c r="R6" s="688"/>
      <c r="S6" s="688"/>
    </row>
    <row r="7" spans="4:24" s="683" customFormat="1" ht="34.799999999999997">
      <c r="D7" s="689"/>
      <c r="F7" s="689"/>
      <c r="G7" s="689"/>
      <c r="I7" s="689"/>
      <c r="J7" s="689"/>
      <c r="K7" s="689"/>
      <c r="L7" s="687"/>
      <c r="M7" s="690" t="s">
        <v>146</v>
      </c>
      <c r="N7" s="688"/>
      <c r="O7" s="690" t="s">
        <v>900</v>
      </c>
      <c r="P7" s="688"/>
      <c r="Q7" s="690" t="s">
        <v>900</v>
      </c>
      <c r="R7" s="688"/>
      <c r="S7" s="690" t="s">
        <v>147</v>
      </c>
    </row>
    <row r="8" spans="4:24" s="683" customFormat="1" ht="17.399999999999999">
      <c r="D8" s="689"/>
      <c r="E8" s="689"/>
      <c r="F8" s="689"/>
      <c r="G8" s="689"/>
      <c r="H8" s="689"/>
      <c r="I8" s="689"/>
      <c r="J8" s="689"/>
      <c r="K8" s="689"/>
      <c r="L8" s="691" t="s">
        <v>471</v>
      </c>
      <c r="M8" s="770" t="s">
        <v>1038</v>
      </c>
      <c r="N8" s="688"/>
      <c r="O8" s="769" t="s">
        <v>1040</v>
      </c>
      <c r="P8" s="688"/>
      <c r="Q8" s="769" t="s">
        <v>1041</v>
      </c>
      <c r="R8" s="688"/>
      <c r="S8" s="769" t="s">
        <v>1041</v>
      </c>
    </row>
    <row r="9" spans="4:24" s="683" customFormat="1" ht="17.399999999999999">
      <c r="D9" s="689"/>
      <c r="E9" s="689"/>
      <c r="F9" s="689"/>
      <c r="G9" s="689"/>
      <c r="H9" s="689"/>
      <c r="I9" s="689"/>
      <c r="J9" s="689"/>
      <c r="K9" s="689"/>
      <c r="L9" s="689"/>
      <c r="M9" s="689"/>
      <c r="N9" s="688"/>
      <c r="O9" s="689"/>
      <c r="P9" s="688"/>
      <c r="Q9" s="689"/>
      <c r="R9" s="688"/>
      <c r="S9" s="689"/>
      <c r="T9" s="689"/>
      <c r="U9" s="689"/>
    </row>
    <row r="10" spans="4:24" s="683" customFormat="1" ht="17.399999999999999">
      <c r="D10" s="689"/>
      <c r="E10" s="689"/>
      <c r="F10" s="689"/>
      <c r="G10" s="689"/>
      <c r="H10" s="689"/>
      <c r="I10" s="689"/>
      <c r="J10" s="689"/>
      <c r="K10" s="689"/>
      <c r="L10" s="692" t="s">
        <v>901</v>
      </c>
      <c r="M10" s="693"/>
      <c r="N10" s="688"/>
      <c r="O10" s="693"/>
      <c r="P10" s="688"/>
      <c r="Q10" s="693"/>
      <c r="R10" s="688"/>
      <c r="S10" s="693"/>
    </row>
    <row r="11" spans="4:24" s="683" customFormat="1" ht="17.399999999999999">
      <c r="D11" s="925" t="s">
        <v>902</v>
      </c>
      <c r="E11" s="926"/>
      <c r="F11" s="926"/>
      <c r="G11" s="926"/>
      <c r="H11" s="926"/>
      <c r="I11" s="926"/>
      <c r="J11" s="926"/>
      <c r="K11" s="926"/>
      <c r="L11" s="694" t="s">
        <v>153</v>
      </c>
      <c r="M11" s="693"/>
      <c r="N11" s="688"/>
      <c r="O11" s="693"/>
      <c r="P11" s="688"/>
      <c r="Q11" s="693"/>
      <c r="R11" s="688"/>
      <c r="S11" s="693"/>
    </row>
    <row r="12" spans="4:24" s="683" customFormat="1" ht="17.399999999999999">
      <c r="D12" s="915" t="s">
        <v>903</v>
      </c>
      <c r="E12" s="916"/>
      <c r="F12" s="916"/>
      <c r="G12" s="916"/>
      <c r="H12" s="916"/>
      <c r="I12" s="916"/>
      <c r="J12" s="916"/>
      <c r="K12" s="916"/>
      <c r="L12" s="695"/>
      <c r="M12" s="696" t="s">
        <v>1088</v>
      </c>
      <c r="N12" s="688"/>
      <c r="O12" s="696" t="s">
        <v>1090</v>
      </c>
      <c r="P12" s="688"/>
      <c r="Q12" s="696"/>
      <c r="R12" s="688"/>
      <c r="S12" s="779"/>
    </row>
    <row r="13" spans="4:24" s="683" customFormat="1" ht="17.399999999999999">
      <c r="D13" s="921" t="s">
        <v>904</v>
      </c>
      <c r="E13" s="922"/>
      <c r="F13" s="922"/>
      <c r="G13" s="922"/>
      <c r="H13" s="922"/>
      <c r="I13" s="922"/>
      <c r="J13" s="922"/>
      <c r="K13" s="923"/>
      <c r="L13" s="695" t="s">
        <v>905</v>
      </c>
      <c r="M13" s="696" t="s">
        <v>98</v>
      </c>
      <c r="N13" s="688"/>
      <c r="O13" s="775" t="s">
        <v>100</v>
      </c>
      <c r="P13" s="688"/>
      <c r="Q13" s="775"/>
      <c r="R13" s="688"/>
      <c r="S13" s="776"/>
    </row>
    <row r="14" spans="4:24" s="683" customFormat="1" ht="17.399999999999999">
      <c r="D14" s="915" t="s">
        <v>906</v>
      </c>
      <c r="E14" s="916"/>
      <c r="F14" s="916"/>
      <c r="G14" s="916"/>
      <c r="H14" s="916"/>
      <c r="I14" s="916"/>
      <c r="J14" s="916"/>
      <c r="K14" s="916"/>
      <c r="L14" s="695" t="s">
        <v>143</v>
      </c>
      <c r="M14" s="697" t="s">
        <v>1089</v>
      </c>
      <c r="N14" s="688"/>
      <c r="O14" s="697" t="s">
        <v>1089</v>
      </c>
      <c r="P14" s="688"/>
      <c r="Q14" s="774"/>
      <c r="R14" s="688"/>
      <c r="S14" s="774"/>
    </row>
    <row r="15" spans="4:24" s="683" customFormat="1" ht="17.399999999999999">
      <c r="D15" s="915" t="s">
        <v>907</v>
      </c>
      <c r="E15" s="916"/>
      <c r="F15" s="916"/>
      <c r="G15" s="916"/>
      <c r="H15" s="916"/>
      <c r="I15" s="916"/>
      <c r="J15" s="916"/>
      <c r="K15" s="916"/>
      <c r="L15" s="695" t="s">
        <v>155</v>
      </c>
      <c r="M15" s="696" t="s">
        <v>998</v>
      </c>
      <c r="N15" s="688"/>
      <c r="O15" s="698" t="s">
        <v>13</v>
      </c>
      <c r="P15" s="688"/>
      <c r="Q15" s="698" t="s">
        <v>13</v>
      </c>
      <c r="R15" s="688"/>
      <c r="S15" s="696"/>
    </row>
    <row r="16" spans="4:24" s="683" customFormat="1" ht="17.399999999999999">
      <c r="D16" s="915" t="s">
        <v>156</v>
      </c>
      <c r="E16" s="916"/>
      <c r="F16" s="916"/>
      <c r="G16" s="916"/>
      <c r="H16" s="916"/>
      <c r="I16" s="916"/>
      <c r="J16" s="916"/>
      <c r="K16" s="916"/>
      <c r="L16" s="695" t="s">
        <v>157</v>
      </c>
      <c r="M16" s="696" t="s">
        <v>999</v>
      </c>
      <c r="N16" s="688"/>
      <c r="O16" s="698" t="s">
        <v>13</v>
      </c>
      <c r="P16" s="688"/>
      <c r="Q16" s="698" t="s">
        <v>13</v>
      </c>
      <c r="R16" s="688"/>
      <c r="S16" s="775"/>
      <c r="X16" s="696" t="s">
        <v>146</v>
      </c>
    </row>
    <row r="17" spans="4:24" s="683" customFormat="1" ht="17.399999999999999">
      <c r="D17" s="915" t="s">
        <v>158</v>
      </c>
      <c r="E17" s="916"/>
      <c r="F17" s="916"/>
      <c r="G17" s="916"/>
      <c r="H17" s="916"/>
      <c r="I17" s="916"/>
      <c r="J17" s="916"/>
      <c r="K17" s="916"/>
      <c r="L17" s="695" t="s">
        <v>157</v>
      </c>
      <c r="M17" s="696" t="s">
        <v>999</v>
      </c>
      <c r="N17" s="688"/>
      <c r="O17" s="696" t="s">
        <v>999</v>
      </c>
      <c r="P17" s="688"/>
      <c r="Q17" s="696"/>
      <c r="R17" s="688"/>
      <c r="S17" s="771"/>
      <c r="X17" s="696" t="s">
        <v>900</v>
      </c>
    </row>
    <row r="18" spans="4:24" s="683" customFormat="1" ht="17.399999999999999">
      <c r="D18" s="915" t="s">
        <v>908</v>
      </c>
      <c r="E18" s="916"/>
      <c r="F18" s="916"/>
      <c r="G18" s="916"/>
      <c r="H18" s="916"/>
      <c r="I18" s="916"/>
      <c r="J18" s="916"/>
      <c r="K18" s="916"/>
      <c r="L18" s="695" t="s">
        <v>160</v>
      </c>
      <c r="M18" s="696">
        <v>0</v>
      </c>
      <c r="N18" s="688"/>
      <c r="O18" s="696">
        <v>0</v>
      </c>
      <c r="P18" s="688"/>
      <c r="Q18" s="696"/>
      <c r="R18" s="688"/>
      <c r="S18" s="696"/>
      <c r="X18" s="696" t="s">
        <v>909</v>
      </c>
    </row>
    <row r="19" spans="4:24" s="683" customFormat="1" ht="17.399999999999999">
      <c r="D19" s="915" t="s">
        <v>910</v>
      </c>
      <c r="E19" s="916"/>
      <c r="F19" s="916"/>
      <c r="G19" s="916"/>
      <c r="H19" s="916"/>
      <c r="I19" s="916"/>
      <c r="J19" s="916"/>
      <c r="K19" s="916"/>
      <c r="L19" s="695" t="s">
        <v>160</v>
      </c>
      <c r="M19" s="696">
        <v>0</v>
      </c>
      <c r="N19" s="688"/>
      <c r="O19" s="696">
        <v>0</v>
      </c>
      <c r="P19" s="688"/>
      <c r="Q19" s="696"/>
      <c r="R19" s="688"/>
      <c r="S19" s="696"/>
      <c r="X19" s="696" t="s">
        <v>147</v>
      </c>
    </row>
    <row r="20" spans="4:24" s="683" customFormat="1" ht="17.399999999999999">
      <c r="D20" s="915" t="s">
        <v>911</v>
      </c>
      <c r="E20" s="916"/>
      <c r="F20" s="916"/>
      <c r="G20" s="916"/>
      <c r="H20" s="916"/>
      <c r="I20" s="916"/>
      <c r="J20" s="916"/>
      <c r="K20" s="916"/>
      <c r="L20" s="695" t="s">
        <v>160</v>
      </c>
      <c r="M20" s="696">
        <v>0</v>
      </c>
      <c r="N20" s="688"/>
      <c r="O20" s="696">
        <v>0</v>
      </c>
      <c r="P20" s="688"/>
      <c r="Q20" s="696"/>
      <c r="R20" s="688"/>
      <c r="S20" s="696"/>
      <c r="X20" s="696"/>
    </row>
    <row r="21" spans="4:24" s="683" customFormat="1" ht="17.399999999999999">
      <c r="D21" s="915" t="s">
        <v>912</v>
      </c>
      <c r="E21" s="916"/>
      <c r="F21" s="916"/>
      <c r="G21" s="916"/>
      <c r="H21" s="916"/>
      <c r="I21" s="916"/>
      <c r="J21" s="916"/>
      <c r="K21" s="916"/>
      <c r="L21" s="695" t="s">
        <v>160</v>
      </c>
      <c r="M21" s="696">
        <v>0</v>
      </c>
      <c r="N21" s="688"/>
      <c r="O21" s="696">
        <v>0</v>
      </c>
      <c r="P21" s="688"/>
      <c r="Q21" s="696"/>
      <c r="R21" s="688"/>
      <c r="S21" s="696"/>
    </row>
    <row r="22" spans="4:24" s="683" customFormat="1" ht="17.399999999999999">
      <c r="D22" s="915" t="s">
        <v>913</v>
      </c>
      <c r="E22" s="916"/>
      <c r="F22" s="916"/>
      <c r="G22" s="916"/>
      <c r="H22" s="916"/>
      <c r="I22" s="916"/>
      <c r="J22" s="916"/>
      <c r="K22" s="916"/>
      <c r="L22" s="695" t="s">
        <v>157</v>
      </c>
      <c r="M22" s="696" t="s">
        <v>999</v>
      </c>
      <c r="N22" s="688"/>
      <c r="O22" s="696" t="s">
        <v>999</v>
      </c>
      <c r="P22" s="688"/>
      <c r="Q22" s="696"/>
      <c r="R22" s="688"/>
      <c r="S22" s="696"/>
    </row>
    <row r="23" spans="4:24" s="683" customFormat="1" ht="17.399999999999999">
      <c r="D23" s="915" t="s">
        <v>914</v>
      </c>
      <c r="E23" s="916"/>
      <c r="F23" s="916"/>
      <c r="G23" s="916"/>
      <c r="H23" s="916"/>
      <c r="I23" s="916"/>
      <c r="J23" s="916"/>
      <c r="K23" s="916"/>
      <c r="L23" s="695" t="s">
        <v>157</v>
      </c>
      <c r="M23" s="696" t="s">
        <v>999</v>
      </c>
      <c r="N23" s="688"/>
      <c r="O23" s="696" t="s">
        <v>999</v>
      </c>
      <c r="P23" s="688"/>
      <c r="Q23" s="696"/>
      <c r="R23" s="688"/>
      <c r="S23" s="696"/>
    </row>
    <row r="24" spans="4:24" s="683" customFormat="1" ht="17.399999999999999">
      <c r="D24" s="915" t="s">
        <v>915</v>
      </c>
      <c r="E24" s="916"/>
      <c r="F24" s="916"/>
      <c r="G24" s="916"/>
      <c r="H24" s="916"/>
      <c r="I24" s="916"/>
      <c r="J24" s="916"/>
      <c r="K24" s="916"/>
      <c r="L24" s="695"/>
      <c r="M24" s="696">
        <v>6</v>
      </c>
      <c r="N24" s="688"/>
      <c r="O24" s="696">
        <v>4</v>
      </c>
      <c r="P24" s="688"/>
      <c r="Q24" s="696"/>
      <c r="R24" s="688"/>
      <c r="S24" s="696"/>
    </row>
    <row r="25" spans="4:24" s="683" customFormat="1" ht="17.399999999999999">
      <c r="D25" s="915" t="s">
        <v>916</v>
      </c>
      <c r="E25" s="916"/>
      <c r="F25" s="916"/>
      <c r="G25" s="916"/>
      <c r="H25" s="916"/>
      <c r="I25" s="916"/>
      <c r="J25" s="916"/>
      <c r="K25" s="916"/>
      <c r="L25" s="695"/>
      <c r="M25" s="699">
        <v>814014</v>
      </c>
      <c r="N25" s="688"/>
      <c r="O25" s="700">
        <v>513483</v>
      </c>
      <c r="P25" s="688"/>
      <c r="Q25" s="700"/>
      <c r="R25" s="688"/>
      <c r="S25" s="700"/>
    </row>
    <row r="26" spans="4:24" s="683" customFormat="1" ht="17.399999999999999">
      <c r="D26" s="915" t="s">
        <v>917</v>
      </c>
      <c r="E26" s="916"/>
      <c r="F26" s="916"/>
      <c r="G26" s="916"/>
      <c r="H26" s="916"/>
      <c r="I26" s="916"/>
      <c r="J26" s="916"/>
      <c r="K26" s="916"/>
      <c r="L26" s="695"/>
      <c r="M26" s="696">
        <v>1</v>
      </c>
      <c r="N26" s="688"/>
      <c r="O26" s="696">
        <v>1</v>
      </c>
      <c r="P26" s="688"/>
      <c r="Q26" s="696"/>
      <c r="R26" s="688"/>
      <c r="S26" s="696"/>
    </row>
    <row r="27" spans="4:24" s="683" customFormat="1" ht="17.399999999999999">
      <c r="D27" s="915" t="s">
        <v>918</v>
      </c>
      <c r="E27" s="916"/>
      <c r="F27" s="916"/>
      <c r="G27" s="916"/>
      <c r="H27" s="916"/>
      <c r="I27" s="916"/>
      <c r="J27" s="916"/>
      <c r="K27" s="916"/>
      <c r="L27" s="695"/>
      <c r="M27" s="696">
        <v>1</v>
      </c>
      <c r="N27" s="688"/>
      <c r="O27" s="696">
        <v>1</v>
      </c>
      <c r="P27" s="688"/>
      <c r="Q27" s="696"/>
      <c r="R27" s="688"/>
      <c r="S27" s="696"/>
    </row>
    <row r="28" spans="4:24" s="683" customFormat="1" ht="17.399999999999999">
      <c r="D28" s="915" t="s">
        <v>919</v>
      </c>
      <c r="E28" s="916"/>
      <c r="F28" s="916"/>
      <c r="G28" s="916"/>
      <c r="H28" s="916"/>
      <c r="I28" s="916"/>
      <c r="J28" s="916"/>
      <c r="K28" s="916"/>
      <c r="L28" s="695" t="s">
        <v>161</v>
      </c>
      <c r="M28" s="696">
        <v>0</v>
      </c>
      <c r="N28" s="688"/>
      <c r="O28" s="696">
        <v>0</v>
      </c>
      <c r="P28" s="688"/>
      <c r="Q28" s="696"/>
      <c r="R28" s="688"/>
      <c r="S28" s="696"/>
    </row>
    <row r="29" spans="4:24" s="683" customFormat="1" ht="17.399999999999999">
      <c r="D29" s="915" t="s">
        <v>920</v>
      </c>
      <c r="E29" s="916"/>
      <c r="F29" s="916"/>
      <c r="G29" s="916"/>
      <c r="H29" s="916"/>
      <c r="I29" s="916"/>
      <c r="J29" s="916"/>
      <c r="K29" s="916"/>
      <c r="L29" s="701" t="s">
        <v>921</v>
      </c>
      <c r="M29" s="811" t="s">
        <v>1093</v>
      </c>
      <c r="N29" s="688"/>
      <c r="O29" s="698" t="s">
        <v>13</v>
      </c>
      <c r="P29" s="688"/>
      <c r="Q29" s="698" t="s">
        <v>13</v>
      </c>
      <c r="R29" s="688"/>
      <c r="S29" s="702"/>
    </row>
    <row r="30" spans="4:24" s="683" customFormat="1" ht="34.799999999999997">
      <c r="D30" s="915" t="s">
        <v>922</v>
      </c>
      <c r="E30" s="916"/>
      <c r="F30" s="916"/>
      <c r="G30" s="916"/>
      <c r="H30" s="916"/>
      <c r="I30" s="916"/>
      <c r="J30" s="916"/>
      <c r="K30" s="916"/>
      <c r="L30" s="695" t="s">
        <v>163</v>
      </c>
      <c r="M30" s="703" t="s">
        <v>1000</v>
      </c>
      <c r="N30" s="688"/>
      <c r="O30" s="698" t="s">
        <v>13</v>
      </c>
      <c r="P30" s="688"/>
      <c r="Q30" s="698" t="s">
        <v>13</v>
      </c>
      <c r="R30" s="688"/>
      <c r="S30" s="703"/>
    </row>
    <row r="31" spans="4:24" s="683" customFormat="1" ht="17.399999999999999">
      <c r="D31" s="915" t="s">
        <v>923</v>
      </c>
      <c r="E31" s="916"/>
      <c r="F31" s="916"/>
      <c r="G31" s="916"/>
      <c r="H31" s="916"/>
      <c r="I31" s="916"/>
      <c r="J31" s="916"/>
      <c r="K31" s="916"/>
      <c r="L31" s="695" t="s">
        <v>924</v>
      </c>
      <c r="M31" s="703" t="s">
        <v>999</v>
      </c>
      <c r="N31" s="688"/>
      <c r="O31" s="698" t="s">
        <v>13</v>
      </c>
      <c r="P31" s="688"/>
      <c r="Q31" s="698" t="s">
        <v>13</v>
      </c>
      <c r="R31" s="688"/>
      <c r="S31" s="772"/>
    </row>
    <row r="32" spans="4:24" s="683" customFormat="1" ht="17.399999999999999">
      <c r="D32" s="915" t="s">
        <v>925</v>
      </c>
      <c r="E32" s="916"/>
      <c r="F32" s="916"/>
      <c r="G32" s="916"/>
      <c r="H32" s="916"/>
      <c r="I32" s="916"/>
      <c r="J32" s="916"/>
      <c r="K32" s="916"/>
      <c r="L32" s="695" t="s">
        <v>1065</v>
      </c>
      <c r="M32" s="775" t="s">
        <v>1094</v>
      </c>
      <c r="N32" s="688"/>
      <c r="O32" s="698" t="s">
        <v>13</v>
      </c>
      <c r="P32" s="688"/>
      <c r="Q32" s="698" t="s">
        <v>13</v>
      </c>
      <c r="R32" s="688"/>
      <c r="S32" s="771"/>
    </row>
    <row r="33" spans="4:19" s="683" customFormat="1" ht="34.799999999999997">
      <c r="D33" s="915" t="s">
        <v>926</v>
      </c>
      <c r="E33" s="916"/>
      <c r="F33" s="916"/>
      <c r="G33" s="916"/>
      <c r="H33" s="916"/>
      <c r="I33" s="916"/>
      <c r="J33" s="916"/>
      <c r="K33" s="916"/>
      <c r="L33" s="695" t="s">
        <v>927</v>
      </c>
      <c r="M33" s="810" t="s">
        <v>999</v>
      </c>
      <c r="N33" s="688"/>
      <c r="O33" s="698" t="s">
        <v>13</v>
      </c>
      <c r="P33" s="688"/>
      <c r="Q33" s="698" t="s">
        <v>13</v>
      </c>
      <c r="R33" s="688"/>
      <c r="S33" s="772"/>
    </row>
    <row r="34" spans="4:19" s="683" customFormat="1" ht="17.399999999999999">
      <c r="D34" s="915" t="s">
        <v>928</v>
      </c>
      <c r="E34" s="916"/>
      <c r="F34" s="916"/>
      <c r="G34" s="916"/>
      <c r="H34" s="916"/>
      <c r="I34" s="916"/>
      <c r="J34" s="916"/>
      <c r="K34" s="916"/>
      <c r="L34" s="695" t="s">
        <v>162</v>
      </c>
      <c r="M34" s="782">
        <v>814014</v>
      </c>
      <c r="N34" s="688"/>
      <c r="O34" s="782">
        <v>513483</v>
      </c>
      <c r="P34" s="688"/>
      <c r="Q34" s="773"/>
      <c r="R34" s="688"/>
      <c r="S34" s="773"/>
    </row>
    <row r="35" spans="4:19" s="683" customFormat="1" ht="17.399999999999999">
      <c r="D35" s="915" t="s">
        <v>929</v>
      </c>
      <c r="E35" s="916"/>
      <c r="F35" s="916"/>
      <c r="G35" s="916"/>
      <c r="H35" s="916"/>
      <c r="I35" s="916"/>
      <c r="J35" s="916"/>
      <c r="K35" s="916"/>
      <c r="L35" s="695" t="s">
        <v>162</v>
      </c>
      <c r="M35" s="782">
        <v>0</v>
      </c>
      <c r="N35" s="688"/>
      <c r="O35" s="782">
        <v>0</v>
      </c>
      <c r="P35" s="688"/>
      <c r="Q35" s="782"/>
      <c r="R35" s="688"/>
      <c r="S35" s="782"/>
    </row>
    <row r="36" spans="4:19" s="683" customFormat="1" ht="17.399999999999999">
      <c r="D36" s="915" t="s">
        <v>930</v>
      </c>
      <c r="E36" s="916"/>
      <c r="F36" s="916"/>
      <c r="G36" s="916"/>
      <c r="H36" s="916"/>
      <c r="I36" s="916"/>
      <c r="J36" s="916"/>
      <c r="K36" s="916"/>
      <c r="L36" s="695" t="s">
        <v>162</v>
      </c>
      <c r="M36" s="782">
        <v>1137000</v>
      </c>
      <c r="N36" s="688"/>
      <c r="O36" s="782">
        <v>578513</v>
      </c>
      <c r="P36" s="688"/>
      <c r="Q36" s="773"/>
      <c r="R36" s="688"/>
      <c r="S36" s="773"/>
    </row>
    <row r="37" spans="4:19" s="683" customFormat="1" ht="17.399999999999999">
      <c r="D37" s="915" t="s">
        <v>931</v>
      </c>
      <c r="E37" s="916"/>
      <c r="F37" s="916"/>
      <c r="G37" s="916"/>
      <c r="H37" s="916"/>
      <c r="I37" s="916"/>
      <c r="J37" s="916"/>
      <c r="K37" s="916"/>
      <c r="L37" s="695" t="s">
        <v>162</v>
      </c>
      <c r="M37" s="782">
        <v>0</v>
      </c>
      <c r="N37" s="688"/>
      <c r="O37" s="782">
        <v>1095673</v>
      </c>
      <c r="P37" s="688"/>
      <c r="Q37" s="773"/>
      <c r="R37" s="688"/>
      <c r="S37" s="773"/>
    </row>
    <row r="38" spans="4:19" s="683" customFormat="1" ht="17.399999999999999">
      <c r="D38" s="915" t="s">
        <v>932</v>
      </c>
      <c r="E38" s="916"/>
      <c r="F38" s="916"/>
      <c r="G38" s="916"/>
      <c r="H38" s="916"/>
      <c r="I38" s="916"/>
      <c r="J38" s="916"/>
      <c r="K38" s="916"/>
      <c r="L38" s="695" t="s">
        <v>162</v>
      </c>
      <c r="M38" s="782">
        <f>M34+M35</f>
        <v>814014</v>
      </c>
      <c r="N38" s="688"/>
      <c r="O38" s="782">
        <f>O34+O35</f>
        <v>513483</v>
      </c>
      <c r="P38" s="688"/>
      <c r="Q38" s="773"/>
      <c r="R38" s="688"/>
      <c r="S38" s="773"/>
    </row>
    <row r="39" spans="4:19" s="683" customFormat="1" ht="17.399999999999999">
      <c r="D39" s="915" t="s">
        <v>933</v>
      </c>
      <c r="E39" s="916"/>
      <c r="F39" s="916"/>
      <c r="G39" s="916"/>
      <c r="H39" s="916"/>
      <c r="I39" s="916"/>
      <c r="J39" s="916"/>
      <c r="K39" s="916"/>
      <c r="L39" s="695" t="s">
        <v>162</v>
      </c>
      <c r="M39" s="782">
        <f>M36+M37</f>
        <v>1137000</v>
      </c>
      <c r="N39" s="688"/>
      <c r="O39" s="782">
        <f>O36+O37</f>
        <v>1674186</v>
      </c>
      <c r="P39" s="688"/>
      <c r="Q39" s="773"/>
      <c r="R39" s="688"/>
      <c r="S39" s="773"/>
    </row>
    <row r="40" spans="4:19" s="683" customFormat="1" ht="34.799999999999997">
      <c r="D40" s="915" t="s">
        <v>934</v>
      </c>
      <c r="E40" s="916"/>
      <c r="F40" s="916"/>
      <c r="G40" s="916"/>
      <c r="H40" s="916"/>
      <c r="I40" s="916"/>
      <c r="J40" s="916"/>
      <c r="K40" s="916"/>
      <c r="L40" s="695" t="s">
        <v>935</v>
      </c>
      <c r="M40" s="696" t="s">
        <v>999</v>
      </c>
      <c r="N40" s="688"/>
      <c r="O40" s="696" t="s">
        <v>999</v>
      </c>
      <c r="P40" s="688"/>
      <c r="Q40" s="696"/>
      <c r="R40" s="688"/>
      <c r="S40" s="696"/>
    </row>
    <row r="41" spans="4:19" s="683" customFormat="1" ht="52.2">
      <c r="D41" s="915" t="s">
        <v>936</v>
      </c>
      <c r="E41" s="916"/>
      <c r="F41" s="916"/>
      <c r="G41" s="916"/>
      <c r="H41" s="916"/>
      <c r="I41" s="916"/>
      <c r="J41" s="916"/>
      <c r="K41" s="916"/>
      <c r="L41" s="695" t="s">
        <v>937</v>
      </c>
      <c r="M41" s="703" t="s">
        <v>999</v>
      </c>
      <c r="N41" s="688"/>
      <c r="O41" s="703" t="s">
        <v>999</v>
      </c>
      <c r="P41" s="688"/>
      <c r="Q41" s="703"/>
      <c r="R41" s="688"/>
      <c r="S41" s="703"/>
    </row>
    <row r="42" spans="4:19" s="683" customFormat="1" ht="17.399999999999999">
      <c r="D42" s="915" t="s">
        <v>938</v>
      </c>
      <c r="E42" s="916"/>
      <c r="F42" s="916"/>
      <c r="G42" s="916"/>
      <c r="H42" s="916"/>
      <c r="I42" s="916"/>
      <c r="J42" s="916"/>
      <c r="K42" s="916"/>
      <c r="L42" s="695" t="s">
        <v>939</v>
      </c>
      <c r="M42" s="703" t="s">
        <v>1039</v>
      </c>
      <c r="N42" s="688"/>
      <c r="O42" s="703" t="s">
        <v>26</v>
      </c>
      <c r="P42" s="688"/>
      <c r="Q42" s="703"/>
      <c r="R42" s="688"/>
      <c r="S42" s="772"/>
    </row>
    <row r="43" spans="4:19" s="683" customFormat="1" ht="17.399999999999999">
      <c r="D43" s="915" t="s">
        <v>940</v>
      </c>
      <c r="E43" s="916"/>
      <c r="F43" s="916"/>
      <c r="G43" s="916"/>
      <c r="H43" s="916"/>
      <c r="I43" s="916"/>
      <c r="J43" s="916"/>
      <c r="K43" s="916"/>
      <c r="L43" s="695" t="s">
        <v>164</v>
      </c>
      <c r="M43" s="696" t="s">
        <v>1095</v>
      </c>
      <c r="N43" s="688"/>
      <c r="O43" s="696" t="s">
        <v>999</v>
      </c>
      <c r="P43" s="688"/>
      <c r="Q43" s="696"/>
      <c r="R43" s="688"/>
      <c r="S43" s="696"/>
    </row>
    <row r="44" spans="4:19" s="683" customFormat="1" ht="17.399999999999999">
      <c r="D44" s="915" t="s">
        <v>941</v>
      </c>
      <c r="E44" s="916"/>
      <c r="F44" s="916"/>
      <c r="G44" s="916"/>
      <c r="H44" s="916"/>
      <c r="I44" s="916"/>
      <c r="J44" s="916"/>
      <c r="K44" s="916"/>
      <c r="L44" s="695" t="s">
        <v>942</v>
      </c>
      <c r="M44" s="696" t="s">
        <v>13</v>
      </c>
      <c r="N44" s="688"/>
      <c r="O44" s="696" t="s">
        <v>999</v>
      </c>
      <c r="P44" s="688"/>
      <c r="Q44" s="696"/>
      <c r="R44" s="688"/>
      <c r="S44" s="696"/>
    </row>
    <row r="45" spans="4:19" s="683" customFormat="1" ht="17.399999999999999">
      <c r="D45" s="915" t="s">
        <v>943</v>
      </c>
      <c r="E45" s="916"/>
      <c r="F45" s="916"/>
      <c r="G45" s="916"/>
      <c r="H45" s="916"/>
      <c r="I45" s="916"/>
      <c r="J45" s="916"/>
      <c r="K45" s="916"/>
      <c r="L45" s="695" t="s">
        <v>944</v>
      </c>
      <c r="M45" s="696">
        <v>3</v>
      </c>
      <c r="N45" s="688"/>
      <c r="O45" s="696">
        <v>3</v>
      </c>
      <c r="P45" s="688"/>
      <c r="Q45" s="775"/>
      <c r="R45" s="688"/>
      <c r="S45" s="775"/>
    </row>
    <row r="46" spans="4:19" s="683" customFormat="1" ht="17.399999999999999">
      <c r="D46" s="915" t="s">
        <v>945</v>
      </c>
      <c r="E46" s="916"/>
      <c r="F46" s="916"/>
      <c r="G46" s="916"/>
      <c r="H46" s="916"/>
      <c r="I46" s="916"/>
      <c r="J46" s="916"/>
      <c r="K46" s="916"/>
      <c r="L46" s="695" t="s">
        <v>62</v>
      </c>
      <c r="M46" s="696" t="s">
        <v>999</v>
      </c>
      <c r="N46" s="688"/>
      <c r="O46" s="696" t="s">
        <v>999</v>
      </c>
      <c r="P46" s="688"/>
      <c r="Q46" s="696"/>
      <c r="R46" s="688"/>
      <c r="S46" s="696"/>
    </row>
    <row r="47" spans="4:19" s="683" customFormat="1" ht="17.399999999999999">
      <c r="D47" s="915" t="s">
        <v>946</v>
      </c>
      <c r="E47" s="916"/>
      <c r="F47" s="916"/>
      <c r="G47" s="916"/>
      <c r="H47" s="916"/>
      <c r="I47" s="916"/>
      <c r="J47" s="916"/>
      <c r="K47" s="916"/>
      <c r="L47" s="695" t="s">
        <v>62</v>
      </c>
      <c r="M47" s="696" t="s">
        <v>999</v>
      </c>
      <c r="N47" s="688"/>
      <c r="O47" s="696" t="s">
        <v>999</v>
      </c>
      <c r="P47" s="688"/>
      <c r="Q47" s="696"/>
      <c r="R47" s="688"/>
      <c r="S47" s="696"/>
    </row>
    <row r="48" spans="4:19" s="683" customFormat="1" ht="17.399999999999999">
      <c r="D48" s="915" t="s">
        <v>165</v>
      </c>
      <c r="E48" s="916"/>
      <c r="F48" s="916"/>
      <c r="G48" s="916"/>
      <c r="H48" s="916"/>
      <c r="I48" s="916"/>
      <c r="J48" s="916"/>
      <c r="K48" s="916"/>
      <c r="L48" s="695" t="s">
        <v>5</v>
      </c>
      <c r="M48" s="696" t="s">
        <v>157</v>
      </c>
      <c r="N48" s="688"/>
      <c r="O48" s="696" t="s">
        <v>157</v>
      </c>
      <c r="P48" s="688"/>
      <c r="Q48" s="696"/>
      <c r="R48" s="688"/>
      <c r="S48" s="696"/>
    </row>
    <row r="49" spans="3:22" s="683" customFormat="1" ht="34.799999999999997">
      <c r="D49" s="915" t="s">
        <v>947</v>
      </c>
      <c r="E49" s="916"/>
      <c r="F49" s="916"/>
      <c r="G49" s="916"/>
      <c r="H49" s="916"/>
      <c r="I49" s="916"/>
      <c r="J49" s="916"/>
      <c r="K49" s="916"/>
      <c r="L49" s="695" t="s">
        <v>948</v>
      </c>
      <c r="M49" s="696" t="s">
        <v>999</v>
      </c>
      <c r="N49" s="688"/>
      <c r="O49" s="698" t="s">
        <v>13</v>
      </c>
      <c r="P49" s="688"/>
      <c r="Q49" s="771"/>
      <c r="R49" s="688"/>
      <c r="S49" s="771"/>
    </row>
    <row r="50" spans="3:22">
      <c r="D50" s="681"/>
      <c r="E50" s="681"/>
      <c r="F50" s="681"/>
      <c r="G50" s="681"/>
      <c r="H50" s="681"/>
      <c r="I50" s="681"/>
      <c r="J50" s="681"/>
      <c r="K50" s="681"/>
    </row>
    <row r="51" spans="3:22">
      <c r="D51" s="704"/>
      <c r="E51" s="705"/>
      <c r="F51" s="705"/>
      <c r="G51" s="705"/>
      <c r="H51" s="705"/>
      <c r="I51" s="706"/>
      <c r="J51" s="681"/>
      <c r="K51" s="681"/>
    </row>
    <row r="52" spans="3:22" ht="15" customHeight="1">
      <c r="D52" s="917" t="s">
        <v>949</v>
      </c>
      <c r="E52" s="918"/>
      <c r="F52" s="918"/>
      <c r="G52" s="918"/>
      <c r="H52" s="663"/>
      <c r="I52" s="707"/>
      <c r="J52" s="663"/>
      <c r="L52" s="444"/>
    </row>
    <row r="53" spans="3:22">
      <c r="D53" s="917"/>
      <c r="E53" s="918"/>
      <c r="F53" s="918"/>
      <c r="G53" s="918"/>
      <c r="H53" s="663"/>
      <c r="I53" s="707"/>
      <c r="J53" s="663"/>
    </row>
    <row r="54" spans="3:22">
      <c r="D54" s="708"/>
      <c r="E54" s="709"/>
      <c r="F54" s="709"/>
      <c r="G54" s="709"/>
      <c r="H54" s="709"/>
      <c r="I54" s="710"/>
      <c r="J54" s="663"/>
      <c r="K54" s="663"/>
    </row>
    <row r="55" spans="3:22">
      <c r="D55" s="663"/>
      <c r="E55" s="663"/>
      <c r="F55" s="663"/>
      <c r="G55" s="663"/>
      <c r="H55" s="663"/>
      <c r="I55" s="663"/>
      <c r="J55" s="663"/>
      <c r="K55" s="663"/>
    </row>
    <row r="56" spans="3:22" ht="18.600000000000001" thickBot="1">
      <c r="D56" s="711" t="s">
        <v>950</v>
      </c>
      <c r="E56" s="712"/>
      <c r="F56" s="712"/>
      <c r="G56" s="712"/>
      <c r="H56" s="712"/>
      <c r="I56" s="712"/>
      <c r="J56" s="712"/>
      <c r="K56" s="712"/>
      <c r="L56" s="553"/>
      <c r="M56" s="680"/>
      <c r="N56" s="680"/>
      <c r="O56" s="680"/>
      <c r="P56" s="680"/>
      <c r="Q56" s="680"/>
      <c r="R56" s="680"/>
      <c r="S56" s="680"/>
    </row>
    <row r="57" spans="3:22" ht="17.399999999999999">
      <c r="C57" s="713"/>
      <c r="D57" s="714"/>
      <c r="E57" s="715"/>
      <c r="F57" s="715"/>
      <c r="G57" s="715"/>
      <c r="H57" s="715"/>
      <c r="I57" s="715"/>
      <c r="J57" s="715"/>
      <c r="K57" s="715"/>
      <c r="L57" s="716"/>
      <c r="M57" s="717"/>
      <c r="N57" s="717"/>
      <c r="O57" s="717"/>
      <c r="P57" s="717"/>
      <c r="Q57" s="717"/>
      <c r="R57" s="717"/>
      <c r="S57" s="717"/>
      <c r="T57" s="718"/>
    </row>
    <row r="58" spans="3:22" s="683" customFormat="1" ht="34.799999999999997">
      <c r="C58" s="719"/>
      <c r="D58" s="919" t="s">
        <v>951</v>
      </c>
      <c r="E58" s="920"/>
      <c r="F58" s="920"/>
      <c r="G58" s="920"/>
      <c r="H58" s="920"/>
      <c r="I58" s="920"/>
      <c r="J58" s="920"/>
      <c r="K58" s="920"/>
      <c r="L58" s="692" t="s">
        <v>901</v>
      </c>
      <c r="M58" s="720" t="str">
        <f>M$7</f>
        <v>Issuer</v>
      </c>
      <c r="N58" s="721"/>
      <c r="O58" s="720" t="str">
        <f>O$7</f>
        <v>Director / Guarantor
- Individual</v>
      </c>
      <c r="P58" s="721"/>
      <c r="Q58" s="720" t="str">
        <f>Q$7</f>
        <v>Director / Guarantor
- Individual</v>
      </c>
      <c r="R58" s="721"/>
      <c r="S58" s="720" t="str">
        <f>S$7</f>
        <v>Corporate Guarantor</v>
      </c>
      <c r="T58" s="722"/>
    </row>
    <row r="59" spans="3:22" ht="17.25" customHeight="1">
      <c r="C59" s="780">
        <v>1</v>
      </c>
      <c r="D59" s="921" t="s">
        <v>904</v>
      </c>
      <c r="E59" s="922"/>
      <c r="F59" s="922"/>
      <c r="G59" s="922"/>
      <c r="H59" s="922"/>
      <c r="I59" s="922"/>
      <c r="J59" s="922"/>
      <c r="K59" s="923"/>
      <c r="L59" s="695" t="s">
        <v>905</v>
      </c>
      <c r="M59" s="696"/>
      <c r="N59" s="688"/>
      <c r="O59" s="775" t="s">
        <v>100</v>
      </c>
      <c r="P59" s="688"/>
      <c r="Q59" s="775"/>
      <c r="R59" s="688"/>
      <c r="S59" s="775"/>
      <c r="T59" s="725"/>
    </row>
    <row r="60" spans="3:22" ht="17.25" customHeight="1">
      <c r="C60" s="780">
        <v>2</v>
      </c>
      <c r="D60" s="915" t="s">
        <v>925</v>
      </c>
      <c r="E60" s="916"/>
      <c r="F60" s="916"/>
      <c r="G60" s="916"/>
      <c r="H60" s="916"/>
      <c r="I60" s="916"/>
      <c r="J60" s="916"/>
      <c r="K60" s="916"/>
      <c r="L60" s="695" t="s">
        <v>1065</v>
      </c>
      <c r="M60" s="775" t="s">
        <v>1094</v>
      </c>
      <c r="N60" s="688"/>
      <c r="O60" s="775"/>
      <c r="P60" s="688"/>
      <c r="Q60" s="775"/>
      <c r="R60" s="688"/>
      <c r="S60" s="775"/>
      <c r="T60" s="725"/>
    </row>
    <row r="61" spans="3:22" ht="17.25" customHeight="1">
      <c r="C61" s="780">
        <v>3</v>
      </c>
      <c r="D61" s="915"/>
      <c r="E61" s="916"/>
      <c r="F61" s="916"/>
      <c r="G61" s="916"/>
      <c r="H61" s="916"/>
      <c r="I61" s="916"/>
      <c r="J61" s="916"/>
      <c r="K61" s="916"/>
      <c r="L61" s="695"/>
      <c r="M61" s="775"/>
      <c r="N61" s="688"/>
      <c r="O61" s="696"/>
      <c r="P61" s="688"/>
      <c r="Q61" s="696"/>
      <c r="R61" s="688"/>
      <c r="S61" s="775"/>
      <c r="T61" s="725"/>
    </row>
    <row r="62" spans="3:22" s="444" customFormat="1" ht="17.25" customHeight="1">
      <c r="C62" s="780">
        <v>4</v>
      </c>
      <c r="D62" s="915"/>
      <c r="E62" s="916"/>
      <c r="F62" s="916"/>
      <c r="G62" s="916"/>
      <c r="H62" s="916"/>
      <c r="I62" s="916"/>
      <c r="J62" s="916"/>
      <c r="K62" s="916"/>
      <c r="L62" s="695"/>
      <c r="M62" s="802"/>
      <c r="N62" s="688"/>
      <c r="O62" s="773"/>
      <c r="P62" s="688"/>
      <c r="Q62" s="773"/>
      <c r="R62" s="688"/>
      <c r="S62" s="773"/>
      <c r="T62" s="725"/>
      <c r="U62" s="437"/>
      <c r="V62" s="437"/>
    </row>
    <row r="63" spans="3:22" s="444" customFormat="1" ht="17.25" customHeight="1">
      <c r="C63" s="780">
        <v>5</v>
      </c>
      <c r="D63" s="915"/>
      <c r="E63" s="916"/>
      <c r="F63" s="916"/>
      <c r="G63" s="916"/>
      <c r="H63" s="916"/>
      <c r="I63" s="916"/>
      <c r="J63" s="916"/>
      <c r="K63" s="930"/>
      <c r="L63" s="695"/>
      <c r="M63" s="699"/>
      <c r="N63" s="688"/>
      <c r="O63" s="773"/>
      <c r="P63" s="688"/>
      <c r="Q63" s="773"/>
      <c r="R63" s="688"/>
      <c r="S63" s="773"/>
      <c r="T63" s="725"/>
      <c r="U63" s="437"/>
      <c r="V63" s="437"/>
    </row>
    <row r="64" spans="3:22" s="444" customFormat="1" ht="17.25" customHeight="1">
      <c r="C64" s="780">
        <v>6</v>
      </c>
      <c r="D64" s="915"/>
      <c r="E64" s="916"/>
      <c r="F64" s="916"/>
      <c r="G64" s="916"/>
      <c r="H64" s="916"/>
      <c r="I64" s="916"/>
      <c r="J64" s="916"/>
      <c r="K64" s="930"/>
      <c r="L64" s="695"/>
      <c r="M64" s="773"/>
      <c r="N64" s="688"/>
      <c r="O64" s="773"/>
      <c r="P64" s="688"/>
      <c r="Q64" s="773"/>
      <c r="R64" s="688"/>
      <c r="S64" s="773"/>
      <c r="T64" s="725"/>
      <c r="U64" s="437"/>
      <c r="V64" s="437"/>
    </row>
    <row r="65" spans="3:22" s="444" customFormat="1" ht="17.25" customHeight="1">
      <c r="C65" s="780">
        <v>7</v>
      </c>
      <c r="D65" s="915"/>
      <c r="E65" s="916"/>
      <c r="F65" s="916"/>
      <c r="G65" s="916"/>
      <c r="H65" s="916"/>
      <c r="I65" s="916"/>
      <c r="J65" s="916"/>
      <c r="K65" s="930"/>
      <c r="L65" s="695"/>
      <c r="M65" s="773"/>
      <c r="N65" s="688"/>
      <c r="O65" s="773"/>
      <c r="P65" s="688"/>
      <c r="Q65" s="773"/>
      <c r="R65" s="688"/>
      <c r="S65" s="773"/>
      <c r="T65" s="725"/>
      <c r="U65" s="437"/>
      <c r="V65" s="437"/>
    </row>
    <row r="66" spans="3:22" s="444" customFormat="1" ht="17.25" customHeight="1">
      <c r="C66" s="780">
        <v>8</v>
      </c>
      <c r="D66" s="915"/>
      <c r="E66" s="916"/>
      <c r="F66" s="916"/>
      <c r="G66" s="916"/>
      <c r="H66" s="916"/>
      <c r="I66" s="916"/>
      <c r="J66" s="916"/>
      <c r="K66" s="930"/>
      <c r="L66" s="695"/>
      <c r="M66" s="773"/>
      <c r="N66" s="688"/>
      <c r="O66" s="773"/>
      <c r="P66" s="688"/>
      <c r="Q66" s="773"/>
      <c r="R66" s="688"/>
      <c r="S66" s="773"/>
      <c r="T66" s="725"/>
      <c r="U66" s="437"/>
      <c r="V66" s="437"/>
    </row>
    <row r="67" spans="3:22" s="444" customFormat="1" ht="17.25" customHeight="1">
      <c r="C67" s="780">
        <v>9</v>
      </c>
      <c r="D67" s="915"/>
      <c r="E67" s="916"/>
      <c r="F67" s="916"/>
      <c r="G67" s="916"/>
      <c r="H67" s="916"/>
      <c r="I67" s="916"/>
      <c r="J67" s="916"/>
      <c r="K67" s="930"/>
      <c r="L67" s="695"/>
      <c r="M67" s="696"/>
      <c r="N67" s="688"/>
      <c r="O67" s="775"/>
      <c r="P67" s="688"/>
      <c r="Q67" s="775"/>
      <c r="R67" s="688"/>
      <c r="S67" s="775"/>
      <c r="T67" s="725"/>
      <c r="U67" s="437"/>
      <c r="V67" s="437"/>
    </row>
    <row r="68" spans="3:22" s="444" customFormat="1" ht="17.25" customHeight="1">
      <c r="C68" s="726"/>
      <c r="D68" s="927"/>
      <c r="E68" s="928"/>
      <c r="F68" s="928"/>
      <c r="G68" s="928"/>
      <c r="H68" s="928"/>
      <c r="I68" s="928"/>
      <c r="J68" s="928"/>
      <c r="K68" s="929"/>
      <c r="L68" s="695"/>
      <c r="M68" s="699"/>
      <c r="N68" s="680"/>
      <c r="O68" s="724"/>
      <c r="P68" s="680"/>
      <c r="Q68" s="724"/>
      <c r="R68" s="680"/>
      <c r="S68" s="724"/>
      <c r="T68" s="725"/>
      <c r="U68" s="437"/>
      <c r="V68" s="437"/>
    </row>
    <row r="69" spans="3:22" s="444" customFormat="1">
      <c r="C69" s="726"/>
      <c r="D69" s="653"/>
      <c r="E69" s="653"/>
      <c r="F69" s="653"/>
      <c r="G69" s="653"/>
      <c r="H69" s="653"/>
      <c r="I69" s="653"/>
      <c r="J69" s="653"/>
      <c r="K69" s="653"/>
      <c r="L69" s="553"/>
      <c r="M69" s="680"/>
      <c r="N69" s="680"/>
      <c r="O69" s="680"/>
      <c r="P69" s="680"/>
      <c r="Q69" s="680"/>
      <c r="R69" s="680"/>
      <c r="S69" s="680"/>
      <c r="T69" s="725"/>
      <c r="U69" s="437"/>
      <c r="V69" s="437"/>
    </row>
    <row r="70" spans="3:22" s="444" customFormat="1" ht="18">
      <c r="C70" s="726"/>
      <c r="D70" s="655" t="s">
        <v>952</v>
      </c>
      <c r="E70" s="653"/>
      <c r="F70" s="653"/>
      <c r="G70" s="653"/>
      <c r="H70" s="653"/>
      <c r="I70" s="653"/>
      <c r="J70" s="653"/>
      <c r="K70" s="653"/>
      <c r="L70" s="553"/>
      <c r="M70" s="680"/>
      <c r="N70" s="680"/>
      <c r="O70" s="680"/>
      <c r="P70" s="680"/>
      <c r="Q70" s="680"/>
      <c r="R70" s="680"/>
      <c r="S70" s="680"/>
      <c r="T70" s="725"/>
      <c r="U70" s="437"/>
      <c r="V70" s="437"/>
    </row>
    <row r="71" spans="3:22" s="444" customFormat="1">
      <c r="C71" s="726"/>
      <c r="D71" s="653"/>
      <c r="E71" s="653"/>
      <c r="F71" s="653"/>
      <c r="G71" s="653"/>
      <c r="H71" s="653"/>
      <c r="I71" s="653"/>
      <c r="J71" s="653"/>
      <c r="K71" s="653"/>
      <c r="L71" s="553"/>
      <c r="M71" s="680"/>
      <c r="N71" s="680"/>
      <c r="O71" s="680"/>
      <c r="P71" s="680"/>
      <c r="Q71" s="680"/>
      <c r="R71" s="680"/>
      <c r="S71" s="680"/>
      <c r="T71" s="725"/>
      <c r="U71" s="437"/>
      <c r="V71" s="437"/>
    </row>
    <row r="72" spans="3:22" s="444" customFormat="1" ht="17.399999999999999">
      <c r="C72" s="726"/>
      <c r="D72" s="907" t="s">
        <v>851</v>
      </c>
      <c r="E72" s="909"/>
      <c r="F72" s="907" t="s">
        <v>953</v>
      </c>
      <c r="G72" s="908"/>
      <c r="H72" s="908"/>
      <c r="I72" s="908"/>
      <c r="J72" s="908"/>
      <c r="K72" s="909"/>
      <c r="L72" s="727" t="s">
        <v>853</v>
      </c>
      <c r="M72" s="907" t="s">
        <v>953</v>
      </c>
      <c r="N72" s="908"/>
      <c r="O72" s="908"/>
      <c r="P72" s="908"/>
      <c r="Q72" s="909"/>
      <c r="R72" s="665"/>
      <c r="S72" s="665"/>
      <c r="T72" s="725"/>
      <c r="U72" s="437"/>
    </row>
    <row r="73" spans="3:22" s="444" customFormat="1" ht="17.399999999999999">
      <c r="C73" s="726"/>
      <c r="D73" s="664"/>
      <c r="E73" s="670"/>
      <c r="F73" s="816" t="s">
        <v>1096</v>
      </c>
      <c r="G73" s="913" t="s">
        <v>1099</v>
      </c>
      <c r="H73" s="913"/>
      <c r="I73" s="913"/>
      <c r="J73" s="913"/>
      <c r="K73" s="914"/>
      <c r="L73" s="777"/>
      <c r="M73" s="664"/>
      <c r="N73" s="665"/>
      <c r="O73" s="665"/>
      <c r="P73" s="665"/>
      <c r="Q73" s="670"/>
      <c r="R73" s="665"/>
      <c r="S73" s="665"/>
      <c r="T73" s="725"/>
      <c r="U73" s="437"/>
    </row>
    <row r="74" spans="3:22" s="444" customFormat="1" ht="21.75" customHeight="1">
      <c r="C74" s="726"/>
      <c r="D74" s="664"/>
      <c r="E74" s="670"/>
      <c r="F74" s="789"/>
      <c r="G74" s="913"/>
      <c r="H74" s="913"/>
      <c r="I74" s="913"/>
      <c r="J74" s="913"/>
      <c r="K74" s="914"/>
      <c r="L74" s="777"/>
      <c r="M74" s="664"/>
      <c r="N74" s="665"/>
      <c r="O74" s="665"/>
      <c r="P74" s="665"/>
      <c r="Q74" s="670"/>
      <c r="R74" s="665"/>
      <c r="S74" s="665"/>
      <c r="T74" s="725"/>
      <c r="U74" s="437"/>
    </row>
    <row r="75" spans="3:22" s="444" customFormat="1" ht="17.25" customHeight="1">
      <c r="C75" s="726"/>
      <c r="D75" s="664"/>
      <c r="E75" s="670"/>
      <c r="F75" s="817" t="s">
        <v>1097</v>
      </c>
      <c r="G75" s="911" t="s">
        <v>1098</v>
      </c>
      <c r="H75" s="911"/>
      <c r="I75" s="911"/>
      <c r="J75" s="911"/>
      <c r="K75" s="912"/>
      <c r="L75" s="777"/>
      <c r="M75" s="664"/>
      <c r="N75" s="665"/>
      <c r="O75" s="665"/>
      <c r="P75" s="665"/>
      <c r="Q75" s="670"/>
      <c r="R75" s="665"/>
      <c r="S75" s="665"/>
      <c r="T75" s="725"/>
      <c r="U75" s="437"/>
    </row>
    <row r="76" spans="3:22" s="444" customFormat="1" ht="17.399999999999999">
      <c r="C76" s="726"/>
      <c r="D76" s="664"/>
      <c r="E76" s="670"/>
      <c r="F76" s="791"/>
      <c r="G76" s="911"/>
      <c r="H76" s="911"/>
      <c r="I76" s="911"/>
      <c r="J76" s="911"/>
      <c r="K76" s="912"/>
      <c r="L76" s="777"/>
      <c r="M76" s="664"/>
      <c r="N76" s="665"/>
      <c r="O76" s="665"/>
      <c r="P76" s="665"/>
      <c r="Q76" s="670"/>
      <c r="R76" s="665"/>
      <c r="S76" s="665"/>
      <c r="T76" s="725"/>
      <c r="U76" s="437"/>
    </row>
    <row r="77" spans="3:22" s="444" customFormat="1" ht="17.399999999999999">
      <c r="C77" s="726"/>
      <c r="D77" s="664"/>
      <c r="E77" s="670"/>
      <c r="F77" s="790"/>
      <c r="G77" s="911"/>
      <c r="H77" s="911"/>
      <c r="I77" s="911"/>
      <c r="J77" s="911"/>
      <c r="K77" s="912"/>
      <c r="L77" s="777"/>
      <c r="M77" s="664"/>
      <c r="N77" s="665"/>
      <c r="O77" s="665"/>
      <c r="P77" s="665"/>
      <c r="Q77" s="670"/>
      <c r="R77" s="665"/>
      <c r="S77" s="665"/>
      <c r="T77" s="725"/>
      <c r="U77" s="437"/>
    </row>
    <row r="78" spans="3:22" s="444" customFormat="1" ht="18">
      <c r="C78" s="726"/>
      <c r="D78" s="672"/>
      <c r="E78" s="674"/>
      <c r="F78" s="790"/>
      <c r="G78" s="812"/>
      <c r="H78" s="812"/>
      <c r="I78" s="812"/>
      <c r="J78" s="812"/>
      <c r="K78" s="813"/>
      <c r="L78" s="728"/>
      <c r="M78" s="669"/>
      <c r="N78" s="667"/>
      <c r="O78" s="667"/>
      <c r="P78" s="667"/>
      <c r="Q78" s="673"/>
      <c r="R78" s="667"/>
      <c r="S78" s="667"/>
      <c r="T78" s="725"/>
      <c r="U78" s="437"/>
      <c r="V78" s="437"/>
    </row>
    <row r="79" spans="3:22" s="444" customFormat="1">
      <c r="C79" s="726"/>
      <c r="D79" s="675"/>
      <c r="E79" s="678"/>
      <c r="F79" s="792"/>
      <c r="G79" s="814"/>
      <c r="H79" s="814"/>
      <c r="I79" s="814"/>
      <c r="J79" s="814"/>
      <c r="K79" s="815"/>
      <c r="L79" s="729"/>
      <c r="M79" s="676"/>
      <c r="N79" s="677"/>
      <c r="O79" s="677"/>
      <c r="P79" s="677"/>
      <c r="Q79" s="678"/>
      <c r="R79" s="667"/>
      <c r="S79" s="667"/>
      <c r="T79" s="725"/>
      <c r="U79" s="437"/>
      <c r="V79" s="437"/>
    </row>
    <row r="80" spans="3:22" s="444" customFormat="1">
      <c r="C80" s="726"/>
      <c r="D80" s="653"/>
      <c r="E80" s="653"/>
      <c r="F80" s="653"/>
      <c r="G80" s="653"/>
      <c r="H80" s="653"/>
      <c r="I80" s="653"/>
      <c r="J80" s="653"/>
      <c r="K80" s="653"/>
      <c r="L80" s="553"/>
      <c r="M80" s="680"/>
      <c r="N80" s="680"/>
      <c r="O80" s="680"/>
      <c r="P80" s="680"/>
      <c r="Q80" s="680"/>
      <c r="R80" s="680"/>
      <c r="S80" s="680"/>
      <c r="T80" s="725"/>
      <c r="U80" s="437"/>
      <c r="V80" s="437"/>
    </row>
    <row r="81" spans="3:22" ht="17.399999999999999">
      <c r="C81" s="723"/>
      <c r="D81" s="910" t="s">
        <v>954</v>
      </c>
      <c r="E81" s="910"/>
      <c r="F81" s="910"/>
      <c r="G81" s="910"/>
      <c r="H81" s="910"/>
      <c r="I81" s="910"/>
      <c r="J81" s="910"/>
      <c r="K81" s="910"/>
      <c r="L81" s="910"/>
      <c r="M81" s="910"/>
      <c r="N81" s="910"/>
      <c r="O81" s="910"/>
      <c r="P81" s="910"/>
      <c r="Q81" s="910"/>
      <c r="R81" s="665"/>
      <c r="S81" s="665"/>
      <c r="T81" s="730"/>
      <c r="U81" s="689"/>
    </row>
    <row r="82" spans="3:22" s="444" customFormat="1">
      <c r="C82" s="726"/>
      <c r="D82" s="653"/>
      <c r="E82" s="653"/>
      <c r="F82" s="653"/>
      <c r="G82" s="653"/>
      <c r="H82" s="653"/>
      <c r="I82" s="653"/>
      <c r="J82" s="653"/>
      <c r="K82" s="653"/>
      <c r="L82" s="553"/>
      <c r="M82" s="680"/>
      <c r="N82" s="680"/>
      <c r="O82" s="680"/>
      <c r="P82" s="680"/>
      <c r="Q82" s="680"/>
      <c r="R82" s="680"/>
      <c r="S82" s="680"/>
      <c r="T82" s="725"/>
      <c r="U82" s="437"/>
      <c r="V82" s="437"/>
    </row>
    <row r="83" spans="3:22" s="444" customFormat="1" ht="17.399999999999999">
      <c r="C83" s="726"/>
      <c r="D83" s="907" t="s">
        <v>855</v>
      </c>
      <c r="E83" s="909"/>
      <c r="F83" s="907" t="s">
        <v>953</v>
      </c>
      <c r="G83" s="908"/>
      <c r="H83" s="908"/>
      <c r="I83" s="908"/>
      <c r="J83" s="908"/>
      <c r="K83" s="909"/>
      <c r="L83" s="731" t="s">
        <v>856</v>
      </c>
      <c r="M83" s="907" t="s">
        <v>953</v>
      </c>
      <c r="N83" s="908"/>
      <c r="O83" s="908"/>
      <c r="P83" s="908"/>
      <c r="Q83" s="909"/>
      <c r="R83" s="665"/>
      <c r="S83" s="665"/>
      <c r="T83" s="725"/>
      <c r="U83" s="437"/>
    </row>
    <row r="84" spans="3:22" s="444" customFormat="1" ht="17.399999999999999">
      <c r="C84" s="726"/>
      <c r="D84" s="664"/>
      <c r="E84" s="670"/>
      <c r="F84" s="669"/>
      <c r="G84" s="667"/>
      <c r="H84" s="667"/>
      <c r="I84" s="667"/>
      <c r="J84" s="667"/>
      <c r="K84" s="673"/>
      <c r="L84" s="732"/>
      <c r="M84" s="664"/>
      <c r="N84" s="665"/>
      <c r="O84" s="667"/>
      <c r="P84" s="667"/>
      <c r="Q84" s="673"/>
      <c r="R84" s="667"/>
      <c r="S84" s="667"/>
      <c r="T84" s="725"/>
      <c r="U84" s="437"/>
      <c r="V84" s="437"/>
    </row>
    <row r="85" spans="3:22" s="444" customFormat="1" ht="17.399999999999999">
      <c r="C85" s="726"/>
      <c r="D85" s="664"/>
      <c r="E85" s="670"/>
      <c r="F85" s="669"/>
      <c r="G85" s="667"/>
      <c r="H85" s="667"/>
      <c r="I85" s="667"/>
      <c r="J85" s="667"/>
      <c r="K85" s="673"/>
      <c r="L85" s="732"/>
      <c r="M85" s="664"/>
      <c r="N85" s="665"/>
      <c r="O85" s="667"/>
      <c r="P85" s="667"/>
      <c r="Q85" s="673"/>
      <c r="R85" s="667"/>
      <c r="S85" s="667"/>
      <c r="T85" s="725"/>
      <c r="U85" s="437"/>
      <c r="V85" s="437"/>
    </row>
    <row r="86" spans="3:22" s="444" customFormat="1" ht="17.399999999999999">
      <c r="C86" s="726"/>
      <c r="D86" s="664"/>
      <c r="E86" s="670"/>
      <c r="F86" s="669"/>
      <c r="G86" s="667"/>
      <c r="H86" s="667"/>
      <c r="I86" s="667"/>
      <c r="J86" s="667"/>
      <c r="K86" s="673"/>
      <c r="L86" s="732"/>
      <c r="M86" s="664"/>
      <c r="N86" s="665"/>
      <c r="O86" s="667"/>
      <c r="P86" s="667"/>
      <c r="Q86" s="673"/>
      <c r="R86" s="667"/>
      <c r="S86" s="667"/>
      <c r="T86" s="725"/>
      <c r="U86" s="437"/>
      <c r="V86" s="437"/>
    </row>
    <row r="87" spans="3:22" s="444" customFormat="1" ht="17.399999999999999">
      <c r="C87" s="726"/>
      <c r="D87" s="664"/>
      <c r="E87" s="670"/>
      <c r="F87" s="669"/>
      <c r="G87" s="667"/>
      <c r="H87" s="667"/>
      <c r="I87" s="667"/>
      <c r="J87" s="667"/>
      <c r="K87" s="673"/>
      <c r="L87" s="732"/>
      <c r="M87" s="664"/>
      <c r="N87" s="665"/>
      <c r="O87" s="667"/>
      <c r="P87" s="667"/>
      <c r="Q87" s="673"/>
      <c r="R87" s="667"/>
      <c r="S87" s="667"/>
      <c r="T87" s="725"/>
      <c r="U87" s="437"/>
      <c r="V87" s="437"/>
    </row>
    <row r="88" spans="3:22" s="444" customFormat="1" ht="17.399999999999999">
      <c r="C88" s="726"/>
      <c r="D88" s="733"/>
      <c r="E88" s="734"/>
      <c r="F88" s="676"/>
      <c r="G88" s="677"/>
      <c r="H88" s="677"/>
      <c r="I88" s="677"/>
      <c r="J88" s="677"/>
      <c r="K88" s="678"/>
      <c r="L88" s="735"/>
      <c r="M88" s="733"/>
      <c r="N88" s="736"/>
      <c r="O88" s="677"/>
      <c r="P88" s="677"/>
      <c r="Q88" s="678"/>
      <c r="R88" s="667"/>
      <c r="S88" s="667"/>
      <c r="T88" s="725"/>
      <c r="U88" s="437"/>
      <c r="V88" s="437"/>
    </row>
    <row r="89" spans="3:22" s="684" customFormat="1" ht="15.6">
      <c r="C89" s="737"/>
      <c r="D89" s="537" t="s">
        <v>857</v>
      </c>
      <c r="E89" s="738"/>
      <c r="F89" s="537" t="s">
        <v>858</v>
      </c>
      <c r="G89" s="739"/>
      <c r="H89" s="739"/>
      <c r="I89" s="445" t="s">
        <v>798</v>
      </c>
      <c r="J89" s="739"/>
      <c r="K89" s="740"/>
      <c r="L89" s="741" t="s">
        <v>857</v>
      </c>
      <c r="M89" s="742" t="s">
        <v>955</v>
      </c>
      <c r="N89" s="739"/>
      <c r="O89" s="743" t="s">
        <v>859</v>
      </c>
      <c r="P89" s="739"/>
      <c r="Q89" s="781"/>
      <c r="R89" s="739"/>
      <c r="S89" s="739"/>
      <c r="T89" s="744"/>
      <c r="U89" s="745"/>
      <c r="V89" s="745"/>
    </row>
    <row r="90" spans="3:22" s="684" customFormat="1" ht="15.6">
      <c r="C90" s="737"/>
      <c r="D90" s="537"/>
      <c r="E90" s="738"/>
      <c r="F90" s="537"/>
      <c r="G90" s="739"/>
      <c r="H90" s="739"/>
      <c r="I90" s="445"/>
      <c r="J90" s="739"/>
      <c r="K90" s="740"/>
      <c r="L90" s="537"/>
      <c r="M90" s="742"/>
      <c r="N90" s="739"/>
      <c r="O90" s="746"/>
      <c r="P90" s="739"/>
      <c r="Q90" s="740"/>
      <c r="R90" s="739"/>
      <c r="S90" s="739"/>
      <c r="T90" s="744"/>
      <c r="U90" s="745"/>
      <c r="V90" s="745"/>
    </row>
    <row r="91" spans="3:22" s="444" customFormat="1">
      <c r="C91" s="726"/>
      <c r="D91" s="747"/>
      <c r="E91" s="678"/>
      <c r="F91" s="747"/>
      <c r="G91" s="677"/>
      <c r="H91" s="677"/>
      <c r="I91" s="677"/>
      <c r="J91" s="677"/>
      <c r="K91" s="678"/>
      <c r="L91" s="747"/>
      <c r="M91" s="676"/>
      <c r="N91" s="677"/>
      <c r="O91" s="677"/>
      <c r="P91" s="677"/>
      <c r="Q91" s="678"/>
      <c r="R91" s="667"/>
      <c r="S91" s="667"/>
      <c r="T91" s="725"/>
      <c r="U91" s="437"/>
      <c r="V91" s="437"/>
    </row>
    <row r="92" spans="3:22" ht="15" thickBot="1">
      <c r="C92" s="748"/>
      <c r="D92" s="749"/>
      <c r="E92" s="749"/>
      <c r="F92" s="749"/>
      <c r="G92" s="749"/>
      <c r="H92" s="749"/>
      <c r="I92" s="749"/>
      <c r="J92" s="749"/>
      <c r="K92" s="749"/>
      <c r="L92" s="750"/>
      <c r="M92" s="751"/>
      <c r="N92" s="751"/>
      <c r="O92" s="751"/>
      <c r="P92" s="751"/>
      <c r="Q92" s="751"/>
      <c r="R92" s="751"/>
      <c r="S92" s="751"/>
      <c r="T92" s="752"/>
    </row>
    <row r="93" spans="3:22">
      <c r="D93" s="523"/>
      <c r="E93" s="523"/>
      <c r="F93" s="523"/>
      <c r="G93" s="523"/>
      <c r="H93" s="523"/>
      <c r="I93" s="523"/>
      <c r="J93" s="523"/>
      <c r="K93" s="523"/>
      <c r="L93" s="553"/>
      <c r="M93" s="680"/>
      <c r="N93" s="680"/>
      <c r="O93" s="680"/>
      <c r="P93" s="680"/>
      <c r="Q93" s="680"/>
      <c r="R93" s="680"/>
      <c r="S93" s="680"/>
    </row>
    <row r="94" spans="3:22">
      <c r="D94" s="523"/>
      <c r="E94" s="523"/>
      <c r="F94" s="523"/>
      <c r="G94" s="523"/>
      <c r="H94" s="523"/>
      <c r="I94" s="523"/>
      <c r="J94" s="523"/>
      <c r="K94" s="523"/>
      <c r="L94" s="553"/>
      <c r="M94" s="680"/>
      <c r="N94" s="680"/>
      <c r="O94" s="680"/>
      <c r="P94" s="680"/>
      <c r="Q94" s="680"/>
      <c r="R94" s="680"/>
      <c r="S94" s="680"/>
    </row>
    <row r="95" spans="3:22">
      <c r="D95" s="523"/>
      <c r="E95" s="523"/>
      <c r="F95" s="523"/>
      <c r="G95" s="523"/>
      <c r="H95" s="523"/>
      <c r="I95" s="523"/>
      <c r="J95" s="523"/>
      <c r="K95" s="523"/>
      <c r="L95" s="553"/>
      <c r="M95" s="680"/>
      <c r="N95" s="680"/>
      <c r="O95" s="680"/>
      <c r="P95" s="680"/>
      <c r="Q95" s="680"/>
      <c r="R95" s="680"/>
      <c r="S95" s="680"/>
    </row>
    <row r="96" spans="3:22">
      <c r="D96" s="523"/>
      <c r="E96" s="523"/>
      <c r="F96" s="523"/>
      <c r="G96" s="523"/>
      <c r="H96" s="523"/>
      <c r="I96" s="523"/>
      <c r="J96" s="523"/>
      <c r="K96" s="523"/>
      <c r="L96" s="553"/>
      <c r="M96" s="680"/>
      <c r="N96" s="680"/>
      <c r="O96" s="680"/>
      <c r="P96" s="680"/>
      <c r="Q96" s="680"/>
      <c r="R96" s="680"/>
      <c r="S96" s="680"/>
    </row>
    <row r="97" spans="4:24" s="654" customFormat="1">
      <c r="D97" s="522"/>
      <c r="E97" s="522"/>
      <c r="F97" s="522"/>
      <c r="G97" s="522"/>
      <c r="H97" s="522"/>
      <c r="I97" s="522"/>
      <c r="J97" s="522"/>
      <c r="K97" s="522"/>
      <c r="L97" s="553"/>
      <c r="M97" s="680"/>
      <c r="N97" s="680"/>
      <c r="O97" s="680"/>
      <c r="P97" s="680"/>
      <c r="Q97" s="680"/>
      <c r="R97" s="680"/>
      <c r="S97" s="680"/>
      <c r="T97" s="437"/>
      <c r="U97" s="437"/>
      <c r="V97" s="437"/>
      <c r="W97" s="437"/>
      <c r="X97" s="437"/>
    </row>
    <row r="98" spans="4:24">
      <c r="D98" s="523"/>
      <c r="E98" s="523"/>
      <c r="F98" s="523"/>
      <c r="G98" s="523"/>
      <c r="H98" s="523"/>
      <c r="I98" s="523"/>
      <c r="J98" s="523"/>
      <c r="K98" s="523"/>
      <c r="L98" s="553"/>
      <c r="M98" s="680"/>
      <c r="N98" s="680"/>
      <c r="O98" s="680"/>
      <c r="P98" s="680"/>
      <c r="Q98" s="680"/>
      <c r="R98" s="680"/>
      <c r="S98" s="680"/>
    </row>
    <row r="99" spans="4:24">
      <c r="D99" s="523"/>
      <c r="E99" s="523"/>
      <c r="F99" s="523"/>
      <c r="G99" s="523"/>
      <c r="H99" s="523"/>
      <c r="I99" s="523"/>
      <c r="J99" s="523"/>
      <c r="K99" s="523"/>
      <c r="L99" s="553"/>
      <c r="M99" s="680"/>
      <c r="N99" s="680"/>
      <c r="O99" s="680"/>
      <c r="P99" s="680"/>
      <c r="Q99" s="680"/>
      <c r="R99" s="680"/>
      <c r="S99" s="680"/>
    </row>
  </sheetData>
  <mergeCells count="63">
    <mergeCell ref="D68:K68"/>
    <mergeCell ref="D64:K64"/>
    <mergeCell ref="D67:K67"/>
    <mergeCell ref="D63:K63"/>
    <mergeCell ref="D65:K65"/>
    <mergeCell ref="D66:K66"/>
    <mergeCell ref="D19:K19"/>
    <mergeCell ref="D3:Q3"/>
    <mergeCell ref="H5:I5"/>
    <mergeCell ref="H6:I6"/>
    <mergeCell ref="D11:K11"/>
    <mergeCell ref="D12:K12"/>
    <mergeCell ref="D13:K13"/>
    <mergeCell ref="D14:K14"/>
    <mergeCell ref="D15:K15"/>
    <mergeCell ref="D16:K16"/>
    <mergeCell ref="D17:K17"/>
    <mergeCell ref="D18:K18"/>
    <mergeCell ref="D31:K31"/>
    <mergeCell ref="D20:K20"/>
    <mergeCell ref="D21:K21"/>
    <mergeCell ref="D22:K22"/>
    <mergeCell ref="D23:K23"/>
    <mergeCell ref="D24:K24"/>
    <mergeCell ref="D25:K25"/>
    <mergeCell ref="D26:K26"/>
    <mergeCell ref="D27:K27"/>
    <mergeCell ref="D28:K28"/>
    <mergeCell ref="D29:K29"/>
    <mergeCell ref="D30:K30"/>
    <mergeCell ref="D43:K43"/>
    <mergeCell ref="D32:K32"/>
    <mergeCell ref="D33:K33"/>
    <mergeCell ref="D34:K34"/>
    <mergeCell ref="D35:K35"/>
    <mergeCell ref="D36:K36"/>
    <mergeCell ref="D37:K37"/>
    <mergeCell ref="D38:K38"/>
    <mergeCell ref="D39:K39"/>
    <mergeCell ref="D40:K40"/>
    <mergeCell ref="D41:K41"/>
    <mergeCell ref="D42:K42"/>
    <mergeCell ref="D44:K44"/>
    <mergeCell ref="D45:K45"/>
    <mergeCell ref="D46:K46"/>
    <mergeCell ref="D47:K47"/>
    <mergeCell ref="D48:K48"/>
    <mergeCell ref="D49:K49"/>
    <mergeCell ref="D52:G53"/>
    <mergeCell ref="D58:K58"/>
    <mergeCell ref="D59:K59"/>
    <mergeCell ref="D62:K62"/>
    <mergeCell ref="D61:K61"/>
    <mergeCell ref="D60:K60"/>
    <mergeCell ref="M72:Q72"/>
    <mergeCell ref="D81:Q81"/>
    <mergeCell ref="D83:E83"/>
    <mergeCell ref="F83:K83"/>
    <mergeCell ref="M83:Q83"/>
    <mergeCell ref="D72:E72"/>
    <mergeCell ref="F72:K72"/>
    <mergeCell ref="G75:K77"/>
    <mergeCell ref="G73:K74"/>
  </mergeCells>
  <dataValidations count="1">
    <dataValidation type="list" allowBlank="1" showInputMessage="1" showErrorMessage="1" sqref="M7 O7 Q7:S7" xr:uid="{9A6AEFA0-1C41-4D9C-A913-2E3FA5736D40}">
      <formula1>$X$16:$X$20</formula1>
    </dataValidation>
  </dataValidations>
  <printOptions horizontalCentered="1"/>
  <pageMargins left="0.23622047244094491" right="0.23622047244094491" top="0.19685039370078741" bottom="0" header="0.31496062992125984" footer="0.31496062992125984"/>
  <pageSetup paperSize="8" scale="57" fitToHeight="0"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51F530-EEB8-4900-9DBC-E1FB5AC5CE4C}">
  <sheetPr>
    <tabColor theme="9" tint="0.79998168889431442"/>
    <pageSetUpPr fitToPage="1"/>
  </sheetPr>
  <dimension ref="B3:J70"/>
  <sheetViews>
    <sheetView showGridLines="0" view="pageBreakPreview" zoomScale="87" zoomScaleNormal="55" zoomScaleSheetLayoutView="87" workbookViewId="0">
      <selection activeCell="D9" sqref="D9"/>
    </sheetView>
  </sheetViews>
  <sheetFormatPr defaultColWidth="9" defaultRowHeight="14.4"/>
  <cols>
    <col min="1" max="1" width="1.5546875" style="804" customWidth="1"/>
    <col min="2" max="2" width="9" style="804"/>
    <col min="3" max="3" width="80.109375" style="804" customWidth="1"/>
    <col min="4" max="4" width="9" style="804"/>
    <col min="5" max="5" width="12.33203125" style="804" bestFit="1" customWidth="1"/>
    <col min="6" max="6" width="9" style="804"/>
    <col min="7" max="7" width="53.6640625" style="804" customWidth="1"/>
    <col min="8" max="8" width="1.5546875" style="804" customWidth="1"/>
    <col min="9" max="16384" width="9" style="804"/>
  </cols>
  <sheetData>
    <row r="3" spans="2:10" ht="23.4">
      <c r="B3" s="931" t="s">
        <v>838</v>
      </c>
      <c r="C3" s="931"/>
      <c r="D3" s="931"/>
      <c r="E3" s="931"/>
      <c r="F3" s="931"/>
      <c r="G3" s="931"/>
    </row>
    <row r="4" spans="2:10" ht="15" customHeight="1">
      <c r="B4" s="753"/>
      <c r="C4" s="753"/>
      <c r="D4" s="753"/>
      <c r="E4" s="753"/>
      <c r="F4" s="753"/>
      <c r="G4" s="753"/>
    </row>
    <row r="5" spans="2:10" ht="18">
      <c r="B5" s="754" t="s">
        <v>1100</v>
      </c>
      <c r="C5" s="498"/>
      <c r="D5" s="685" t="s">
        <v>859</v>
      </c>
      <c r="E5" s="818">
        <v>45603</v>
      </c>
    </row>
    <row r="6" spans="2:10">
      <c r="D6" s="755"/>
      <c r="E6" s="755"/>
      <c r="F6" s="755"/>
    </row>
    <row r="7" spans="2:10" s="446" customFormat="1" ht="18" customHeight="1">
      <c r="B7" s="756" t="s">
        <v>93</v>
      </c>
      <c r="C7" s="756" t="s">
        <v>956</v>
      </c>
      <c r="D7" s="756" t="s">
        <v>62</v>
      </c>
      <c r="E7" s="756" t="s">
        <v>5</v>
      </c>
      <c r="F7" s="756" t="s">
        <v>957</v>
      </c>
      <c r="G7" s="756" t="s">
        <v>95</v>
      </c>
      <c r="J7" s="438"/>
    </row>
    <row r="8" spans="2:10" s="438" customFormat="1" ht="15.6">
      <c r="B8" s="757" t="s">
        <v>97</v>
      </c>
      <c r="C8" s="758" t="s">
        <v>958</v>
      </c>
      <c r="D8" s="759"/>
      <c r="E8" s="759"/>
      <c r="F8" s="760"/>
      <c r="G8" s="759"/>
    </row>
    <row r="9" spans="2:10" s="438" customFormat="1" ht="18" customHeight="1">
      <c r="B9" s="759">
        <v>1</v>
      </c>
      <c r="C9" s="761" t="s">
        <v>959</v>
      </c>
      <c r="D9" s="819" t="b">
        <v>1</v>
      </c>
      <c r="E9" s="819" t="b">
        <v>0</v>
      </c>
      <c r="F9" s="819" t="b">
        <v>0</v>
      </c>
      <c r="G9" s="759"/>
    </row>
    <row r="10" spans="2:10" s="438" customFormat="1" ht="31.2">
      <c r="B10" s="759">
        <v>2</v>
      </c>
      <c r="C10" s="761" t="s">
        <v>960</v>
      </c>
      <c r="D10" s="819" t="b">
        <v>0</v>
      </c>
      <c r="E10" s="819" t="b">
        <v>0</v>
      </c>
      <c r="F10" s="820" t="b">
        <v>0</v>
      </c>
      <c r="G10" s="759"/>
    </row>
    <row r="11" spans="2:10" s="438" customFormat="1" ht="31.2">
      <c r="B11" s="759">
        <v>3</v>
      </c>
      <c r="C11" s="761" t="s">
        <v>961</v>
      </c>
      <c r="D11" s="819" t="b">
        <v>0</v>
      </c>
      <c r="E11" s="819" t="b">
        <v>0</v>
      </c>
      <c r="F11" s="819" t="b">
        <v>0</v>
      </c>
      <c r="G11" s="759"/>
    </row>
    <row r="12" spans="2:10" s="438" customFormat="1" ht="15.6">
      <c r="B12" s="759"/>
      <c r="C12" s="761"/>
      <c r="D12" s="759"/>
      <c r="E12" s="759"/>
      <c r="F12" s="759"/>
      <c r="G12" s="759"/>
    </row>
    <row r="13" spans="2:10" s="438" customFormat="1" ht="18" customHeight="1">
      <c r="B13" s="757" t="s">
        <v>98</v>
      </c>
      <c r="C13" s="758" t="s">
        <v>962</v>
      </c>
      <c r="D13" s="759"/>
      <c r="E13" s="759"/>
      <c r="F13" s="759"/>
      <c r="G13" s="759"/>
    </row>
    <row r="14" spans="2:10" s="438" customFormat="1" ht="31.2">
      <c r="B14" s="759">
        <v>1</v>
      </c>
      <c r="C14" s="761" t="s">
        <v>1066</v>
      </c>
      <c r="D14" s="759"/>
      <c r="E14" s="760"/>
      <c r="F14" s="759"/>
      <c r="G14" s="759"/>
    </row>
    <row r="15" spans="2:10" s="438" customFormat="1" ht="18" customHeight="1">
      <c r="B15" s="759">
        <v>2</v>
      </c>
      <c r="C15" s="759" t="s">
        <v>963</v>
      </c>
      <c r="D15" s="759"/>
      <c r="E15" s="760"/>
      <c r="F15" s="759"/>
      <c r="G15" s="759"/>
      <c r="J15" s="762"/>
    </row>
    <row r="16" spans="2:10" s="438" customFormat="1" ht="18" customHeight="1">
      <c r="B16" s="759">
        <v>3</v>
      </c>
      <c r="C16" s="759" t="s">
        <v>964</v>
      </c>
      <c r="D16" s="759"/>
      <c r="E16" s="760"/>
      <c r="F16" s="759"/>
      <c r="G16" s="759"/>
      <c r="J16" s="762"/>
    </row>
    <row r="17" spans="2:10" s="438" customFormat="1" ht="18" customHeight="1">
      <c r="B17" s="759">
        <v>4</v>
      </c>
      <c r="C17" s="759" t="s">
        <v>965</v>
      </c>
      <c r="D17" s="759"/>
      <c r="E17" s="760"/>
      <c r="F17" s="759"/>
      <c r="G17" s="759"/>
    </row>
    <row r="18" spans="2:10" s="438" customFormat="1" ht="18" customHeight="1">
      <c r="B18" s="759">
        <v>5</v>
      </c>
      <c r="C18" s="759" t="s">
        <v>966</v>
      </c>
      <c r="D18" s="759"/>
      <c r="E18" s="760"/>
      <c r="F18" s="759"/>
      <c r="G18" s="759"/>
    </row>
    <row r="19" spans="2:10" s="438" customFormat="1" ht="62.4">
      <c r="B19" s="759">
        <v>6</v>
      </c>
      <c r="C19" s="788" t="s">
        <v>1025</v>
      </c>
      <c r="D19" s="759"/>
      <c r="E19" s="760"/>
      <c r="F19" s="759"/>
      <c r="G19" s="759"/>
    </row>
    <row r="20" spans="2:10" s="438" customFormat="1" ht="62.4">
      <c r="B20" s="759">
        <v>7</v>
      </c>
      <c r="C20" s="761" t="s">
        <v>1067</v>
      </c>
      <c r="D20" s="759"/>
      <c r="E20" s="760"/>
      <c r="F20" s="759"/>
      <c r="G20" s="759"/>
    </row>
    <row r="21" spans="2:10" s="438" customFormat="1" ht="62.4">
      <c r="B21" s="759">
        <v>8</v>
      </c>
      <c r="C21" s="761" t="s">
        <v>1068</v>
      </c>
      <c r="D21" s="759"/>
      <c r="E21" s="760"/>
      <c r="F21" s="759"/>
      <c r="G21" s="759"/>
    </row>
    <row r="22" spans="2:10" s="438" customFormat="1" ht="15.6">
      <c r="B22" s="759">
        <v>9</v>
      </c>
      <c r="C22" s="761" t="s">
        <v>967</v>
      </c>
      <c r="D22" s="759"/>
      <c r="E22" s="760"/>
      <c r="F22" s="759"/>
      <c r="G22" s="759"/>
    </row>
    <row r="23" spans="2:10" s="438" customFormat="1" ht="15.6">
      <c r="B23" s="759">
        <v>10</v>
      </c>
      <c r="C23" s="761" t="s">
        <v>968</v>
      </c>
      <c r="D23" s="759"/>
      <c r="E23" s="760"/>
      <c r="F23" s="759"/>
      <c r="G23" s="759"/>
    </row>
    <row r="24" spans="2:10" s="438" customFormat="1" ht="18" customHeight="1">
      <c r="B24" s="759"/>
      <c r="C24" s="759"/>
      <c r="D24" s="759"/>
      <c r="E24" s="760"/>
      <c r="F24" s="759"/>
      <c r="G24" s="759"/>
    </row>
    <row r="25" spans="2:10" s="438" customFormat="1" ht="18" customHeight="1">
      <c r="B25" s="757" t="s">
        <v>99</v>
      </c>
      <c r="C25" s="758" t="s">
        <v>969</v>
      </c>
      <c r="D25" s="759"/>
      <c r="E25" s="759"/>
      <c r="F25" s="759"/>
      <c r="G25" s="759"/>
    </row>
    <row r="26" spans="2:10" s="438" customFormat="1" ht="18" customHeight="1">
      <c r="B26" s="759">
        <v>1</v>
      </c>
      <c r="C26" s="759" t="s">
        <v>1029</v>
      </c>
      <c r="D26" s="760"/>
      <c r="E26" s="760"/>
      <c r="F26" s="759"/>
      <c r="G26" s="759"/>
      <c r="J26" s="762"/>
    </row>
    <row r="27" spans="2:10" s="438" customFormat="1" ht="18" customHeight="1">
      <c r="B27" s="759">
        <v>2</v>
      </c>
      <c r="C27" s="759" t="s">
        <v>970</v>
      </c>
      <c r="D27" s="760"/>
      <c r="E27" s="760"/>
      <c r="F27" s="759"/>
      <c r="G27" s="759"/>
      <c r="J27" s="762"/>
    </row>
    <row r="28" spans="2:10" s="438" customFormat="1" ht="18" customHeight="1">
      <c r="B28" s="763" t="s">
        <v>971</v>
      </c>
      <c r="C28" s="759"/>
      <c r="D28" s="760"/>
      <c r="E28" s="760"/>
      <c r="F28" s="759"/>
      <c r="G28" s="759"/>
      <c r="J28" s="762"/>
    </row>
    <row r="29" spans="2:10" s="438" customFormat="1" ht="18" customHeight="1">
      <c r="B29" s="763" t="s">
        <v>1069</v>
      </c>
      <c r="C29" s="759"/>
      <c r="D29" s="760"/>
      <c r="E29" s="760"/>
      <c r="F29" s="759"/>
      <c r="G29" s="759"/>
      <c r="J29" s="762"/>
    </row>
    <row r="30" spans="2:10" s="438" customFormat="1" ht="18" customHeight="1">
      <c r="B30" s="759"/>
      <c r="C30" s="759"/>
      <c r="D30" s="759"/>
      <c r="E30" s="759"/>
      <c r="F30" s="759"/>
      <c r="G30" s="759"/>
    </row>
    <row r="31" spans="2:10" s="438" customFormat="1" ht="18" customHeight="1">
      <c r="B31" s="757" t="s">
        <v>100</v>
      </c>
      <c r="C31" s="758" t="s">
        <v>972</v>
      </c>
      <c r="D31" s="759"/>
      <c r="E31" s="759"/>
      <c r="F31" s="759"/>
      <c r="G31" s="759"/>
    </row>
    <row r="32" spans="2:10" s="438" customFormat="1" ht="18" customHeight="1">
      <c r="B32" s="759">
        <v>1</v>
      </c>
      <c r="C32" s="759" t="s">
        <v>1070</v>
      </c>
      <c r="D32" s="760"/>
      <c r="E32" s="759"/>
      <c r="F32" s="759"/>
      <c r="G32" s="759"/>
    </row>
    <row r="33" spans="2:7" s="438" customFormat="1" ht="18" customHeight="1">
      <c r="B33" s="759">
        <v>1.1000000000000001</v>
      </c>
      <c r="C33" s="805" t="s">
        <v>1071</v>
      </c>
      <c r="D33" s="760"/>
      <c r="E33" s="759"/>
      <c r="F33" s="759"/>
      <c r="G33" s="759"/>
    </row>
    <row r="34" spans="2:7" s="438" customFormat="1" ht="18" customHeight="1">
      <c r="B34" s="763" t="s">
        <v>1072</v>
      </c>
      <c r="C34" s="806" t="s">
        <v>1073</v>
      </c>
      <c r="D34" s="760"/>
      <c r="E34" s="759"/>
      <c r="F34" s="759"/>
      <c r="G34" s="759"/>
    </row>
    <row r="35" spans="2:7" s="438" customFormat="1" ht="18" customHeight="1">
      <c r="B35" s="763" t="s">
        <v>1074</v>
      </c>
      <c r="C35" s="806" t="s">
        <v>1075</v>
      </c>
      <c r="D35" s="760"/>
      <c r="E35" s="759"/>
      <c r="F35" s="759"/>
      <c r="G35" s="759"/>
    </row>
    <row r="36" spans="2:7" s="438" customFormat="1" ht="18" customHeight="1">
      <c r="B36" s="763" t="s">
        <v>1076</v>
      </c>
      <c r="C36" s="806" t="s">
        <v>1077</v>
      </c>
      <c r="D36" s="760"/>
      <c r="E36" s="759"/>
      <c r="F36" s="759"/>
      <c r="G36" s="759"/>
    </row>
    <row r="37" spans="2:7" s="438" customFormat="1" ht="18" customHeight="1">
      <c r="B37" s="763"/>
      <c r="C37" s="807"/>
      <c r="D37" s="760"/>
      <c r="E37" s="759"/>
      <c r="F37" s="759"/>
      <c r="G37" s="759"/>
    </row>
    <row r="38" spans="2:7" s="438" customFormat="1" ht="18" customHeight="1">
      <c r="B38" s="759">
        <v>1.2</v>
      </c>
      <c r="C38" s="805" t="s">
        <v>1078</v>
      </c>
      <c r="D38" s="760"/>
      <c r="E38" s="759"/>
      <c r="F38" s="759"/>
      <c r="G38" s="759"/>
    </row>
    <row r="39" spans="2:7" s="438" customFormat="1" ht="18" customHeight="1">
      <c r="B39" s="763" t="s">
        <v>1079</v>
      </c>
      <c r="C39" s="806" t="s">
        <v>1080</v>
      </c>
      <c r="D39" s="760"/>
      <c r="E39" s="759"/>
      <c r="F39" s="759"/>
      <c r="G39" s="759"/>
    </row>
    <row r="40" spans="2:7" s="438" customFormat="1" ht="18" customHeight="1">
      <c r="B40" s="763" t="s">
        <v>1081</v>
      </c>
      <c r="C40" s="806" t="s">
        <v>1082</v>
      </c>
      <c r="D40" s="760"/>
      <c r="E40" s="759"/>
      <c r="F40" s="759"/>
      <c r="G40" s="759"/>
    </row>
    <row r="41" spans="2:7" s="438" customFormat="1" ht="18" customHeight="1">
      <c r="B41" s="763" t="s">
        <v>1083</v>
      </c>
      <c r="C41" s="806" t="s">
        <v>1084</v>
      </c>
      <c r="D41" s="760"/>
      <c r="E41" s="759"/>
      <c r="F41" s="759"/>
      <c r="G41" s="759"/>
    </row>
    <row r="42" spans="2:7" s="438" customFormat="1" ht="15.6">
      <c r="B42" s="759">
        <v>2</v>
      </c>
      <c r="C42" s="759" t="s">
        <v>973</v>
      </c>
      <c r="D42" s="760"/>
      <c r="E42" s="759"/>
      <c r="F42" s="759"/>
      <c r="G42" s="759"/>
    </row>
    <row r="43" spans="2:7" s="438" customFormat="1" ht="18" customHeight="1">
      <c r="B43" s="759">
        <v>3</v>
      </c>
      <c r="C43" s="759" t="s">
        <v>974</v>
      </c>
      <c r="D43" s="808"/>
      <c r="E43" s="760"/>
      <c r="F43" s="759"/>
      <c r="G43" s="759"/>
    </row>
    <row r="44" spans="2:7" s="438" customFormat="1" ht="46.8">
      <c r="B44" s="759">
        <v>4</v>
      </c>
      <c r="C44" s="761" t="s">
        <v>1085</v>
      </c>
      <c r="D44" s="759"/>
      <c r="E44" s="760"/>
      <c r="F44" s="759"/>
      <c r="G44" s="759"/>
    </row>
    <row r="45" spans="2:7" s="438" customFormat="1" ht="18" customHeight="1">
      <c r="B45" s="759"/>
      <c r="C45" s="759"/>
      <c r="D45" s="759"/>
      <c r="E45" s="759"/>
      <c r="F45" s="759"/>
      <c r="G45" s="759"/>
    </row>
    <row r="46" spans="2:7" s="438" customFormat="1" ht="18" customHeight="1">
      <c r="B46" s="757" t="s">
        <v>101</v>
      </c>
      <c r="C46" s="758" t="s">
        <v>975</v>
      </c>
      <c r="D46" s="760"/>
      <c r="E46" s="760"/>
      <c r="F46" s="759"/>
      <c r="G46" s="761"/>
    </row>
    <row r="47" spans="2:7" s="438" customFormat="1" ht="18" customHeight="1">
      <c r="B47" s="757"/>
      <c r="C47" s="758"/>
      <c r="D47" s="760"/>
      <c r="E47" s="760"/>
      <c r="F47" s="759"/>
      <c r="G47" s="761"/>
    </row>
    <row r="48" spans="2:7" s="438" customFormat="1" ht="18" customHeight="1">
      <c r="B48" s="757" t="s">
        <v>102</v>
      </c>
      <c r="C48" s="758" t="s">
        <v>976</v>
      </c>
      <c r="D48" s="759"/>
      <c r="E48" s="759"/>
      <c r="F48" s="759"/>
      <c r="G48" s="759"/>
    </row>
    <row r="49" spans="2:10" s="438" customFormat="1" ht="18" customHeight="1">
      <c r="B49" s="759">
        <v>1</v>
      </c>
      <c r="C49" s="759" t="s">
        <v>977</v>
      </c>
      <c r="D49" s="760"/>
      <c r="E49" s="760"/>
      <c r="F49" s="759"/>
      <c r="G49" s="759"/>
    </row>
    <row r="50" spans="2:10" s="438" customFormat="1" ht="18" customHeight="1">
      <c r="B50" s="759">
        <v>2</v>
      </c>
      <c r="C50" s="759" t="s">
        <v>978</v>
      </c>
      <c r="D50" s="760"/>
      <c r="E50" s="760"/>
      <c r="F50" s="759"/>
      <c r="G50" s="759"/>
    </row>
    <row r="51" spans="2:10" s="438" customFormat="1" ht="18" customHeight="1">
      <c r="B51" s="759"/>
      <c r="C51" s="759"/>
      <c r="D51" s="760"/>
      <c r="E51" s="760"/>
      <c r="F51" s="759"/>
      <c r="G51" s="759"/>
    </row>
    <row r="52" spans="2:10" s="438" customFormat="1" ht="15.6">
      <c r="B52" s="757" t="s">
        <v>979</v>
      </c>
      <c r="C52" s="764" t="s">
        <v>980</v>
      </c>
      <c r="D52" s="759"/>
      <c r="E52" s="759"/>
      <c r="F52" s="760"/>
      <c r="G52" s="759"/>
      <c r="J52" s="762"/>
    </row>
    <row r="53" spans="2:10" s="438" customFormat="1" ht="31.2">
      <c r="B53" s="759">
        <v>1</v>
      </c>
      <c r="C53" s="765" t="s">
        <v>981</v>
      </c>
      <c r="D53" s="759"/>
      <c r="E53" s="759"/>
      <c r="F53" s="760"/>
      <c r="G53" s="759"/>
    </row>
    <row r="54" spans="2:10" s="438" customFormat="1" ht="31.2">
      <c r="B54" s="759">
        <v>2</v>
      </c>
      <c r="C54" s="766" t="s">
        <v>982</v>
      </c>
      <c r="D54" s="759"/>
      <c r="E54" s="759"/>
      <c r="F54" s="760"/>
      <c r="G54" s="759"/>
    </row>
    <row r="55" spans="2:10" s="438" customFormat="1" ht="31.2">
      <c r="B55" s="759">
        <v>3</v>
      </c>
      <c r="C55" s="761" t="s">
        <v>983</v>
      </c>
      <c r="D55" s="759"/>
      <c r="E55" s="759"/>
      <c r="F55" s="760"/>
      <c r="G55" s="759"/>
    </row>
    <row r="56" spans="2:10" s="438" customFormat="1" ht="31.2">
      <c r="B56" s="759">
        <v>4</v>
      </c>
      <c r="C56" s="761" t="s">
        <v>984</v>
      </c>
      <c r="D56" s="759"/>
      <c r="E56" s="759"/>
      <c r="F56" s="760"/>
      <c r="G56" s="759"/>
      <c r="J56" s="762"/>
    </row>
    <row r="57" spans="2:10" s="438" customFormat="1" ht="18" customHeight="1">
      <c r="B57" s="759"/>
      <c r="C57" s="759"/>
      <c r="D57" s="759"/>
      <c r="E57" s="759"/>
      <c r="F57" s="759"/>
      <c r="G57" s="759"/>
    </row>
    <row r="58" spans="2:10" s="438" customFormat="1" ht="18" customHeight="1">
      <c r="B58" s="757" t="s">
        <v>985</v>
      </c>
      <c r="C58" s="758" t="s">
        <v>986</v>
      </c>
      <c r="D58" s="759"/>
      <c r="E58" s="759"/>
      <c r="F58" s="759"/>
      <c r="G58" s="759"/>
    </row>
    <row r="59" spans="2:10" s="438" customFormat="1" ht="31.2">
      <c r="B59" s="759">
        <v>1</v>
      </c>
      <c r="C59" s="761" t="s">
        <v>987</v>
      </c>
      <c r="D59" s="759"/>
      <c r="E59" s="759"/>
      <c r="F59" s="760"/>
      <c r="G59" s="759"/>
    </row>
    <row r="60" spans="2:10" s="438" customFormat="1" ht="31.2">
      <c r="B60" s="759">
        <v>2</v>
      </c>
      <c r="C60" s="761" t="s">
        <v>988</v>
      </c>
      <c r="D60" s="759"/>
      <c r="E60" s="759"/>
      <c r="F60" s="760"/>
      <c r="G60" s="759"/>
    </row>
    <row r="61" spans="2:10" s="438" customFormat="1" ht="31.2">
      <c r="B61" s="759">
        <v>3</v>
      </c>
      <c r="C61" s="761" t="s">
        <v>989</v>
      </c>
      <c r="D61" s="759"/>
      <c r="E61" s="759"/>
      <c r="F61" s="760"/>
      <c r="G61" s="759"/>
    </row>
    <row r="62" spans="2:10" s="438" customFormat="1" ht="18" customHeight="1">
      <c r="B62" s="759">
        <v>4</v>
      </c>
      <c r="C62" s="761" t="s">
        <v>1086</v>
      </c>
      <c r="D62" s="759"/>
      <c r="E62" s="759"/>
      <c r="F62" s="760"/>
      <c r="G62" s="759"/>
    </row>
    <row r="63" spans="2:10" s="438" customFormat="1" ht="18" customHeight="1">
      <c r="B63" s="759"/>
      <c r="C63" s="759"/>
      <c r="D63" s="759"/>
      <c r="E63" s="759"/>
      <c r="F63" s="759"/>
      <c r="G63" s="759"/>
    </row>
    <row r="64" spans="2:10" s="438" customFormat="1" ht="18" customHeight="1">
      <c r="B64" s="757" t="s">
        <v>219</v>
      </c>
      <c r="C64" s="758" t="s">
        <v>990</v>
      </c>
      <c r="D64" s="759"/>
      <c r="E64" s="759"/>
      <c r="F64" s="759"/>
      <c r="G64" s="759"/>
    </row>
    <row r="65" spans="2:7" s="438" customFormat="1" ht="31.2">
      <c r="B65" s="759">
        <v>1</v>
      </c>
      <c r="C65" s="761" t="s">
        <v>991</v>
      </c>
      <c r="D65" s="759"/>
      <c r="E65" s="759"/>
      <c r="F65" s="759"/>
      <c r="G65" s="759"/>
    </row>
    <row r="66" spans="2:7" s="438" customFormat="1" ht="31.2">
      <c r="B66" s="759">
        <v>2</v>
      </c>
      <c r="C66" s="761" t="s">
        <v>992</v>
      </c>
      <c r="D66" s="759"/>
      <c r="E66" s="759"/>
      <c r="F66" s="759"/>
      <c r="G66" s="759"/>
    </row>
    <row r="67" spans="2:7" s="438" customFormat="1" ht="31.2">
      <c r="B67" s="759">
        <v>3</v>
      </c>
      <c r="C67" s="767" t="s">
        <v>993</v>
      </c>
      <c r="D67" s="759"/>
      <c r="E67" s="759"/>
      <c r="F67" s="759"/>
      <c r="G67" s="759"/>
    </row>
    <row r="68" spans="2:7" s="438" customFormat="1" ht="18" customHeight="1">
      <c r="B68" s="757"/>
      <c r="C68" s="758"/>
      <c r="D68" s="760"/>
      <c r="E68" s="760"/>
      <c r="F68" s="759"/>
      <c r="G68" s="761"/>
    </row>
    <row r="69" spans="2:7" s="438" customFormat="1" ht="15.6">
      <c r="B69" s="757" t="s">
        <v>221</v>
      </c>
      <c r="C69" s="758" t="s">
        <v>297</v>
      </c>
      <c r="D69" s="759"/>
      <c r="E69" s="759"/>
      <c r="F69" s="759"/>
      <c r="G69" s="759"/>
    </row>
    <row r="70" spans="2:7" s="438" customFormat="1" ht="39" customHeight="1">
      <c r="B70" s="761">
        <v>1</v>
      </c>
      <c r="C70" s="809" t="s">
        <v>1087</v>
      </c>
      <c r="D70" s="759"/>
      <c r="E70" s="759"/>
      <c r="F70" s="759"/>
      <c r="G70" s="759"/>
    </row>
  </sheetData>
  <mergeCells count="1">
    <mergeCell ref="B3:G3"/>
  </mergeCells>
  <printOptions horizontalCentered="1"/>
  <pageMargins left="0" right="0.23622047244094491" top="0" bottom="0" header="0" footer="0"/>
  <pageSetup paperSize="9" scale="47"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F9FEBB-488C-4C6D-9B1B-6173FB21D936}">
  <sheetPr>
    <tabColor theme="9" tint="0.79998168889431442"/>
    <pageSetUpPr fitToPage="1"/>
  </sheetPr>
  <dimension ref="B2:Z94"/>
  <sheetViews>
    <sheetView view="pageBreakPreview" zoomScale="60" zoomScaleNormal="100" workbookViewId="0">
      <selection activeCell="U24" sqref="U24"/>
    </sheetView>
  </sheetViews>
  <sheetFormatPr defaultColWidth="9.109375" defaultRowHeight="14.4"/>
  <cols>
    <col min="1" max="2" width="1.5546875" style="437" customWidth="1"/>
    <col min="3" max="3" width="13.109375" style="439" customWidth="1"/>
    <col min="4" max="11" width="15.5546875" style="439" customWidth="1"/>
    <col min="12" max="12" width="45.5546875" style="444" customWidth="1"/>
    <col min="13" max="14" width="1.5546875" style="439" customWidth="1"/>
    <col min="15" max="15" width="3.88671875" style="439" customWidth="1"/>
    <col min="16" max="25" width="9" style="439" bestFit="1" customWidth="1"/>
    <col min="26" max="26" width="38.88671875" style="437" bestFit="1" customWidth="1"/>
    <col min="27" max="16384" width="9.109375" style="437"/>
  </cols>
  <sheetData>
    <row r="2" spans="3:26" ht="23.4">
      <c r="C2" s="924" t="s">
        <v>812</v>
      </c>
      <c r="D2" s="924"/>
      <c r="E2" s="924"/>
      <c r="F2" s="924"/>
      <c r="G2" s="924"/>
      <c r="H2" s="924"/>
      <c r="I2" s="924"/>
      <c r="J2" s="924"/>
      <c r="K2" s="924"/>
      <c r="L2" s="924"/>
    </row>
    <row r="3" spans="3:26" s="438" customFormat="1" ht="15.6">
      <c r="C3" s="445" t="s">
        <v>1006</v>
      </c>
      <c r="D3" s="446"/>
      <c r="E3" s="447"/>
      <c r="F3" s="446"/>
      <c r="G3" s="446"/>
      <c r="H3" s="446"/>
      <c r="I3" s="448"/>
      <c r="J3" s="446"/>
      <c r="K3" s="449"/>
      <c r="M3" s="446"/>
      <c r="N3" s="446"/>
      <c r="O3" s="446"/>
      <c r="P3" s="450"/>
      <c r="Q3" s="446"/>
      <c r="R3" s="446"/>
      <c r="S3" s="446"/>
      <c r="T3" s="446"/>
      <c r="U3" s="446"/>
      <c r="V3" s="446"/>
      <c r="W3" s="446"/>
      <c r="X3" s="446"/>
      <c r="Y3" s="446"/>
    </row>
    <row r="4" spans="3:26" s="438" customFormat="1" ht="15.6">
      <c r="C4" s="445" t="s">
        <v>813</v>
      </c>
      <c r="D4" s="796" t="s">
        <v>1030</v>
      </c>
      <c r="E4" s="451"/>
      <c r="F4" s="446"/>
      <c r="G4" s="446"/>
      <c r="H4" s="446"/>
      <c r="I4" s="448"/>
      <c r="J4" s="446"/>
      <c r="K4" s="449"/>
      <c r="M4" s="446"/>
      <c r="N4" s="446"/>
      <c r="O4" s="446"/>
      <c r="P4" s="450"/>
      <c r="Q4" s="446"/>
      <c r="R4" s="446"/>
      <c r="S4" s="446"/>
      <c r="T4" s="446"/>
      <c r="U4" s="446"/>
      <c r="V4" s="446"/>
      <c r="W4" s="446"/>
      <c r="X4" s="446"/>
      <c r="Y4" s="446"/>
    </row>
    <row r="5" spans="3:26" s="438" customFormat="1" ht="15.6">
      <c r="C5" s="445"/>
      <c r="D5" s="446"/>
      <c r="E5" s="451"/>
      <c r="F5" s="446"/>
      <c r="G5" s="446"/>
      <c r="H5" s="446"/>
      <c r="I5" s="448"/>
      <c r="J5" s="446"/>
      <c r="K5" s="449"/>
      <c r="M5" s="446"/>
      <c r="N5" s="446"/>
      <c r="O5" s="446"/>
      <c r="P5" s="450"/>
      <c r="Q5" s="446"/>
      <c r="R5" s="446"/>
      <c r="S5" s="446"/>
      <c r="T5" s="446"/>
      <c r="U5" s="446"/>
      <c r="V5" s="446"/>
      <c r="W5" s="446"/>
      <c r="X5" s="446"/>
      <c r="Y5" s="446"/>
    </row>
    <row r="6" spans="3:26" s="438" customFormat="1" ht="15.6">
      <c r="C6" s="445" t="s">
        <v>1013</v>
      </c>
      <c r="D6" s="446"/>
      <c r="E6" s="446" t="s">
        <v>1014</v>
      </c>
      <c r="F6" s="446"/>
      <c r="G6" s="446"/>
      <c r="H6" s="956" t="s">
        <v>814</v>
      </c>
      <c r="I6" s="956"/>
      <c r="J6" s="446" t="s">
        <v>154</v>
      </c>
      <c r="K6" s="449"/>
      <c r="M6" s="446"/>
      <c r="N6" s="446"/>
      <c r="O6" s="446"/>
      <c r="P6" s="450"/>
      <c r="Q6" s="446"/>
      <c r="R6" s="446"/>
      <c r="S6" s="446"/>
      <c r="T6" s="446"/>
      <c r="U6" s="446"/>
      <c r="V6" s="446"/>
      <c r="W6" s="446"/>
      <c r="X6" s="446"/>
      <c r="Y6" s="446"/>
    </row>
    <row r="7" spans="3:26" s="438" customFormat="1" ht="15.6">
      <c r="C7" s="445" t="s">
        <v>798</v>
      </c>
      <c r="D7" s="786"/>
      <c r="E7" s="797">
        <v>45475</v>
      </c>
      <c r="F7" s="446"/>
      <c r="G7" s="446"/>
      <c r="H7" s="956" t="s">
        <v>815</v>
      </c>
      <c r="I7" s="956"/>
      <c r="J7" s="797">
        <v>45475</v>
      </c>
      <c r="K7" s="446"/>
      <c r="L7" s="454"/>
      <c r="M7" s="446"/>
      <c r="N7" s="446"/>
      <c r="O7" s="446"/>
      <c r="P7" s="446"/>
      <c r="Q7" s="446"/>
      <c r="R7" s="446"/>
      <c r="S7" s="446"/>
      <c r="T7" s="446"/>
      <c r="U7" s="446"/>
      <c r="V7" s="446"/>
      <c r="W7" s="446"/>
      <c r="X7" s="446"/>
      <c r="Y7" s="446"/>
    </row>
    <row r="8" spans="3:26">
      <c r="C8" s="455"/>
      <c r="D8" s="456"/>
      <c r="E8" s="456"/>
      <c r="F8" s="456"/>
      <c r="G8" s="456"/>
      <c r="H8" s="456"/>
      <c r="I8" s="457"/>
      <c r="J8" s="458"/>
    </row>
    <row r="9" spans="3:26" ht="28.8">
      <c r="C9" s="459" t="s">
        <v>93</v>
      </c>
      <c r="D9" s="950" t="s">
        <v>94</v>
      </c>
      <c r="E9" s="951"/>
      <c r="F9" s="951"/>
      <c r="G9" s="951"/>
      <c r="H9" s="952"/>
      <c r="I9" s="459" t="s">
        <v>816</v>
      </c>
      <c r="J9" s="459" t="s">
        <v>817</v>
      </c>
      <c r="K9" s="459" t="s">
        <v>818</v>
      </c>
      <c r="L9" s="459" t="s">
        <v>819</v>
      </c>
      <c r="M9" s="460"/>
      <c r="N9" s="460"/>
      <c r="O9" s="450"/>
      <c r="Q9" s="450"/>
      <c r="R9" s="450"/>
      <c r="S9" s="450"/>
      <c r="T9" s="450"/>
      <c r="X9" s="461" t="s">
        <v>62</v>
      </c>
      <c r="Y9" s="462" t="s">
        <v>26</v>
      </c>
      <c r="Z9" s="463" t="s">
        <v>820</v>
      </c>
    </row>
    <row r="10" spans="3:26" ht="15.6">
      <c r="C10" s="464">
        <v>1</v>
      </c>
      <c r="D10" s="932" t="s">
        <v>821</v>
      </c>
      <c r="E10" s="933"/>
      <c r="F10" s="933"/>
      <c r="G10" s="933"/>
      <c r="H10" s="934"/>
      <c r="I10" s="465" t="s">
        <v>62</v>
      </c>
      <c r="J10" s="466"/>
      <c r="K10" s="466"/>
      <c r="L10" s="467"/>
      <c r="O10" s="450"/>
      <c r="X10" s="461" t="s">
        <v>5</v>
      </c>
      <c r="Y10" s="462" t="s">
        <v>24</v>
      </c>
      <c r="Z10" s="463" t="s">
        <v>822</v>
      </c>
    </row>
    <row r="11" spans="3:26" ht="15.6">
      <c r="C11" s="468" t="s">
        <v>793</v>
      </c>
      <c r="D11" s="953" t="s">
        <v>823</v>
      </c>
      <c r="E11" s="954"/>
      <c r="F11" s="954"/>
      <c r="G11" s="954"/>
      <c r="H11" s="955"/>
      <c r="I11" s="465" t="s">
        <v>62</v>
      </c>
      <c r="J11" s="466"/>
      <c r="K11" s="466"/>
      <c r="L11" s="469"/>
      <c r="M11" s="470"/>
      <c r="N11" s="470"/>
      <c r="O11" s="450"/>
      <c r="X11" s="462" t="s">
        <v>13</v>
      </c>
      <c r="Y11" s="462" t="s">
        <v>28</v>
      </c>
      <c r="Z11" s="463" t="s">
        <v>824</v>
      </c>
    </row>
    <row r="12" spans="3:26" ht="15.6">
      <c r="C12" s="468" t="s">
        <v>794</v>
      </c>
      <c r="D12" s="953" t="s">
        <v>825</v>
      </c>
      <c r="E12" s="954"/>
      <c r="F12" s="954"/>
      <c r="G12" s="954"/>
      <c r="H12" s="955"/>
      <c r="I12" s="465" t="s">
        <v>62</v>
      </c>
      <c r="J12" s="466"/>
      <c r="K12" s="466"/>
      <c r="L12" s="469"/>
      <c r="M12" s="470"/>
      <c r="N12" s="470"/>
      <c r="O12" s="450"/>
      <c r="X12" s="462"/>
      <c r="Y12" s="462" t="s">
        <v>826</v>
      </c>
      <c r="Z12" s="463" t="s">
        <v>827</v>
      </c>
    </row>
    <row r="13" spans="3:26" ht="15.6">
      <c r="C13" s="468" t="s">
        <v>795</v>
      </c>
      <c r="D13" s="953" t="s">
        <v>828</v>
      </c>
      <c r="E13" s="954"/>
      <c r="F13" s="954"/>
      <c r="G13" s="954"/>
      <c r="H13" s="955"/>
      <c r="I13" s="465" t="s">
        <v>62</v>
      </c>
      <c r="J13" s="466"/>
      <c r="K13" s="466"/>
      <c r="L13" s="469"/>
      <c r="M13" s="470"/>
      <c r="N13" s="470"/>
      <c r="O13" s="450"/>
      <c r="X13" s="462"/>
      <c r="Y13" s="462" t="s">
        <v>166</v>
      </c>
      <c r="Z13" s="463" t="s">
        <v>829</v>
      </c>
    </row>
    <row r="14" spans="3:26" ht="15.6">
      <c r="C14" s="464">
        <v>2.1</v>
      </c>
      <c r="D14" s="932" t="s">
        <v>1015</v>
      </c>
      <c r="E14" s="933"/>
      <c r="F14" s="933"/>
      <c r="G14" s="933"/>
      <c r="H14" s="934"/>
      <c r="I14" s="465" t="s">
        <v>62</v>
      </c>
      <c r="J14" s="466"/>
      <c r="K14" s="466"/>
      <c r="L14" s="467"/>
      <c r="O14" s="450"/>
      <c r="X14" s="462"/>
      <c r="Y14" s="471" t="s">
        <v>13</v>
      </c>
      <c r="Z14" s="463" t="s">
        <v>830</v>
      </c>
    </row>
    <row r="15" spans="3:26" ht="15.6">
      <c r="C15" s="468" t="s">
        <v>793</v>
      </c>
      <c r="D15" s="953" t="s">
        <v>823</v>
      </c>
      <c r="E15" s="954"/>
      <c r="F15" s="954"/>
      <c r="G15" s="954"/>
      <c r="H15" s="955"/>
      <c r="I15" s="465" t="s">
        <v>62</v>
      </c>
      <c r="J15" s="466"/>
      <c r="K15" s="466"/>
      <c r="L15" s="469"/>
      <c r="M15" s="470"/>
      <c r="N15" s="470"/>
      <c r="O15" s="450"/>
    </row>
    <row r="16" spans="3:26" ht="15.6">
      <c r="C16" s="468" t="s">
        <v>794</v>
      </c>
      <c r="D16" s="953" t="s">
        <v>825</v>
      </c>
      <c r="E16" s="954"/>
      <c r="F16" s="954"/>
      <c r="G16" s="954"/>
      <c r="H16" s="955"/>
      <c r="I16" s="465" t="s">
        <v>62</v>
      </c>
      <c r="J16" s="466"/>
      <c r="K16" s="466"/>
      <c r="L16" s="469"/>
      <c r="M16" s="470"/>
      <c r="N16" s="470"/>
      <c r="O16" s="450"/>
    </row>
    <row r="17" spans="3:26" s="439" customFormat="1" ht="15.6">
      <c r="C17" s="468" t="s">
        <v>795</v>
      </c>
      <c r="D17" s="953" t="s">
        <v>828</v>
      </c>
      <c r="E17" s="954"/>
      <c r="F17" s="954"/>
      <c r="G17" s="954"/>
      <c r="H17" s="955"/>
      <c r="I17" s="465" t="s">
        <v>62</v>
      </c>
      <c r="J17" s="466"/>
      <c r="K17" s="466"/>
      <c r="L17" s="469"/>
      <c r="M17" s="470"/>
      <c r="N17" s="470"/>
      <c r="O17" s="450"/>
      <c r="Z17" s="437"/>
    </row>
    <row r="18" spans="3:26" s="439" customFormat="1" ht="15.6">
      <c r="C18" s="464">
        <v>2.2000000000000002</v>
      </c>
      <c r="D18" s="932" t="s">
        <v>1016</v>
      </c>
      <c r="E18" s="933"/>
      <c r="F18" s="933"/>
      <c r="G18" s="933"/>
      <c r="H18" s="934"/>
      <c r="I18" s="465" t="s">
        <v>62</v>
      </c>
      <c r="J18" s="466"/>
      <c r="K18" s="466"/>
      <c r="L18" s="467"/>
      <c r="O18" s="450"/>
      <c r="Z18" s="437"/>
    </row>
    <row r="19" spans="3:26" s="439" customFormat="1" ht="15.6">
      <c r="C19" s="468" t="s">
        <v>793</v>
      </c>
      <c r="D19" s="953" t="s">
        <v>823</v>
      </c>
      <c r="E19" s="954"/>
      <c r="F19" s="954"/>
      <c r="G19" s="954"/>
      <c r="H19" s="955"/>
      <c r="I19" s="465" t="s">
        <v>62</v>
      </c>
      <c r="J19" s="466"/>
      <c r="K19" s="466"/>
      <c r="L19" s="469"/>
      <c r="M19" s="470"/>
      <c r="N19" s="470"/>
      <c r="O19" s="450"/>
      <c r="Z19" s="437"/>
    </row>
    <row r="20" spans="3:26" s="439" customFormat="1" ht="15.6">
      <c r="C20" s="468" t="s">
        <v>794</v>
      </c>
      <c r="D20" s="953" t="s">
        <v>825</v>
      </c>
      <c r="E20" s="954"/>
      <c r="F20" s="954"/>
      <c r="G20" s="954"/>
      <c r="H20" s="955"/>
      <c r="I20" s="465" t="s">
        <v>62</v>
      </c>
      <c r="J20" s="466"/>
      <c r="K20" s="466"/>
      <c r="L20" s="469"/>
      <c r="M20" s="470"/>
      <c r="N20" s="470"/>
      <c r="O20" s="450"/>
      <c r="Z20" s="437"/>
    </row>
    <row r="21" spans="3:26" s="439" customFormat="1" ht="15.6">
      <c r="C21" s="468" t="s">
        <v>795</v>
      </c>
      <c r="D21" s="953" t="s">
        <v>828</v>
      </c>
      <c r="E21" s="954"/>
      <c r="F21" s="954"/>
      <c r="G21" s="954"/>
      <c r="H21" s="955"/>
      <c r="I21" s="465" t="s">
        <v>62</v>
      </c>
      <c r="J21" s="466"/>
      <c r="K21" s="466"/>
      <c r="L21" s="469"/>
      <c r="M21" s="470"/>
      <c r="N21" s="470"/>
      <c r="O21" s="450"/>
      <c r="Z21" s="437"/>
    </row>
    <row r="22" spans="3:26" s="439" customFormat="1" ht="15.6">
      <c r="C22" s="464">
        <v>2.2999999999999998</v>
      </c>
      <c r="D22" s="932" t="s">
        <v>831</v>
      </c>
      <c r="E22" s="933"/>
      <c r="F22" s="933"/>
      <c r="G22" s="933"/>
      <c r="H22" s="934"/>
      <c r="I22" s="465" t="s">
        <v>13</v>
      </c>
      <c r="J22" s="466"/>
      <c r="K22" s="466"/>
      <c r="L22" s="467"/>
      <c r="O22" s="450"/>
      <c r="Z22" s="437"/>
    </row>
    <row r="23" spans="3:26" s="439" customFormat="1" ht="15.6">
      <c r="C23" s="468" t="s">
        <v>793</v>
      </c>
      <c r="D23" s="953" t="s">
        <v>823</v>
      </c>
      <c r="E23" s="954"/>
      <c r="F23" s="954"/>
      <c r="G23" s="954"/>
      <c r="H23" s="955"/>
      <c r="I23" s="465" t="s">
        <v>13</v>
      </c>
      <c r="J23" s="466"/>
      <c r="K23" s="466"/>
      <c r="L23" s="469"/>
      <c r="M23" s="470"/>
      <c r="N23" s="470"/>
      <c r="O23" s="450"/>
      <c r="Z23" s="437"/>
    </row>
    <row r="24" spans="3:26" s="439" customFormat="1" ht="15.6">
      <c r="C24" s="468" t="s">
        <v>794</v>
      </c>
      <c r="D24" s="953" t="s">
        <v>825</v>
      </c>
      <c r="E24" s="954"/>
      <c r="F24" s="954"/>
      <c r="G24" s="954"/>
      <c r="H24" s="955"/>
      <c r="I24" s="465" t="s">
        <v>13</v>
      </c>
      <c r="J24" s="466"/>
      <c r="K24" s="466"/>
      <c r="L24" s="469"/>
      <c r="M24" s="470"/>
      <c r="N24" s="470"/>
      <c r="O24" s="450"/>
      <c r="Z24" s="437"/>
    </row>
    <row r="25" spans="3:26" s="439" customFormat="1" ht="15.6">
      <c r="C25" s="468" t="s">
        <v>795</v>
      </c>
      <c r="D25" s="953" t="s">
        <v>828</v>
      </c>
      <c r="E25" s="954"/>
      <c r="F25" s="954"/>
      <c r="G25" s="954"/>
      <c r="H25" s="955"/>
      <c r="I25" s="465" t="s">
        <v>13</v>
      </c>
      <c r="J25" s="466"/>
      <c r="K25" s="466"/>
      <c r="L25" s="469"/>
      <c r="M25" s="470"/>
      <c r="N25" s="470"/>
      <c r="O25" s="450"/>
      <c r="Z25" s="437"/>
    </row>
    <row r="26" spans="3:26" s="439" customFormat="1" ht="31.5" customHeight="1">
      <c r="C26" s="464">
        <v>3.1</v>
      </c>
      <c r="D26" s="932" t="s">
        <v>1017</v>
      </c>
      <c r="E26" s="933"/>
      <c r="F26" s="933"/>
      <c r="G26" s="933"/>
      <c r="H26" s="934"/>
      <c r="I26" s="465" t="s">
        <v>62</v>
      </c>
      <c r="J26" s="466"/>
      <c r="K26" s="466"/>
      <c r="L26" s="467"/>
      <c r="O26" s="450"/>
      <c r="Z26" s="437"/>
    </row>
    <row r="27" spans="3:26" s="439" customFormat="1" ht="15.6">
      <c r="C27" s="468" t="s">
        <v>793</v>
      </c>
      <c r="D27" s="953" t="s">
        <v>823</v>
      </c>
      <c r="E27" s="954"/>
      <c r="F27" s="954"/>
      <c r="G27" s="954"/>
      <c r="H27" s="955"/>
      <c r="I27" s="465" t="s">
        <v>62</v>
      </c>
      <c r="J27" s="466"/>
      <c r="K27" s="466"/>
      <c r="L27" s="469"/>
      <c r="M27" s="470"/>
      <c r="N27" s="470"/>
      <c r="O27" s="450"/>
      <c r="Z27" s="437"/>
    </row>
    <row r="28" spans="3:26" s="439" customFormat="1" ht="15.6">
      <c r="C28" s="468" t="s">
        <v>794</v>
      </c>
      <c r="D28" s="953" t="s">
        <v>825</v>
      </c>
      <c r="E28" s="954"/>
      <c r="F28" s="954"/>
      <c r="G28" s="954"/>
      <c r="H28" s="955"/>
      <c r="I28" s="465" t="s">
        <v>62</v>
      </c>
      <c r="J28" s="466"/>
      <c r="K28" s="466"/>
      <c r="L28" s="469"/>
      <c r="M28" s="470"/>
      <c r="N28" s="470"/>
      <c r="O28" s="450"/>
      <c r="Z28" s="437"/>
    </row>
    <row r="29" spans="3:26" s="439" customFormat="1" ht="15.6">
      <c r="C29" s="468" t="s">
        <v>795</v>
      </c>
      <c r="D29" s="953" t="s">
        <v>828</v>
      </c>
      <c r="E29" s="954"/>
      <c r="F29" s="954"/>
      <c r="G29" s="954"/>
      <c r="H29" s="955"/>
      <c r="I29" s="465" t="s">
        <v>62</v>
      </c>
      <c r="J29" s="466"/>
      <c r="K29" s="466"/>
      <c r="L29" s="469"/>
      <c r="M29" s="470"/>
      <c r="N29" s="470"/>
      <c r="O29" s="450"/>
      <c r="Z29" s="437"/>
    </row>
    <row r="30" spans="3:26" s="439" customFormat="1" ht="15.6">
      <c r="C30" s="470" t="s">
        <v>832</v>
      </c>
      <c r="M30" s="470"/>
      <c r="N30" s="470"/>
      <c r="O30" s="450"/>
      <c r="Z30" s="437"/>
    </row>
    <row r="31" spans="3:26" s="439" customFormat="1" ht="15.6">
      <c r="M31" s="470"/>
      <c r="N31" s="470"/>
      <c r="O31" s="450"/>
      <c r="Z31" s="437"/>
    </row>
    <row r="32" spans="3:26" s="439" customFormat="1" ht="28.8">
      <c r="C32" s="459" t="s">
        <v>93</v>
      </c>
      <c r="D32" s="950" t="s">
        <v>94</v>
      </c>
      <c r="E32" s="951"/>
      <c r="F32" s="951"/>
      <c r="G32" s="951"/>
      <c r="H32" s="952"/>
      <c r="I32" s="459" t="s">
        <v>816</v>
      </c>
      <c r="J32" s="459" t="s">
        <v>817</v>
      </c>
      <c r="K32" s="459" t="s">
        <v>818</v>
      </c>
      <c r="L32" s="459" t="s">
        <v>819</v>
      </c>
      <c r="M32" s="470"/>
      <c r="N32" s="470"/>
      <c r="O32" s="450"/>
      <c r="Z32" s="437"/>
    </row>
    <row r="33" spans="3:26" s="439" customFormat="1" ht="47.4" customHeight="1">
      <c r="C33" s="464">
        <v>4</v>
      </c>
      <c r="D33" s="932" t="s">
        <v>1034</v>
      </c>
      <c r="E33" s="933"/>
      <c r="F33" s="933"/>
      <c r="G33" s="933"/>
      <c r="H33" s="934"/>
      <c r="I33" s="465" t="s">
        <v>62</v>
      </c>
      <c r="J33" s="466"/>
      <c r="K33" s="466"/>
      <c r="L33" s="787"/>
      <c r="M33" s="444"/>
      <c r="N33" s="444"/>
      <c r="O33" s="450"/>
      <c r="Z33" s="437"/>
    </row>
    <row r="34" spans="3:26" s="439" customFormat="1" ht="41.4" customHeight="1">
      <c r="C34" s="464">
        <v>5</v>
      </c>
      <c r="D34" s="932" t="s">
        <v>1036</v>
      </c>
      <c r="E34" s="933"/>
      <c r="F34" s="933"/>
      <c r="G34" s="933"/>
      <c r="H34" s="934"/>
      <c r="I34" s="465" t="s">
        <v>62</v>
      </c>
      <c r="J34" s="466"/>
      <c r="K34" s="466"/>
      <c r="L34" s="787"/>
      <c r="M34" s="444"/>
      <c r="N34" s="444"/>
      <c r="O34" s="450"/>
      <c r="Z34" s="437"/>
    </row>
    <row r="35" spans="3:26" s="439" customFormat="1" ht="51.75" customHeight="1">
      <c r="C35" s="464">
        <v>6</v>
      </c>
      <c r="D35" s="932" t="s">
        <v>1035</v>
      </c>
      <c r="E35" s="933"/>
      <c r="F35" s="933"/>
      <c r="G35" s="933"/>
      <c r="H35" s="934"/>
      <c r="I35" s="465" t="s">
        <v>62</v>
      </c>
      <c r="J35" s="466"/>
      <c r="K35" s="466"/>
      <c r="L35" s="787"/>
      <c r="M35" s="444"/>
      <c r="N35" s="444"/>
      <c r="O35" s="450"/>
      <c r="Z35" s="437"/>
    </row>
    <row r="36" spans="3:26" s="439" customFormat="1" ht="27.6">
      <c r="C36" s="464">
        <v>7</v>
      </c>
      <c r="D36" s="932" t="s">
        <v>833</v>
      </c>
      <c r="E36" s="933"/>
      <c r="F36" s="933"/>
      <c r="G36" s="933"/>
      <c r="H36" s="934"/>
      <c r="I36" s="465" t="s">
        <v>62</v>
      </c>
      <c r="J36" s="466"/>
      <c r="K36" s="466"/>
      <c r="L36" s="787" t="s">
        <v>1019</v>
      </c>
      <c r="M36" s="444"/>
      <c r="N36" s="444"/>
      <c r="O36" s="450"/>
      <c r="Z36" s="437"/>
    </row>
    <row r="37" spans="3:26" s="439" customFormat="1" ht="45.6" customHeight="1">
      <c r="C37" s="464">
        <v>8</v>
      </c>
      <c r="D37" s="941" t="s">
        <v>834</v>
      </c>
      <c r="E37" s="942"/>
      <c r="F37" s="942"/>
      <c r="G37" s="942"/>
      <c r="H37" s="943"/>
      <c r="I37" s="793" t="s">
        <v>1020</v>
      </c>
      <c r="J37" s="466"/>
      <c r="K37" s="466"/>
      <c r="L37" s="472"/>
      <c r="O37" s="450"/>
      <c r="R37" s="473"/>
      <c r="Z37" s="437"/>
    </row>
    <row r="38" spans="3:26" s="439" customFormat="1" ht="27" customHeight="1">
      <c r="C38" s="464">
        <v>9</v>
      </c>
      <c r="D38" s="941" t="s">
        <v>835</v>
      </c>
      <c r="E38" s="942"/>
      <c r="F38" s="942"/>
      <c r="G38" s="942"/>
      <c r="H38" s="943"/>
      <c r="I38" s="793" t="s">
        <v>1021</v>
      </c>
      <c r="J38" s="466"/>
      <c r="K38" s="466"/>
      <c r="L38" s="472"/>
      <c r="O38" s="450"/>
      <c r="R38" s="473"/>
      <c r="Z38" s="437"/>
    </row>
    <row r="39" spans="3:26" s="439" customFormat="1" ht="21.6" customHeight="1">
      <c r="C39" s="464">
        <v>10</v>
      </c>
      <c r="D39" s="941" t="s">
        <v>836</v>
      </c>
      <c r="E39" s="942"/>
      <c r="F39" s="942"/>
      <c r="G39" s="942"/>
      <c r="H39" s="943"/>
      <c r="I39" s="474" t="s">
        <v>62</v>
      </c>
      <c r="J39" s="466"/>
      <c r="K39" s="466"/>
      <c r="L39" s="469"/>
      <c r="O39" s="450"/>
      <c r="R39" s="473"/>
      <c r="Z39" s="437"/>
    </row>
    <row r="40" spans="3:26" s="439" customFormat="1" ht="30.6" customHeight="1">
      <c r="C40" s="464">
        <v>11</v>
      </c>
      <c r="D40" s="941" t="s">
        <v>837</v>
      </c>
      <c r="E40" s="942"/>
      <c r="F40" s="942"/>
      <c r="G40" s="942"/>
      <c r="H40" s="943"/>
      <c r="I40" s="793" t="s">
        <v>1020</v>
      </c>
      <c r="J40" s="466"/>
      <c r="K40" s="466"/>
      <c r="L40" s="467"/>
      <c r="O40" s="450"/>
      <c r="R40" s="473"/>
      <c r="Z40" s="437"/>
    </row>
    <row r="41" spans="3:26" s="439" customFormat="1" ht="22.95" customHeight="1">
      <c r="C41" s="464">
        <v>12</v>
      </c>
      <c r="D41" s="941" t="s">
        <v>838</v>
      </c>
      <c r="E41" s="942"/>
      <c r="F41" s="942"/>
      <c r="G41" s="942"/>
      <c r="H41" s="943"/>
      <c r="I41" s="793" t="s">
        <v>1020</v>
      </c>
      <c r="J41" s="466"/>
      <c r="K41" s="466"/>
      <c r="L41" s="467"/>
      <c r="O41" s="450"/>
      <c r="R41" s="473"/>
      <c r="Z41" s="437"/>
    </row>
    <row r="42" spans="3:26" s="439" customFormat="1" ht="18.600000000000001" customHeight="1">
      <c r="C42" s="464">
        <v>13</v>
      </c>
      <c r="D42" s="941" t="s">
        <v>839</v>
      </c>
      <c r="E42" s="942"/>
      <c r="F42" s="942"/>
      <c r="G42" s="942"/>
      <c r="H42" s="943"/>
      <c r="I42" s="474" t="s">
        <v>62</v>
      </c>
      <c r="J42" s="466"/>
      <c r="K42" s="466"/>
      <c r="L42" s="467"/>
      <c r="O42" s="450"/>
      <c r="Z42" s="437"/>
    </row>
    <row r="43" spans="3:26" s="439" customFormat="1" ht="142.5" customHeight="1">
      <c r="C43" s="464">
        <v>14</v>
      </c>
      <c r="D43" s="947" t="s">
        <v>1037</v>
      </c>
      <c r="E43" s="948"/>
      <c r="F43" s="948"/>
      <c r="G43" s="948"/>
      <c r="H43" s="949"/>
      <c r="I43" s="474" t="s">
        <v>62</v>
      </c>
      <c r="J43" s="466"/>
      <c r="K43" s="466"/>
      <c r="L43" s="787"/>
      <c r="O43" s="450"/>
      <c r="Z43" s="437"/>
    </row>
    <row r="44" spans="3:26" s="439" customFormat="1" ht="15.6">
      <c r="C44" s="464">
        <v>15</v>
      </c>
      <c r="D44" s="941" t="s">
        <v>840</v>
      </c>
      <c r="E44" s="942"/>
      <c r="F44" s="942"/>
      <c r="G44" s="942"/>
      <c r="H44" s="943"/>
      <c r="I44" s="474" t="s">
        <v>62</v>
      </c>
      <c r="J44" s="466"/>
      <c r="K44" s="466"/>
      <c r="L44" s="787" t="s">
        <v>1022</v>
      </c>
      <c r="O44" s="450"/>
      <c r="Z44" s="437"/>
    </row>
    <row r="45" spans="3:26" s="439" customFormat="1" ht="15.6">
      <c r="C45" s="475">
        <v>16</v>
      </c>
      <c r="D45" s="941" t="s">
        <v>841</v>
      </c>
      <c r="E45" s="942"/>
      <c r="F45" s="942"/>
      <c r="G45" s="942"/>
      <c r="H45" s="943"/>
      <c r="I45" s="474" t="s">
        <v>62</v>
      </c>
      <c r="J45" s="466"/>
      <c r="K45" s="466"/>
      <c r="L45" s="787" t="s">
        <v>1023</v>
      </c>
      <c r="O45" s="450"/>
      <c r="Z45" s="437"/>
    </row>
    <row r="46" spans="3:26" s="439" customFormat="1" ht="15.6">
      <c r="C46" s="944">
        <v>17</v>
      </c>
      <c r="D46" s="932" t="s">
        <v>796</v>
      </c>
      <c r="E46" s="933"/>
      <c r="F46" s="933"/>
      <c r="G46" s="933"/>
      <c r="H46" s="934"/>
      <c r="I46" s="474" t="s">
        <v>13</v>
      </c>
      <c r="J46" s="466"/>
      <c r="K46" s="466"/>
      <c r="L46" s="467"/>
      <c r="O46" s="450"/>
      <c r="Z46" s="437"/>
    </row>
    <row r="47" spans="3:26" s="439" customFormat="1" ht="15.6">
      <c r="C47" s="945"/>
      <c r="D47" s="932"/>
      <c r="E47" s="933"/>
      <c r="F47" s="933"/>
      <c r="G47" s="933"/>
      <c r="H47" s="934"/>
      <c r="I47" s="474"/>
      <c r="J47" s="466"/>
      <c r="K47" s="466"/>
      <c r="L47" s="467"/>
      <c r="O47" s="450"/>
      <c r="Z47" s="437"/>
    </row>
    <row r="48" spans="3:26" s="439" customFormat="1" ht="15.6">
      <c r="C48" s="946"/>
      <c r="D48" s="932"/>
      <c r="E48" s="933"/>
      <c r="F48" s="933"/>
      <c r="G48" s="933"/>
      <c r="H48" s="934"/>
      <c r="I48" s="474"/>
      <c r="J48" s="466"/>
      <c r="K48" s="466"/>
      <c r="L48" s="467"/>
      <c r="O48" s="450"/>
      <c r="Z48" s="437"/>
    </row>
    <row r="49" spans="2:25" ht="15.6">
      <c r="C49" s="464">
        <v>18</v>
      </c>
      <c r="D49" s="932"/>
      <c r="E49" s="933"/>
      <c r="F49" s="933"/>
      <c r="G49" s="933"/>
      <c r="H49" s="934"/>
      <c r="I49" s="474"/>
      <c r="J49" s="466"/>
      <c r="K49" s="466"/>
      <c r="L49" s="467"/>
      <c r="O49" s="450"/>
      <c r="P49" s="476"/>
    </row>
    <row r="50" spans="2:25" ht="15.6">
      <c r="C50" s="477"/>
      <c r="D50" s="455"/>
      <c r="E50" s="455"/>
      <c r="F50" s="455"/>
      <c r="G50" s="455"/>
      <c r="H50" s="455"/>
      <c r="I50" s="455"/>
      <c r="J50" s="455"/>
      <c r="K50" s="455"/>
      <c r="L50" s="455"/>
      <c r="O50" s="450"/>
    </row>
    <row r="51" spans="2:25" ht="18">
      <c r="C51" s="478" t="s">
        <v>842</v>
      </c>
      <c r="D51" s="478"/>
      <c r="E51" s="478"/>
      <c r="F51" s="478"/>
      <c r="G51" s="478"/>
      <c r="H51" s="478"/>
      <c r="O51" s="450"/>
    </row>
    <row r="52" spans="2:25" ht="28.8">
      <c r="C52" s="479" t="s">
        <v>843</v>
      </c>
      <c r="D52" s="935" t="s">
        <v>844</v>
      </c>
      <c r="E52" s="936"/>
      <c r="F52" s="936"/>
      <c r="G52" s="936"/>
      <c r="H52" s="937"/>
      <c r="I52" s="479" t="s">
        <v>816</v>
      </c>
      <c r="J52" s="459" t="s">
        <v>817</v>
      </c>
      <c r="K52" s="459" t="s">
        <v>818</v>
      </c>
      <c r="L52" s="479" t="s">
        <v>95</v>
      </c>
      <c r="O52" s="450"/>
      <c r="Q52" s="473"/>
    </row>
    <row r="53" spans="2:25" ht="32.25" customHeight="1">
      <c r="C53" s="480" t="s">
        <v>845</v>
      </c>
      <c r="D53" s="938" t="s">
        <v>1027</v>
      </c>
      <c r="E53" s="939"/>
      <c r="F53" s="939"/>
      <c r="G53" s="939"/>
      <c r="H53" s="940"/>
      <c r="I53" s="794" t="s">
        <v>62</v>
      </c>
      <c r="J53" s="466"/>
      <c r="K53" s="466"/>
      <c r="L53" s="482"/>
      <c r="O53" s="450"/>
    </row>
    <row r="54" spans="2:25" s="440" customFormat="1" ht="30" customHeight="1">
      <c r="C54" s="480" t="s">
        <v>846</v>
      </c>
      <c r="D54" s="938"/>
      <c r="E54" s="939"/>
      <c r="F54" s="939"/>
      <c r="G54" s="939"/>
      <c r="H54" s="940"/>
      <c r="I54" s="794"/>
      <c r="J54" s="466"/>
      <c r="K54" s="466"/>
      <c r="L54" s="482"/>
      <c r="M54" s="439"/>
      <c r="N54" s="439"/>
      <c r="O54" s="450"/>
      <c r="P54" s="439"/>
      <c r="Q54" s="439"/>
      <c r="R54" s="439"/>
      <c r="S54" s="439"/>
      <c r="T54" s="439"/>
      <c r="U54" s="439"/>
      <c r="V54" s="439"/>
      <c r="W54" s="439"/>
      <c r="X54" s="439"/>
      <c r="Y54" s="439"/>
    </row>
    <row r="55" spans="2:25" s="440" customFormat="1" ht="15.6">
      <c r="C55" s="480" t="s">
        <v>847</v>
      </c>
      <c r="D55" s="932"/>
      <c r="E55" s="933"/>
      <c r="F55" s="933"/>
      <c r="G55" s="933"/>
      <c r="H55" s="934"/>
      <c r="I55" s="481"/>
      <c r="J55" s="466"/>
      <c r="K55" s="466"/>
      <c r="L55" s="482"/>
      <c r="M55" s="439"/>
      <c r="N55" s="439"/>
      <c r="O55" s="450"/>
      <c r="P55" s="439"/>
      <c r="Q55" s="439"/>
      <c r="R55" s="439"/>
      <c r="S55" s="439"/>
      <c r="T55" s="439"/>
      <c r="U55" s="439"/>
      <c r="V55" s="439"/>
      <c r="W55" s="439"/>
      <c r="X55" s="439"/>
      <c r="Y55" s="439"/>
    </row>
    <row r="56" spans="2:25" s="440" customFormat="1" ht="15.6">
      <c r="C56" s="480" t="s">
        <v>848</v>
      </c>
      <c r="D56" s="932"/>
      <c r="E56" s="933"/>
      <c r="F56" s="933"/>
      <c r="G56" s="933"/>
      <c r="H56" s="934"/>
      <c r="I56" s="481"/>
      <c r="J56" s="466"/>
      <c r="K56" s="466"/>
      <c r="L56" s="482"/>
      <c r="M56" s="439"/>
      <c r="N56" s="439"/>
      <c r="O56" s="450"/>
      <c r="P56" s="439"/>
      <c r="Q56" s="439"/>
      <c r="R56" s="439"/>
      <c r="S56" s="439"/>
      <c r="T56" s="439"/>
      <c r="U56" s="439"/>
      <c r="V56" s="439"/>
      <c r="W56" s="439"/>
      <c r="X56" s="439"/>
      <c r="Y56" s="439"/>
    </row>
    <row r="57" spans="2:25" s="440" customFormat="1" ht="15.6">
      <c r="C57" s="480" t="s">
        <v>849</v>
      </c>
      <c r="D57" s="932"/>
      <c r="E57" s="933"/>
      <c r="F57" s="933"/>
      <c r="G57" s="933"/>
      <c r="H57" s="934"/>
      <c r="I57" s="481"/>
      <c r="J57" s="466"/>
      <c r="K57" s="466"/>
      <c r="L57" s="482"/>
      <c r="M57" s="439"/>
      <c r="N57" s="439"/>
      <c r="O57" s="450"/>
      <c r="P57" s="439"/>
      <c r="Q57" s="439"/>
      <c r="R57" s="439"/>
      <c r="S57" s="439"/>
      <c r="T57" s="439"/>
      <c r="U57" s="439"/>
      <c r="V57" s="439"/>
      <c r="W57" s="439"/>
      <c r="X57" s="439"/>
      <c r="Y57" s="439"/>
    </row>
    <row r="58" spans="2:25" ht="15.6">
      <c r="O58" s="450"/>
      <c r="P58" s="476"/>
    </row>
    <row r="59" spans="2:25" s="440" customFormat="1" ht="18">
      <c r="B59" s="483"/>
      <c r="C59" s="484" t="s">
        <v>850</v>
      </c>
      <c r="D59" s="485"/>
      <c r="E59" s="485"/>
      <c r="F59" s="485"/>
      <c r="G59" s="485"/>
      <c r="H59" s="485"/>
      <c r="I59" s="486"/>
      <c r="J59" s="486"/>
      <c r="K59" s="487"/>
      <c r="L59" s="488"/>
      <c r="M59" s="489"/>
      <c r="N59" s="439"/>
      <c r="O59" s="450"/>
      <c r="P59" s="439"/>
      <c r="Q59" s="439"/>
      <c r="R59" s="439"/>
      <c r="S59" s="439"/>
      <c r="T59" s="439"/>
      <c r="U59" s="439"/>
      <c r="V59" s="439"/>
      <c r="W59" s="439"/>
      <c r="X59" s="439"/>
      <c r="Y59" s="439"/>
    </row>
    <row r="60" spans="2:25" s="441" customFormat="1" ht="15.6">
      <c r="B60" s="490"/>
      <c r="C60" s="491" t="s">
        <v>851</v>
      </c>
      <c r="D60" s="492"/>
      <c r="E60" s="493" t="s">
        <v>852</v>
      </c>
      <c r="F60" s="494"/>
      <c r="G60" s="494"/>
      <c r="H60" s="494"/>
      <c r="I60" s="491" t="s">
        <v>853</v>
      </c>
      <c r="J60" s="495"/>
      <c r="K60" s="493" t="s">
        <v>852</v>
      </c>
      <c r="L60" s="496"/>
      <c r="M60" s="497"/>
      <c r="N60" s="498"/>
      <c r="O60" s="450"/>
      <c r="P60" s="498"/>
      <c r="Q60" s="498"/>
      <c r="R60" s="498"/>
      <c r="S60" s="498"/>
      <c r="T60" s="498"/>
      <c r="U60" s="498"/>
      <c r="V60" s="498"/>
      <c r="W60" s="498"/>
      <c r="X60" s="498"/>
      <c r="Y60" s="498"/>
    </row>
    <row r="61" spans="2:25" s="440" customFormat="1" ht="15.6">
      <c r="B61" s="499"/>
      <c r="C61" s="500"/>
      <c r="D61" s="501"/>
      <c r="E61" s="502"/>
      <c r="F61" s="503"/>
      <c r="G61" s="503"/>
      <c r="H61" s="503"/>
      <c r="I61" s="504"/>
      <c r="J61" s="505"/>
      <c r="K61" s="506"/>
      <c r="L61" s="507"/>
      <c r="M61" s="508"/>
      <c r="N61" s="439"/>
      <c r="O61" s="450"/>
      <c r="P61" s="439"/>
      <c r="Q61" s="439"/>
      <c r="R61" s="439"/>
      <c r="S61" s="439"/>
      <c r="T61" s="439"/>
      <c r="U61" s="439"/>
      <c r="V61" s="439"/>
      <c r="W61" s="439"/>
      <c r="X61" s="439"/>
      <c r="Y61" s="439"/>
    </row>
    <row r="62" spans="2:25" s="440" customFormat="1" ht="15.6">
      <c r="B62" s="499"/>
      <c r="C62" s="509"/>
      <c r="D62" s="501"/>
      <c r="E62" s="502"/>
      <c r="F62" s="503"/>
      <c r="G62" s="503"/>
      <c r="H62" s="503"/>
      <c r="I62" s="504"/>
      <c r="J62" s="505"/>
      <c r="K62" s="506"/>
      <c r="L62" s="507"/>
      <c r="M62" s="508"/>
      <c r="N62" s="439"/>
      <c r="O62" s="450"/>
      <c r="P62" s="439"/>
      <c r="Q62" s="439"/>
      <c r="R62" s="439"/>
      <c r="S62" s="439"/>
      <c r="T62" s="439"/>
      <c r="U62" s="439"/>
      <c r="V62" s="439"/>
      <c r="W62" s="439"/>
      <c r="X62" s="439"/>
      <c r="Y62" s="439"/>
    </row>
    <row r="63" spans="2:25" s="440" customFormat="1" ht="15.6">
      <c r="B63" s="499"/>
      <c r="C63" s="510"/>
      <c r="D63" s="501"/>
      <c r="E63" s="502"/>
      <c r="F63" s="503"/>
      <c r="G63" s="503"/>
      <c r="H63" s="503"/>
      <c r="I63" s="510"/>
      <c r="J63" s="505"/>
      <c r="K63" s="506"/>
      <c r="L63" s="507"/>
      <c r="M63" s="508"/>
      <c r="N63" s="439"/>
      <c r="O63" s="450"/>
      <c r="P63" s="439"/>
      <c r="Q63" s="439"/>
      <c r="R63" s="439"/>
      <c r="S63" s="439"/>
      <c r="T63" s="439"/>
      <c r="U63" s="439"/>
      <c r="V63" s="439"/>
      <c r="W63" s="439"/>
      <c r="X63" s="439"/>
      <c r="Y63" s="439"/>
    </row>
    <row r="64" spans="2:25" s="440" customFormat="1" ht="15.6">
      <c r="B64" s="499"/>
      <c r="C64" s="511"/>
      <c r="D64" s="501"/>
      <c r="E64" s="502"/>
      <c r="F64" s="503"/>
      <c r="G64" s="503"/>
      <c r="H64" s="503"/>
      <c r="I64" s="512"/>
      <c r="J64" s="505"/>
      <c r="K64" s="506"/>
      <c r="L64" s="507"/>
      <c r="M64" s="508"/>
      <c r="N64" s="439"/>
      <c r="O64" s="450"/>
      <c r="P64" s="439"/>
      <c r="Q64" s="439"/>
      <c r="R64" s="439"/>
      <c r="S64" s="439"/>
      <c r="T64" s="439"/>
      <c r="U64" s="439"/>
      <c r="V64" s="439"/>
      <c r="W64" s="439"/>
      <c r="X64" s="439"/>
      <c r="Y64" s="439"/>
    </row>
    <row r="65" spans="2:25" s="440" customFormat="1" ht="15.6">
      <c r="B65" s="499"/>
      <c r="C65" s="513"/>
      <c r="D65" s="514"/>
      <c r="E65" s="515"/>
      <c r="F65" s="516"/>
      <c r="G65" s="516"/>
      <c r="H65" s="516"/>
      <c r="I65" s="517"/>
      <c r="J65" s="518"/>
      <c r="K65" s="519"/>
      <c r="L65" s="520"/>
      <c r="M65" s="508"/>
      <c r="N65" s="439"/>
      <c r="O65" s="450"/>
      <c r="P65" s="439"/>
      <c r="Q65" s="439"/>
      <c r="R65" s="439"/>
      <c r="S65" s="439"/>
      <c r="T65" s="439"/>
      <c r="U65" s="439"/>
      <c r="V65" s="439"/>
      <c r="W65" s="439"/>
      <c r="X65" s="439"/>
      <c r="Y65" s="439"/>
    </row>
    <row r="66" spans="2:25">
      <c r="B66" s="521"/>
      <c r="C66" s="522"/>
      <c r="D66" s="522"/>
      <c r="E66" s="522"/>
      <c r="F66" s="522"/>
      <c r="G66" s="522"/>
      <c r="H66" s="522"/>
      <c r="I66" s="522"/>
      <c r="J66" s="522"/>
      <c r="K66" s="522"/>
      <c r="L66" s="523"/>
      <c r="M66" s="508"/>
    </row>
    <row r="67" spans="2:25" ht="15.6">
      <c r="B67" s="521"/>
      <c r="C67" s="522"/>
      <c r="D67" s="522"/>
      <c r="E67" s="522"/>
      <c r="F67" s="522"/>
      <c r="G67" s="522"/>
      <c r="H67" s="522"/>
      <c r="I67" s="522"/>
      <c r="J67" s="522"/>
      <c r="K67" s="522"/>
      <c r="L67" s="523"/>
      <c r="M67" s="508"/>
      <c r="O67" s="450"/>
    </row>
    <row r="68" spans="2:25" ht="15.6">
      <c r="B68" s="521"/>
      <c r="C68" s="522"/>
      <c r="D68" s="522"/>
      <c r="E68" s="522"/>
      <c r="F68" s="522"/>
      <c r="G68" s="522"/>
      <c r="H68" s="522"/>
      <c r="I68" s="522"/>
      <c r="J68" s="522"/>
      <c r="K68" s="522"/>
      <c r="L68" s="523"/>
      <c r="M68" s="508"/>
      <c r="O68" s="450"/>
    </row>
    <row r="69" spans="2:25" ht="15.6">
      <c r="B69" s="521"/>
      <c r="C69" s="522"/>
      <c r="D69" s="522"/>
      <c r="E69" s="522"/>
      <c r="F69" s="522"/>
      <c r="G69" s="522"/>
      <c r="H69" s="522"/>
      <c r="I69" s="522"/>
      <c r="J69" s="522"/>
      <c r="K69" s="522"/>
      <c r="L69" s="523"/>
      <c r="M69" s="508"/>
      <c r="O69" s="450"/>
    </row>
    <row r="70" spans="2:25">
      <c r="B70" s="521"/>
      <c r="C70" s="522"/>
      <c r="D70" s="522"/>
      <c r="E70" s="522"/>
      <c r="F70" s="522"/>
      <c r="G70" s="522"/>
      <c r="H70" s="522"/>
      <c r="I70" s="522"/>
      <c r="J70" s="522"/>
      <c r="K70" s="522"/>
      <c r="L70" s="523"/>
      <c r="M70" s="508"/>
    </row>
    <row r="71" spans="2:25">
      <c r="B71" s="521"/>
      <c r="C71" s="522"/>
      <c r="D71" s="522"/>
      <c r="E71" s="522"/>
      <c r="F71" s="522"/>
      <c r="G71" s="522"/>
      <c r="H71" s="522"/>
      <c r="I71" s="522"/>
      <c r="J71" s="522"/>
      <c r="K71" s="522"/>
      <c r="L71" s="523"/>
      <c r="M71" s="508"/>
    </row>
    <row r="72" spans="2:25">
      <c r="B72" s="524"/>
      <c r="C72" s="525"/>
      <c r="D72" s="525"/>
      <c r="E72" s="525"/>
      <c r="F72" s="525"/>
      <c r="G72" s="525"/>
      <c r="H72" s="525"/>
      <c r="I72" s="525"/>
      <c r="J72" s="525"/>
      <c r="K72" s="525"/>
      <c r="L72" s="526"/>
      <c r="M72" s="527"/>
    </row>
    <row r="73" spans="2:25" s="442" customFormat="1" ht="28.5" customHeight="1">
      <c r="C73" s="528"/>
      <c r="D73" s="528"/>
      <c r="E73" s="528"/>
      <c r="F73" s="528"/>
      <c r="G73" s="528"/>
      <c r="H73" s="528"/>
      <c r="I73" s="528"/>
      <c r="J73" s="528"/>
      <c r="K73" s="528"/>
      <c r="L73" s="529"/>
      <c r="M73" s="530"/>
      <c r="N73" s="530"/>
      <c r="O73" s="530"/>
      <c r="P73" s="530"/>
      <c r="Q73" s="530"/>
      <c r="R73" s="530"/>
      <c r="S73" s="530"/>
      <c r="T73" s="530"/>
      <c r="U73" s="530"/>
      <c r="V73" s="530"/>
      <c r="W73" s="530"/>
      <c r="X73" s="530"/>
      <c r="Y73" s="530"/>
    </row>
    <row r="74" spans="2:25" s="440" customFormat="1" ht="15.6">
      <c r="B74" s="483"/>
      <c r="C74" s="531" t="s">
        <v>854</v>
      </c>
      <c r="D74" s="532"/>
      <c r="E74" s="532"/>
      <c r="F74" s="532"/>
      <c r="G74" s="532"/>
      <c r="H74" s="532"/>
      <c r="I74" s="487"/>
      <c r="J74" s="486"/>
      <c r="K74" s="487"/>
      <c r="L74" s="488"/>
      <c r="M74" s="489"/>
      <c r="N74" s="439"/>
      <c r="O74" s="450"/>
      <c r="P74" s="439"/>
      <c r="Q74" s="439"/>
      <c r="R74" s="439"/>
      <c r="S74" s="439"/>
      <c r="T74" s="439"/>
      <c r="U74" s="439"/>
      <c r="V74" s="439"/>
      <c r="W74" s="439"/>
      <c r="X74" s="439"/>
      <c r="Y74" s="439"/>
    </row>
    <row r="75" spans="2:25" s="441" customFormat="1" ht="15.6">
      <c r="B75" s="490"/>
      <c r="C75" s="491" t="s">
        <v>855</v>
      </c>
      <c r="D75" s="492"/>
      <c r="E75" s="800" t="s">
        <v>852</v>
      </c>
      <c r="F75" s="494"/>
      <c r="G75" s="494"/>
      <c r="H75" s="494"/>
      <c r="I75" s="491" t="s">
        <v>856</v>
      </c>
      <c r="J75" s="495"/>
      <c r="K75" s="800" t="s">
        <v>852</v>
      </c>
      <c r="L75" s="496"/>
      <c r="M75" s="497"/>
      <c r="N75" s="498"/>
      <c r="O75" s="450"/>
      <c r="P75" s="498"/>
      <c r="Q75" s="498"/>
      <c r="R75" s="498"/>
      <c r="S75" s="498"/>
      <c r="T75" s="498"/>
      <c r="U75" s="498"/>
      <c r="V75" s="498"/>
      <c r="W75" s="498"/>
      <c r="X75" s="498"/>
      <c r="Y75" s="498"/>
    </row>
    <row r="76" spans="2:25" s="440" customFormat="1" ht="15.6">
      <c r="B76" s="499"/>
      <c r="C76" s="500"/>
      <c r="D76" s="501"/>
      <c r="E76" s="502"/>
      <c r="F76" s="503"/>
      <c r="G76" s="503"/>
      <c r="H76" s="503"/>
      <c r="I76" s="504"/>
      <c r="J76" s="505"/>
      <c r="K76" s="506"/>
      <c r="L76" s="507"/>
      <c r="M76" s="508"/>
      <c r="N76" s="439"/>
      <c r="O76" s="450"/>
      <c r="P76" s="439"/>
      <c r="Q76" s="439"/>
      <c r="R76" s="439"/>
      <c r="S76" s="439"/>
      <c r="T76" s="439"/>
      <c r="U76" s="439"/>
      <c r="V76" s="439"/>
      <c r="W76" s="439"/>
      <c r="X76" s="439"/>
      <c r="Y76" s="439"/>
    </row>
    <row r="77" spans="2:25" s="440" customFormat="1" ht="15.6">
      <c r="B77" s="499"/>
      <c r="C77" s="509"/>
      <c r="D77" s="501"/>
      <c r="E77" s="502"/>
      <c r="F77" s="503"/>
      <c r="G77" s="503"/>
      <c r="H77" s="503"/>
      <c r="I77" s="504"/>
      <c r="J77" s="505"/>
      <c r="K77" s="506"/>
      <c r="L77" s="507"/>
      <c r="M77" s="508"/>
      <c r="N77" s="439"/>
      <c r="O77" s="450"/>
      <c r="P77" s="439"/>
      <c r="Q77" s="439"/>
      <c r="R77" s="439"/>
      <c r="S77" s="439"/>
      <c r="T77" s="439"/>
      <c r="U77" s="439"/>
      <c r="V77" s="439"/>
      <c r="W77" s="439"/>
      <c r="X77" s="439"/>
      <c r="Y77" s="439"/>
    </row>
    <row r="78" spans="2:25" s="440" customFormat="1" ht="15.6">
      <c r="B78" s="499"/>
      <c r="C78" s="510"/>
      <c r="D78" s="501"/>
      <c r="E78" s="502"/>
      <c r="F78" s="503"/>
      <c r="G78" s="503"/>
      <c r="H78" s="503"/>
      <c r="I78" s="510"/>
      <c r="J78" s="505"/>
      <c r="K78" s="506"/>
      <c r="L78" s="507"/>
      <c r="M78" s="508"/>
      <c r="N78" s="439"/>
      <c r="O78" s="450"/>
      <c r="P78" s="439"/>
      <c r="Q78" s="439"/>
      <c r="R78" s="439"/>
      <c r="S78" s="439"/>
      <c r="T78" s="439"/>
      <c r="U78" s="439"/>
      <c r="V78" s="439"/>
      <c r="W78" s="439"/>
      <c r="X78" s="439"/>
      <c r="Y78" s="439"/>
    </row>
    <row r="79" spans="2:25" s="440" customFormat="1" ht="15.6">
      <c r="B79" s="499"/>
      <c r="C79" s="511"/>
      <c r="D79" s="501"/>
      <c r="E79" s="502"/>
      <c r="F79" s="503"/>
      <c r="G79" s="503"/>
      <c r="H79" s="503"/>
      <c r="I79" s="512"/>
      <c r="J79" s="505"/>
      <c r="K79" s="506"/>
      <c r="L79" s="507"/>
      <c r="M79" s="508"/>
      <c r="N79" s="439"/>
      <c r="O79" s="450"/>
      <c r="P79" s="439"/>
      <c r="Q79" s="439"/>
      <c r="R79" s="439"/>
      <c r="S79" s="439"/>
      <c r="T79" s="439"/>
      <c r="U79" s="439"/>
      <c r="V79" s="439"/>
      <c r="W79" s="439"/>
      <c r="X79" s="439"/>
      <c r="Y79" s="439"/>
    </row>
    <row r="80" spans="2:25" s="440" customFormat="1" ht="15.6">
      <c r="B80" s="499"/>
      <c r="C80" s="513"/>
      <c r="D80" s="514"/>
      <c r="E80" s="515"/>
      <c r="F80" s="516"/>
      <c r="G80" s="516"/>
      <c r="H80" s="516"/>
      <c r="I80" s="517"/>
      <c r="J80" s="518"/>
      <c r="K80" s="519"/>
      <c r="L80" s="520"/>
      <c r="M80" s="508"/>
      <c r="N80" s="439"/>
      <c r="O80" s="450"/>
      <c r="P80" s="439"/>
      <c r="Q80" s="439"/>
      <c r="R80" s="439"/>
      <c r="S80" s="439"/>
      <c r="T80" s="439"/>
      <c r="U80" s="439"/>
      <c r="V80" s="439"/>
      <c r="W80" s="439"/>
      <c r="X80" s="439"/>
      <c r="Y80" s="439"/>
    </row>
    <row r="81" spans="2:25" s="440" customFormat="1" ht="15.6">
      <c r="B81" s="499"/>
      <c r="C81" s="452" t="s">
        <v>857</v>
      </c>
      <c r="D81" s="533"/>
      <c r="E81" s="493" t="s">
        <v>858</v>
      </c>
      <c r="F81" s="485"/>
      <c r="G81" s="494" t="s">
        <v>859</v>
      </c>
      <c r="H81" s="533"/>
      <c r="I81" s="452" t="s">
        <v>857</v>
      </c>
      <c r="J81" s="534"/>
      <c r="K81" s="535" t="s">
        <v>858</v>
      </c>
      <c r="L81" s="536" t="s">
        <v>859</v>
      </c>
      <c r="M81" s="508"/>
      <c r="N81" s="439"/>
      <c r="O81" s="450"/>
      <c r="P81" s="439"/>
      <c r="Q81" s="439"/>
      <c r="R81" s="439"/>
      <c r="S81" s="439"/>
      <c r="T81" s="439"/>
      <c r="U81" s="439"/>
      <c r="V81" s="439"/>
      <c r="W81" s="439"/>
      <c r="X81" s="439"/>
      <c r="Y81" s="439"/>
    </row>
    <row r="82" spans="2:25" s="440" customFormat="1" ht="15.6">
      <c r="B82" s="499"/>
      <c r="C82" s="537"/>
      <c r="D82" s="501"/>
      <c r="E82" s="538"/>
      <c r="F82" s="503"/>
      <c r="G82" s="503"/>
      <c r="H82" s="501"/>
      <c r="I82" s="512"/>
      <c r="J82" s="505"/>
      <c r="K82" s="502"/>
      <c r="L82" s="501"/>
      <c r="M82" s="508"/>
      <c r="N82" s="439"/>
      <c r="O82" s="450"/>
      <c r="P82" s="439"/>
      <c r="Q82" s="439"/>
      <c r="R82" s="439"/>
      <c r="S82" s="439"/>
      <c r="T82" s="439"/>
      <c r="U82" s="439"/>
      <c r="V82" s="439"/>
      <c r="W82" s="439"/>
      <c r="X82" s="439"/>
      <c r="Y82" s="439"/>
    </row>
    <row r="83" spans="2:25" s="440" customFormat="1" ht="15.6">
      <c r="B83" s="499"/>
      <c r="C83" s="453"/>
      <c r="D83" s="514"/>
      <c r="E83" s="539"/>
      <c r="F83" s="516"/>
      <c r="G83" s="516"/>
      <c r="H83" s="514"/>
      <c r="I83" s="517"/>
      <c r="J83" s="518"/>
      <c r="K83" s="515"/>
      <c r="L83" s="514"/>
      <c r="M83" s="508"/>
      <c r="N83" s="439"/>
      <c r="O83" s="450"/>
      <c r="P83" s="439"/>
      <c r="Q83" s="439"/>
      <c r="R83" s="439"/>
      <c r="S83" s="439"/>
      <c r="T83" s="439"/>
      <c r="U83" s="439"/>
      <c r="V83" s="439"/>
      <c r="W83" s="439"/>
      <c r="X83" s="439"/>
      <c r="Y83" s="439"/>
    </row>
    <row r="84" spans="2:25" s="443" customFormat="1" ht="5.4">
      <c r="B84" s="540"/>
      <c r="C84" s="541"/>
      <c r="D84" s="542"/>
      <c r="E84" s="541"/>
      <c r="F84" s="542"/>
      <c r="G84" s="542"/>
      <c r="H84" s="542"/>
      <c r="I84" s="543"/>
      <c r="J84" s="544"/>
      <c r="K84" s="542"/>
      <c r="L84" s="542"/>
      <c r="M84" s="545"/>
      <c r="N84" s="530"/>
      <c r="O84" s="546"/>
      <c r="P84" s="530"/>
      <c r="Q84" s="530"/>
      <c r="R84" s="530"/>
      <c r="S84" s="530"/>
      <c r="T84" s="530"/>
      <c r="U84" s="530"/>
      <c r="V84" s="530"/>
      <c r="W84" s="530"/>
      <c r="X84" s="530"/>
      <c r="Y84" s="530"/>
    </row>
    <row r="85" spans="2:25" s="441" customFormat="1" ht="15.6">
      <c r="B85" s="490"/>
      <c r="C85" s="491" t="s">
        <v>860</v>
      </c>
      <c r="D85" s="492"/>
      <c r="E85" s="493" t="s">
        <v>852</v>
      </c>
      <c r="F85" s="494"/>
      <c r="G85" s="494"/>
      <c r="H85" s="492"/>
      <c r="I85" s="547"/>
      <c r="J85" s="548"/>
      <c r="K85" s="549"/>
      <c r="L85" s="550"/>
      <c r="M85" s="497"/>
      <c r="N85" s="498"/>
      <c r="O85" s="450"/>
      <c r="P85" s="498"/>
      <c r="Q85" s="498"/>
      <c r="R85" s="498"/>
      <c r="S85" s="498"/>
      <c r="T85" s="498"/>
      <c r="U85" s="498"/>
      <c r="V85" s="498"/>
      <c r="W85" s="498"/>
      <c r="X85" s="498"/>
      <c r="Y85" s="498"/>
    </row>
    <row r="86" spans="2:25" s="440" customFormat="1" ht="15.6">
      <c r="B86" s="499"/>
      <c r="C86" s="500"/>
      <c r="D86" s="501"/>
      <c r="E86" s="502"/>
      <c r="F86" s="503"/>
      <c r="G86" s="503"/>
      <c r="H86" s="501"/>
      <c r="I86" s="551"/>
      <c r="J86" s="551"/>
      <c r="K86" s="506"/>
      <c r="L86" s="523"/>
      <c r="M86" s="508"/>
      <c r="N86" s="439"/>
      <c r="O86" s="450"/>
      <c r="P86" s="439"/>
      <c r="Q86" s="439"/>
      <c r="R86" s="439"/>
      <c r="S86" s="439"/>
      <c r="T86" s="439"/>
      <c r="U86" s="439"/>
      <c r="V86" s="439"/>
      <c r="W86" s="439"/>
      <c r="X86" s="439"/>
      <c r="Y86" s="439"/>
    </row>
    <row r="87" spans="2:25" s="440" customFormat="1" ht="15.6">
      <c r="B87" s="499"/>
      <c r="C87" s="509"/>
      <c r="D87" s="501"/>
      <c r="E87" s="502"/>
      <c r="F87" s="503"/>
      <c r="G87" s="503"/>
      <c r="H87" s="501"/>
      <c r="I87" s="551"/>
      <c r="J87" s="551"/>
      <c r="K87" s="506"/>
      <c r="L87" s="523"/>
      <c r="M87" s="508"/>
      <c r="N87" s="439"/>
      <c r="O87" s="450"/>
      <c r="P87" s="439"/>
      <c r="Q87" s="439"/>
      <c r="R87" s="439"/>
      <c r="S87" s="439"/>
      <c r="T87" s="439"/>
      <c r="U87" s="439"/>
      <c r="V87" s="439"/>
      <c r="W87" s="439"/>
      <c r="X87" s="439"/>
      <c r="Y87" s="439"/>
    </row>
    <row r="88" spans="2:25" s="440" customFormat="1" ht="15.6">
      <c r="B88" s="499"/>
      <c r="C88" s="510"/>
      <c r="D88" s="501"/>
      <c r="E88" s="502"/>
      <c r="F88" s="503"/>
      <c r="G88" s="503"/>
      <c r="H88" s="501"/>
      <c r="I88" s="552"/>
      <c r="J88" s="551"/>
      <c r="K88" s="506"/>
      <c r="L88" s="523"/>
      <c r="M88" s="508"/>
      <c r="N88" s="439"/>
      <c r="O88" s="450"/>
      <c r="P88" s="439"/>
      <c r="Q88" s="439"/>
      <c r="R88" s="439"/>
      <c r="S88" s="439"/>
      <c r="T88" s="439"/>
      <c r="U88" s="439"/>
      <c r="V88" s="439"/>
      <c r="W88" s="439"/>
      <c r="X88" s="439"/>
      <c r="Y88" s="439"/>
    </row>
    <row r="89" spans="2:25" s="440" customFormat="1" ht="15.6">
      <c r="B89" s="499"/>
      <c r="C89" s="511"/>
      <c r="D89" s="501"/>
      <c r="E89" s="502"/>
      <c r="F89" s="503"/>
      <c r="G89" s="503"/>
      <c r="H89" s="501"/>
      <c r="I89" s="506"/>
      <c r="J89" s="551"/>
      <c r="K89" s="506"/>
      <c r="L89" s="523"/>
      <c r="M89" s="508"/>
      <c r="N89" s="439"/>
      <c r="O89" s="450"/>
      <c r="P89" s="439"/>
      <c r="Q89" s="439"/>
      <c r="R89" s="439"/>
      <c r="S89" s="439"/>
      <c r="T89" s="439"/>
      <c r="U89" s="439"/>
      <c r="V89" s="439"/>
      <c r="W89" s="439"/>
      <c r="X89" s="439"/>
      <c r="Y89" s="439"/>
    </row>
    <row r="90" spans="2:25" s="440" customFormat="1" ht="15.6">
      <c r="B90" s="499"/>
      <c r="C90" s="513"/>
      <c r="D90" s="514"/>
      <c r="E90" s="515"/>
      <c r="F90" s="516"/>
      <c r="G90" s="516"/>
      <c r="H90" s="514"/>
      <c r="I90" s="506"/>
      <c r="J90" s="551"/>
      <c r="K90" s="506"/>
      <c r="L90" s="523"/>
      <c r="M90" s="508"/>
      <c r="N90" s="439"/>
      <c r="O90" s="450"/>
      <c r="P90" s="439"/>
      <c r="Q90" s="439"/>
      <c r="R90" s="439"/>
      <c r="S90" s="439"/>
      <c r="T90" s="439"/>
      <c r="U90" s="439"/>
      <c r="V90" s="439"/>
      <c r="W90" s="439"/>
      <c r="X90" s="439"/>
      <c r="Y90" s="439"/>
    </row>
    <row r="91" spans="2:25" s="440" customFormat="1" ht="15.6">
      <c r="B91" s="499"/>
      <c r="C91" s="452" t="s">
        <v>857</v>
      </c>
      <c r="D91" s="533"/>
      <c r="E91" s="493" t="s">
        <v>858</v>
      </c>
      <c r="F91" s="485"/>
      <c r="G91" s="485" t="s">
        <v>859</v>
      </c>
      <c r="H91" s="533"/>
      <c r="I91" s="506"/>
      <c r="J91" s="551"/>
      <c r="K91" s="503"/>
      <c r="L91" s="553"/>
      <c r="M91" s="508"/>
      <c r="N91" s="439"/>
      <c r="O91" s="450"/>
      <c r="P91" s="439"/>
      <c r="Q91" s="439"/>
      <c r="R91" s="439"/>
      <c r="S91" s="439"/>
      <c r="T91" s="439"/>
      <c r="U91" s="439"/>
      <c r="V91" s="439"/>
      <c r="W91" s="439"/>
      <c r="X91" s="439"/>
      <c r="Y91" s="439"/>
    </row>
    <row r="92" spans="2:25" s="440" customFormat="1" ht="15.6">
      <c r="B92" s="499"/>
      <c r="C92" s="554"/>
      <c r="D92" s="555"/>
      <c r="E92" s="556"/>
      <c r="F92" s="557"/>
      <c r="G92" s="557"/>
      <c r="H92" s="555"/>
      <c r="I92" s="558"/>
      <c r="J92" s="559"/>
      <c r="K92" s="557"/>
      <c r="L92" s="557"/>
      <c r="M92" s="508"/>
      <c r="N92" s="439"/>
      <c r="O92" s="450"/>
      <c r="P92" s="439"/>
      <c r="Q92" s="439"/>
      <c r="R92" s="439"/>
      <c r="S92" s="439"/>
      <c r="T92" s="439"/>
      <c r="U92" s="439"/>
      <c r="V92" s="439"/>
      <c r="W92" s="439"/>
      <c r="X92" s="439"/>
      <c r="Y92" s="439"/>
    </row>
    <row r="93" spans="2:25" s="440" customFormat="1" ht="15.6">
      <c r="B93" s="499"/>
      <c r="C93" s="560"/>
      <c r="D93" s="561"/>
      <c r="E93" s="562"/>
      <c r="F93" s="563"/>
      <c r="G93" s="563"/>
      <c r="H93" s="561"/>
      <c r="I93" s="558"/>
      <c r="J93" s="559"/>
      <c r="K93" s="557"/>
      <c r="L93" s="557"/>
      <c r="M93" s="508"/>
      <c r="N93" s="439"/>
      <c r="O93" s="450"/>
      <c r="P93" s="439"/>
      <c r="Q93" s="439"/>
      <c r="R93" s="439"/>
      <c r="S93" s="439"/>
      <c r="T93" s="439"/>
      <c r="U93" s="439"/>
      <c r="V93" s="439"/>
      <c r="W93" s="439"/>
      <c r="X93" s="439"/>
      <c r="Y93" s="439"/>
    </row>
    <row r="94" spans="2:25" s="442" customFormat="1" ht="5.4">
      <c r="B94" s="564"/>
      <c r="C94" s="565"/>
      <c r="D94" s="565" t="s">
        <v>470</v>
      </c>
      <c r="E94" s="565"/>
      <c r="F94" s="565"/>
      <c r="G94" s="565"/>
      <c r="H94" s="565"/>
      <c r="I94" s="565"/>
      <c r="J94" s="565"/>
      <c r="K94" s="565"/>
      <c r="L94" s="566"/>
      <c r="M94" s="567"/>
      <c r="N94" s="530"/>
      <c r="O94" s="546"/>
      <c r="P94" s="530"/>
      <c r="Q94" s="530"/>
      <c r="R94" s="530"/>
      <c r="S94" s="530"/>
      <c r="T94" s="530"/>
      <c r="U94" s="530"/>
      <c r="V94" s="530"/>
      <c r="W94" s="530"/>
      <c r="X94" s="530"/>
      <c r="Y94" s="530"/>
    </row>
  </sheetData>
  <mergeCells count="49">
    <mergeCell ref="D17:H17"/>
    <mergeCell ref="C2:L2"/>
    <mergeCell ref="H6:I6"/>
    <mergeCell ref="H7:I7"/>
    <mergeCell ref="D9:H9"/>
    <mergeCell ref="D10:H10"/>
    <mergeCell ref="D11:H11"/>
    <mergeCell ref="D12:H12"/>
    <mergeCell ref="D13:H13"/>
    <mergeCell ref="D14:H14"/>
    <mergeCell ref="D15:H15"/>
    <mergeCell ref="D16:H16"/>
    <mergeCell ref="D29:H29"/>
    <mergeCell ref="D18:H18"/>
    <mergeCell ref="D19:H19"/>
    <mergeCell ref="D20:H20"/>
    <mergeCell ref="D21:H21"/>
    <mergeCell ref="D22:H22"/>
    <mergeCell ref="D23:H23"/>
    <mergeCell ref="D24:H24"/>
    <mergeCell ref="D25:H25"/>
    <mergeCell ref="D26:H26"/>
    <mergeCell ref="D27:H27"/>
    <mergeCell ref="D28:H28"/>
    <mergeCell ref="D43:H43"/>
    <mergeCell ref="D32:H32"/>
    <mergeCell ref="D33:H33"/>
    <mergeCell ref="D34:H34"/>
    <mergeCell ref="D35:H35"/>
    <mergeCell ref="D36:H36"/>
    <mergeCell ref="D37:H37"/>
    <mergeCell ref="D38:H38"/>
    <mergeCell ref="D39:H39"/>
    <mergeCell ref="D40:H40"/>
    <mergeCell ref="D41:H41"/>
    <mergeCell ref="D42:H42"/>
    <mergeCell ref="D44:H44"/>
    <mergeCell ref="D45:H45"/>
    <mergeCell ref="C46:C48"/>
    <mergeCell ref="D46:H46"/>
    <mergeCell ref="D47:H47"/>
    <mergeCell ref="D48:H48"/>
    <mergeCell ref="D57:H57"/>
    <mergeCell ref="D49:H49"/>
    <mergeCell ref="D52:H52"/>
    <mergeCell ref="D53:H53"/>
    <mergeCell ref="D54:H54"/>
    <mergeCell ref="D55:H55"/>
    <mergeCell ref="D56:H56"/>
  </mergeCells>
  <dataValidations count="3">
    <dataValidation type="list" allowBlank="1" showInputMessage="1" showErrorMessage="1" sqref="I53:I57 I42:I49 I39 I33:I36 I10:I29" xr:uid="{3A92F8DF-9FC1-492C-A8B5-3AA5DC3EDCCC}">
      <formula1>$X$9:$X$12</formula1>
    </dataValidation>
    <dataValidation type="list" allowBlank="1" showInputMessage="1" showErrorMessage="1" sqref="L53:L57" xr:uid="{F53F2A75-F4FB-4B3D-8F94-2DF0C8F734C4}">
      <formula1>$Z$9:$Z$15</formula1>
    </dataValidation>
    <dataValidation type="list" allowBlank="1" showInputMessage="1" showErrorMessage="1" sqref="L13 L17 L21 L25 L29" xr:uid="{8ABB9B15-4003-4EB4-ABBB-D1A965BF1207}">
      <formula1>$Y$9:$Y$15</formula1>
    </dataValidation>
  </dataValidations>
  <printOptions horizontalCentered="1"/>
  <pageMargins left="0" right="0" top="0" bottom="0" header="0" footer="0"/>
  <pageSetup paperSize="8" scale="62" fitToWidth="0"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20A5EF-1BA3-46DB-B65A-A2A82B119BE5}">
  <sheetPr>
    <tabColor theme="9" tint="0.79998168889431442"/>
    <pageSetUpPr fitToPage="1"/>
  </sheetPr>
  <dimension ref="C3:AJ89"/>
  <sheetViews>
    <sheetView topLeftCell="A51" workbookViewId="0">
      <selection activeCell="O50" sqref="O50"/>
    </sheetView>
  </sheetViews>
  <sheetFormatPr defaultColWidth="9.109375" defaultRowHeight="14.4"/>
  <cols>
    <col min="1" max="1" width="9.109375" style="568"/>
    <col min="2" max="2" width="2.109375" style="568" customWidth="1"/>
    <col min="3" max="7" width="13.5546875" style="572" customWidth="1"/>
    <col min="8" max="10" width="13.5546875" style="571" customWidth="1"/>
    <col min="11" max="11" width="26.5546875" style="573" customWidth="1"/>
    <col min="12" max="13" width="13.5546875" style="574" customWidth="1"/>
    <col min="14" max="14" width="2.109375" style="574" customWidth="1"/>
    <col min="15" max="15" width="9" style="437" bestFit="1" customWidth="1"/>
    <col min="16" max="16" width="13.109375" style="568" bestFit="1" customWidth="1"/>
    <col min="17" max="17" width="11.33203125" style="568" bestFit="1" customWidth="1"/>
    <col min="18" max="18" width="9" style="568" bestFit="1" customWidth="1"/>
    <col min="19" max="19" width="13.109375" style="568" customWidth="1"/>
    <col min="20" max="20" width="11.33203125" style="568" customWidth="1"/>
    <col min="21" max="21" width="11" style="568" customWidth="1"/>
    <col min="22" max="22" width="9.44140625" style="568" customWidth="1"/>
    <col min="23" max="23" width="9" style="568" customWidth="1"/>
    <col min="24" max="16384" width="9.109375" style="568"/>
  </cols>
  <sheetData>
    <row r="3" spans="3:23" ht="23.4">
      <c r="C3" s="980" t="s">
        <v>861</v>
      </c>
      <c r="D3" s="980"/>
      <c r="E3" s="980"/>
      <c r="F3" s="980"/>
      <c r="G3" s="980"/>
      <c r="H3" s="980"/>
      <c r="I3" s="980"/>
      <c r="J3" s="980"/>
      <c r="K3" s="980"/>
      <c r="L3" s="980"/>
      <c r="M3" s="575"/>
      <c r="N3" s="576"/>
    </row>
    <row r="4" spans="3:23" ht="17.399999999999999">
      <c r="C4" s="445" t="s">
        <v>862</v>
      </c>
      <c r="D4" s="686" t="s">
        <v>1004</v>
      </c>
      <c r="E4" s="460"/>
      <c r="F4" s="460"/>
      <c r="G4" s="460"/>
      <c r="H4" s="577"/>
      <c r="I4" s="577"/>
    </row>
    <row r="5" spans="3:23" ht="17.399999999999999">
      <c r="C5" s="445" t="s">
        <v>863</v>
      </c>
      <c r="D5" s="798" t="s">
        <v>1005</v>
      </c>
      <c r="E5" s="460"/>
      <c r="F5" s="460"/>
      <c r="G5" s="578" t="s">
        <v>859</v>
      </c>
      <c r="H5" s="799">
        <v>45475</v>
      </c>
      <c r="I5" s="577"/>
    </row>
    <row r="6" spans="3:23" ht="15.6">
      <c r="C6" s="445" t="s">
        <v>864</v>
      </c>
      <c r="D6" s="796" t="s">
        <v>1030</v>
      </c>
      <c r="E6" s="460"/>
      <c r="F6" s="460"/>
      <c r="G6" s="460"/>
      <c r="H6" s="577"/>
      <c r="I6" s="577"/>
    </row>
    <row r="7" spans="3:23" s="569" customFormat="1" ht="28.8">
      <c r="C7" s="579"/>
      <c r="D7" s="579"/>
      <c r="E7" s="579"/>
      <c r="F7" s="579"/>
      <c r="G7" s="579"/>
      <c r="H7" s="981" t="s">
        <v>103</v>
      </c>
      <c r="I7" s="981"/>
      <c r="J7" s="981"/>
      <c r="K7" s="464" t="s">
        <v>104</v>
      </c>
      <c r="L7" s="580" t="s">
        <v>865</v>
      </c>
      <c r="M7" s="580" t="s">
        <v>797</v>
      </c>
      <c r="N7" s="581"/>
      <c r="O7" s="437"/>
    </row>
    <row r="8" spans="3:23" s="477" customFormat="1" ht="43.2">
      <c r="C8" s="982" t="s">
        <v>105</v>
      </c>
      <c r="D8" s="983"/>
      <c r="E8" s="983"/>
      <c r="F8" s="983"/>
      <c r="G8" s="984"/>
      <c r="H8" s="582" t="s">
        <v>106</v>
      </c>
      <c r="I8" s="582"/>
      <c r="J8" s="582" t="s">
        <v>866</v>
      </c>
      <c r="K8" s="583" t="s">
        <v>1018</v>
      </c>
      <c r="L8" s="580" t="s">
        <v>107</v>
      </c>
      <c r="M8" s="580" t="s">
        <v>107</v>
      </c>
      <c r="N8" s="584"/>
      <c r="P8" s="568"/>
      <c r="Q8" s="585"/>
      <c r="R8" s="585"/>
      <c r="S8" s="585"/>
    </row>
    <row r="9" spans="3:23" s="569" customFormat="1">
      <c r="C9" s="957" t="s">
        <v>867</v>
      </c>
      <c r="D9" s="958"/>
      <c r="E9" s="958"/>
      <c r="F9" s="958"/>
      <c r="G9" s="959"/>
      <c r="H9" s="586"/>
      <c r="I9" s="587"/>
      <c r="J9" s="588">
        <v>5.0000000000000001E-3</v>
      </c>
      <c r="K9" s="589">
        <f>'Debt Service - Company'!D5</f>
        <v>0</v>
      </c>
      <c r="L9" s="590">
        <v>5.0000000000000001E-3</v>
      </c>
      <c r="M9" s="590">
        <v>5.0000000000000001E-3</v>
      </c>
      <c r="N9" s="591"/>
      <c r="O9" s="437"/>
      <c r="P9" s="592" t="s">
        <v>868</v>
      </c>
      <c r="Q9" s="591"/>
      <c r="R9" s="593"/>
      <c r="S9" s="591"/>
    </row>
    <row r="10" spans="3:23" s="570" customFormat="1" ht="13.8">
      <c r="C10" s="965" t="s">
        <v>108</v>
      </c>
      <c r="D10" s="966"/>
      <c r="E10" s="966"/>
      <c r="F10" s="966"/>
      <c r="G10" s="967"/>
      <c r="H10" s="594">
        <v>5.0000000000000001E-3</v>
      </c>
      <c r="I10" s="595"/>
      <c r="J10" s="596"/>
      <c r="K10" s="597"/>
      <c r="L10" s="598"/>
      <c r="M10" s="598"/>
      <c r="N10" s="599"/>
      <c r="O10" s="600"/>
    </row>
    <row r="11" spans="3:23" s="570" customFormat="1" ht="13.8">
      <c r="C11" s="965" t="s">
        <v>109</v>
      </c>
      <c r="D11" s="966"/>
      <c r="E11" s="966"/>
      <c r="F11" s="966"/>
      <c r="G11" s="967"/>
      <c r="H11" s="594">
        <v>2.5000000000000001E-3</v>
      </c>
      <c r="I11" s="595"/>
      <c r="J11" s="596"/>
      <c r="K11" s="597"/>
      <c r="L11" s="598"/>
      <c r="M11" s="598"/>
      <c r="N11" s="599"/>
      <c r="O11" s="600"/>
    </row>
    <row r="12" spans="3:23" s="570" customFormat="1" ht="13.8">
      <c r="C12" s="965" t="s">
        <v>110</v>
      </c>
      <c r="D12" s="966"/>
      <c r="E12" s="966"/>
      <c r="F12" s="966"/>
      <c r="G12" s="967"/>
      <c r="H12" s="594">
        <v>0</v>
      </c>
      <c r="I12" s="595"/>
      <c r="J12" s="596"/>
      <c r="K12" s="597"/>
      <c r="L12" s="598"/>
      <c r="M12" s="598"/>
      <c r="N12" s="599"/>
      <c r="O12" s="600"/>
    </row>
    <row r="13" spans="3:23" s="569" customFormat="1">
      <c r="C13" s="957" t="s">
        <v>111</v>
      </c>
      <c r="D13" s="958"/>
      <c r="E13" s="958"/>
      <c r="F13" s="958"/>
      <c r="G13" s="959"/>
      <c r="H13" s="586"/>
      <c r="I13" s="587"/>
      <c r="J13" s="587"/>
      <c r="K13" s="601"/>
      <c r="L13" s="590">
        <v>0</v>
      </c>
      <c r="M13" s="590">
        <v>0</v>
      </c>
      <c r="N13" s="581"/>
      <c r="O13" s="437"/>
      <c r="S13" s="569" t="s">
        <v>869</v>
      </c>
      <c r="T13" s="569" t="s">
        <v>870</v>
      </c>
      <c r="U13" s="569" t="s">
        <v>871</v>
      </c>
      <c r="V13" s="569" t="s">
        <v>872</v>
      </c>
    </row>
    <row r="14" spans="3:23" s="570" customFormat="1" ht="27.6">
      <c r="C14" s="965" t="s">
        <v>873</v>
      </c>
      <c r="D14" s="966"/>
      <c r="E14" s="966"/>
      <c r="F14" s="966"/>
      <c r="G14" s="967"/>
      <c r="H14" s="602">
        <v>1.4999999999999999E-2</v>
      </c>
      <c r="I14" s="595"/>
      <c r="J14" s="596"/>
      <c r="K14" s="597"/>
      <c r="L14" s="598"/>
      <c r="M14" s="598"/>
      <c r="N14" s="599"/>
      <c r="P14" s="600"/>
      <c r="S14" s="603" t="s">
        <v>874</v>
      </c>
      <c r="T14" s="603" t="s">
        <v>875</v>
      </c>
      <c r="U14" s="603" t="s">
        <v>876</v>
      </c>
      <c r="V14" s="603" t="s">
        <v>877</v>
      </c>
      <c r="W14" s="570" t="s">
        <v>878</v>
      </c>
    </row>
    <row r="15" spans="3:23" s="570" customFormat="1" ht="13.8">
      <c r="C15" s="965" t="s">
        <v>112</v>
      </c>
      <c r="D15" s="966"/>
      <c r="E15" s="966"/>
      <c r="F15" s="966"/>
      <c r="G15" s="967"/>
      <c r="H15" s="594">
        <v>0.01</v>
      </c>
      <c r="I15" s="595"/>
      <c r="J15" s="596"/>
      <c r="K15" s="597"/>
      <c r="L15" s="598"/>
      <c r="M15" s="598"/>
      <c r="N15" s="599"/>
      <c r="O15" s="600"/>
      <c r="S15" s="570" t="s">
        <v>879</v>
      </c>
      <c r="T15" s="570" t="s">
        <v>879</v>
      </c>
      <c r="U15" s="570" t="s">
        <v>879</v>
      </c>
      <c r="V15" s="570" t="s">
        <v>879</v>
      </c>
      <c r="W15" s="604">
        <v>0</v>
      </c>
    </row>
    <row r="16" spans="3:23" s="570" customFormat="1" ht="13.8">
      <c r="C16" s="965" t="s">
        <v>113</v>
      </c>
      <c r="D16" s="966"/>
      <c r="E16" s="966"/>
      <c r="F16" s="966"/>
      <c r="G16" s="967"/>
      <c r="H16" s="594">
        <v>5.0000000000000001E-3</v>
      </c>
      <c r="I16" s="595"/>
      <c r="J16" s="596"/>
      <c r="K16" s="597"/>
      <c r="L16" s="598"/>
      <c r="M16" s="598"/>
      <c r="N16" s="599"/>
      <c r="S16" s="570" t="s">
        <v>879</v>
      </c>
      <c r="T16" s="570" t="s">
        <v>879</v>
      </c>
      <c r="U16" s="605" t="s">
        <v>880</v>
      </c>
      <c r="V16" s="570" t="s">
        <v>879</v>
      </c>
      <c r="W16" s="604">
        <v>5.0000000000000001E-3</v>
      </c>
    </row>
    <row r="17" spans="3:23" s="569" customFormat="1">
      <c r="C17" s="957" t="s">
        <v>881</v>
      </c>
      <c r="D17" s="958"/>
      <c r="E17" s="958"/>
      <c r="F17" s="958"/>
      <c r="G17" s="959"/>
      <c r="H17" s="606">
        <v>2.5000000000000001E-3</v>
      </c>
      <c r="I17" s="588"/>
      <c r="J17" s="588">
        <v>2.5000000000000001E-3</v>
      </c>
      <c r="K17" s="607" t="e">
        <f>'Summary of Information'!M9</f>
        <v>#DIV/0!</v>
      </c>
      <c r="L17" s="590">
        <v>2.5000000000000001E-3</v>
      </c>
      <c r="M17" s="590">
        <v>2.5000000000000001E-3</v>
      </c>
      <c r="N17" s="581"/>
      <c r="S17" s="569" t="s">
        <v>879</v>
      </c>
      <c r="T17" s="608" t="s">
        <v>880</v>
      </c>
      <c r="U17" s="608" t="s">
        <v>880</v>
      </c>
      <c r="V17" s="569" t="s">
        <v>879</v>
      </c>
      <c r="W17" s="609">
        <v>0.01</v>
      </c>
    </row>
    <row r="18" spans="3:23" s="570" customFormat="1" ht="13.8">
      <c r="C18" s="965" t="s">
        <v>114</v>
      </c>
      <c r="D18" s="966"/>
      <c r="E18" s="966"/>
      <c r="F18" s="966"/>
      <c r="G18" s="967"/>
      <c r="H18" s="610"/>
      <c r="I18" s="596"/>
      <c r="J18" s="596"/>
      <c r="K18" s="611"/>
      <c r="L18" s="598"/>
      <c r="M18" s="598"/>
      <c r="N18" s="599"/>
      <c r="S18" s="605" t="s">
        <v>880</v>
      </c>
      <c r="T18" s="605" t="s">
        <v>880</v>
      </c>
      <c r="U18" s="605" t="s">
        <v>880</v>
      </c>
      <c r="V18" s="570" t="s">
        <v>879</v>
      </c>
      <c r="W18" s="604">
        <v>1.4999999999999999E-2</v>
      </c>
    </row>
    <row r="19" spans="3:23" s="570" customFormat="1" ht="13.8">
      <c r="C19" s="965" t="s">
        <v>115</v>
      </c>
      <c r="D19" s="966"/>
      <c r="E19" s="966"/>
      <c r="F19" s="966"/>
      <c r="G19" s="967"/>
      <c r="H19" s="610"/>
      <c r="I19" s="596"/>
      <c r="J19" s="596"/>
      <c r="K19" s="611"/>
      <c r="L19" s="598"/>
      <c r="M19" s="598"/>
      <c r="N19" s="599"/>
      <c r="S19" s="605" t="s">
        <v>880</v>
      </c>
      <c r="T19" s="605" t="s">
        <v>880</v>
      </c>
      <c r="U19" s="570" t="s">
        <v>879</v>
      </c>
      <c r="V19" s="570" t="s">
        <v>879</v>
      </c>
      <c r="W19" s="604">
        <v>0</v>
      </c>
    </row>
    <row r="20" spans="3:23" s="569" customFormat="1">
      <c r="C20" s="971" t="s">
        <v>116</v>
      </c>
      <c r="D20" s="972"/>
      <c r="E20" s="972"/>
      <c r="F20" s="972"/>
      <c r="G20" s="972"/>
      <c r="H20" s="972"/>
      <c r="I20" s="972"/>
      <c r="J20" s="972"/>
      <c r="K20" s="972"/>
      <c r="L20" s="972"/>
      <c r="M20" s="973"/>
      <c r="N20" s="581"/>
      <c r="S20" s="608" t="s">
        <v>880</v>
      </c>
      <c r="T20" s="569" t="s">
        <v>879</v>
      </c>
      <c r="U20" s="608" t="s">
        <v>880</v>
      </c>
      <c r="V20" s="569" t="s">
        <v>879</v>
      </c>
      <c r="W20" s="609">
        <v>5.0000000000000001E-3</v>
      </c>
    </row>
    <row r="21" spans="3:23" s="569" customFormat="1">
      <c r="C21" s="957" t="s">
        <v>882</v>
      </c>
      <c r="D21" s="958"/>
      <c r="E21" s="958"/>
      <c r="F21" s="958"/>
      <c r="G21" s="959"/>
      <c r="H21" s="974">
        <v>2.5000000000000001E-3</v>
      </c>
      <c r="I21" s="976"/>
      <c r="J21" s="974">
        <v>2.5000000000000001E-3</v>
      </c>
      <c r="K21" s="612" t="e">
        <f>'Summary of Information'!M11</f>
        <v>#DIV/0!</v>
      </c>
      <c r="L21" s="978">
        <v>2.5000000000000001E-3</v>
      </c>
      <c r="M21" s="978">
        <v>2.5000000000000001E-3</v>
      </c>
      <c r="N21" s="613"/>
      <c r="S21" s="608" t="s">
        <v>880</v>
      </c>
      <c r="T21" s="569" t="s">
        <v>879</v>
      </c>
      <c r="U21" s="569" t="s">
        <v>879</v>
      </c>
      <c r="V21" s="569" t="s">
        <v>879</v>
      </c>
      <c r="W21" s="609">
        <v>0</v>
      </c>
    </row>
    <row r="22" spans="3:23" s="569" customFormat="1">
      <c r="C22" s="957" t="s">
        <v>883</v>
      </c>
      <c r="D22" s="958"/>
      <c r="E22" s="958"/>
      <c r="F22" s="958"/>
      <c r="G22" s="959"/>
      <c r="H22" s="975"/>
      <c r="I22" s="977"/>
      <c r="J22" s="975"/>
      <c r="K22" s="612" t="e">
        <f>'Summary of Information'!M12</f>
        <v>#DIV/0!</v>
      </c>
      <c r="L22" s="979"/>
      <c r="M22" s="979"/>
      <c r="N22" s="581"/>
      <c r="S22" s="569" t="s">
        <v>879</v>
      </c>
      <c r="T22" s="608" t="s">
        <v>880</v>
      </c>
      <c r="U22" s="569" t="s">
        <v>879</v>
      </c>
      <c r="V22" s="569" t="s">
        <v>879</v>
      </c>
      <c r="W22" s="609">
        <v>0</v>
      </c>
    </row>
    <row r="23" spans="3:23" s="570" customFormat="1" ht="13.8">
      <c r="C23" s="965" t="s">
        <v>119</v>
      </c>
      <c r="D23" s="966"/>
      <c r="E23" s="966"/>
      <c r="F23" s="966"/>
      <c r="G23" s="967"/>
      <c r="H23" s="594" t="s">
        <v>120</v>
      </c>
      <c r="I23" s="595" t="s">
        <v>121</v>
      </c>
      <c r="J23" s="595"/>
      <c r="K23" s="614"/>
      <c r="L23" s="615"/>
      <c r="M23" s="615"/>
      <c r="N23" s="599"/>
      <c r="O23" s="600"/>
    </row>
    <row r="24" spans="3:23" s="570" customFormat="1" ht="13.8">
      <c r="C24" s="968" t="s">
        <v>122</v>
      </c>
      <c r="D24" s="969"/>
      <c r="E24" s="969"/>
      <c r="F24" s="969"/>
      <c r="G24" s="970"/>
      <c r="H24" s="594"/>
      <c r="I24" s="595"/>
      <c r="J24" s="595"/>
      <c r="K24" s="614"/>
      <c r="L24" s="598"/>
      <c r="M24" s="598"/>
      <c r="N24" s="599"/>
      <c r="O24" s="600"/>
    </row>
    <row r="25" spans="3:23" s="570" customFormat="1" ht="13.8">
      <c r="C25" s="965" t="s">
        <v>123</v>
      </c>
      <c r="D25" s="966"/>
      <c r="E25" s="966"/>
      <c r="F25" s="966"/>
      <c r="G25" s="967"/>
      <c r="H25" s="610">
        <v>4</v>
      </c>
      <c r="I25" s="596">
        <v>2</v>
      </c>
      <c r="J25" s="595"/>
      <c r="K25" s="614"/>
      <c r="L25" s="598"/>
      <c r="M25" s="598"/>
      <c r="N25" s="599"/>
      <c r="O25" s="600"/>
      <c r="P25" s="604"/>
    </row>
    <row r="26" spans="3:23" s="570" customFormat="1" ht="13.8">
      <c r="C26" s="965" t="s">
        <v>124</v>
      </c>
      <c r="D26" s="966"/>
      <c r="E26" s="966"/>
      <c r="F26" s="966"/>
      <c r="G26" s="967"/>
      <c r="H26" s="610">
        <v>4</v>
      </c>
      <c r="I26" s="596">
        <v>2</v>
      </c>
      <c r="J26" s="595"/>
      <c r="K26" s="614"/>
      <c r="L26" s="598"/>
      <c r="M26" s="598"/>
      <c r="N26" s="599"/>
      <c r="O26" s="600"/>
      <c r="P26" s="604"/>
    </row>
    <row r="27" spans="3:23" s="570" customFormat="1" ht="13.8">
      <c r="C27" s="965" t="s">
        <v>125</v>
      </c>
      <c r="D27" s="966"/>
      <c r="E27" s="966"/>
      <c r="F27" s="966"/>
      <c r="G27" s="967"/>
      <c r="H27" s="610">
        <v>4</v>
      </c>
      <c r="I27" s="596">
        <v>2</v>
      </c>
      <c r="J27" s="595"/>
      <c r="K27" s="614"/>
      <c r="L27" s="598"/>
      <c r="M27" s="598"/>
      <c r="N27" s="599"/>
      <c r="O27" s="600"/>
      <c r="P27" s="604"/>
    </row>
    <row r="28" spans="3:23" s="570" customFormat="1" ht="13.8">
      <c r="C28" s="965" t="s">
        <v>126</v>
      </c>
      <c r="D28" s="966"/>
      <c r="E28" s="966"/>
      <c r="F28" s="966"/>
      <c r="G28" s="967"/>
      <c r="H28" s="610">
        <v>4</v>
      </c>
      <c r="I28" s="596">
        <v>2</v>
      </c>
      <c r="J28" s="595"/>
      <c r="K28" s="614"/>
      <c r="L28" s="598"/>
      <c r="M28" s="598"/>
      <c r="N28" s="599"/>
      <c r="O28" s="600"/>
      <c r="P28" s="604"/>
    </row>
    <row r="29" spans="3:23" s="570" customFormat="1" ht="13.8">
      <c r="C29" s="965" t="s">
        <v>127</v>
      </c>
      <c r="D29" s="966"/>
      <c r="E29" s="966"/>
      <c r="F29" s="966"/>
      <c r="G29" s="967"/>
      <c r="H29" s="610">
        <v>5</v>
      </c>
      <c r="I29" s="596">
        <v>2</v>
      </c>
      <c r="J29" s="595"/>
      <c r="K29" s="614"/>
      <c r="L29" s="598"/>
      <c r="M29" s="598"/>
      <c r="N29" s="599"/>
      <c r="O29" s="600"/>
      <c r="P29" s="604"/>
      <c r="S29" s="616"/>
    </row>
    <row r="30" spans="3:23" s="570" customFormat="1" ht="13.8">
      <c r="C30" s="965" t="s">
        <v>128</v>
      </c>
      <c r="D30" s="966"/>
      <c r="E30" s="966"/>
      <c r="F30" s="966"/>
      <c r="G30" s="967"/>
      <c r="H30" s="610">
        <v>4</v>
      </c>
      <c r="I30" s="596">
        <v>2</v>
      </c>
      <c r="J30" s="595"/>
      <c r="K30" s="614"/>
      <c r="L30" s="598"/>
      <c r="M30" s="598"/>
      <c r="N30" s="599"/>
      <c r="O30" s="600"/>
      <c r="P30" s="604"/>
      <c r="S30" s="616"/>
    </row>
    <row r="31" spans="3:23" s="570" customFormat="1" ht="13.8">
      <c r="C31" s="965" t="s">
        <v>129</v>
      </c>
      <c r="D31" s="966"/>
      <c r="E31" s="966"/>
      <c r="F31" s="966"/>
      <c r="G31" s="967"/>
      <c r="H31" s="610">
        <v>3</v>
      </c>
      <c r="I31" s="596">
        <v>2</v>
      </c>
      <c r="J31" s="595"/>
      <c r="K31" s="614"/>
      <c r="L31" s="598"/>
      <c r="M31" s="598"/>
      <c r="N31" s="599"/>
      <c r="O31" s="600"/>
      <c r="P31" s="604"/>
      <c r="S31" s="616"/>
    </row>
    <row r="32" spans="3:23" s="570" customFormat="1" ht="13.8">
      <c r="C32" s="965" t="s">
        <v>130</v>
      </c>
      <c r="D32" s="966"/>
      <c r="E32" s="966"/>
      <c r="F32" s="966"/>
      <c r="G32" s="967"/>
      <c r="H32" s="610">
        <v>3</v>
      </c>
      <c r="I32" s="596">
        <v>2</v>
      </c>
      <c r="J32" s="595"/>
      <c r="K32" s="614"/>
      <c r="L32" s="598"/>
      <c r="M32" s="598"/>
      <c r="N32" s="599"/>
      <c r="O32" s="600"/>
      <c r="P32" s="604"/>
      <c r="S32" s="616"/>
    </row>
    <row r="33" spans="3:19" s="570" customFormat="1" ht="13.8">
      <c r="C33" s="968" t="s">
        <v>131</v>
      </c>
      <c r="D33" s="969"/>
      <c r="E33" s="969"/>
      <c r="F33" s="969"/>
      <c r="G33" s="970"/>
      <c r="H33" s="610"/>
      <c r="I33" s="596"/>
      <c r="J33" s="595"/>
      <c r="K33" s="614"/>
      <c r="L33" s="598"/>
      <c r="M33" s="598"/>
      <c r="N33" s="599"/>
      <c r="O33" s="600"/>
      <c r="P33" s="604"/>
      <c r="S33" s="616"/>
    </row>
    <row r="34" spans="3:19" s="570" customFormat="1" ht="13.8">
      <c r="C34" s="965" t="s">
        <v>132</v>
      </c>
      <c r="D34" s="966"/>
      <c r="E34" s="966"/>
      <c r="F34" s="966"/>
      <c r="G34" s="967"/>
      <c r="H34" s="610">
        <v>5</v>
      </c>
      <c r="I34" s="596">
        <v>2</v>
      </c>
      <c r="J34" s="595"/>
      <c r="K34" s="614"/>
      <c r="L34" s="598"/>
      <c r="M34" s="598"/>
      <c r="N34" s="599"/>
      <c r="O34" s="600"/>
      <c r="P34" s="604"/>
      <c r="S34" s="616"/>
    </row>
    <row r="35" spans="3:19" s="570" customFormat="1" ht="13.8">
      <c r="C35" s="965" t="s">
        <v>133</v>
      </c>
      <c r="D35" s="966"/>
      <c r="E35" s="966"/>
      <c r="F35" s="966"/>
      <c r="G35" s="967"/>
      <c r="H35" s="610">
        <v>5</v>
      </c>
      <c r="I35" s="596">
        <v>3</v>
      </c>
      <c r="J35" s="595"/>
      <c r="K35" s="614"/>
      <c r="L35" s="598"/>
      <c r="M35" s="598"/>
      <c r="N35" s="599"/>
      <c r="O35" s="600"/>
      <c r="P35" s="604"/>
      <c r="S35" s="616"/>
    </row>
    <row r="36" spans="3:19" s="570" customFormat="1" ht="13.8">
      <c r="C36" s="965" t="s">
        <v>134</v>
      </c>
      <c r="D36" s="966"/>
      <c r="E36" s="966"/>
      <c r="F36" s="966"/>
      <c r="G36" s="967"/>
      <c r="H36" s="610">
        <v>5</v>
      </c>
      <c r="I36" s="596">
        <v>2</v>
      </c>
      <c r="J36" s="595"/>
      <c r="K36" s="614"/>
      <c r="L36" s="598"/>
      <c r="M36" s="598"/>
      <c r="N36" s="599"/>
      <c r="O36" s="600"/>
      <c r="P36" s="604"/>
      <c r="S36" s="616"/>
    </row>
    <row r="37" spans="3:19" s="570" customFormat="1" ht="13.8">
      <c r="C37" s="968" t="s">
        <v>884</v>
      </c>
      <c r="D37" s="969"/>
      <c r="E37" s="969"/>
      <c r="F37" s="969"/>
      <c r="G37" s="970"/>
      <c r="H37" s="610"/>
      <c r="I37" s="596"/>
      <c r="J37" s="595"/>
      <c r="K37" s="614"/>
      <c r="L37" s="598"/>
      <c r="M37" s="598"/>
      <c r="N37" s="599"/>
      <c r="O37" s="600"/>
      <c r="P37" s="604"/>
      <c r="S37" s="616"/>
    </row>
    <row r="38" spans="3:19" s="570" customFormat="1" ht="13.8">
      <c r="C38" s="965" t="s">
        <v>135</v>
      </c>
      <c r="D38" s="966"/>
      <c r="E38" s="966"/>
      <c r="F38" s="966"/>
      <c r="G38" s="967"/>
      <c r="H38" s="610">
        <v>5</v>
      </c>
      <c r="I38" s="596">
        <v>2</v>
      </c>
      <c r="J38" s="595"/>
      <c r="K38" s="614"/>
      <c r="L38" s="598"/>
      <c r="M38" s="598"/>
      <c r="N38" s="599"/>
      <c r="O38" s="600"/>
      <c r="P38" s="604"/>
      <c r="S38" s="616"/>
    </row>
    <row r="39" spans="3:19" s="570" customFormat="1" ht="13.8">
      <c r="C39" s="965" t="s">
        <v>136</v>
      </c>
      <c r="D39" s="966"/>
      <c r="E39" s="966"/>
      <c r="F39" s="966"/>
      <c r="G39" s="967"/>
      <c r="H39" s="610">
        <v>10</v>
      </c>
      <c r="I39" s="596">
        <v>3</v>
      </c>
      <c r="J39" s="595"/>
      <c r="K39" s="614"/>
      <c r="L39" s="598"/>
      <c r="M39" s="598"/>
      <c r="N39" s="599"/>
      <c r="O39" s="600"/>
      <c r="P39" s="604"/>
      <c r="S39" s="616"/>
    </row>
    <row r="40" spans="3:19" s="570" customFormat="1" ht="13.8">
      <c r="C40" s="968" t="s">
        <v>137</v>
      </c>
      <c r="D40" s="969"/>
      <c r="E40" s="969"/>
      <c r="F40" s="969"/>
      <c r="G40" s="970"/>
      <c r="H40" s="610"/>
      <c r="I40" s="596"/>
      <c r="J40" s="595"/>
      <c r="K40" s="614"/>
      <c r="L40" s="598"/>
      <c r="M40" s="598"/>
      <c r="N40" s="599"/>
      <c r="O40" s="600"/>
      <c r="P40" s="604"/>
      <c r="S40" s="616"/>
    </row>
    <row r="41" spans="3:19" s="570" customFormat="1" ht="13.8">
      <c r="C41" s="965" t="s">
        <v>138</v>
      </c>
      <c r="D41" s="966"/>
      <c r="E41" s="966"/>
      <c r="F41" s="966"/>
      <c r="G41" s="967"/>
      <c r="H41" s="610">
        <v>3</v>
      </c>
      <c r="I41" s="596">
        <v>2</v>
      </c>
      <c r="J41" s="595"/>
      <c r="K41" s="614"/>
      <c r="L41" s="598"/>
      <c r="M41" s="598"/>
      <c r="N41" s="599"/>
      <c r="O41" s="600"/>
      <c r="P41" s="604"/>
      <c r="S41" s="616"/>
    </row>
    <row r="42" spans="3:19" s="570" customFormat="1" ht="13.8">
      <c r="C42" s="965" t="s">
        <v>139</v>
      </c>
      <c r="D42" s="966"/>
      <c r="E42" s="966"/>
      <c r="F42" s="966"/>
      <c r="G42" s="967"/>
      <c r="H42" s="610">
        <v>5</v>
      </c>
      <c r="I42" s="596">
        <v>2</v>
      </c>
      <c r="J42" s="595"/>
      <c r="K42" s="614"/>
      <c r="L42" s="598"/>
      <c r="M42" s="598"/>
      <c r="N42" s="599"/>
      <c r="O42" s="600"/>
      <c r="P42" s="604"/>
      <c r="S42" s="616"/>
    </row>
    <row r="43" spans="3:19" s="570" customFormat="1" ht="13.8">
      <c r="C43" s="965" t="s">
        <v>140</v>
      </c>
      <c r="D43" s="966"/>
      <c r="E43" s="966"/>
      <c r="F43" s="966"/>
      <c r="G43" s="967"/>
      <c r="H43" s="610">
        <v>5</v>
      </c>
      <c r="I43" s="596">
        <v>2</v>
      </c>
      <c r="J43" s="595"/>
      <c r="K43" s="614"/>
      <c r="L43" s="598"/>
      <c r="M43" s="598"/>
      <c r="N43" s="599"/>
      <c r="O43" s="600"/>
      <c r="P43" s="604"/>
      <c r="S43" s="616"/>
    </row>
    <row r="44" spans="3:19" s="570" customFormat="1" ht="13.8">
      <c r="C44" s="965" t="s">
        <v>141</v>
      </c>
      <c r="D44" s="966"/>
      <c r="E44" s="966"/>
      <c r="F44" s="966"/>
      <c r="G44" s="967"/>
      <c r="H44" s="610">
        <v>4</v>
      </c>
      <c r="I44" s="596">
        <v>2</v>
      </c>
      <c r="J44" s="595"/>
      <c r="K44" s="614"/>
      <c r="L44" s="598"/>
      <c r="M44" s="598"/>
      <c r="N44" s="599"/>
      <c r="O44" s="600"/>
      <c r="P44" s="604"/>
      <c r="S44" s="616"/>
    </row>
    <row r="45" spans="3:19" s="569" customFormat="1">
      <c r="C45" s="968" t="s">
        <v>142</v>
      </c>
      <c r="D45" s="969"/>
      <c r="E45" s="969"/>
      <c r="F45" s="969"/>
      <c r="G45" s="970"/>
      <c r="H45" s="617">
        <v>3</v>
      </c>
      <c r="I45" s="618">
        <v>2</v>
      </c>
      <c r="J45" s="619"/>
      <c r="K45" s="620"/>
      <c r="L45" s="621"/>
      <c r="M45" s="621"/>
      <c r="N45" s="581"/>
      <c r="O45" s="437"/>
      <c r="S45" s="622"/>
    </row>
    <row r="46" spans="3:19" s="569" customFormat="1">
      <c r="C46" s="957" t="s">
        <v>885</v>
      </c>
      <c r="D46" s="958"/>
      <c r="E46" s="958"/>
      <c r="F46" s="958"/>
      <c r="G46" s="959"/>
      <c r="H46" s="606">
        <v>2.5000000000000001E-3</v>
      </c>
      <c r="I46" s="588"/>
      <c r="J46" s="588">
        <v>2.5000000000000001E-3</v>
      </c>
      <c r="K46" s="623"/>
      <c r="L46" s="590">
        <v>0</v>
      </c>
      <c r="M46" s="590">
        <v>0</v>
      </c>
      <c r="N46" s="581"/>
      <c r="O46" s="437"/>
    </row>
    <row r="47" spans="3:19" s="569" customFormat="1">
      <c r="C47" s="957" t="s">
        <v>886</v>
      </c>
      <c r="D47" s="958"/>
      <c r="E47" s="958"/>
      <c r="F47" s="958"/>
      <c r="G47" s="959"/>
      <c r="H47" s="606">
        <v>2.5000000000000001E-3</v>
      </c>
      <c r="I47" s="588"/>
      <c r="J47" s="588">
        <v>2.5000000000000001E-3</v>
      </c>
      <c r="K47" s="624"/>
      <c r="L47" s="590">
        <v>0</v>
      </c>
      <c r="M47" s="590">
        <v>0</v>
      </c>
      <c r="N47" s="581"/>
      <c r="O47" s="437"/>
    </row>
    <row r="48" spans="3:19" s="569" customFormat="1">
      <c r="C48" s="957" t="s">
        <v>144</v>
      </c>
      <c r="D48" s="958"/>
      <c r="E48" s="958"/>
      <c r="F48" s="958"/>
      <c r="G48" s="959"/>
      <c r="H48" s="606">
        <v>2.5000000000000001E-3</v>
      </c>
      <c r="I48" s="588"/>
      <c r="J48" s="588">
        <v>2.5000000000000001E-3</v>
      </c>
      <c r="K48" s="625"/>
      <c r="L48" s="590">
        <v>0</v>
      </c>
      <c r="M48" s="590">
        <v>0</v>
      </c>
      <c r="N48" s="581"/>
      <c r="O48" s="437"/>
    </row>
    <row r="49" spans="3:21" s="569" customFormat="1">
      <c r="C49" s="957" t="s">
        <v>887</v>
      </c>
      <c r="D49" s="958"/>
      <c r="E49" s="958"/>
      <c r="F49" s="958"/>
      <c r="G49" s="959"/>
      <c r="H49" s="606">
        <v>0.01</v>
      </c>
      <c r="I49" s="588"/>
      <c r="J49" s="588">
        <v>0.01</v>
      </c>
      <c r="K49" s="625"/>
      <c r="L49" s="590">
        <v>0</v>
      </c>
      <c r="M49" s="590">
        <v>0</v>
      </c>
      <c r="N49" s="581"/>
      <c r="O49" s="437"/>
    </row>
    <row r="50" spans="3:21" s="569" customFormat="1">
      <c r="C50" s="960" t="s">
        <v>888</v>
      </c>
      <c r="D50" s="961"/>
      <c r="E50" s="961"/>
      <c r="F50" s="961"/>
      <c r="G50" s="962"/>
      <c r="H50" s="626">
        <v>-0.01</v>
      </c>
      <c r="I50" s="627"/>
      <c r="J50" s="626">
        <v>-0.01</v>
      </c>
      <c r="K50" s="628"/>
      <c r="L50" s="629">
        <v>0</v>
      </c>
      <c r="M50" s="629">
        <v>0</v>
      </c>
      <c r="N50" s="581"/>
      <c r="O50" s="437"/>
    </row>
    <row r="51" spans="3:21" ht="28.8">
      <c r="C51" s="963" t="s">
        <v>889</v>
      </c>
      <c r="D51" s="963"/>
      <c r="E51" s="963"/>
      <c r="F51" s="963"/>
      <c r="G51" s="963"/>
      <c r="H51" s="963"/>
      <c r="I51" s="963"/>
      <c r="J51" s="630"/>
      <c r="K51" s="631" t="s">
        <v>890</v>
      </c>
      <c r="L51" s="632">
        <f>SUM(L9:L50)</f>
        <v>0.01</v>
      </c>
      <c r="M51" s="632">
        <f>SUM(M9:M50)</f>
        <v>0.01</v>
      </c>
      <c r="P51" s="569"/>
    </row>
    <row r="52" spans="3:21">
      <c r="C52" s="633"/>
      <c r="D52" s="633"/>
      <c r="E52" s="633"/>
      <c r="F52" s="633"/>
      <c r="G52" s="633"/>
      <c r="H52" s="634" t="s">
        <v>891</v>
      </c>
      <c r="I52" s="633"/>
      <c r="J52" s="633"/>
      <c r="K52" s="635"/>
      <c r="L52" s="636"/>
      <c r="M52" s="636"/>
      <c r="P52" s="569"/>
    </row>
    <row r="53" spans="3:21" ht="36">
      <c r="C53" s="637"/>
      <c r="D53" s="638"/>
      <c r="E53" s="638"/>
      <c r="F53" s="630"/>
      <c r="G53" s="637"/>
      <c r="H53" s="639" t="s">
        <v>892</v>
      </c>
      <c r="I53" s="640" t="s">
        <v>893</v>
      </c>
      <c r="J53" s="630"/>
      <c r="K53" s="641"/>
      <c r="L53" s="642"/>
      <c r="M53" s="642"/>
      <c r="N53" s="643"/>
      <c r="P53" s="569"/>
    </row>
    <row r="54" spans="3:21">
      <c r="C54" s="637"/>
      <c r="D54" s="638"/>
      <c r="E54" s="638"/>
      <c r="F54" s="630"/>
      <c r="G54" s="637"/>
      <c r="H54" s="644" t="s">
        <v>97</v>
      </c>
      <c r="I54" s="645">
        <v>0.1225</v>
      </c>
      <c r="J54" s="630"/>
      <c r="K54" s="646" t="s">
        <v>892</v>
      </c>
      <c r="L54" s="647" t="s">
        <v>98</v>
      </c>
      <c r="M54" s="648"/>
      <c r="N54" s="643"/>
    </row>
    <row r="55" spans="3:21">
      <c r="C55" s="637"/>
      <c r="D55" s="638"/>
      <c r="E55" s="638"/>
      <c r="F55" s="637"/>
      <c r="G55" s="637"/>
      <c r="H55" s="644" t="s">
        <v>98</v>
      </c>
      <c r="I55" s="645">
        <f>I54+0.25%</f>
        <v>0.125</v>
      </c>
      <c r="J55" s="630"/>
      <c r="K55" s="649" t="s">
        <v>894</v>
      </c>
      <c r="L55" s="650">
        <f>VLOOKUP(L54,H54:I59,2,0)</f>
        <v>0.125</v>
      </c>
      <c r="M55" s="651"/>
    </row>
    <row r="56" spans="3:21">
      <c r="C56" s="638"/>
      <c r="D56" s="638"/>
      <c r="E56" s="638"/>
      <c r="F56" s="638"/>
      <c r="G56" s="638"/>
      <c r="H56" s="644" t="s">
        <v>99</v>
      </c>
      <c r="I56" s="645">
        <f>I55+0.25%</f>
        <v>0.1275</v>
      </c>
      <c r="J56" s="630"/>
      <c r="K56" s="649" t="s">
        <v>895</v>
      </c>
      <c r="L56" s="650">
        <f>L51</f>
        <v>0.01</v>
      </c>
      <c r="M56" s="651"/>
    </row>
    <row r="57" spans="3:21">
      <c r="C57" s="638"/>
      <c r="D57" s="638"/>
      <c r="E57" s="638"/>
      <c r="F57" s="652"/>
      <c r="G57" s="638"/>
      <c r="H57" s="644" t="s">
        <v>100</v>
      </c>
      <c r="I57" s="645">
        <v>0.13</v>
      </c>
      <c r="J57" s="630"/>
      <c r="K57" s="649" t="s">
        <v>145</v>
      </c>
      <c r="L57" s="650">
        <f>L51+L55</f>
        <v>0.13500000000000001</v>
      </c>
      <c r="M57" s="651"/>
    </row>
    <row r="58" spans="3:21">
      <c r="C58" s="638"/>
      <c r="D58" s="638"/>
      <c r="E58" s="638"/>
      <c r="F58" s="652"/>
      <c r="G58" s="638"/>
      <c r="H58" s="644" t="s">
        <v>101</v>
      </c>
      <c r="I58" s="645">
        <v>0.13250000000000001</v>
      </c>
      <c r="J58" s="630"/>
      <c r="K58" s="641"/>
      <c r="L58" s="642"/>
      <c r="M58" s="642"/>
    </row>
    <row r="59" spans="3:21">
      <c r="C59" s="638"/>
      <c r="D59" s="638"/>
      <c r="E59" s="638"/>
      <c r="F59" s="652"/>
      <c r="G59" s="638"/>
      <c r="H59" s="644" t="s">
        <v>102</v>
      </c>
      <c r="I59" s="645">
        <v>0.13500000000000001</v>
      </c>
      <c r="J59" s="630"/>
      <c r="K59" s="641"/>
      <c r="L59" s="642"/>
      <c r="M59" s="642"/>
    </row>
    <row r="60" spans="3:21" s="444" customFormat="1">
      <c r="C60" s="523"/>
      <c r="D60" s="523"/>
      <c r="E60" s="653"/>
      <c r="F60" s="653"/>
      <c r="G60" s="653"/>
      <c r="H60" s="653"/>
      <c r="I60" s="653"/>
      <c r="J60" s="653"/>
      <c r="K60" s="653"/>
      <c r="L60" s="553"/>
      <c r="M60" s="553"/>
      <c r="N60" s="654"/>
      <c r="O60" s="654"/>
      <c r="Q60" s="654"/>
      <c r="R60" s="654"/>
      <c r="S60" s="437"/>
      <c r="T60" s="437"/>
      <c r="U60" s="437"/>
    </row>
    <row r="61" spans="3:21" s="444" customFormat="1" ht="18">
      <c r="C61" s="655" t="s">
        <v>896</v>
      </c>
      <c r="D61" s="653"/>
      <c r="E61" s="653"/>
      <c r="F61" s="653"/>
      <c r="G61" s="653"/>
      <c r="H61" s="653"/>
      <c r="I61" s="653"/>
      <c r="J61" s="653"/>
      <c r="K61" s="653"/>
      <c r="L61" s="553"/>
      <c r="M61" s="553"/>
      <c r="N61" s="654"/>
      <c r="O61" s="654"/>
      <c r="P61" s="656"/>
      <c r="Q61" s="654"/>
      <c r="R61" s="654"/>
      <c r="S61" s="437"/>
      <c r="T61" s="437"/>
      <c r="U61" s="437"/>
    </row>
    <row r="62" spans="3:21" s="444" customFormat="1" ht="17.399999999999999">
      <c r="C62" s="907" t="s">
        <v>897</v>
      </c>
      <c r="D62" s="908"/>
      <c r="E62" s="657"/>
      <c r="F62" s="658"/>
      <c r="G62" s="658"/>
      <c r="H62" s="659"/>
      <c r="I62" s="907" t="s">
        <v>898</v>
      </c>
      <c r="J62" s="908"/>
      <c r="K62" s="660"/>
      <c r="L62" s="908"/>
      <c r="M62" s="661"/>
      <c r="N62" s="662"/>
      <c r="O62" s="662"/>
      <c r="P62" s="662"/>
      <c r="Q62" s="662"/>
      <c r="R62" s="663"/>
      <c r="S62" s="437"/>
      <c r="T62" s="437"/>
    </row>
    <row r="63" spans="3:21" s="444" customFormat="1" ht="17.399999999999999">
      <c r="C63" s="964"/>
      <c r="D63" s="910"/>
      <c r="E63" s="666"/>
      <c r="F63" s="667"/>
      <c r="G63" s="667"/>
      <c r="H63" s="668"/>
      <c r="I63" s="964"/>
      <c r="J63" s="910"/>
      <c r="K63" s="669"/>
      <c r="L63" s="910"/>
      <c r="M63" s="670"/>
      <c r="N63" s="662"/>
      <c r="O63" s="662"/>
      <c r="P63" s="662"/>
      <c r="Q63" s="662"/>
      <c r="R63" s="662"/>
      <c r="S63" s="437"/>
      <c r="T63" s="437"/>
      <c r="U63" s="437"/>
    </row>
    <row r="64" spans="3:21" s="444" customFormat="1" ht="18">
      <c r="C64" s="666"/>
      <c r="D64" s="671"/>
      <c r="E64" s="672"/>
      <c r="F64" s="667"/>
      <c r="G64" s="667"/>
      <c r="H64" s="673"/>
      <c r="I64" s="669"/>
      <c r="J64" s="667"/>
      <c r="K64" s="669"/>
      <c r="L64" s="671"/>
      <c r="M64" s="674"/>
      <c r="N64" s="662"/>
      <c r="O64" s="662"/>
      <c r="P64" s="662"/>
      <c r="Q64" s="662"/>
      <c r="R64" s="662"/>
      <c r="S64" s="437"/>
      <c r="T64" s="437"/>
      <c r="U64" s="437"/>
    </row>
    <row r="65" spans="3:36" s="444" customFormat="1" ht="18">
      <c r="C65" s="666"/>
      <c r="D65" s="671"/>
      <c r="E65" s="672"/>
      <c r="F65" s="667"/>
      <c r="G65" s="667"/>
      <c r="H65" s="673"/>
      <c r="I65" s="669"/>
      <c r="J65" s="667"/>
      <c r="K65" s="669"/>
      <c r="L65" s="671"/>
      <c r="M65" s="674"/>
      <c r="N65" s="662"/>
      <c r="O65" s="662"/>
      <c r="P65" s="662"/>
      <c r="Q65" s="662"/>
      <c r="R65" s="662"/>
      <c r="S65" s="437"/>
      <c r="T65" s="437"/>
      <c r="U65" s="437"/>
    </row>
    <row r="66" spans="3:36" s="444" customFormat="1">
      <c r="C66" s="666"/>
      <c r="D66" s="523"/>
      <c r="E66" s="669"/>
      <c r="F66" s="667"/>
      <c r="G66" s="667"/>
      <c r="H66" s="673"/>
      <c r="I66" s="669"/>
      <c r="J66" s="667"/>
      <c r="K66" s="669"/>
      <c r="L66" s="667"/>
      <c r="M66" s="673"/>
      <c r="N66" s="662"/>
      <c r="O66" s="662"/>
      <c r="P66" s="662"/>
      <c r="Q66" s="662"/>
      <c r="R66" s="662"/>
      <c r="S66" s="437"/>
      <c r="T66" s="437"/>
      <c r="U66" s="437"/>
    </row>
    <row r="67" spans="3:36" s="444" customFormat="1">
      <c r="C67" s="666"/>
      <c r="D67" s="523"/>
      <c r="E67" s="669"/>
      <c r="F67" s="667"/>
      <c r="G67" s="667"/>
      <c r="H67" s="673"/>
      <c r="I67" s="669"/>
      <c r="J67" s="667"/>
      <c r="K67" s="669"/>
      <c r="L67" s="667"/>
      <c r="M67" s="673"/>
      <c r="N67" s="662"/>
      <c r="O67" s="662"/>
      <c r="P67" s="662"/>
      <c r="Q67" s="662"/>
      <c r="R67" s="662"/>
      <c r="S67" s="437"/>
      <c r="T67" s="437"/>
      <c r="U67" s="437"/>
    </row>
    <row r="68" spans="3:36" s="444" customFormat="1">
      <c r="C68" s="666"/>
      <c r="D68" s="523"/>
      <c r="E68" s="669"/>
      <c r="F68" s="667"/>
      <c r="G68" s="667"/>
      <c r="H68" s="673"/>
      <c r="I68" s="669"/>
      <c r="J68" s="667"/>
      <c r="K68" s="669"/>
      <c r="L68" s="667"/>
      <c r="M68" s="673"/>
      <c r="N68" s="662"/>
      <c r="O68" s="662"/>
      <c r="P68" s="662"/>
      <c r="Q68" s="662"/>
      <c r="R68" s="662"/>
      <c r="S68" s="437"/>
      <c r="T68" s="437"/>
      <c r="U68" s="437"/>
    </row>
    <row r="69" spans="3:36" s="444" customFormat="1">
      <c r="C69" s="675"/>
      <c r="D69" s="526"/>
      <c r="E69" s="676"/>
      <c r="F69" s="677"/>
      <c r="G69" s="677"/>
      <c r="H69" s="678"/>
      <c r="I69" s="676"/>
      <c r="J69" s="677"/>
      <c r="K69" s="676"/>
      <c r="L69" s="677"/>
      <c r="M69" s="678"/>
      <c r="N69" s="662"/>
      <c r="O69" s="662"/>
      <c r="P69" s="662"/>
      <c r="Q69" s="662"/>
      <c r="R69" s="662"/>
      <c r="S69" s="437"/>
      <c r="T69" s="437"/>
      <c r="U69" s="437"/>
    </row>
    <row r="70" spans="3:36">
      <c r="C70" s="637"/>
      <c r="D70" s="637"/>
      <c r="E70" s="637"/>
      <c r="F70" s="637"/>
      <c r="G70" s="637"/>
      <c r="H70" s="630"/>
      <c r="I70" s="630"/>
      <c r="J70" s="630"/>
      <c r="K70" s="641"/>
      <c r="L70" s="642"/>
      <c r="M70" s="642"/>
    </row>
    <row r="71" spans="3:36" s="437" customFormat="1" ht="15.6">
      <c r="C71" s="679"/>
      <c r="D71" s="679"/>
      <c r="E71" s="679"/>
      <c r="F71" s="679"/>
      <c r="G71" s="679"/>
      <c r="H71" s="667"/>
      <c r="I71" s="680"/>
      <c r="J71" s="680"/>
      <c r="K71" s="680"/>
      <c r="L71" s="553"/>
      <c r="M71" s="553"/>
      <c r="N71" s="681"/>
      <c r="O71" s="681"/>
      <c r="P71" s="681"/>
      <c r="Q71" s="654"/>
      <c r="R71" s="682"/>
      <c r="S71" s="682"/>
      <c r="T71" s="681"/>
      <c r="U71" s="682"/>
      <c r="V71" s="654"/>
      <c r="W71" s="681"/>
      <c r="X71" s="681"/>
      <c r="Y71" s="681"/>
      <c r="Z71" s="681"/>
      <c r="AA71" s="654"/>
      <c r="AB71" s="682"/>
      <c r="AC71" s="682"/>
      <c r="AD71" s="682"/>
      <c r="AE71" s="682"/>
      <c r="AF71" s="444"/>
      <c r="AG71" s="444"/>
      <c r="AH71" s="444"/>
      <c r="AI71" s="444"/>
      <c r="AJ71" s="654"/>
    </row>
    <row r="72" spans="3:36" s="437" customFormat="1" ht="15.6">
      <c r="C72" s="679"/>
      <c r="D72" s="679"/>
      <c r="E72" s="679"/>
      <c r="F72" s="679"/>
      <c r="G72" s="679"/>
      <c r="H72" s="667"/>
      <c r="I72" s="680"/>
      <c r="J72" s="680"/>
      <c r="K72" s="680"/>
      <c r="L72" s="553"/>
      <c r="M72" s="553"/>
      <c r="N72" s="681"/>
      <c r="O72" s="681"/>
      <c r="P72" s="681"/>
      <c r="Q72" s="654"/>
      <c r="R72" s="682"/>
      <c r="S72" s="682"/>
      <c r="T72" s="681"/>
      <c r="U72" s="682"/>
      <c r="V72" s="654"/>
      <c r="W72" s="681"/>
      <c r="X72" s="681"/>
      <c r="Y72" s="681"/>
      <c r="Z72" s="681"/>
      <c r="AA72" s="654"/>
      <c r="AB72" s="682"/>
      <c r="AC72" s="682"/>
      <c r="AD72" s="682"/>
      <c r="AE72" s="682"/>
      <c r="AF72" s="444"/>
      <c r="AG72" s="444"/>
      <c r="AH72" s="444"/>
      <c r="AI72" s="444"/>
      <c r="AJ72" s="654"/>
    </row>
    <row r="73" spans="3:36" s="437" customFormat="1">
      <c r="C73" s="523"/>
      <c r="D73" s="523"/>
      <c r="E73" s="523"/>
      <c r="F73" s="523"/>
      <c r="G73" s="523"/>
      <c r="H73" s="553"/>
      <c r="I73" s="680"/>
      <c r="J73" s="680"/>
      <c r="K73" s="680"/>
      <c r="L73" s="553"/>
      <c r="M73" s="553"/>
      <c r="N73" s="681"/>
      <c r="O73" s="681"/>
      <c r="P73" s="681"/>
      <c r="Q73" s="654"/>
      <c r="R73" s="682"/>
      <c r="S73" s="682"/>
      <c r="T73" s="681"/>
      <c r="U73" s="682"/>
      <c r="V73" s="654"/>
      <c r="W73" s="681"/>
      <c r="X73" s="681"/>
      <c r="Y73" s="681"/>
      <c r="Z73" s="681"/>
      <c r="AA73" s="654"/>
      <c r="AB73" s="682"/>
      <c r="AC73" s="682"/>
      <c r="AD73" s="682"/>
      <c r="AE73" s="682"/>
      <c r="AF73" s="444"/>
      <c r="AG73" s="444"/>
      <c r="AH73" s="444"/>
      <c r="AI73" s="444"/>
      <c r="AJ73" s="654"/>
    </row>
    <row r="74" spans="3:36" s="437" customFormat="1">
      <c r="C74" s="523"/>
      <c r="D74" s="523"/>
      <c r="E74" s="523"/>
      <c r="F74" s="523"/>
      <c r="G74" s="523"/>
      <c r="H74" s="553"/>
      <c r="I74" s="680"/>
      <c r="J74" s="680"/>
      <c r="K74" s="680"/>
      <c r="L74" s="553"/>
      <c r="M74" s="553"/>
      <c r="N74" s="681"/>
      <c r="O74" s="681"/>
      <c r="P74" s="681"/>
      <c r="Q74" s="654"/>
      <c r="R74" s="682"/>
      <c r="S74" s="682"/>
      <c r="T74" s="681"/>
      <c r="U74" s="682"/>
      <c r="V74" s="654"/>
      <c r="W74" s="681"/>
      <c r="X74" s="681"/>
      <c r="Y74" s="681"/>
      <c r="Z74" s="681"/>
      <c r="AA74" s="654"/>
      <c r="AB74" s="682"/>
      <c r="AC74" s="682"/>
      <c r="AD74" s="682"/>
      <c r="AE74" s="682"/>
      <c r="AF74" s="444"/>
      <c r="AG74" s="444"/>
      <c r="AH74" s="444"/>
      <c r="AI74" s="444"/>
      <c r="AJ74" s="654"/>
    </row>
    <row r="75" spans="3:36" s="437" customFormat="1">
      <c r="C75" s="523"/>
      <c r="D75" s="523"/>
      <c r="E75" s="523"/>
      <c r="F75" s="523"/>
      <c r="G75" s="523"/>
      <c r="H75" s="553"/>
      <c r="I75" s="680"/>
      <c r="J75" s="680"/>
      <c r="K75" s="680"/>
      <c r="L75" s="553"/>
      <c r="M75" s="553"/>
      <c r="N75" s="681"/>
      <c r="O75" s="681"/>
      <c r="P75" s="681"/>
      <c r="Q75" s="654"/>
      <c r="R75" s="682"/>
      <c r="S75" s="682"/>
      <c r="T75" s="681"/>
      <c r="U75" s="682"/>
      <c r="V75" s="654"/>
      <c r="W75" s="681"/>
      <c r="X75" s="681"/>
      <c r="Y75" s="681"/>
      <c r="Z75" s="681"/>
      <c r="AA75" s="654"/>
      <c r="AB75" s="682"/>
      <c r="AC75" s="682"/>
      <c r="AD75" s="682"/>
      <c r="AE75" s="682"/>
      <c r="AF75" s="444"/>
      <c r="AG75" s="444"/>
      <c r="AH75" s="444"/>
      <c r="AI75" s="444"/>
      <c r="AJ75" s="654"/>
    </row>
    <row r="76" spans="3:36" s="437" customFormat="1">
      <c r="C76" s="523"/>
      <c r="D76" s="523"/>
      <c r="E76" s="523"/>
      <c r="F76" s="523"/>
      <c r="G76" s="523"/>
      <c r="H76" s="553"/>
      <c r="I76" s="680"/>
      <c r="J76" s="680"/>
      <c r="K76" s="680"/>
      <c r="L76" s="553"/>
      <c r="M76" s="553"/>
      <c r="N76" s="681"/>
      <c r="O76" s="681"/>
      <c r="P76" s="681"/>
      <c r="Q76" s="654"/>
      <c r="R76" s="682"/>
      <c r="S76" s="682"/>
      <c r="T76" s="681"/>
      <c r="U76" s="682"/>
      <c r="V76" s="654"/>
      <c r="W76" s="681"/>
      <c r="X76" s="681"/>
      <c r="Y76" s="681"/>
      <c r="Z76" s="681"/>
      <c r="AA76" s="654"/>
      <c r="AB76" s="682"/>
      <c r="AC76" s="682"/>
      <c r="AD76" s="682"/>
      <c r="AE76" s="682"/>
      <c r="AF76" s="444"/>
      <c r="AG76" s="444"/>
      <c r="AH76" s="444"/>
      <c r="AI76" s="444"/>
      <c r="AJ76" s="654"/>
    </row>
    <row r="77" spans="3:36" s="437" customFormat="1">
      <c r="C77" s="444"/>
      <c r="D77" s="444"/>
      <c r="E77" s="444"/>
      <c r="F77" s="444"/>
      <c r="G77" s="444"/>
      <c r="H77" s="681"/>
      <c r="I77" s="654"/>
      <c r="J77" s="654"/>
      <c r="K77" s="654"/>
      <c r="L77" s="681"/>
      <c r="M77" s="681"/>
      <c r="N77" s="681"/>
      <c r="O77" s="681"/>
      <c r="P77" s="681"/>
      <c r="Q77" s="654"/>
      <c r="R77" s="682"/>
      <c r="S77" s="682"/>
      <c r="T77" s="681"/>
      <c r="U77" s="682"/>
      <c r="V77" s="654"/>
      <c r="W77" s="681"/>
      <c r="X77" s="681"/>
      <c r="Y77" s="681"/>
      <c r="Z77" s="681"/>
      <c r="AA77" s="654"/>
      <c r="AB77" s="682"/>
      <c r="AC77" s="682"/>
      <c r="AD77" s="682"/>
      <c r="AE77" s="682"/>
      <c r="AF77" s="444"/>
      <c r="AG77" s="444"/>
      <c r="AH77" s="444"/>
      <c r="AI77" s="444"/>
      <c r="AJ77" s="654"/>
    </row>
    <row r="81" spans="8:9">
      <c r="H81" s="572"/>
      <c r="I81" s="572"/>
    </row>
    <row r="82" spans="8:9">
      <c r="H82" s="572"/>
      <c r="I82" s="572"/>
    </row>
    <row r="83" spans="8:9">
      <c r="H83" s="572"/>
      <c r="I83" s="572"/>
    </row>
    <row r="84" spans="8:9">
      <c r="H84" s="572"/>
      <c r="I84" s="572"/>
    </row>
    <row r="85" spans="8:9">
      <c r="H85" s="572"/>
      <c r="I85" s="572"/>
    </row>
    <row r="86" spans="8:9">
      <c r="H86" s="572"/>
      <c r="I86" s="572"/>
    </row>
    <row r="87" spans="8:9">
      <c r="H87" s="572"/>
      <c r="I87" s="572"/>
    </row>
    <row r="88" spans="8:9">
      <c r="H88" s="572"/>
      <c r="I88" s="572"/>
    </row>
    <row r="89" spans="8:9">
      <c r="H89" s="572"/>
      <c r="I89" s="572"/>
    </row>
  </sheetData>
  <mergeCells count="54">
    <mergeCell ref="C17:G17"/>
    <mergeCell ref="C3:L3"/>
    <mergeCell ref="H7:J7"/>
    <mergeCell ref="C8:G8"/>
    <mergeCell ref="C9:G9"/>
    <mergeCell ref="C10:G10"/>
    <mergeCell ref="C11:G11"/>
    <mergeCell ref="C12:G12"/>
    <mergeCell ref="C13:G13"/>
    <mergeCell ref="C14:G14"/>
    <mergeCell ref="C15:G15"/>
    <mergeCell ref="C16:G16"/>
    <mergeCell ref="C18:G18"/>
    <mergeCell ref="C19:G19"/>
    <mergeCell ref="C20:M20"/>
    <mergeCell ref="C21:G21"/>
    <mergeCell ref="H21:H22"/>
    <mergeCell ref="I21:I22"/>
    <mergeCell ref="J21:J22"/>
    <mergeCell ref="L21:L22"/>
    <mergeCell ref="M21:M22"/>
    <mergeCell ref="C22:G22"/>
    <mergeCell ref="C34:G34"/>
    <mergeCell ref="C23:G23"/>
    <mergeCell ref="C24:G24"/>
    <mergeCell ref="C25:G25"/>
    <mergeCell ref="C26:G26"/>
    <mergeCell ref="C27:G27"/>
    <mergeCell ref="C28:G28"/>
    <mergeCell ref="C29:G29"/>
    <mergeCell ref="C30:G30"/>
    <mergeCell ref="C31:G31"/>
    <mergeCell ref="C32:G32"/>
    <mergeCell ref="C33:G33"/>
    <mergeCell ref="C46:G46"/>
    <mergeCell ref="C35:G35"/>
    <mergeCell ref="C36:G36"/>
    <mergeCell ref="C37:G37"/>
    <mergeCell ref="C38:G38"/>
    <mergeCell ref="C39:G39"/>
    <mergeCell ref="C40:G40"/>
    <mergeCell ref="C41:G41"/>
    <mergeCell ref="C42:G42"/>
    <mergeCell ref="C43:G43"/>
    <mergeCell ref="C44:G44"/>
    <mergeCell ref="C45:G45"/>
    <mergeCell ref="L62:L63"/>
    <mergeCell ref="C47:G47"/>
    <mergeCell ref="C48:G48"/>
    <mergeCell ref="C49:G49"/>
    <mergeCell ref="C50:G50"/>
    <mergeCell ref="C51:I51"/>
    <mergeCell ref="C62:D63"/>
    <mergeCell ref="I62:J63"/>
  </mergeCells>
  <dataValidations count="1">
    <dataValidation type="list" allowBlank="1" showInputMessage="1" showErrorMessage="1" sqref="L54:M54" xr:uid="{222DFC77-D3A3-446E-93A1-3C389C78377A}">
      <formula1>$H$54:$H$59</formula1>
    </dataValidation>
  </dataValidations>
  <pageMargins left="0.25" right="0.25" top="0.75" bottom="0.75" header="0.3" footer="0.3"/>
  <pageSetup paperSize="8" scale="85"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4957AD-C6D1-4DA8-95D6-573D406D9F2A}">
  <sheetPr>
    <tabColor rgb="FFFFFF00"/>
  </sheetPr>
  <dimension ref="B2:S53"/>
  <sheetViews>
    <sheetView topLeftCell="A35" zoomScaleNormal="100" workbookViewId="0">
      <selection activeCell="K4" sqref="K4"/>
    </sheetView>
  </sheetViews>
  <sheetFormatPr defaultColWidth="9" defaultRowHeight="13.8"/>
  <cols>
    <col min="1" max="1" width="9" style="2"/>
    <col min="2" max="2" width="12.6640625" style="2" customWidth="1"/>
    <col min="3" max="3" width="10.6640625" style="2" customWidth="1"/>
    <col min="4" max="9" width="11" style="2" customWidth="1"/>
    <col min="10" max="10" width="2" style="2" customWidth="1"/>
    <col min="11" max="11" width="8.33203125" style="234" bestFit="1" customWidth="1"/>
    <col min="12" max="12" width="2" style="2" customWidth="1"/>
    <col min="13" max="13" width="12.6640625" style="2" customWidth="1"/>
    <col min="14" max="15" width="13.44140625" style="2" customWidth="1"/>
    <col min="16" max="19" width="11" style="2" customWidth="1"/>
    <col min="20" max="16384" width="9" style="2"/>
  </cols>
  <sheetData>
    <row r="2" spans="2:19">
      <c r="M2" s="988" t="s">
        <v>168</v>
      </c>
      <c r="N2" s="989"/>
      <c r="O2" s="989"/>
      <c r="P2" s="989"/>
      <c r="Q2" s="989"/>
      <c r="R2" s="989"/>
      <c r="S2" s="990"/>
    </row>
    <row r="3" spans="2:19">
      <c r="H3" s="2" t="s">
        <v>169</v>
      </c>
      <c r="K3" s="232" t="s">
        <v>170</v>
      </c>
      <c r="R3" s="2" t="s">
        <v>169</v>
      </c>
    </row>
    <row r="4" spans="2:19" s="230" customFormat="1" ht="41.4">
      <c r="B4" s="229" t="s">
        <v>1061</v>
      </c>
      <c r="C4" s="3" t="s">
        <v>170</v>
      </c>
      <c r="D4" s="3" t="s">
        <v>171</v>
      </c>
      <c r="E4" s="3" t="s">
        <v>172</v>
      </c>
      <c r="F4" s="3" t="s">
        <v>173</v>
      </c>
      <c r="G4" s="3" t="s">
        <v>174</v>
      </c>
      <c r="H4" s="3" t="s">
        <v>175</v>
      </c>
      <c r="I4" s="3" t="s">
        <v>176</v>
      </c>
      <c r="K4" s="231"/>
      <c r="M4" s="229" t="str">
        <f t="shared" ref="M4:M10" si="0">$B4</f>
        <v>AMMB 7804</v>
      </c>
      <c r="N4" s="3" t="s">
        <v>171</v>
      </c>
      <c r="O4" s="3" t="s">
        <v>172</v>
      </c>
      <c r="P4" s="3" t="s">
        <v>177</v>
      </c>
      <c r="Q4" s="3" t="s">
        <v>174</v>
      </c>
      <c r="R4" s="3" t="s">
        <v>178</v>
      </c>
      <c r="S4" s="3" t="s">
        <v>176</v>
      </c>
    </row>
    <row r="5" spans="2:19">
      <c r="B5" s="253" t="s">
        <v>994</v>
      </c>
      <c r="C5" s="253" t="s">
        <v>168</v>
      </c>
      <c r="D5" s="254"/>
      <c r="E5" s="254">
        <v>734.63</v>
      </c>
      <c r="F5" s="260">
        <v>0</v>
      </c>
      <c r="G5" s="233"/>
      <c r="H5" s="6"/>
      <c r="I5" s="233"/>
      <c r="J5" s="242"/>
      <c r="K5" s="234">
        <v>1</v>
      </c>
      <c r="L5" s="242"/>
      <c r="M5" s="5" t="str">
        <f t="shared" si="0"/>
        <v>2024-03</v>
      </c>
      <c r="N5" s="6">
        <f t="shared" ref="N5:P10" si="1">D5*$K5</f>
        <v>0</v>
      </c>
      <c r="O5" s="6">
        <f t="shared" si="1"/>
        <v>734.63</v>
      </c>
      <c r="P5" s="255">
        <f t="shared" si="1"/>
        <v>0</v>
      </c>
      <c r="Q5" s="233"/>
      <c r="R5" s="6">
        <f t="shared" ref="R5:R10" si="2">H5*$K5</f>
        <v>0</v>
      </c>
      <c r="S5" s="233"/>
    </row>
    <row r="6" spans="2:19">
      <c r="B6" s="253" t="s">
        <v>995</v>
      </c>
      <c r="C6" s="253" t="s">
        <v>168</v>
      </c>
      <c r="D6" s="254">
        <v>14687.37</v>
      </c>
      <c r="E6" s="254">
        <v>14687.37</v>
      </c>
      <c r="F6" s="260">
        <v>0</v>
      </c>
      <c r="G6" s="233"/>
      <c r="H6" s="6"/>
      <c r="I6" s="233"/>
      <c r="J6" s="242"/>
      <c r="K6" s="234">
        <v>1</v>
      </c>
      <c r="L6" s="242"/>
      <c r="M6" s="5" t="str">
        <f t="shared" si="0"/>
        <v>2024-04</v>
      </c>
      <c r="N6" s="6">
        <f t="shared" si="1"/>
        <v>14687.37</v>
      </c>
      <c r="O6" s="6">
        <f t="shared" si="1"/>
        <v>14687.37</v>
      </c>
      <c r="P6" s="255">
        <f t="shared" si="1"/>
        <v>0</v>
      </c>
      <c r="Q6" s="233"/>
      <c r="R6" s="6">
        <f t="shared" si="2"/>
        <v>0</v>
      </c>
      <c r="S6" s="233"/>
    </row>
    <row r="7" spans="2:19">
      <c r="B7" s="253" t="s">
        <v>996</v>
      </c>
      <c r="C7" s="253" t="s">
        <v>168</v>
      </c>
      <c r="D7" s="433">
        <v>7711</v>
      </c>
      <c r="E7" s="433">
        <v>7721</v>
      </c>
      <c r="F7" s="260">
        <v>-10</v>
      </c>
      <c r="G7" s="233"/>
      <c r="H7" s="6"/>
      <c r="I7" s="233"/>
      <c r="J7" s="242"/>
      <c r="K7" s="234">
        <v>1</v>
      </c>
      <c r="L7" s="242"/>
      <c r="M7" s="5" t="str">
        <f t="shared" si="0"/>
        <v>2024-05</v>
      </c>
      <c r="N7" s="6">
        <f t="shared" si="1"/>
        <v>7711</v>
      </c>
      <c r="O7" s="6">
        <f t="shared" si="1"/>
        <v>7721</v>
      </c>
      <c r="P7" s="255">
        <f t="shared" si="1"/>
        <v>-10</v>
      </c>
      <c r="Q7" s="233"/>
      <c r="R7" s="6">
        <f t="shared" si="2"/>
        <v>0</v>
      </c>
      <c r="S7" s="233"/>
    </row>
    <row r="8" spans="2:19">
      <c r="B8" s="253" t="s">
        <v>1042</v>
      </c>
      <c r="C8" s="253" t="s">
        <v>168</v>
      </c>
      <c r="D8" s="254">
        <v>7721</v>
      </c>
      <c r="E8" s="254">
        <v>7711</v>
      </c>
      <c r="F8" s="260">
        <v>0</v>
      </c>
      <c r="G8" s="233"/>
      <c r="H8" s="6"/>
      <c r="I8" s="233"/>
      <c r="J8" s="242"/>
      <c r="K8" s="234">
        <v>1</v>
      </c>
      <c r="L8" s="242"/>
      <c r="M8" s="5" t="str">
        <f t="shared" si="0"/>
        <v>2024-06</v>
      </c>
      <c r="N8" s="6">
        <f t="shared" si="1"/>
        <v>7721</v>
      </c>
      <c r="O8" s="6">
        <f t="shared" si="1"/>
        <v>7711</v>
      </c>
      <c r="P8" s="255">
        <f t="shared" si="1"/>
        <v>0</v>
      </c>
      <c r="Q8" s="233"/>
      <c r="R8" s="6">
        <f t="shared" si="2"/>
        <v>0</v>
      </c>
      <c r="S8" s="233"/>
    </row>
    <row r="9" spans="2:19">
      <c r="B9" s="253" t="s">
        <v>1043</v>
      </c>
      <c r="C9" s="253" t="s">
        <v>168</v>
      </c>
      <c r="D9" s="254">
        <v>7720</v>
      </c>
      <c r="E9" s="254">
        <v>7719</v>
      </c>
      <c r="F9" s="260">
        <v>1</v>
      </c>
      <c r="G9" s="233"/>
      <c r="H9" s="6"/>
      <c r="I9" s="233"/>
      <c r="J9" s="242"/>
      <c r="K9" s="234">
        <v>1</v>
      </c>
      <c r="L9" s="242"/>
      <c r="M9" s="5" t="str">
        <f t="shared" si="0"/>
        <v>2024-07</v>
      </c>
      <c r="N9" s="6">
        <f t="shared" si="1"/>
        <v>7720</v>
      </c>
      <c r="O9" s="6">
        <f t="shared" si="1"/>
        <v>7719</v>
      </c>
      <c r="P9" s="255">
        <f t="shared" si="1"/>
        <v>1</v>
      </c>
      <c r="Q9" s="233"/>
      <c r="R9" s="6">
        <f t="shared" si="2"/>
        <v>0</v>
      </c>
      <c r="S9" s="233"/>
    </row>
    <row r="10" spans="2:19">
      <c r="B10" s="253" t="s">
        <v>1044</v>
      </c>
      <c r="C10" s="253" t="s">
        <v>168</v>
      </c>
      <c r="D10" s="254">
        <v>7711</v>
      </c>
      <c r="E10" s="254">
        <v>7711</v>
      </c>
      <c r="F10" s="260">
        <v>0</v>
      </c>
      <c r="G10" s="233"/>
      <c r="H10" s="6"/>
      <c r="I10" s="233"/>
      <c r="J10" s="242"/>
      <c r="K10" s="234">
        <v>1</v>
      </c>
      <c r="L10" s="242"/>
      <c r="M10" s="5" t="str">
        <f t="shared" si="0"/>
        <v>2024-08</v>
      </c>
      <c r="N10" s="6">
        <f t="shared" si="1"/>
        <v>7711</v>
      </c>
      <c r="O10" s="6">
        <f t="shared" si="1"/>
        <v>7711</v>
      </c>
      <c r="P10" s="255">
        <f t="shared" si="1"/>
        <v>0</v>
      </c>
      <c r="Q10" s="233"/>
      <c r="R10" s="6">
        <f t="shared" si="2"/>
        <v>0</v>
      </c>
      <c r="S10" s="233"/>
    </row>
    <row r="11" spans="2:19">
      <c r="B11" s="39" t="s">
        <v>179</v>
      </c>
      <c r="C11" s="39"/>
      <c r="D11" s="235">
        <f>SUM(D5:D10)</f>
        <v>45550.37</v>
      </c>
      <c r="E11" s="235">
        <f>SUM(E5:E10)</f>
        <v>46284</v>
      </c>
      <c r="F11" s="235">
        <f>AVERAGE(F5:F10)</f>
        <v>-1.5</v>
      </c>
      <c r="G11" s="235"/>
      <c r="H11" s="235">
        <f>F11</f>
        <v>-1.5</v>
      </c>
      <c r="I11" s="236">
        <f>H5</f>
        <v>0</v>
      </c>
      <c r="M11" s="39" t="str">
        <f t="shared" ref="M11" si="3">$B11</f>
        <v>Total</v>
      </c>
      <c r="N11" s="235">
        <f>SUM(N5:N10)</f>
        <v>45550.37</v>
      </c>
      <c r="O11" s="235">
        <f>SUM(O5:O10)</f>
        <v>46284</v>
      </c>
      <c r="P11" s="235">
        <f>AVERAGE(P5:P10)</f>
        <v>-1.5</v>
      </c>
      <c r="Q11" s="235"/>
      <c r="R11" s="235">
        <f>AVERAGE(R5:R10)</f>
        <v>0</v>
      </c>
      <c r="S11" s="236">
        <f>R5</f>
        <v>0</v>
      </c>
    </row>
    <row r="13" spans="2:19" s="4" customFormat="1" ht="41.4">
      <c r="B13" s="229" t="s">
        <v>1045</v>
      </c>
      <c r="C13" s="3" t="s">
        <v>170</v>
      </c>
      <c r="D13" s="3" t="s">
        <v>171</v>
      </c>
      <c r="E13" s="3" t="s">
        <v>172</v>
      </c>
      <c r="F13" s="3" t="str">
        <f>F4</f>
        <v>Month End Balance</v>
      </c>
      <c r="G13" s="3" t="s">
        <v>174</v>
      </c>
      <c r="H13" s="3" t="s">
        <v>178</v>
      </c>
      <c r="I13" s="3" t="s">
        <v>180</v>
      </c>
      <c r="K13" s="237"/>
      <c r="M13" s="229" t="str">
        <f t="shared" ref="M13:M20" si="4">$B13</f>
        <v>MBB 2312</v>
      </c>
      <c r="N13" s="3" t="s">
        <v>171</v>
      </c>
      <c r="O13" s="3" t="s">
        <v>172</v>
      </c>
      <c r="P13" s="3" t="str">
        <f>P4</f>
        <v>Average Balance</v>
      </c>
      <c r="Q13" s="3" t="s">
        <v>174</v>
      </c>
      <c r="R13" s="3" t="s">
        <v>178</v>
      </c>
      <c r="S13" s="3" t="s">
        <v>176</v>
      </c>
    </row>
    <row r="14" spans="2:19">
      <c r="B14" s="253" t="s">
        <v>994</v>
      </c>
      <c r="C14" s="253" t="s">
        <v>168</v>
      </c>
      <c r="D14" s="238">
        <v>37600</v>
      </c>
      <c r="E14" s="6">
        <v>1400.01</v>
      </c>
      <c r="F14" s="260">
        <v>188893.7</v>
      </c>
      <c r="G14" s="803">
        <v>187500</v>
      </c>
      <c r="H14" s="6">
        <v>117216.44</v>
      </c>
      <c r="I14" s="5"/>
      <c r="K14" s="234">
        <v>1</v>
      </c>
      <c r="M14" s="5" t="str">
        <f t="shared" si="4"/>
        <v>2024-03</v>
      </c>
      <c r="N14" s="6">
        <f t="shared" ref="N14:O19" si="5">D14*$K14</f>
        <v>37600</v>
      </c>
      <c r="O14" s="6">
        <f t="shared" si="5"/>
        <v>1400.01</v>
      </c>
      <c r="P14" s="6">
        <f>F14</f>
        <v>188893.7</v>
      </c>
      <c r="Q14" s="5"/>
      <c r="R14" s="6">
        <f t="shared" ref="R14:R19" si="6">H14*$K14</f>
        <v>117216.44</v>
      </c>
      <c r="S14" s="5"/>
    </row>
    <row r="15" spans="2:19">
      <c r="B15" s="253" t="s">
        <v>995</v>
      </c>
      <c r="C15" s="253" t="s">
        <v>168</v>
      </c>
      <c r="D15" s="6">
        <v>307137.3</v>
      </c>
      <c r="E15" s="6">
        <v>2626.65</v>
      </c>
      <c r="F15" s="243">
        <v>115616.95</v>
      </c>
      <c r="G15" s="803">
        <v>187500</v>
      </c>
      <c r="H15" s="6">
        <v>0</v>
      </c>
      <c r="I15" s="5"/>
      <c r="K15" s="234">
        <v>1</v>
      </c>
      <c r="M15" s="5" t="str">
        <f t="shared" si="4"/>
        <v>2024-04</v>
      </c>
      <c r="N15" s="6">
        <f t="shared" si="5"/>
        <v>307137.3</v>
      </c>
      <c r="O15" s="6">
        <f t="shared" si="5"/>
        <v>2626.65</v>
      </c>
      <c r="P15" s="6">
        <f t="shared" ref="P15:P19" si="7">F15</f>
        <v>115616.95</v>
      </c>
      <c r="Q15" s="5"/>
      <c r="R15" s="6">
        <f t="shared" si="6"/>
        <v>0</v>
      </c>
      <c r="S15" s="5"/>
    </row>
    <row r="16" spans="2:19">
      <c r="B16" s="253" t="s">
        <v>996</v>
      </c>
      <c r="C16" s="253" t="s">
        <v>168</v>
      </c>
      <c r="D16" s="6">
        <v>780000</v>
      </c>
      <c r="E16" s="6">
        <v>592211.81999999995</v>
      </c>
      <c r="F16" s="243">
        <v>303405.13</v>
      </c>
      <c r="G16" s="803">
        <v>187500</v>
      </c>
      <c r="H16" s="6">
        <v>0</v>
      </c>
      <c r="I16" s="5"/>
      <c r="K16" s="234">
        <v>1</v>
      </c>
      <c r="M16" s="5" t="str">
        <f t="shared" si="4"/>
        <v>2024-05</v>
      </c>
      <c r="N16" s="6">
        <f t="shared" si="5"/>
        <v>780000</v>
      </c>
      <c r="O16" s="6">
        <f t="shared" si="5"/>
        <v>592211.81999999995</v>
      </c>
      <c r="P16" s="6">
        <f t="shared" si="7"/>
        <v>303405.13</v>
      </c>
      <c r="Q16" s="5"/>
      <c r="R16" s="6">
        <f t="shared" si="6"/>
        <v>0</v>
      </c>
      <c r="S16" s="5"/>
    </row>
    <row r="17" spans="2:19">
      <c r="B17" s="253" t="s">
        <v>1042</v>
      </c>
      <c r="C17" s="253" t="s">
        <v>168</v>
      </c>
      <c r="D17" s="238">
        <v>35467</v>
      </c>
      <c r="E17" s="6">
        <v>321294.5</v>
      </c>
      <c r="F17" s="243">
        <v>17577.63</v>
      </c>
      <c r="G17" s="803">
        <v>187500</v>
      </c>
      <c r="H17" s="6">
        <v>115296.69</v>
      </c>
      <c r="I17" s="5"/>
      <c r="K17" s="234">
        <v>1</v>
      </c>
      <c r="M17" s="5" t="str">
        <f t="shared" si="4"/>
        <v>2024-06</v>
      </c>
      <c r="N17" s="6">
        <f t="shared" si="5"/>
        <v>35467</v>
      </c>
      <c r="O17" s="6">
        <f t="shared" si="5"/>
        <v>321294.5</v>
      </c>
      <c r="P17" s="6">
        <f t="shared" si="7"/>
        <v>17577.63</v>
      </c>
      <c r="Q17" s="5"/>
      <c r="R17" s="6">
        <f t="shared" si="6"/>
        <v>115296.69</v>
      </c>
      <c r="S17" s="5"/>
    </row>
    <row r="18" spans="2:19">
      <c r="B18" s="253" t="s">
        <v>1043</v>
      </c>
      <c r="C18" s="253" t="s">
        <v>168</v>
      </c>
      <c r="D18" s="238">
        <v>256342.99</v>
      </c>
      <c r="E18" s="6">
        <v>345238.19</v>
      </c>
      <c r="F18" s="243">
        <v>71317.570000000007</v>
      </c>
      <c r="G18" s="803">
        <v>187500</v>
      </c>
      <c r="H18" s="6">
        <v>115082</v>
      </c>
      <c r="I18" s="5"/>
      <c r="K18" s="234">
        <v>1</v>
      </c>
      <c r="M18" s="5" t="str">
        <f t="shared" si="4"/>
        <v>2024-07</v>
      </c>
      <c r="N18" s="6">
        <f t="shared" si="5"/>
        <v>256342.99</v>
      </c>
      <c r="O18" s="6">
        <f t="shared" si="5"/>
        <v>345238.19</v>
      </c>
      <c r="P18" s="6">
        <f t="shared" si="7"/>
        <v>71317.570000000007</v>
      </c>
      <c r="Q18" s="5"/>
      <c r="R18" s="6">
        <f t="shared" si="6"/>
        <v>115082</v>
      </c>
      <c r="S18" s="5"/>
    </row>
    <row r="19" spans="2:19">
      <c r="B19" s="253" t="s">
        <v>1044</v>
      </c>
      <c r="C19" s="253" t="s">
        <v>168</v>
      </c>
      <c r="D19" s="6">
        <v>0</v>
      </c>
      <c r="E19" s="6">
        <v>96065.15</v>
      </c>
      <c r="F19" s="243">
        <v>167382.72</v>
      </c>
      <c r="G19" s="803">
        <v>187500</v>
      </c>
      <c r="H19" s="6">
        <v>114069.46</v>
      </c>
      <c r="I19" s="5"/>
      <c r="K19" s="234">
        <v>1</v>
      </c>
      <c r="M19" s="5" t="str">
        <f t="shared" si="4"/>
        <v>2024-08</v>
      </c>
      <c r="N19" s="6">
        <f t="shared" si="5"/>
        <v>0</v>
      </c>
      <c r="O19" s="6">
        <f t="shared" si="5"/>
        <v>96065.15</v>
      </c>
      <c r="P19" s="6">
        <f t="shared" si="7"/>
        <v>167382.72</v>
      </c>
      <c r="Q19" s="5"/>
      <c r="R19" s="6">
        <f t="shared" si="6"/>
        <v>114069.46</v>
      </c>
      <c r="S19" s="5"/>
    </row>
    <row r="20" spans="2:19">
      <c r="B20" s="39" t="s">
        <v>179</v>
      </c>
      <c r="C20" s="39"/>
      <c r="D20" s="235">
        <f>SUM(D14:D19)</f>
        <v>1416547.29</v>
      </c>
      <c r="E20" s="235">
        <f>SUM(E14:E19)</f>
        <v>1358836.3199999998</v>
      </c>
      <c r="F20" s="235">
        <f>AVERAGE(F14:F19)</f>
        <v>144032.28333333333</v>
      </c>
      <c r="G20" s="65" t="s">
        <v>13</v>
      </c>
      <c r="H20" s="235">
        <f>AVERAGE(H14:H19)</f>
        <v>76944.098333333342</v>
      </c>
      <c r="I20" s="236">
        <f>F20</f>
        <v>144032.28333333333</v>
      </c>
      <c r="M20" s="39" t="str">
        <f t="shared" si="4"/>
        <v>Total</v>
      </c>
      <c r="N20" s="235">
        <f>SUM(N14:N19)</f>
        <v>1416547.29</v>
      </c>
      <c r="O20" s="235">
        <f>AVERAGE(O14:O19)</f>
        <v>226472.71999999997</v>
      </c>
      <c r="P20" s="235">
        <f>SUM(P14:P19)</f>
        <v>864193.7</v>
      </c>
      <c r="Q20" s="65" t="s">
        <v>13</v>
      </c>
      <c r="R20" s="235">
        <f>AVERAGE(R14:R19)</f>
        <v>76944.098333333342</v>
      </c>
      <c r="S20" s="236">
        <f>R14</f>
        <v>117216.44</v>
      </c>
    </row>
    <row r="22" spans="2:19" s="4" customFormat="1" ht="41.4">
      <c r="B22" s="229"/>
      <c r="C22" s="3" t="s">
        <v>170</v>
      </c>
      <c r="D22" s="3" t="s">
        <v>171</v>
      </c>
      <c r="E22" s="3" t="s">
        <v>172</v>
      </c>
      <c r="F22" s="3" t="str">
        <f>F13</f>
        <v>Month End Balance</v>
      </c>
      <c r="G22" s="3" t="s">
        <v>174</v>
      </c>
      <c r="H22" s="3" t="str">
        <f>H13</f>
        <v>Available Balance</v>
      </c>
      <c r="I22" s="3" t="str">
        <f>I13</f>
        <v>Average Balance With OD</v>
      </c>
      <c r="K22" s="237"/>
      <c r="M22" s="229"/>
      <c r="N22" s="3" t="s">
        <v>171</v>
      </c>
      <c r="O22" s="3" t="s">
        <v>172</v>
      </c>
      <c r="P22" s="3" t="str">
        <f>P13</f>
        <v>Average Balance</v>
      </c>
      <c r="Q22" s="3" t="s">
        <v>174</v>
      </c>
      <c r="R22" s="3" t="s">
        <v>178</v>
      </c>
      <c r="S22" s="3" t="s">
        <v>176</v>
      </c>
    </row>
    <row r="23" spans="2:19">
      <c r="B23" s="253" t="s">
        <v>994</v>
      </c>
      <c r="C23" s="5"/>
      <c r="D23" s="6"/>
      <c r="E23" s="6"/>
      <c r="F23" s="243"/>
      <c r="G23" s="5"/>
      <c r="H23" s="6"/>
      <c r="I23" s="6"/>
      <c r="K23" s="234">
        <v>1</v>
      </c>
      <c r="M23" s="5" t="str">
        <f t="shared" ref="M23:M29" si="8">$B23</f>
        <v>2024-03</v>
      </c>
      <c r="N23" s="6">
        <f t="shared" ref="N23:O28" si="9">D23*$K23</f>
        <v>0</v>
      </c>
      <c r="O23" s="6">
        <f t="shared" si="9"/>
        <v>0</v>
      </c>
      <c r="P23" s="6">
        <f>F23</f>
        <v>0</v>
      </c>
      <c r="Q23" s="5"/>
      <c r="R23" s="6">
        <f t="shared" ref="R23:R28" si="10">H23*$K23</f>
        <v>0</v>
      </c>
      <c r="S23" s="6"/>
    </row>
    <row r="24" spans="2:19">
      <c r="B24" s="253" t="s">
        <v>995</v>
      </c>
      <c r="C24" s="5"/>
      <c r="D24" s="6"/>
      <c r="E24" s="6"/>
      <c r="F24" s="243"/>
      <c r="G24" s="5"/>
      <c r="H24" s="6"/>
      <c r="I24" s="6"/>
      <c r="K24" s="234">
        <v>1</v>
      </c>
      <c r="M24" s="5" t="str">
        <f t="shared" si="8"/>
        <v>2024-04</v>
      </c>
      <c r="N24" s="6">
        <f t="shared" si="9"/>
        <v>0</v>
      </c>
      <c r="O24" s="6">
        <f t="shared" si="9"/>
        <v>0</v>
      </c>
      <c r="P24" s="6">
        <f t="shared" ref="P24:P28" si="11">F24</f>
        <v>0</v>
      </c>
      <c r="Q24" s="5"/>
      <c r="R24" s="6">
        <f t="shared" si="10"/>
        <v>0</v>
      </c>
      <c r="S24" s="6"/>
    </row>
    <row r="25" spans="2:19">
      <c r="B25" s="253" t="s">
        <v>996</v>
      </c>
      <c r="C25" s="5"/>
      <c r="D25" s="6"/>
      <c r="E25" s="6"/>
      <c r="F25" s="243"/>
      <c r="G25" s="5"/>
      <c r="H25" s="6"/>
      <c r="I25" s="6"/>
      <c r="K25" s="234">
        <v>1</v>
      </c>
      <c r="M25" s="5" t="str">
        <f t="shared" si="8"/>
        <v>2024-05</v>
      </c>
      <c r="N25" s="6">
        <f t="shared" si="9"/>
        <v>0</v>
      </c>
      <c r="O25" s="6">
        <f t="shared" si="9"/>
        <v>0</v>
      </c>
      <c r="P25" s="6">
        <f t="shared" si="11"/>
        <v>0</v>
      </c>
      <c r="Q25" s="5"/>
      <c r="R25" s="6">
        <f t="shared" si="10"/>
        <v>0</v>
      </c>
      <c r="S25" s="6"/>
    </row>
    <row r="26" spans="2:19">
      <c r="B26" s="253" t="s">
        <v>1042</v>
      </c>
      <c r="C26" s="5"/>
      <c r="D26" s="238"/>
      <c r="E26" s="6"/>
      <c r="F26" s="243"/>
      <c r="G26" s="5"/>
      <c r="H26" s="6"/>
      <c r="I26" s="6"/>
      <c r="K26" s="234">
        <v>1</v>
      </c>
      <c r="M26" s="5" t="str">
        <f t="shared" si="8"/>
        <v>2024-06</v>
      </c>
      <c r="N26" s="6">
        <f t="shared" si="9"/>
        <v>0</v>
      </c>
      <c r="O26" s="6">
        <f t="shared" si="9"/>
        <v>0</v>
      </c>
      <c r="P26" s="6">
        <f t="shared" si="11"/>
        <v>0</v>
      </c>
      <c r="Q26" s="5"/>
      <c r="R26" s="6">
        <f t="shared" si="10"/>
        <v>0</v>
      </c>
      <c r="S26" s="6"/>
    </row>
    <row r="27" spans="2:19">
      <c r="B27" s="253" t="s">
        <v>1043</v>
      </c>
      <c r="C27" s="5"/>
      <c r="D27" s="6"/>
      <c r="E27" s="6"/>
      <c r="F27" s="243"/>
      <c r="G27" s="5"/>
      <c r="H27" s="6"/>
      <c r="I27" s="6"/>
      <c r="K27" s="234">
        <v>1</v>
      </c>
      <c r="M27" s="5" t="str">
        <f t="shared" si="8"/>
        <v>2024-07</v>
      </c>
      <c r="N27" s="6">
        <f t="shared" si="9"/>
        <v>0</v>
      </c>
      <c r="O27" s="6">
        <f t="shared" si="9"/>
        <v>0</v>
      </c>
      <c r="P27" s="6">
        <f t="shared" si="11"/>
        <v>0</v>
      </c>
      <c r="Q27" s="5"/>
      <c r="R27" s="6">
        <f t="shared" si="10"/>
        <v>0</v>
      </c>
      <c r="S27" s="6"/>
    </row>
    <row r="28" spans="2:19">
      <c r="B28" s="253" t="s">
        <v>1044</v>
      </c>
      <c r="C28" s="5"/>
      <c r="D28" s="6"/>
      <c r="E28" s="6"/>
      <c r="F28" s="243"/>
      <c r="G28" s="5"/>
      <c r="H28" s="6"/>
      <c r="I28" s="6"/>
      <c r="K28" s="234">
        <v>1</v>
      </c>
      <c r="M28" s="5" t="str">
        <f t="shared" si="8"/>
        <v>2024-08</v>
      </c>
      <c r="N28" s="6">
        <f t="shared" si="9"/>
        <v>0</v>
      </c>
      <c r="O28" s="6">
        <f t="shared" si="9"/>
        <v>0</v>
      </c>
      <c r="P28" s="6">
        <f t="shared" si="11"/>
        <v>0</v>
      </c>
      <c r="Q28" s="5"/>
      <c r="R28" s="6">
        <f t="shared" si="10"/>
        <v>0</v>
      </c>
      <c r="S28" s="6"/>
    </row>
    <row r="29" spans="2:19">
      <c r="B29" s="39" t="s">
        <v>179</v>
      </c>
      <c r="C29" s="39"/>
      <c r="D29" s="235">
        <f>SUM(D23:D28)</f>
        <v>0</v>
      </c>
      <c r="E29" s="235">
        <f>SUM(E23:E28)</f>
        <v>0</v>
      </c>
      <c r="F29" s="235" t="e">
        <f>AVERAGE(F23:F28)</f>
        <v>#DIV/0!</v>
      </c>
      <c r="G29" s="39"/>
      <c r="H29" s="235" t="e">
        <f>AVERAGE(H23:H28)</f>
        <v>#DIV/0!</v>
      </c>
      <c r="I29" s="236" t="e">
        <f>F29</f>
        <v>#DIV/0!</v>
      </c>
      <c r="M29" s="39" t="str">
        <f t="shared" si="8"/>
        <v>Total</v>
      </c>
      <c r="N29" s="235">
        <f>SUM(N23:N28)</f>
        <v>0</v>
      </c>
      <c r="O29" s="235">
        <f>SUM(O23:O28)</f>
        <v>0</v>
      </c>
      <c r="P29" s="235">
        <f>AVERAGE(P23:P28)</f>
        <v>0</v>
      </c>
      <c r="Q29" s="39"/>
      <c r="R29" s="235">
        <f>AVERAGE(R23:R28)</f>
        <v>0</v>
      </c>
      <c r="S29" s="236">
        <f>R23</f>
        <v>0</v>
      </c>
    </row>
    <row r="32" spans="2:19" s="230" customFormat="1" ht="41.4">
      <c r="B32" s="229" t="s">
        <v>159</v>
      </c>
      <c r="C32" s="3" t="s">
        <v>181</v>
      </c>
      <c r="D32" s="3" t="s">
        <v>182</v>
      </c>
      <c r="E32" s="3" t="s">
        <v>183</v>
      </c>
      <c r="F32" s="3" t="s">
        <v>177</v>
      </c>
      <c r="G32" s="3" t="s">
        <v>184</v>
      </c>
      <c r="H32" s="3" t="s">
        <v>185</v>
      </c>
      <c r="I32" s="3" t="s">
        <v>186</v>
      </c>
      <c r="K32" s="231"/>
      <c r="M32" s="231"/>
      <c r="N32" s="231"/>
      <c r="O32" s="231"/>
      <c r="P32" s="231"/>
      <c r="Q32" s="231"/>
      <c r="R32" s="231"/>
      <c r="S32" s="231"/>
    </row>
    <row r="33" spans="2:19">
      <c r="B33" s="5" t="s">
        <v>187</v>
      </c>
      <c r="C33" s="7"/>
      <c r="D33" s="6"/>
      <c r="E33" s="6"/>
      <c r="F33" s="6"/>
      <c r="G33" s="6"/>
      <c r="H33" s="6"/>
      <c r="I33" s="6"/>
      <c r="K33" s="231"/>
      <c r="M33" s="231"/>
      <c r="N33" s="231"/>
      <c r="O33" s="231"/>
      <c r="P33" s="231"/>
      <c r="Q33" s="231"/>
      <c r="R33" s="231"/>
      <c r="S33" s="231"/>
    </row>
    <row r="34" spans="2:19">
      <c r="B34" s="5"/>
      <c r="C34" s="7"/>
      <c r="D34" s="6"/>
      <c r="E34" s="6"/>
      <c r="F34" s="6"/>
      <c r="G34" s="240"/>
      <c r="H34" s="6"/>
      <c r="I34" s="6"/>
      <c r="K34" s="231"/>
      <c r="M34" s="231"/>
      <c r="N34" s="231"/>
      <c r="O34" s="231"/>
      <c r="P34" s="231"/>
      <c r="Q34" s="231"/>
      <c r="R34" s="231"/>
      <c r="S34" s="231"/>
    </row>
    <row r="35" spans="2:19">
      <c r="B35" s="5"/>
      <c r="C35" s="7"/>
      <c r="D35" s="6"/>
      <c r="E35" s="6"/>
      <c r="F35" s="6"/>
      <c r="G35" s="6"/>
      <c r="H35" s="6"/>
      <c r="I35" s="6"/>
      <c r="K35" s="231"/>
      <c r="M35" s="231"/>
      <c r="N35" s="231"/>
      <c r="O35" s="231"/>
      <c r="P35" s="231"/>
      <c r="Q35" s="231"/>
      <c r="R35" s="231"/>
      <c r="S35" s="231"/>
    </row>
    <row r="36" spans="2:19">
      <c r="B36" s="39" t="s">
        <v>179</v>
      </c>
      <c r="C36" s="39"/>
      <c r="D36" s="235">
        <f>SUM(D33:D35)</f>
        <v>0</v>
      </c>
      <c r="E36" s="235">
        <f>SUM(E33:E35)</f>
        <v>0</v>
      </c>
      <c r="F36" s="235">
        <f>SUM(F33:F35)</f>
        <v>0</v>
      </c>
      <c r="G36" s="235">
        <f>SUM(G33:G35)</f>
        <v>0</v>
      </c>
      <c r="H36" s="235">
        <f>SUM(H33:H35)</f>
        <v>0</v>
      </c>
      <c r="I36" s="239"/>
      <c r="K36" s="231"/>
      <c r="M36" s="231"/>
      <c r="N36" s="231"/>
      <c r="O36" s="231"/>
      <c r="P36" s="231"/>
      <c r="Q36" s="231"/>
      <c r="R36" s="231"/>
      <c r="S36" s="231"/>
    </row>
    <row r="37" spans="2:19">
      <c r="N37" s="241"/>
      <c r="O37" s="241"/>
    </row>
    <row r="39" spans="2:19" ht="31.5" customHeight="1">
      <c r="B39" s="52" t="s">
        <v>5</v>
      </c>
      <c r="C39" s="991" t="s">
        <v>1007</v>
      </c>
      <c r="D39" s="991"/>
      <c r="E39" s="991"/>
      <c r="F39" s="991"/>
      <c r="G39" s="991"/>
      <c r="H39" s="52" t="s">
        <v>1008</v>
      </c>
      <c r="I39" s="99" t="s">
        <v>1009</v>
      </c>
      <c r="N39" s="225"/>
      <c r="O39" s="225"/>
    </row>
    <row r="40" spans="2:19">
      <c r="B40" s="52">
        <v>1</v>
      </c>
      <c r="C40" s="995" t="s">
        <v>1052</v>
      </c>
      <c r="D40" s="996"/>
      <c r="E40" s="996"/>
      <c r="F40" s="996"/>
      <c r="G40" s="997"/>
      <c r="H40" s="5" t="s">
        <v>1056</v>
      </c>
      <c r="I40" s="6">
        <v>700000</v>
      </c>
    </row>
    <row r="41" spans="2:19">
      <c r="B41" s="52">
        <v>2</v>
      </c>
      <c r="C41" s="995" t="s">
        <v>1012</v>
      </c>
      <c r="D41" s="996"/>
      <c r="E41" s="996"/>
      <c r="F41" s="996"/>
      <c r="G41" s="997"/>
      <c r="H41" s="5" t="s">
        <v>1056</v>
      </c>
      <c r="I41" s="6">
        <v>300800</v>
      </c>
    </row>
    <row r="42" spans="2:19">
      <c r="B42" s="52">
        <v>3</v>
      </c>
      <c r="C42" s="995" t="s">
        <v>1053</v>
      </c>
      <c r="D42" s="996"/>
      <c r="E42" s="996"/>
      <c r="F42" s="996"/>
      <c r="G42" s="997"/>
      <c r="H42" s="5" t="s">
        <v>1056</v>
      </c>
      <c r="I42" s="6">
        <v>215507.99</v>
      </c>
    </row>
    <row r="43" spans="2:19">
      <c r="B43" s="52">
        <v>4</v>
      </c>
      <c r="C43" s="995" t="s">
        <v>1054</v>
      </c>
      <c r="D43" s="996"/>
      <c r="E43" s="996"/>
      <c r="F43" s="996"/>
      <c r="G43" s="997"/>
      <c r="H43" s="5" t="s">
        <v>1056</v>
      </c>
      <c r="I43" s="6">
        <v>59400</v>
      </c>
    </row>
    <row r="44" spans="2:19">
      <c r="B44" s="52">
        <v>5</v>
      </c>
      <c r="C44" s="995" t="s">
        <v>1055</v>
      </c>
      <c r="D44" s="996"/>
      <c r="E44" s="996"/>
      <c r="F44" s="996"/>
      <c r="G44" s="997"/>
      <c r="H44" s="5" t="s">
        <v>1056</v>
      </c>
      <c r="I44" s="6">
        <v>6835</v>
      </c>
    </row>
    <row r="45" spans="2:19">
      <c r="B45" s="52"/>
      <c r="C45" s="995"/>
      <c r="D45" s="996"/>
      <c r="E45" s="996"/>
      <c r="F45" s="996"/>
      <c r="G45" s="997"/>
      <c r="H45" s="5"/>
      <c r="I45" s="6"/>
    </row>
    <row r="46" spans="2:19">
      <c r="B46" s="5"/>
      <c r="C46" s="992"/>
      <c r="D46" s="993"/>
      <c r="E46" s="993"/>
      <c r="F46" s="993"/>
      <c r="G46" s="994"/>
      <c r="H46" s="5"/>
      <c r="I46" s="6"/>
    </row>
    <row r="47" spans="2:19">
      <c r="B47" s="5"/>
      <c r="C47" s="992"/>
      <c r="D47" s="993"/>
      <c r="E47" s="993"/>
      <c r="F47" s="993"/>
      <c r="G47" s="994"/>
      <c r="H47" s="5"/>
      <c r="I47" s="5"/>
    </row>
    <row r="48" spans="2:19">
      <c r="B48" s="5"/>
      <c r="C48" s="985" t="s">
        <v>1010</v>
      </c>
      <c r="D48" s="986"/>
      <c r="E48" s="986"/>
      <c r="F48" s="986"/>
      <c r="G48" s="986"/>
      <c r="H48" s="987"/>
      <c r="I48" s="783">
        <f>SUM(I40:I47)</f>
        <v>1282542.99</v>
      </c>
    </row>
    <row r="49" spans="2:9">
      <c r="B49" s="5"/>
      <c r="C49" s="985" t="s">
        <v>1011</v>
      </c>
      <c r="D49" s="986"/>
      <c r="E49" s="986"/>
      <c r="F49" s="986"/>
      <c r="G49" s="986"/>
      <c r="H49" s="987"/>
      <c r="I49" s="783">
        <f>I48*2</f>
        <v>2565085.98</v>
      </c>
    </row>
    <row r="50" spans="2:9">
      <c r="B50" s="5"/>
      <c r="C50" s="985" t="s">
        <v>1026</v>
      </c>
      <c r="D50" s="986"/>
      <c r="E50" s="986"/>
      <c r="F50" s="986"/>
      <c r="G50" s="986"/>
      <c r="H50" s="987"/>
      <c r="I50" s="6">
        <f>'Summary of Information'!F26</f>
        <v>0</v>
      </c>
    </row>
    <row r="51" spans="2:9">
      <c r="B51" s="5"/>
      <c r="C51" s="985" t="s">
        <v>179</v>
      </c>
      <c r="D51" s="986"/>
      <c r="E51" s="986"/>
      <c r="F51" s="986"/>
      <c r="G51" s="986"/>
      <c r="H51" s="987"/>
      <c r="I51" s="783">
        <f>SUM(I49:I50)</f>
        <v>2565085.98</v>
      </c>
    </row>
    <row r="52" spans="2:9">
      <c r="B52" s="5"/>
      <c r="C52" s="985" t="s">
        <v>1057</v>
      </c>
      <c r="D52" s="986"/>
      <c r="E52" s="986"/>
      <c r="F52" s="986"/>
      <c r="G52" s="986"/>
      <c r="H52" s="987"/>
      <c r="I52" s="784">
        <f>'Summary of Information'!G6</f>
        <v>0</v>
      </c>
    </row>
    <row r="53" spans="2:9">
      <c r="B53" s="5"/>
      <c r="C53" s="985" t="s">
        <v>1024</v>
      </c>
      <c r="D53" s="986"/>
      <c r="E53" s="986"/>
      <c r="F53" s="986"/>
      <c r="G53" s="986"/>
      <c r="H53" s="987"/>
      <c r="I53" s="785" t="e">
        <f>(I51-I52)/I52</f>
        <v>#DIV/0!</v>
      </c>
    </row>
  </sheetData>
  <mergeCells count="16">
    <mergeCell ref="M2:S2"/>
    <mergeCell ref="C39:G39"/>
    <mergeCell ref="C47:G47"/>
    <mergeCell ref="C46:G46"/>
    <mergeCell ref="C42:G42"/>
    <mergeCell ref="C41:G41"/>
    <mergeCell ref="C40:G40"/>
    <mergeCell ref="C43:G43"/>
    <mergeCell ref="C44:G44"/>
    <mergeCell ref="C45:G45"/>
    <mergeCell ref="C53:H53"/>
    <mergeCell ref="C51:H51"/>
    <mergeCell ref="C50:H50"/>
    <mergeCell ref="C49:H49"/>
    <mergeCell ref="C48:H48"/>
    <mergeCell ref="C52:H52"/>
  </mergeCells>
  <phoneticPr fontId="11" type="noConversion"/>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465DB2-AFC7-4092-94DA-E3770C6C73DB}">
  <sheetPr codeName="Sheet2"/>
  <dimension ref="B1:N36"/>
  <sheetViews>
    <sheetView showGridLines="0" topLeftCell="C3" zoomScaleNormal="100" workbookViewId="0">
      <selection activeCell="F10" sqref="F10"/>
    </sheetView>
  </sheetViews>
  <sheetFormatPr defaultRowHeight="14.4"/>
  <cols>
    <col min="1" max="1" width="3.6640625" style="144" customWidth="1"/>
    <col min="2" max="2" width="24.33203125" style="143" bestFit="1" customWidth="1"/>
    <col min="3" max="3" width="4.6640625" style="143" customWidth="1"/>
    <col min="4" max="4" width="8" style="143" customWidth="1"/>
    <col min="5" max="5" width="34.33203125" style="144" customWidth="1"/>
    <col min="6" max="7" width="15" style="144" customWidth="1"/>
    <col min="8" max="8" width="47.5546875" style="144" customWidth="1"/>
    <col min="9" max="9" width="3.5546875" style="144" customWidth="1"/>
    <col min="10" max="10" width="5.33203125" style="144" customWidth="1"/>
    <col min="11" max="11" width="11.44140625" style="144" bestFit="1" customWidth="1"/>
    <col min="12" max="12" width="20.109375" style="144" bestFit="1" customWidth="1"/>
    <col min="13" max="14" width="10.5546875" style="144" bestFit="1" customWidth="1"/>
    <col min="15" max="259" width="9.109375" style="144"/>
    <col min="260" max="260" width="3.6640625" style="144" customWidth="1"/>
    <col min="261" max="261" width="3.88671875" style="144" customWidth="1"/>
    <col min="262" max="262" width="9.109375" style="144"/>
    <col min="263" max="263" width="34" style="144" customWidth="1"/>
    <col min="264" max="264" width="15" style="144" customWidth="1"/>
    <col min="265" max="265" width="9.109375" style="144"/>
    <col min="266" max="266" width="5.33203125" style="144" customWidth="1"/>
    <col min="267" max="267" width="9.109375" style="144"/>
    <col min="268" max="268" width="32.33203125" style="144" customWidth="1"/>
    <col min="269" max="269" width="16.6640625" style="144" customWidth="1"/>
    <col min="270" max="515" width="9.109375" style="144"/>
    <col min="516" max="516" width="3.6640625" style="144" customWidth="1"/>
    <col min="517" max="517" width="3.88671875" style="144" customWidth="1"/>
    <col min="518" max="518" width="9.109375" style="144"/>
    <col min="519" max="519" width="34" style="144" customWidth="1"/>
    <col min="520" max="520" width="15" style="144" customWidth="1"/>
    <col min="521" max="521" width="9.109375" style="144"/>
    <col min="522" max="522" width="5.33203125" style="144" customWidth="1"/>
    <col min="523" max="523" width="9.109375" style="144"/>
    <col min="524" max="524" width="32.33203125" style="144" customWidth="1"/>
    <col min="525" max="525" width="16.6640625" style="144" customWidth="1"/>
    <col min="526" max="771" width="9.109375" style="144"/>
    <col min="772" max="772" width="3.6640625" style="144" customWidth="1"/>
    <col min="773" max="773" width="3.88671875" style="144" customWidth="1"/>
    <col min="774" max="774" width="9.109375" style="144"/>
    <col min="775" max="775" width="34" style="144" customWidth="1"/>
    <col min="776" max="776" width="15" style="144" customWidth="1"/>
    <col min="777" max="777" width="9.109375" style="144"/>
    <col min="778" max="778" width="5.33203125" style="144" customWidth="1"/>
    <col min="779" max="779" width="9.109375" style="144"/>
    <col min="780" max="780" width="32.33203125" style="144" customWidth="1"/>
    <col min="781" max="781" width="16.6640625" style="144" customWidth="1"/>
    <col min="782" max="1027" width="9.109375" style="144"/>
    <col min="1028" max="1028" width="3.6640625" style="144" customWidth="1"/>
    <col min="1029" max="1029" width="3.88671875" style="144" customWidth="1"/>
    <col min="1030" max="1030" width="9.109375" style="144"/>
    <col min="1031" max="1031" width="34" style="144" customWidth="1"/>
    <col min="1032" max="1032" width="15" style="144" customWidth="1"/>
    <col min="1033" max="1033" width="9.109375" style="144"/>
    <col min="1034" max="1034" width="5.33203125" style="144" customWidth="1"/>
    <col min="1035" max="1035" width="9.109375" style="144"/>
    <col min="1036" max="1036" width="32.33203125" style="144" customWidth="1"/>
    <col min="1037" max="1037" width="16.6640625" style="144" customWidth="1"/>
    <col min="1038" max="1283" width="9.109375" style="144"/>
    <col min="1284" max="1284" width="3.6640625" style="144" customWidth="1"/>
    <col min="1285" max="1285" width="3.88671875" style="144" customWidth="1"/>
    <col min="1286" max="1286" width="9.109375" style="144"/>
    <col min="1287" max="1287" width="34" style="144" customWidth="1"/>
    <col min="1288" max="1288" width="15" style="144" customWidth="1"/>
    <col min="1289" max="1289" width="9.109375" style="144"/>
    <col min="1290" max="1290" width="5.33203125" style="144" customWidth="1"/>
    <col min="1291" max="1291" width="9.109375" style="144"/>
    <col min="1292" max="1292" width="32.33203125" style="144" customWidth="1"/>
    <col min="1293" max="1293" width="16.6640625" style="144" customWidth="1"/>
    <col min="1294" max="1539" width="9.109375" style="144"/>
    <col min="1540" max="1540" width="3.6640625" style="144" customWidth="1"/>
    <col min="1541" max="1541" width="3.88671875" style="144" customWidth="1"/>
    <col min="1542" max="1542" width="9.109375" style="144"/>
    <col min="1543" max="1543" width="34" style="144" customWidth="1"/>
    <col min="1544" max="1544" width="15" style="144" customWidth="1"/>
    <col min="1545" max="1545" width="9.109375" style="144"/>
    <col min="1546" max="1546" width="5.33203125" style="144" customWidth="1"/>
    <col min="1547" max="1547" width="9.109375" style="144"/>
    <col min="1548" max="1548" width="32.33203125" style="144" customWidth="1"/>
    <col min="1549" max="1549" width="16.6640625" style="144" customWidth="1"/>
    <col min="1550" max="1795" width="9.109375" style="144"/>
    <col min="1796" max="1796" width="3.6640625" style="144" customWidth="1"/>
    <col min="1797" max="1797" width="3.88671875" style="144" customWidth="1"/>
    <col min="1798" max="1798" width="9.109375" style="144"/>
    <col min="1799" max="1799" width="34" style="144" customWidth="1"/>
    <col min="1800" max="1800" width="15" style="144" customWidth="1"/>
    <col min="1801" max="1801" width="9.109375" style="144"/>
    <col min="1802" max="1802" width="5.33203125" style="144" customWidth="1"/>
    <col min="1803" max="1803" width="9.109375" style="144"/>
    <col min="1804" max="1804" width="32.33203125" style="144" customWidth="1"/>
    <col min="1805" max="1805" width="16.6640625" style="144" customWidth="1"/>
    <col min="1806" max="2051" width="9.109375" style="144"/>
    <col min="2052" max="2052" width="3.6640625" style="144" customWidth="1"/>
    <col min="2053" max="2053" width="3.88671875" style="144" customWidth="1"/>
    <col min="2054" max="2054" width="9.109375" style="144"/>
    <col min="2055" max="2055" width="34" style="144" customWidth="1"/>
    <col min="2056" max="2056" width="15" style="144" customWidth="1"/>
    <col min="2057" max="2057" width="9.109375" style="144"/>
    <col min="2058" max="2058" width="5.33203125" style="144" customWidth="1"/>
    <col min="2059" max="2059" width="9.109375" style="144"/>
    <col min="2060" max="2060" width="32.33203125" style="144" customWidth="1"/>
    <col min="2061" max="2061" width="16.6640625" style="144" customWidth="1"/>
    <col min="2062" max="2307" width="9.109375" style="144"/>
    <col min="2308" max="2308" width="3.6640625" style="144" customWidth="1"/>
    <col min="2309" max="2309" width="3.88671875" style="144" customWidth="1"/>
    <col min="2310" max="2310" width="9.109375" style="144"/>
    <col min="2311" max="2311" width="34" style="144" customWidth="1"/>
    <col min="2312" max="2312" width="15" style="144" customWidth="1"/>
    <col min="2313" max="2313" width="9.109375" style="144"/>
    <col min="2314" max="2314" width="5.33203125" style="144" customWidth="1"/>
    <col min="2315" max="2315" width="9.109375" style="144"/>
    <col min="2316" max="2316" width="32.33203125" style="144" customWidth="1"/>
    <col min="2317" max="2317" width="16.6640625" style="144" customWidth="1"/>
    <col min="2318" max="2563" width="9.109375" style="144"/>
    <col min="2564" max="2564" width="3.6640625" style="144" customWidth="1"/>
    <col min="2565" max="2565" width="3.88671875" style="144" customWidth="1"/>
    <col min="2566" max="2566" width="9.109375" style="144"/>
    <col min="2567" max="2567" width="34" style="144" customWidth="1"/>
    <col min="2568" max="2568" width="15" style="144" customWidth="1"/>
    <col min="2569" max="2569" width="9.109375" style="144"/>
    <col min="2570" max="2570" width="5.33203125" style="144" customWidth="1"/>
    <col min="2571" max="2571" width="9.109375" style="144"/>
    <col min="2572" max="2572" width="32.33203125" style="144" customWidth="1"/>
    <col min="2573" max="2573" width="16.6640625" style="144" customWidth="1"/>
    <col min="2574" max="2819" width="9.109375" style="144"/>
    <col min="2820" max="2820" width="3.6640625" style="144" customWidth="1"/>
    <col min="2821" max="2821" width="3.88671875" style="144" customWidth="1"/>
    <col min="2822" max="2822" width="9.109375" style="144"/>
    <col min="2823" max="2823" width="34" style="144" customWidth="1"/>
    <col min="2824" max="2824" width="15" style="144" customWidth="1"/>
    <col min="2825" max="2825" width="9.109375" style="144"/>
    <col min="2826" max="2826" width="5.33203125" style="144" customWidth="1"/>
    <col min="2827" max="2827" width="9.109375" style="144"/>
    <col min="2828" max="2828" width="32.33203125" style="144" customWidth="1"/>
    <col min="2829" max="2829" width="16.6640625" style="144" customWidth="1"/>
    <col min="2830" max="3075" width="9.109375" style="144"/>
    <col min="3076" max="3076" width="3.6640625" style="144" customWidth="1"/>
    <col min="3077" max="3077" width="3.88671875" style="144" customWidth="1"/>
    <col min="3078" max="3078" width="9.109375" style="144"/>
    <col min="3079" max="3079" width="34" style="144" customWidth="1"/>
    <col min="3080" max="3080" width="15" style="144" customWidth="1"/>
    <col min="3081" max="3081" width="9.109375" style="144"/>
    <col min="3082" max="3082" width="5.33203125" style="144" customWidth="1"/>
    <col min="3083" max="3083" width="9.109375" style="144"/>
    <col min="3084" max="3084" width="32.33203125" style="144" customWidth="1"/>
    <col min="3085" max="3085" width="16.6640625" style="144" customWidth="1"/>
    <col min="3086" max="3331" width="9.109375" style="144"/>
    <col min="3332" max="3332" width="3.6640625" style="144" customWidth="1"/>
    <col min="3333" max="3333" width="3.88671875" style="144" customWidth="1"/>
    <col min="3334" max="3334" width="9.109375" style="144"/>
    <col min="3335" max="3335" width="34" style="144" customWidth="1"/>
    <col min="3336" max="3336" width="15" style="144" customWidth="1"/>
    <col min="3337" max="3337" width="9.109375" style="144"/>
    <col min="3338" max="3338" width="5.33203125" style="144" customWidth="1"/>
    <col min="3339" max="3339" width="9.109375" style="144"/>
    <col min="3340" max="3340" width="32.33203125" style="144" customWidth="1"/>
    <col min="3341" max="3341" width="16.6640625" style="144" customWidth="1"/>
    <col min="3342" max="3587" width="9.109375" style="144"/>
    <col min="3588" max="3588" width="3.6640625" style="144" customWidth="1"/>
    <col min="3589" max="3589" width="3.88671875" style="144" customWidth="1"/>
    <col min="3590" max="3590" width="9.109375" style="144"/>
    <col min="3591" max="3591" width="34" style="144" customWidth="1"/>
    <col min="3592" max="3592" width="15" style="144" customWidth="1"/>
    <col min="3593" max="3593" width="9.109375" style="144"/>
    <col min="3594" max="3594" width="5.33203125" style="144" customWidth="1"/>
    <col min="3595" max="3595" width="9.109375" style="144"/>
    <col min="3596" max="3596" width="32.33203125" style="144" customWidth="1"/>
    <col min="3597" max="3597" width="16.6640625" style="144" customWidth="1"/>
    <col min="3598" max="3843" width="9.109375" style="144"/>
    <col min="3844" max="3844" width="3.6640625" style="144" customWidth="1"/>
    <col min="3845" max="3845" width="3.88671875" style="144" customWidth="1"/>
    <col min="3846" max="3846" width="9.109375" style="144"/>
    <col min="3847" max="3847" width="34" style="144" customWidth="1"/>
    <col min="3848" max="3848" width="15" style="144" customWidth="1"/>
    <col min="3849" max="3849" width="9.109375" style="144"/>
    <col min="3850" max="3850" width="5.33203125" style="144" customWidth="1"/>
    <col min="3851" max="3851" width="9.109375" style="144"/>
    <col min="3852" max="3852" width="32.33203125" style="144" customWidth="1"/>
    <col min="3853" max="3853" width="16.6640625" style="144" customWidth="1"/>
    <col min="3854" max="4099" width="9.109375" style="144"/>
    <col min="4100" max="4100" width="3.6640625" style="144" customWidth="1"/>
    <col min="4101" max="4101" width="3.88671875" style="144" customWidth="1"/>
    <col min="4102" max="4102" width="9.109375" style="144"/>
    <col min="4103" max="4103" width="34" style="144" customWidth="1"/>
    <col min="4104" max="4104" width="15" style="144" customWidth="1"/>
    <col min="4105" max="4105" width="9.109375" style="144"/>
    <col min="4106" max="4106" width="5.33203125" style="144" customWidth="1"/>
    <col min="4107" max="4107" width="9.109375" style="144"/>
    <col min="4108" max="4108" width="32.33203125" style="144" customWidth="1"/>
    <col min="4109" max="4109" width="16.6640625" style="144" customWidth="1"/>
    <col min="4110" max="4355" width="9.109375" style="144"/>
    <col min="4356" max="4356" width="3.6640625" style="144" customWidth="1"/>
    <col min="4357" max="4357" width="3.88671875" style="144" customWidth="1"/>
    <col min="4358" max="4358" width="9.109375" style="144"/>
    <col min="4359" max="4359" width="34" style="144" customWidth="1"/>
    <col min="4360" max="4360" width="15" style="144" customWidth="1"/>
    <col min="4361" max="4361" width="9.109375" style="144"/>
    <col min="4362" max="4362" width="5.33203125" style="144" customWidth="1"/>
    <col min="4363" max="4363" width="9.109375" style="144"/>
    <col min="4364" max="4364" width="32.33203125" style="144" customWidth="1"/>
    <col min="4365" max="4365" width="16.6640625" style="144" customWidth="1"/>
    <col min="4366" max="4611" width="9.109375" style="144"/>
    <col min="4612" max="4612" width="3.6640625" style="144" customWidth="1"/>
    <col min="4613" max="4613" width="3.88671875" style="144" customWidth="1"/>
    <col min="4614" max="4614" width="9.109375" style="144"/>
    <col min="4615" max="4615" width="34" style="144" customWidth="1"/>
    <col min="4616" max="4616" width="15" style="144" customWidth="1"/>
    <col min="4617" max="4617" width="9.109375" style="144"/>
    <col min="4618" max="4618" width="5.33203125" style="144" customWidth="1"/>
    <col min="4619" max="4619" width="9.109375" style="144"/>
    <col min="4620" max="4620" width="32.33203125" style="144" customWidth="1"/>
    <col min="4621" max="4621" width="16.6640625" style="144" customWidth="1"/>
    <col min="4622" max="4867" width="9.109375" style="144"/>
    <col min="4868" max="4868" width="3.6640625" style="144" customWidth="1"/>
    <col min="4869" max="4869" width="3.88671875" style="144" customWidth="1"/>
    <col min="4870" max="4870" width="9.109375" style="144"/>
    <col min="4871" max="4871" width="34" style="144" customWidth="1"/>
    <col min="4872" max="4872" width="15" style="144" customWidth="1"/>
    <col min="4873" max="4873" width="9.109375" style="144"/>
    <col min="4874" max="4874" width="5.33203125" style="144" customWidth="1"/>
    <col min="4875" max="4875" width="9.109375" style="144"/>
    <col min="4876" max="4876" width="32.33203125" style="144" customWidth="1"/>
    <col min="4877" max="4877" width="16.6640625" style="144" customWidth="1"/>
    <col min="4878" max="5123" width="9.109375" style="144"/>
    <col min="5124" max="5124" width="3.6640625" style="144" customWidth="1"/>
    <col min="5125" max="5125" width="3.88671875" style="144" customWidth="1"/>
    <col min="5126" max="5126" width="9.109375" style="144"/>
    <col min="5127" max="5127" width="34" style="144" customWidth="1"/>
    <col min="5128" max="5128" width="15" style="144" customWidth="1"/>
    <col min="5129" max="5129" width="9.109375" style="144"/>
    <col min="5130" max="5130" width="5.33203125" style="144" customWidth="1"/>
    <col min="5131" max="5131" width="9.109375" style="144"/>
    <col min="5132" max="5132" width="32.33203125" style="144" customWidth="1"/>
    <col min="5133" max="5133" width="16.6640625" style="144" customWidth="1"/>
    <col min="5134" max="5379" width="9.109375" style="144"/>
    <col min="5380" max="5380" width="3.6640625" style="144" customWidth="1"/>
    <col min="5381" max="5381" width="3.88671875" style="144" customWidth="1"/>
    <col min="5382" max="5382" width="9.109375" style="144"/>
    <col min="5383" max="5383" width="34" style="144" customWidth="1"/>
    <col min="5384" max="5384" width="15" style="144" customWidth="1"/>
    <col min="5385" max="5385" width="9.109375" style="144"/>
    <col min="5386" max="5386" width="5.33203125" style="144" customWidth="1"/>
    <col min="5387" max="5387" width="9.109375" style="144"/>
    <col min="5388" max="5388" width="32.33203125" style="144" customWidth="1"/>
    <col min="5389" max="5389" width="16.6640625" style="144" customWidth="1"/>
    <col min="5390" max="5635" width="9.109375" style="144"/>
    <col min="5636" max="5636" width="3.6640625" style="144" customWidth="1"/>
    <col min="5637" max="5637" width="3.88671875" style="144" customWidth="1"/>
    <col min="5638" max="5638" width="9.109375" style="144"/>
    <col min="5639" max="5639" width="34" style="144" customWidth="1"/>
    <col min="5640" max="5640" width="15" style="144" customWidth="1"/>
    <col min="5641" max="5641" width="9.109375" style="144"/>
    <col min="5642" max="5642" width="5.33203125" style="144" customWidth="1"/>
    <col min="5643" max="5643" width="9.109375" style="144"/>
    <col min="5644" max="5644" width="32.33203125" style="144" customWidth="1"/>
    <col min="5645" max="5645" width="16.6640625" style="144" customWidth="1"/>
    <col min="5646" max="5891" width="9.109375" style="144"/>
    <col min="5892" max="5892" width="3.6640625" style="144" customWidth="1"/>
    <col min="5893" max="5893" width="3.88671875" style="144" customWidth="1"/>
    <col min="5894" max="5894" width="9.109375" style="144"/>
    <col min="5895" max="5895" width="34" style="144" customWidth="1"/>
    <col min="5896" max="5896" width="15" style="144" customWidth="1"/>
    <col min="5897" max="5897" width="9.109375" style="144"/>
    <col min="5898" max="5898" width="5.33203125" style="144" customWidth="1"/>
    <col min="5899" max="5899" width="9.109375" style="144"/>
    <col min="5900" max="5900" width="32.33203125" style="144" customWidth="1"/>
    <col min="5901" max="5901" width="16.6640625" style="144" customWidth="1"/>
    <col min="5902" max="6147" width="9.109375" style="144"/>
    <col min="6148" max="6148" width="3.6640625" style="144" customWidth="1"/>
    <col min="6149" max="6149" width="3.88671875" style="144" customWidth="1"/>
    <col min="6150" max="6150" width="9.109375" style="144"/>
    <col min="6151" max="6151" width="34" style="144" customWidth="1"/>
    <col min="6152" max="6152" width="15" style="144" customWidth="1"/>
    <col min="6153" max="6153" width="9.109375" style="144"/>
    <col min="6154" max="6154" width="5.33203125" style="144" customWidth="1"/>
    <col min="6155" max="6155" width="9.109375" style="144"/>
    <col min="6156" max="6156" width="32.33203125" style="144" customWidth="1"/>
    <col min="6157" max="6157" width="16.6640625" style="144" customWidth="1"/>
    <col min="6158" max="6403" width="9.109375" style="144"/>
    <col min="6404" max="6404" width="3.6640625" style="144" customWidth="1"/>
    <col min="6405" max="6405" width="3.88671875" style="144" customWidth="1"/>
    <col min="6406" max="6406" width="9.109375" style="144"/>
    <col min="6407" max="6407" width="34" style="144" customWidth="1"/>
    <col min="6408" max="6408" width="15" style="144" customWidth="1"/>
    <col min="6409" max="6409" width="9.109375" style="144"/>
    <col min="6410" max="6410" width="5.33203125" style="144" customWidth="1"/>
    <col min="6411" max="6411" width="9.109375" style="144"/>
    <col min="6412" max="6412" width="32.33203125" style="144" customWidth="1"/>
    <col min="6413" max="6413" width="16.6640625" style="144" customWidth="1"/>
    <col min="6414" max="6659" width="9.109375" style="144"/>
    <col min="6660" max="6660" width="3.6640625" style="144" customWidth="1"/>
    <col min="6661" max="6661" width="3.88671875" style="144" customWidth="1"/>
    <col min="6662" max="6662" width="9.109375" style="144"/>
    <col min="6663" max="6663" width="34" style="144" customWidth="1"/>
    <col min="6664" max="6664" width="15" style="144" customWidth="1"/>
    <col min="6665" max="6665" width="9.109375" style="144"/>
    <col min="6666" max="6666" width="5.33203125" style="144" customWidth="1"/>
    <col min="6667" max="6667" width="9.109375" style="144"/>
    <col min="6668" max="6668" width="32.33203125" style="144" customWidth="1"/>
    <col min="6669" max="6669" width="16.6640625" style="144" customWidth="1"/>
    <col min="6670" max="6915" width="9.109375" style="144"/>
    <col min="6916" max="6916" width="3.6640625" style="144" customWidth="1"/>
    <col min="6917" max="6917" width="3.88671875" style="144" customWidth="1"/>
    <col min="6918" max="6918" width="9.109375" style="144"/>
    <col min="6919" max="6919" width="34" style="144" customWidth="1"/>
    <col min="6920" max="6920" width="15" style="144" customWidth="1"/>
    <col min="6921" max="6921" width="9.109375" style="144"/>
    <col min="6922" max="6922" width="5.33203125" style="144" customWidth="1"/>
    <col min="6923" max="6923" width="9.109375" style="144"/>
    <col min="6924" max="6924" width="32.33203125" style="144" customWidth="1"/>
    <col min="6925" max="6925" width="16.6640625" style="144" customWidth="1"/>
    <col min="6926" max="7171" width="9.109375" style="144"/>
    <col min="7172" max="7172" width="3.6640625" style="144" customWidth="1"/>
    <col min="7173" max="7173" width="3.88671875" style="144" customWidth="1"/>
    <col min="7174" max="7174" width="9.109375" style="144"/>
    <col min="7175" max="7175" width="34" style="144" customWidth="1"/>
    <col min="7176" max="7176" width="15" style="144" customWidth="1"/>
    <col min="7177" max="7177" width="9.109375" style="144"/>
    <col min="7178" max="7178" width="5.33203125" style="144" customWidth="1"/>
    <col min="7179" max="7179" width="9.109375" style="144"/>
    <col min="7180" max="7180" width="32.33203125" style="144" customWidth="1"/>
    <col min="7181" max="7181" width="16.6640625" style="144" customWidth="1"/>
    <col min="7182" max="7427" width="9.109375" style="144"/>
    <col min="7428" max="7428" width="3.6640625" style="144" customWidth="1"/>
    <col min="7429" max="7429" width="3.88671875" style="144" customWidth="1"/>
    <col min="7430" max="7430" width="9.109375" style="144"/>
    <col min="7431" max="7431" width="34" style="144" customWidth="1"/>
    <col min="7432" max="7432" width="15" style="144" customWidth="1"/>
    <col min="7433" max="7433" width="9.109375" style="144"/>
    <col min="7434" max="7434" width="5.33203125" style="144" customWidth="1"/>
    <col min="7435" max="7435" width="9.109375" style="144"/>
    <col min="7436" max="7436" width="32.33203125" style="144" customWidth="1"/>
    <col min="7437" max="7437" width="16.6640625" style="144" customWidth="1"/>
    <col min="7438" max="7683" width="9.109375" style="144"/>
    <col min="7684" max="7684" width="3.6640625" style="144" customWidth="1"/>
    <col min="7685" max="7685" width="3.88671875" style="144" customWidth="1"/>
    <col min="7686" max="7686" width="9.109375" style="144"/>
    <col min="7687" max="7687" width="34" style="144" customWidth="1"/>
    <col min="7688" max="7688" width="15" style="144" customWidth="1"/>
    <col min="7689" max="7689" width="9.109375" style="144"/>
    <col min="7690" max="7690" width="5.33203125" style="144" customWidth="1"/>
    <col min="7691" max="7691" width="9.109375" style="144"/>
    <col min="7692" max="7692" width="32.33203125" style="144" customWidth="1"/>
    <col min="7693" max="7693" width="16.6640625" style="144" customWidth="1"/>
    <col min="7694" max="7939" width="9.109375" style="144"/>
    <col min="7940" max="7940" width="3.6640625" style="144" customWidth="1"/>
    <col min="7941" max="7941" width="3.88671875" style="144" customWidth="1"/>
    <col min="7942" max="7942" width="9.109375" style="144"/>
    <col min="7943" max="7943" width="34" style="144" customWidth="1"/>
    <col min="7944" max="7944" width="15" style="144" customWidth="1"/>
    <col min="7945" max="7945" width="9.109375" style="144"/>
    <col min="7946" max="7946" width="5.33203125" style="144" customWidth="1"/>
    <col min="7947" max="7947" width="9.109375" style="144"/>
    <col min="7948" max="7948" width="32.33203125" style="144" customWidth="1"/>
    <col min="7949" max="7949" width="16.6640625" style="144" customWidth="1"/>
    <col min="7950" max="8195" width="9.109375" style="144"/>
    <col min="8196" max="8196" width="3.6640625" style="144" customWidth="1"/>
    <col min="8197" max="8197" width="3.88671875" style="144" customWidth="1"/>
    <col min="8198" max="8198" width="9.109375" style="144"/>
    <col min="8199" max="8199" width="34" style="144" customWidth="1"/>
    <col min="8200" max="8200" width="15" style="144" customWidth="1"/>
    <col min="8201" max="8201" width="9.109375" style="144"/>
    <col min="8202" max="8202" width="5.33203125" style="144" customWidth="1"/>
    <col min="8203" max="8203" width="9.109375" style="144"/>
    <col min="8204" max="8204" width="32.33203125" style="144" customWidth="1"/>
    <col min="8205" max="8205" width="16.6640625" style="144" customWidth="1"/>
    <col min="8206" max="8451" width="9.109375" style="144"/>
    <col min="8452" max="8452" width="3.6640625" style="144" customWidth="1"/>
    <col min="8453" max="8453" width="3.88671875" style="144" customWidth="1"/>
    <col min="8454" max="8454" width="9.109375" style="144"/>
    <col min="8455" max="8455" width="34" style="144" customWidth="1"/>
    <col min="8456" max="8456" width="15" style="144" customWidth="1"/>
    <col min="8457" max="8457" width="9.109375" style="144"/>
    <col min="8458" max="8458" width="5.33203125" style="144" customWidth="1"/>
    <col min="8459" max="8459" width="9.109375" style="144"/>
    <col min="8460" max="8460" width="32.33203125" style="144" customWidth="1"/>
    <col min="8461" max="8461" width="16.6640625" style="144" customWidth="1"/>
    <col min="8462" max="8707" width="9.109375" style="144"/>
    <col min="8708" max="8708" width="3.6640625" style="144" customWidth="1"/>
    <col min="8709" max="8709" width="3.88671875" style="144" customWidth="1"/>
    <col min="8710" max="8710" width="9.109375" style="144"/>
    <col min="8711" max="8711" width="34" style="144" customWidth="1"/>
    <col min="8712" max="8712" width="15" style="144" customWidth="1"/>
    <col min="8713" max="8713" width="9.109375" style="144"/>
    <col min="8714" max="8714" width="5.33203125" style="144" customWidth="1"/>
    <col min="8715" max="8715" width="9.109375" style="144"/>
    <col min="8716" max="8716" width="32.33203125" style="144" customWidth="1"/>
    <col min="8717" max="8717" width="16.6640625" style="144" customWidth="1"/>
    <col min="8718" max="8963" width="9.109375" style="144"/>
    <col min="8964" max="8964" width="3.6640625" style="144" customWidth="1"/>
    <col min="8965" max="8965" width="3.88671875" style="144" customWidth="1"/>
    <col min="8966" max="8966" width="9.109375" style="144"/>
    <col min="8967" max="8967" width="34" style="144" customWidth="1"/>
    <col min="8968" max="8968" width="15" style="144" customWidth="1"/>
    <col min="8969" max="8969" width="9.109375" style="144"/>
    <col min="8970" max="8970" width="5.33203125" style="144" customWidth="1"/>
    <col min="8971" max="8971" width="9.109375" style="144"/>
    <col min="8972" max="8972" width="32.33203125" style="144" customWidth="1"/>
    <col min="8973" max="8973" width="16.6640625" style="144" customWidth="1"/>
    <col min="8974" max="9219" width="9.109375" style="144"/>
    <col min="9220" max="9220" width="3.6640625" style="144" customWidth="1"/>
    <col min="9221" max="9221" width="3.88671875" style="144" customWidth="1"/>
    <col min="9222" max="9222" width="9.109375" style="144"/>
    <col min="9223" max="9223" width="34" style="144" customWidth="1"/>
    <col min="9224" max="9224" width="15" style="144" customWidth="1"/>
    <col min="9225" max="9225" width="9.109375" style="144"/>
    <col min="9226" max="9226" width="5.33203125" style="144" customWidth="1"/>
    <col min="9227" max="9227" width="9.109375" style="144"/>
    <col min="9228" max="9228" width="32.33203125" style="144" customWidth="1"/>
    <col min="9229" max="9229" width="16.6640625" style="144" customWidth="1"/>
    <col min="9230" max="9475" width="9.109375" style="144"/>
    <col min="9476" max="9476" width="3.6640625" style="144" customWidth="1"/>
    <col min="9477" max="9477" width="3.88671875" style="144" customWidth="1"/>
    <col min="9478" max="9478" width="9.109375" style="144"/>
    <col min="9479" max="9479" width="34" style="144" customWidth="1"/>
    <col min="9480" max="9480" width="15" style="144" customWidth="1"/>
    <col min="9481" max="9481" width="9.109375" style="144"/>
    <col min="9482" max="9482" width="5.33203125" style="144" customWidth="1"/>
    <col min="9483" max="9483" width="9.109375" style="144"/>
    <col min="9484" max="9484" width="32.33203125" style="144" customWidth="1"/>
    <col min="9485" max="9485" width="16.6640625" style="144" customWidth="1"/>
    <col min="9486" max="9731" width="9.109375" style="144"/>
    <col min="9732" max="9732" width="3.6640625" style="144" customWidth="1"/>
    <col min="9733" max="9733" width="3.88671875" style="144" customWidth="1"/>
    <col min="9734" max="9734" width="9.109375" style="144"/>
    <col min="9735" max="9735" width="34" style="144" customWidth="1"/>
    <col min="9736" max="9736" width="15" style="144" customWidth="1"/>
    <col min="9737" max="9737" width="9.109375" style="144"/>
    <col min="9738" max="9738" width="5.33203125" style="144" customWidth="1"/>
    <col min="9739" max="9739" width="9.109375" style="144"/>
    <col min="9740" max="9740" width="32.33203125" style="144" customWidth="1"/>
    <col min="9741" max="9741" width="16.6640625" style="144" customWidth="1"/>
    <col min="9742" max="9987" width="9.109375" style="144"/>
    <col min="9988" max="9988" width="3.6640625" style="144" customWidth="1"/>
    <col min="9989" max="9989" width="3.88671875" style="144" customWidth="1"/>
    <col min="9990" max="9990" width="9.109375" style="144"/>
    <col min="9991" max="9991" width="34" style="144" customWidth="1"/>
    <col min="9992" max="9992" width="15" style="144" customWidth="1"/>
    <col min="9993" max="9993" width="9.109375" style="144"/>
    <col min="9994" max="9994" width="5.33203125" style="144" customWidth="1"/>
    <col min="9995" max="9995" width="9.109375" style="144"/>
    <col min="9996" max="9996" width="32.33203125" style="144" customWidth="1"/>
    <col min="9997" max="9997" width="16.6640625" style="144" customWidth="1"/>
    <col min="9998" max="10243" width="9.109375" style="144"/>
    <col min="10244" max="10244" width="3.6640625" style="144" customWidth="1"/>
    <col min="10245" max="10245" width="3.88671875" style="144" customWidth="1"/>
    <col min="10246" max="10246" width="9.109375" style="144"/>
    <col min="10247" max="10247" width="34" style="144" customWidth="1"/>
    <col min="10248" max="10248" width="15" style="144" customWidth="1"/>
    <col min="10249" max="10249" width="9.109375" style="144"/>
    <col min="10250" max="10250" width="5.33203125" style="144" customWidth="1"/>
    <col min="10251" max="10251" width="9.109375" style="144"/>
    <col min="10252" max="10252" width="32.33203125" style="144" customWidth="1"/>
    <col min="10253" max="10253" width="16.6640625" style="144" customWidth="1"/>
    <col min="10254" max="10499" width="9.109375" style="144"/>
    <col min="10500" max="10500" width="3.6640625" style="144" customWidth="1"/>
    <col min="10501" max="10501" width="3.88671875" style="144" customWidth="1"/>
    <col min="10502" max="10502" width="9.109375" style="144"/>
    <col min="10503" max="10503" width="34" style="144" customWidth="1"/>
    <col min="10504" max="10504" width="15" style="144" customWidth="1"/>
    <col min="10505" max="10505" width="9.109375" style="144"/>
    <col min="10506" max="10506" width="5.33203125" style="144" customWidth="1"/>
    <col min="10507" max="10507" width="9.109375" style="144"/>
    <col min="10508" max="10508" width="32.33203125" style="144" customWidth="1"/>
    <col min="10509" max="10509" width="16.6640625" style="144" customWidth="1"/>
    <col min="10510" max="10755" width="9.109375" style="144"/>
    <col min="10756" max="10756" width="3.6640625" style="144" customWidth="1"/>
    <col min="10757" max="10757" width="3.88671875" style="144" customWidth="1"/>
    <col min="10758" max="10758" width="9.109375" style="144"/>
    <col min="10759" max="10759" width="34" style="144" customWidth="1"/>
    <col min="10760" max="10760" width="15" style="144" customWidth="1"/>
    <col min="10761" max="10761" width="9.109375" style="144"/>
    <col min="10762" max="10762" width="5.33203125" style="144" customWidth="1"/>
    <col min="10763" max="10763" width="9.109375" style="144"/>
    <col min="10764" max="10764" width="32.33203125" style="144" customWidth="1"/>
    <col min="10765" max="10765" width="16.6640625" style="144" customWidth="1"/>
    <col min="10766" max="11011" width="9.109375" style="144"/>
    <col min="11012" max="11012" width="3.6640625" style="144" customWidth="1"/>
    <col min="11013" max="11013" width="3.88671875" style="144" customWidth="1"/>
    <col min="11014" max="11014" width="9.109375" style="144"/>
    <col min="11015" max="11015" width="34" style="144" customWidth="1"/>
    <col min="11016" max="11016" width="15" style="144" customWidth="1"/>
    <col min="11017" max="11017" width="9.109375" style="144"/>
    <col min="11018" max="11018" width="5.33203125" style="144" customWidth="1"/>
    <col min="11019" max="11019" width="9.109375" style="144"/>
    <col min="11020" max="11020" width="32.33203125" style="144" customWidth="1"/>
    <col min="11021" max="11021" width="16.6640625" style="144" customWidth="1"/>
    <col min="11022" max="11267" width="9.109375" style="144"/>
    <col min="11268" max="11268" width="3.6640625" style="144" customWidth="1"/>
    <col min="11269" max="11269" width="3.88671875" style="144" customWidth="1"/>
    <col min="11270" max="11270" width="9.109375" style="144"/>
    <col min="11271" max="11271" width="34" style="144" customWidth="1"/>
    <col min="11272" max="11272" width="15" style="144" customWidth="1"/>
    <col min="11273" max="11273" width="9.109375" style="144"/>
    <col min="11274" max="11274" width="5.33203125" style="144" customWidth="1"/>
    <col min="11275" max="11275" width="9.109375" style="144"/>
    <col min="11276" max="11276" width="32.33203125" style="144" customWidth="1"/>
    <col min="11277" max="11277" width="16.6640625" style="144" customWidth="1"/>
    <col min="11278" max="11523" width="9.109375" style="144"/>
    <col min="11524" max="11524" width="3.6640625" style="144" customWidth="1"/>
    <col min="11525" max="11525" width="3.88671875" style="144" customWidth="1"/>
    <col min="11526" max="11526" width="9.109375" style="144"/>
    <col min="11527" max="11527" width="34" style="144" customWidth="1"/>
    <col min="11528" max="11528" width="15" style="144" customWidth="1"/>
    <col min="11529" max="11529" width="9.109375" style="144"/>
    <col min="11530" max="11530" width="5.33203125" style="144" customWidth="1"/>
    <col min="11531" max="11531" width="9.109375" style="144"/>
    <col min="11532" max="11532" width="32.33203125" style="144" customWidth="1"/>
    <col min="11533" max="11533" width="16.6640625" style="144" customWidth="1"/>
    <col min="11534" max="11779" width="9.109375" style="144"/>
    <col min="11780" max="11780" width="3.6640625" style="144" customWidth="1"/>
    <col min="11781" max="11781" width="3.88671875" style="144" customWidth="1"/>
    <col min="11782" max="11782" width="9.109375" style="144"/>
    <col min="11783" max="11783" width="34" style="144" customWidth="1"/>
    <col min="11784" max="11784" width="15" style="144" customWidth="1"/>
    <col min="11785" max="11785" width="9.109375" style="144"/>
    <col min="11786" max="11786" width="5.33203125" style="144" customWidth="1"/>
    <col min="11787" max="11787" width="9.109375" style="144"/>
    <col min="11788" max="11788" width="32.33203125" style="144" customWidth="1"/>
    <col min="11789" max="11789" width="16.6640625" style="144" customWidth="1"/>
    <col min="11790" max="12035" width="9.109375" style="144"/>
    <col min="12036" max="12036" width="3.6640625" style="144" customWidth="1"/>
    <col min="12037" max="12037" width="3.88671875" style="144" customWidth="1"/>
    <col min="12038" max="12038" width="9.109375" style="144"/>
    <col min="12039" max="12039" width="34" style="144" customWidth="1"/>
    <col min="12040" max="12040" width="15" style="144" customWidth="1"/>
    <col min="12041" max="12041" width="9.109375" style="144"/>
    <col min="12042" max="12042" width="5.33203125" style="144" customWidth="1"/>
    <col min="12043" max="12043" width="9.109375" style="144"/>
    <col min="12044" max="12044" width="32.33203125" style="144" customWidth="1"/>
    <col min="12045" max="12045" width="16.6640625" style="144" customWidth="1"/>
    <col min="12046" max="12291" width="9.109375" style="144"/>
    <col min="12292" max="12292" width="3.6640625" style="144" customWidth="1"/>
    <col min="12293" max="12293" width="3.88671875" style="144" customWidth="1"/>
    <col min="12294" max="12294" width="9.109375" style="144"/>
    <col min="12295" max="12295" width="34" style="144" customWidth="1"/>
    <col min="12296" max="12296" width="15" style="144" customWidth="1"/>
    <col min="12297" max="12297" width="9.109375" style="144"/>
    <col min="12298" max="12298" width="5.33203125" style="144" customWidth="1"/>
    <col min="12299" max="12299" width="9.109375" style="144"/>
    <col min="12300" max="12300" width="32.33203125" style="144" customWidth="1"/>
    <col min="12301" max="12301" width="16.6640625" style="144" customWidth="1"/>
    <col min="12302" max="12547" width="9.109375" style="144"/>
    <col min="12548" max="12548" width="3.6640625" style="144" customWidth="1"/>
    <col min="12549" max="12549" width="3.88671875" style="144" customWidth="1"/>
    <col min="12550" max="12550" width="9.109375" style="144"/>
    <col min="12551" max="12551" width="34" style="144" customWidth="1"/>
    <col min="12552" max="12552" width="15" style="144" customWidth="1"/>
    <col min="12553" max="12553" width="9.109375" style="144"/>
    <col min="12554" max="12554" width="5.33203125" style="144" customWidth="1"/>
    <col min="12555" max="12555" width="9.109375" style="144"/>
    <col min="12556" max="12556" width="32.33203125" style="144" customWidth="1"/>
    <col min="12557" max="12557" width="16.6640625" style="144" customWidth="1"/>
    <col min="12558" max="12803" width="9.109375" style="144"/>
    <col min="12804" max="12804" width="3.6640625" style="144" customWidth="1"/>
    <col min="12805" max="12805" width="3.88671875" style="144" customWidth="1"/>
    <col min="12806" max="12806" width="9.109375" style="144"/>
    <col min="12807" max="12807" width="34" style="144" customWidth="1"/>
    <col min="12808" max="12808" width="15" style="144" customWidth="1"/>
    <col min="12809" max="12809" width="9.109375" style="144"/>
    <col min="12810" max="12810" width="5.33203125" style="144" customWidth="1"/>
    <col min="12811" max="12811" width="9.109375" style="144"/>
    <col min="12812" max="12812" width="32.33203125" style="144" customWidth="1"/>
    <col min="12813" max="12813" width="16.6640625" style="144" customWidth="1"/>
    <col min="12814" max="13059" width="9.109375" style="144"/>
    <col min="13060" max="13060" width="3.6640625" style="144" customWidth="1"/>
    <col min="13061" max="13061" width="3.88671875" style="144" customWidth="1"/>
    <col min="13062" max="13062" width="9.109375" style="144"/>
    <col min="13063" max="13063" width="34" style="144" customWidth="1"/>
    <col min="13064" max="13064" width="15" style="144" customWidth="1"/>
    <col min="13065" max="13065" width="9.109375" style="144"/>
    <col min="13066" max="13066" width="5.33203125" style="144" customWidth="1"/>
    <col min="13067" max="13067" width="9.109375" style="144"/>
    <col min="13068" max="13068" width="32.33203125" style="144" customWidth="1"/>
    <col min="13069" max="13069" width="16.6640625" style="144" customWidth="1"/>
    <col min="13070" max="13315" width="9.109375" style="144"/>
    <col min="13316" max="13316" width="3.6640625" style="144" customWidth="1"/>
    <col min="13317" max="13317" width="3.88671875" style="144" customWidth="1"/>
    <col min="13318" max="13318" width="9.109375" style="144"/>
    <col min="13319" max="13319" width="34" style="144" customWidth="1"/>
    <col min="13320" max="13320" width="15" style="144" customWidth="1"/>
    <col min="13321" max="13321" width="9.109375" style="144"/>
    <col min="13322" max="13322" width="5.33203125" style="144" customWidth="1"/>
    <col min="13323" max="13323" width="9.109375" style="144"/>
    <col min="13324" max="13324" width="32.33203125" style="144" customWidth="1"/>
    <col min="13325" max="13325" width="16.6640625" style="144" customWidth="1"/>
    <col min="13326" max="13571" width="9.109375" style="144"/>
    <col min="13572" max="13572" width="3.6640625" style="144" customWidth="1"/>
    <col min="13573" max="13573" width="3.88671875" style="144" customWidth="1"/>
    <col min="13574" max="13574" width="9.109375" style="144"/>
    <col min="13575" max="13575" width="34" style="144" customWidth="1"/>
    <col min="13576" max="13576" width="15" style="144" customWidth="1"/>
    <col min="13577" max="13577" width="9.109375" style="144"/>
    <col min="13578" max="13578" width="5.33203125" style="144" customWidth="1"/>
    <col min="13579" max="13579" width="9.109375" style="144"/>
    <col min="13580" max="13580" width="32.33203125" style="144" customWidth="1"/>
    <col min="13581" max="13581" width="16.6640625" style="144" customWidth="1"/>
    <col min="13582" max="13827" width="9.109375" style="144"/>
    <col min="13828" max="13828" width="3.6640625" style="144" customWidth="1"/>
    <col min="13829" max="13829" width="3.88671875" style="144" customWidth="1"/>
    <col min="13830" max="13830" width="9.109375" style="144"/>
    <col min="13831" max="13831" width="34" style="144" customWidth="1"/>
    <col min="13832" max="13832" width="15" style="144" customWidth="1"/>
    <col min="13833" max="13833" width="9.109375" style="144"/>
    <col min="13834" max="13834" width="5.33203125" style="144" customWidth="1"/>
    <col min="13835" max="13835" width="9.109375" style="144"/>
    <col min="13836" max="13836" width="32.33203125" style="144" customWidth="1"/>
    <col min="13837" max="13837" width="16.6640625" style="144" customWidth="1"/>
    <col min="13838" max="14083" width="9.109375" style="144"/>
    <col min="14084" max="14084" width="3.6640625" style="144" customWidth="1"/>
    <col min="14085" max="14085" width="3.88671875" style="144" customWidth="1"/>
    <col min="14086" max="14086" width="9.109375" style="144"/>
    <col min="14087" max="14087" width="34" style="144" customWidth="1"/>
    <col min="14088" max="14088" width="15" style="144" customWidth="1"/>
    <col min="14089" max="14089" width="9.109375" style="144"/>
    <col min="14090" max="14090" width="5.33203125" style="144" customWidth="1"/>
    <col min="14091" max="14091" width="9.109375" style="144"/>
    <col min="14092" max="14092" width="32.33203125" style="144" customWidth="1"/>
    <col min="14093" max="14093" width="16.6640625" style="144" customWidth="1"/>
    <col min="14094" max="14339" width="9.109375" style="144"/>
    <col min="14340" max="14340" width="3.6640625" style="144" customWidth="1"/>
    <col min="14341" max="14341" width="3.88671875" style="144" customWidth="1"/>
    <col min="14342" max="14342" width="9.109375" style="144"/>
    <col min="14343" max="14343" width="34" style="144" customWidth="1"/>
    <col min="14344" max="14344" width="15" style="144" customWidth="1"/>
    <col min="14345" max="14345" width="9.109375" style="144"/>
    <col min="14346" max="14346" width="5.33203125" style="144" customWidth="1"/>
    <col min="14347" max="14347" width="9.109375" style="144"/>
    <col min="14348" max="14348" width="32.33203125" style="144" customWidth="1"/>
    <col min="14349" max="14349" width="16.6640625" style="144" customWidth="1"/>
    <col min="14350" max="14595" width="9.109375" style="144"/>
    <col min="14596" max="14596" width="3.6640625" style="144" customWidth="1"/>
    <col min="14597" max="14597" width="3.88671875" style="144" customWidth="1"/>
    <col min="14598" max="14598" width="9.109375" style="144"/>
    <col min="14599" max="14599" width="34" style="144" customWidth="1"/>
    <col min="14600" max="14600" width="15" style="144" customWidth="1"/>
    <col min="14601" max="14601" width="9.109375" style="144"/>
    <col min="14602" max="14602" width="5.33203125" style="144" customWidth="1"/>
    <col min="14603" max="14603" width="9.109375" style="144"/>
    <col min="14604" max="14604" width="32.33203125" style="144" customWidth="1"/>
    <col min="14605" max="14605" width="16.6640625" style="144" customWidth="1"/>
    <col min="14606" max="14851" width="9.109375" style="144"/>
    <col min="14852" max="14852" width="3.6640625" style="144" customWidth="1"/>
    <col min="14853" max="14853" width="3.88671875" style="144" customWidth="1"/>
    <col min="14854" max="14854" width="9.109375" style="144"/>
    <col min="14855" max="14855" width="34" style="144" customWidth="1"/>
    <col min="14856" max="14856" width="15" style="144" customWidth="1"/>
    <col min="14857" max="14857" width="9.109375" style="144"/>
    <col min="14858" max="14858" width="5.33203125" style="144" customWidth="1"/>
    <col min="14859" max="14859" width="9.109375" style="144"/>
    <col min="14860" max="14860" width="32.33203125" style="144" customWidth="1"/>
    <col min="14861" max="14861" width="16.6640625" style="144" customWidth="1"/>
    <col min="14862" max="15107" width="9.109375" style="144"/>
    <col min="15108" max="15108" width="3.6640625" style="144" customWidth="1"/>
    <col min="15109" max="15109" width="3.88671875" style="144" customWidth="1"/>
    <col min="15110" max="15110" width="9.109375" style="144"/>
    <col min="15111" max="15111" width="34" style="144" customWidth="1"/>
    <col min="15112" max="15112" width="15" style="144" customWidth="1"/>
    <col min="15113" max="15113" width="9.109375" style="144"/>
    <col min="15114" max="15114" width="5.33203125" style="144" customWidth="1"/>
    <col min="15115" max="15115" width="9.109375" style="144"/>
    <col min="15116" max="15116" width="32.33203125" style="144" customWidth="1"/>
    <col min="15117" max="15117" width="16.6640625" style="144" customWidth="1"/>
    <col min="15118" max="15363" width="9.109375" style="144"/>
    <col min="15364" max="15364" width="3.6640625" style="144" customWidth="1"/>
    <col min="15365" max="15365" width="3.88671875" style="144" customWidth="1"/>
    <col min="15366" max="15366" width="9.109375" style="144"/>
    <col min="15367" max="15367" width="34" style="144" customWidth="1"/>
    <col min="15368" max="15368" width="15" style="144" customWidth="1"/>
    <col min="15369" max="15369" width="9.109375" style="144"/>
    <col min="15370" max="15370" width="5.33203125" style="144" customWidth="1"/>
    <col min="15371" max="15371" width="9.109375" style="144"/>
    <col min="15372" max="15372" width="32.33203125" style="144" customWidth="1"/>
    <col min="15373" max="15373" width="16.6640625" style="144" customWidth="1"/>
    <col min="15374" max="15619" width="9.109375" style="144"/>
    <col min="15620" max="15620" width="3.6640625" style="144" customWidth="1"/>
    <col min="15621" max="15621" width="3.88671875" style="144" customWidth="1"/>
    <col min="15622" max="15622" width="9.109375" style="144"/>
    <col min="15623" max="15623" width="34" style="144" customWidth="1"/>
    <col min="15624" max="15624" width="15" style="144" customWidth="1"/>
    <col min="15625" max="15625" width="9.109375" style="144"/>
    <col min="15626" max="15626" width="5.33203125" style="144" customWidth="1"/>
    <col min="15627" max="15627" width="9.109375" style="144"/>
    <col min="15628" max="15628" width="32.33203125" style="144" customWidth="1"/>
    <col min="15629" max="15629" width="16.6640625" style="144" customWidth="1"/>
    <col min="15630" max="15875" width="9.109375" style="144"/>
    <col min="15876" max="15876" width="3.6640625" style="144" customWidth="1"/>
    <col min="15877" max="15877" width="3.88671875" style="144" customWidth="1"/>
    <col min="15878" max="15878" width="9.109375" style="144"/>
    <col min="15879" max="15879" width="34" style="144" customWidth="1"/>
    <col min="15880" max="15880" width="15" style="144" customWidth="1"/>
    <col min="15881" max="15881" width="9.109375" style="144"/>
    <col min="15882" max="15882" width="5.33203125" style="144" customWidth="1"/>
    <col min="15883" max="15883" width="9.109375" style="144"/>
    <col min="15884" max="15884" width="32.33203125" style="144" customWidth="1"/>
    <col min="15885" max="15885" width="16.6640625" style="144" customWidth="1"/>
    <col min="15886" max="16131" width="9.109375" style="144"/>
    <col min="16132" max="16132" width="3.6640625" style="144" customWidth="1"/>
    <col min="16133" max="16133" width="3.88671875" style="144" customWidth="1"/>
    <col min="16134" max="16134" width="9.109375" style="144"/>
    <col min="16135" max="16135" width="34" style="144" customWidth="1"/>
    <col min="16136" max="16136" width="15" style="144" customWidth="1"/>
    <col min="16137" max="16137" width="9.109375" style="144"/>
    <col min="16138" max="16138" width="5.33203125" style="144" customWidth="1"/>
    <col min="16139" max="16139" width="9.109375" style="144"/>
    <col min="16140" max="16140" width="32.33203125" style="144" customWidth="1"/>
    <col min="16141" max="16141" width="16.6640625" style="144" customWidth="1"/>
    <col min="16142" max="16384" width="9.109375" style="144"/>
  </cols>
  <sheetData>
    <row r="1" spans="2:14" ht="15" thickBot="1"/>
    <row r="2" spans="2:14">
      <c r="B2" s="145"/>
      <c r="D2" s="146"/>
      <c r="E2" s="147"/>
      <c r="F2" s="147"/>
      <c r="G2" s="147"/>
      <c r="H2" s="147"/>
      <c r="I2" s="148"/>
    </row>
    <row r="3" spans="2:14">
      <c r="B3" s="149" t="s">
        <v>48</v>
      </c>
      <c r="D3" s="150"/>
      <c r="E3" s="216" t="s">
        <v>188</v>
      </c>
      <c r="I3" s="152"/>
    </row>
    <row r="4" spans="2:14">
      <c r="B4" s="149"/>
      <c r="D4" s="150"/>
      <c r="E4" s="88" t="s">
        <v>189</v>
      </c>
      <c r="F4" s="88" t="s">
        <v>190</v>
      </c>
      <c r="G4" s="88" t="s">
        <v>191</v>
      </c>
      <c r="I4" s="152"/>
      <c r="L4" s="87"/>
    </row>
    <row r="5" spans="2:14">
      <c r="B5" s="149"/>
      <c r="D5" s="150"/>
      <c r="E5" s="89" t="s">
        <v>192</v>
      </c>
      <c r="F5" s="89" t="s">
        <v>150</v>
      </c>
      <c r="G5" s="89" t="s">
        <v>24</v>
      </c>
      <c r="I5" s="152"/>
    </row>
    <row r="6" spans="2:14">
      <c r="B6" s="149"/>
      <c r="D6" s="150"/>
      <c r="E6" s="89" t="s">
        <v>193</v>
      </c>
      <c r="F6" s="89" t="s">
        <v>151</v>
      </c>
      <c r="G6" s="89" t="s">
        <v>194</v>
      </c>
      <c r="I6" s="152"/>
    </row>
    <row r="7" spans="2:14">
      <c r="B7" s="149"/>
      <c r="D7" s="150"/>
      <c r="E7" s="89" t="s">
        <v>195</v>
      </c>
      <c r="F7" s="89" t="s">
        <v>152</v>
      </c>
      <c r="G7" s="89" t="s">
        <v>30</v>
      </c>
      <c r="I7" s="152"/>
    </row>
    <row r="8" spans="2:14">
      <c r="B8" s="149"/>
      <c r="D8" s="150"/>
      <c r="I8" s="152"/>
    </row>
    <row r="9" spans="2:14" ht="18">
      <c r="B9" s="149"/>
      <c r="D9" s="150"/>
      <c r="E9" s="151" t="s">
        <v>196</v>
      </c>
      <c r="H9" s="215" t="s">
        <v>197</v>
      </c>
      <c r="I9" s="152"/>
    </row>
    <row r="10" spans="2:14" ht="28.8">
      <c r="B10" s="149" t="s">
        <v>198</v>
      </c>
      <c r="D10" s="150"/>
      <c r="E10" s="218" t="s">
        <v>199</v>
      </c>
      <c r="F10" s="220">
        <f>IFERROR(F25/F28,"N/A")</f>
        <v>0</v>
      </c>
      <c r="H10" s="217" t="s">
        <v>200</v>
      </c>
      <c r="I10" s="152"/>
    </row>
    <row r="11" spans="2:14" ht="31.95" customHeight="1">
      <c r="B11" s="149" t="s">
        <v>201</v>
      </c>
      <c r="D11" s="150"/>
      <c r="E11" s="219" t="s">
        <v>202</v>
      </c>
      <c r="F11" s="220" t="str">
        <f>IFERROR(F17/F18,"N/A")</f>
        <v>N/A</v>
      </c>
      <c r="H11" s="217" t="s">
        <v>203</v>
      </c>
      <c r="I11" s="152"/>
    </row>
    <row r="12" spans="2:14" ht="28.8">
      <c r="B12" s="149" t="s">
        <v>204</v>
      </c>
      <c r="D12" s="150"/>
      <c r="E12" s="219" t="s">
        <v>205</v>
      </c>
      <c r="F12" s="220">
        <f>IFERROR(F31/F32,"N/A")</f>
        <v>0</v>
      </c>
      <c r="H12" s="217"/>
      <c r="I12" s="152"/>
    </row>
    <row r="13" spans="2:14" ht="28.8">
      <c r="B13" s="149"/>
      <c r="D13" s="150"/>
      <c r="E13" s="219" t="s">
        <v>206</v>
      </c>
      <c r="F13" s="220" t="s">
        <v>207</v>
      </c>
      <c r="H13" s="217" t="s">
        <v>208</v>
      </c>
      <c r="I13" s="153"/>
      <c r="L13" s="113"/>
      <c r="M13" s="113"/>
      <c r="N13" s="113"/>
    </row>
    <row r="14" spans="2:14">
      <c r="B14" s="149"/>
      <c r="D14" s="150"/>
      <c r="I14" s="152"/>
    </row>
    <row r="15" spans="2:14">
      <c r="B15" s="149"/>
      <c r="D15" s="150"/>
      <c r="I15" s="152"/>
    </row>
    <row r="16" spans="2:14">
      <c r="B16" s="149"/>
      <c r="D16" s="150"/>
      <c r="E16" s="160" t="s">
        <v>209</v>
      </c>
      <c r="I16" s="152"/>
    </row>
    <row r="17" spans="2:11">
      <c r="B17" s="149" t="s">
        <v>97</v>
      </c>
      <c r="D17" s="150"/>
      <c r="E17" s="167" t="s">
        <v>210</v>
      </c>
      <c r="F17" s="164">
        <f>'Debt Service - Individual 1'!J5</f>
        <v>0</v>
      </c>
      <c r="I17" s="152"/>
      <c r="K17" s="154"/>
    </row>
    <row r="18" spans="2:11">
      <c r="B18" s="149" t="s">
        <v>98</v>
      </c>
      <c r="D18" s="150"/>
      <c r="E18" s="168" t="s">
        <v>211</v>
      </c>
      <c r="F18" s="166">
        <f>'Debt Service - Individual 1'!J6</f>
        <v>0</v>
      </c>
      <c r="I18" s="152"/>
      <c r="K18" s="154"/>
    </row>
    <row r="19" spans="2:11">
      <c r="B19" s="149"/>
      <c r="D19" s="150"/>
      <c r="I19" s="152"/>
    </row>
    <row r="20" spans="2:11">
      <c r="B20" s="149"/>
      <c r="D20" s="150"/>
      <c r="E20" s="161" t="s">
        <v>212</v>
      </c>
      <c r="I20" s="152"/>
    </row>
    <row r="21" spans="2:11">
      <c r="B21" s="149" t="s">
        <v>99</v>
      </c>
      <c r="D21" s="150"/>
      <c r="E21" s="155" t="s">
        <v>213</v>
      </c>
      <c r="F21" s="112">
        <f>'Debt Service - Company'!F9</f>
        <v>-415343</v>
      </c>
      <c r="I21" s="152"/>
    </row>
    <row r="22" spans="2:11">
      <c r="B22" s="149" t="s">
        <v>100</v>
      </c>
      <c r="D22" s="150"/>
      <c r="E22" s="155" t="s">
        <v>214</v>
      </c>
      <c r="F22" s="112">
        <f>'Debt Service - Company'!F10</f>
        <v>117756</v>
      </c>
      <c r="I22" s="152"/>
    </row>
    <row r="23" spans="2:11">
      <c r="B23" s="149" t="s">
        <v>101</v>
      </c>
      <c r="D23" s="150"/>
      <c r="E23" s="155" t="s">
        <v>215</v>
      </c>
      <c r="F23" s="112">
        <f>'Debt Service - Company'!F11</f>
        <v>297587</v>
      </c>
      <c r="I23" s="152"/>
    </row>
    <row r="24" spans="2:11">
      <c r="B24" s="149" t="s">
        <v>102</v>
      </c>
      <c r="D24" s="150"/>
      <c r="E24" s="155" t="s">
        <v>216</v>
      </c>
      <c r="F24" s="112">
        <f>'Debt Service - Company'!F12</f>
        <v>0</v>
      </c>
      <c r="I24" s="152"/>
    </row>
    <row r="25" spans="2:11">
      <c r="B25" s="149" t="s">
        <v>217</v>
      </c>
      <c r="D25" s="150"/>
      <c r="E25" s="163" t="s">
        <v>218</v>
      </c>
      <c r="F25" s="164">
        <f>SUM(F21:F24)</f>
        <v>0</v>
      </c>
      <c r="I25" s="152"/>
    </row>
    <row r="26" spans="2:11">
      <c r="B26" s="149" t="s">
        <v>219</v>
      </c>
      <c r="D26" s="150"/>
      <c r="E26" s="155" t="s">
        <v>220</v>
      </c>
      <c r="F26" s="112">
        <f>SUM('Debt Service - Company'!F24,'Debt Service - Company'!F29)</f>
        <v>173208</v>
      </c>
      <c r="I26" s="152"/>
    </row>
    <row r="27" spans="2:11">
      <c r="B27" s="149" t="s">
        <v>221</v>
      </c>
      <c r="D27" s="150"/>
      <c r="E27" s="162" t="s">
        <v>222</v>
      </c>
      <c r="F27" s="112">
        <f>SUM('Debt Service - Company'!F25,'Debt Service - Company'!F30)</f>
        <v>131447.4</v>
      </c>
      <c r="I27" s="152"/>
    </row>
    <row r="28" spans="2:11">
      <c r="B28" s="149" t="s">
        <v>223</v>
      </c>
      <c r="D28" s="150"/>
      <c r="E28" s="165" t="s">
        <v>211</v>
      </c>
      <c r="F28" s="166">
        <f>SUM(F26:F27)</f>
        <v>304655.40000000002</v>
      </c>
      <c r="I28" s="152"/>
    </row>
    <row r="29" spans="2:11">
      <c r="B29" s="149"/>
      <c r="D29" s="150"/>
      <c r="E29" s="155"/>
      <c r="F29" s="112"/>
      <c r="I29" s="152"/>
    </row>
    <row r="30" spans="2:11">
      <c r="B30" s="149"/>
      <c r="D30" s="150"/>
      <c r="E30" s="161" t="s">
        <v>224</v>
      </c>
      <c r="I30" s="152"/>
    </row>
    <row r="31" spans="2:11">
      <c r="B31" s="149" t="s">
        <v>225</v>
      </c>
      <c r="D31" s="150"/>
      <c r="E31" s="163" t="s">
        <v>226</v>
      </c>
      <c r="F31" s="164">
        <f>F17+F25</f>
        <v>0</v>
      </c>
      <c r="I31" s="152"/>
    </row>
    <row r="32" spans="2:11">
      <c r="B32" s="149" t="s">
        <v>227</v>
      </c>
      <c r="D32" s="150"/>
      <c r="E32" s="168" t="s">
        <v>228</v>
      </c>
      <c r="F32" s="166">
        <f>SUM(F18,F28)</f>
        <v>304655.40000000002</v>
      </c>
      <c r="I32" s="152"/>
    </row>
    <row r="33" spans="2:9" ht="15" thickBot="1">
      <c r="B33" s="156"/>
      <c r="D33" s="157"/>
      <c r="E33" s="158"/>
      <c r="F33" s="158"/>
      <c r="G33" s="158"/>
      <c r="H33" s="158"/>
      <c r="I33" s="159"/>
    </row>
    <row r="35" spans="2:9">
      <c r="F35" s="154"/>
      <c r="G35" s="154"/>
      <c r="H35" s="154"/>
    </row>
    <row r="36" spans="2:9">
      <c r="F36" s="154"/>
      <c r="G36" s="154"/>
      <c r="H36" s="154"/>
    </row>
  </sheetData>
  <phoneticPr fontId="11" type="noConversion"/>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942109-7AA0-495B-91FB-B97EF97B4F22}">
  <sheetPr>
    <tabColor rgb="FFFFFF00"/>
    <pageSetUpPr fitToPage="1"/>
  </sheetPr>
  <dimension ref="A2:O34"/>
  <sheetViews>
    <sheetView showGridLines="0" zoomScale="85" zoomScaleNormal="85" workbookViewId="0">
      <selection activeCell="E4" sqref="E4"/>
    </sheetView>
  </sheetViews>
  <sheetFormatPr defaultColWidth="9.109375" defaultRowHeight="13.8"/>
  <cols>
    <col min="1" max="1" width="9.109375" style="327"/>
    <col min="2" max="2" width="35.109375" style="4" customWidth="1"/>
    <col min="3" max="7" width="13.109375" style="4" customWidth="1"/>
    <col min="8" max="8" width="26.88671875" style="4" customWidth="1"/>
    <col min="9" max="12" width="13.109375" style="4" customWidth="1"/>
    <col min="13" max="14" width="9.109375" style="4"/>
    <col min="15" max="15" width="15" style="4" customWidth="1"/>
    <col min="16" max="16384" width="9.109375" style="4"/>
  </cols>
  <sheetData>
    <row r="2" spans="1:15">
      <c r="D2" s="20"/>
      <c r="E2" s="20"/>
      <c r="F2" s="20"/>
      <c r="G2" s="20"/>
      <c r="L2" s="20"/>
    </row>
    <row r="3" spans="1:15" ht="27.6">
      <c r="B3" s="101" t="s">
        <v>229</v>
      </c>
      <c r="C3" s="326" t="s">
        <v>1001</v>
      </c>
      <c r="D3" s="326" t="s">
        <v>1002</v>
      </c>
      <c r="E3" s="326" t="s">
        <v>1028</v>
      </c>
      <c r="F3" s="326" t="s">
        <v>1003</v>
      </c>
      <c r="O3" s="184"/>
    </row>
    <row r="4" spans="1:15">
      <c r="B4" s="222" t="s">
        <v>230</v>
      </c>
      <c r="C4" s="180" t="s">
        <v>232</v>
      </c>
      <c r="D4" s="180" t="s">
        <v>232</v>
      </c>
      <c r="E4" s="180" t="s">
        <v>239</v>
      </c>
      <c r="F4" s="180" t="s">
        <v>233</v>
      </c>
      <c r="O4" s="395" t="s">
        <v>232</v>
      </c>
    </row>
    <row r="5" spans="1:15">
      <c r="B5" s="101" t="s">
        <v>235</v>
      </c>
      <c r="C5" s="326">
        <v>44561</v>
      </c>
      <c r="D5" s="326">
        <v>44926</v>
      </c>
      <c r="E5" s="326">
        <v>45291</v>
      </c>
      <c r="F5" s="326">
        <v>45443</v>
      </c>
      <c r="O5" s="395" t="s">
        <v>233</v>
      </c>
    </row>
    <row r="6" spans="1:15">
      <c r="A6" s="327">
        <v>2</v>
      </c>
      <c r="B6" s="7" t="s">
        <v>237</v>
      </c>
      <c r="C6" s="348" t="e">
        <f>HLOOKUP(C$3,'Summary of Information'!$C$84:$G$89,$A6,FALSE)</f>
        <v>#N/A</v>
      </c>
      <c r="D6" s="348" t="e">
        <f>HLOOKUP(D$3,'Summary of Information'!$C$84:$G$89,$A6,FALSE)</f>
        <v>#N/A</v>
      </c>
      <c r="E6" s="348" t="e">
        <f>HLOOKUP(E$3,'Summary of Information'!$C$84:$G$89,$A6,FALSE)</f>
        <v>#N/A</v>
      </c>
      <c r="F6" s="348" t="e">
        <f>HLOOKUP(F$3,'Summary of Information'!$C$84:$G$89,$A6,FALSE)</f>
        <v>#N/A</v>
      </c>
      <c r="O6" s="395" t="s">
        <v>239</v>
      </c>
    </row>
    <row r="7" spans="1:15">
      <c r="A7" s="327">
        <f>A6+1</f>
        <v>3</v>
      </c>
      <c r="B7" s="7" t="s">
        <v>788</v>
      </c>
      <c r="C7" s="348" t="e">
        <f>HLOOKUP(C$3,'Summary of Information'!$C$84:$G$89,$A7,FALSE)</f>
        <v>#N/A</v>
      </c>
      <c r="D7" s="348" t="e">
        <f>HLOOKUP(D$3,'Summary of Information'!$C$84:$G$89,$A7,FALSE)</f>
        <v>#N/A</v>
      </c>
      <c r="E7" s="348" t="e">
        <f>HLOOKUP(E$3,'Summary of Information'!$C$84:$G$89,$A7,FALSE)</f>
        <v>#N/A</v>
      </c>
      <c r="F7" s="348" t="e">
        <f>HLOOKUP(F$3,'Summary of Information'!$C$84:$G$89,$A7,FALSE)</f>
        <v>#N/A</v>
      </c>
      <c r="O7" s="395" t="s">
        <v>231</v>
      </c>
    </row>
    <row r="8" spans="1:15">
      <c r="A8" s="327">
        <f t="shared" ref="A8:A10" si="0">A7+1</f>
        <v>4</v>
      </c>
      <c r="B8" s="7" t="s">
        <v>789</v>
      </c>
      <c r="C8" s="348" t="e">
        <f>HLOOKUP(C$3,'Summary of Information'!$C$84:$G$89,$A8,FALSE)</f>
        <v>#N/A</v>
      </c>
      <c r="D8" s="348" t="e">
        <f>HLOOKUP(D$3,'Summary of Information'!$C$84:$G$89,$A8,FALSE)</f>
        <v>#N/A</v>
      </c>
      <c r="E8" s="348" t="e">
        <f>HLOOKUP(E$3,'Summary of Information'!$C$84:$G$89,$A8,FALSE)</f>
        <v>#N/A</v>
      </c>
      <c r="F8" s="348" t="e">
        <f>HLOOKUP(F$3,'Summary of Information'!$C$84:$G$89,$A8,FALSE)</f>
        <v>#N/A</v>
      </c>
      <c r="O8" s="395" t="s">
        <v>234</v>
      </c>
    </row>
    <row r="9" spans="1:15">
      <c r="A9" s="327">
        <f t="shared" si="0"/>
        <v>5</v>
      </c>
      <c r="B9" s="7" t="s">
        <v>790</v>
      </c>
      <c r="C9" s="348" t="e">
        <f>HLOOKUP(C$3,'Summary of Information'!$C$84:$G$89,$A9,FALSE)</f>
        <v>#N/A</v>
      </c>
      <c r="D9" s="348" t="e">
        <f>HLOOKUP(D$3,'Summary of Information'!$C$84:$G$89,$A9,FALSE)</f>
        <v>#N/A</v>
      </c>
      <c r="E9" s="348" t="e">
        <f>HLOOKUP(E$3,'Summary of Information'!$C$84:$G$89,$A9,FALSE)</f>
        <v>#N/A</v>
      </c>
      <c r="F9" s="348" t="e">
        <f>HLOOKUP(F$3,'Summary of Information'!$C$84:$G$89,$A9,FALSE)</f>
        <v>#N/A</v>
      </c>
    </row>
    <row r="10" spans="1:15">
      <c r="A10" s="327">
        <f t="shared" si="0"/>
        <v>6</v>
      </c>
      <c r="B10" s="7" t="s">
        <v>791</v>
      </c>
      <c r="C10" s="348" t="e">
        <f>HLOOKUP(C$3,'Summary of Information'!$C$84:$G$89,$A10,FALSE)</f>
        <v>#N/A</v>
      </c>
      <c r="D10" s="348" t="e">
        <f>HLOOKUP(D$3,'Summary of Information'!$C$84:$G$89,$A10,FALSE)</f>
        <v>#N/A</v>
      </c>
      <c r="E10" s="348" t="e">
        <f>HLOOKUP(E$3,'Summary of Information'!$C$84:$G$89,$A10,FALSE)</f>
        <v>#N/A</v>
      </c>
      <c r="F10" s="348" t="e">
        <f>HLOOKUP(F$3,'Summary of Information'!$C$84:$G$89,$A10,FALSE)</f>
        <v>#N/A</v>
      </c>
    </row>
    <row r="12" spans="1:15" ht="27.6" customHeight="1" thickBot="1">
      <c r="B12" s="399" t="s">
        <v>260</v>
      </c>
      <c r="C12" s="362" t="str">
        <f>C3</f>
        <v>Audited-31122021</v>
      </c>
      <c r="D12" s="331" t="str">
        <f>D3</f>
        <v>Audited-31122022</v>
      </c>
      <c r="E12" s="331" t="str">
        <f>E3</f>
        <v>Draft Audited-31122023</v>
      </c>
      <c r="F12" s="331" t="str">
        <f>F3</f>
        <v>Mgmt Acc-31052024</v>
      </c>
    </row>
    <row r="13" spans="1:15" ht="27.6" customHeight="1">
      <c r="B13" s="400" t="s">
        <v>262</v>
      </c>
      <c r="C13" s="363">
        <f>C5</f>
        <v>44561</v>
      </c>
      <c r="D13" s="329">
        <f>D5</f>
        <v>44926</v>
      </c>
      <c r="E13" s="329">
        <f>E5</f>
        <v>45291</v>
      </c>
      <c r="F13" s="329">
        <f>F5</f>
        <v>45443</v>
      </c>
    </row>
    <row r="14" spans="1:15" ht="14.4" thickBot="1">
      <c r="A14" s="327">
        <v>2</v>
      </c>
      <c r="B14" s="401" t="s">
        <v>264</v>
      </c>
      <c r="C14" s="361" t="e">
        <f>HLOOKUP(C$3,'Summary of Information'!$C$63:$G$76,$A14,FALSE)</f>
        <v>#N/A</v>
      </c>
      <c r="D14" s="361" t="e">
        <f>HLOOKUP(D$3,'Summary of Information'!$C$63:$G$76,$A14,FALSE)</f>
        <v>#N/A</v>
      </c>
      <c r="E14" s="361" t="e">
        <f>HLOOKUP(E$3,'Summary of Information'!$C$63:$G$76,$A14,FALSE)</f>
        <v>#N/A</v>
      </c>
      <c r="F14" s="361" t="e">
        <f>HLOOKUP(F$3,'Summary of Information'!$C$63:$G$76,$A14,FALSE)</f>
        <v>#N/A</v>
      </c>
    </row>
    <row r="15" spans="1:15">
      <c r="A15" s="327">
        <f>A14+1</f>
        <v>3</v>
      </c>
      <c r="B15" s="407" t="s">
        <v>266</v>
      </c>
      <c r="C15" s="408" t="e">
        <f>HLOOKUP(C$3,'Summary of Information'!$C$63:$G$76,$A15,FALSE)</f>
        <v>#N/A</v>
      </c>
      <c r="D15" s="408" t="e">
        <f>HLOOKUP(D$3,'Summary of Information'!$C$63:$G$76,$A15,FALSE)</f>
        <v>#N/A</v>
      </c>
      <c r="E15" s="408" t="e">
        <f>HLOOKUP(E$3,'Summary of Information'!$C$63:$G$76,$A15,FALSE)</f>
        <v>#N/A</v>
      </c>
      <c r="F15" s="408" t="e">
        <f>HLOOKUP(F$3,'Summary of Information'!$C$63:$G$76,$A15,FALSE)</f>
        <v>#N/A</v>
      </c>
    </row>
    <row r="16" spans="1:15" ht="14.4" thickBot="1">
      <c r="A16" s="327">
        <f t="shared" ref="A16:A26" si="1">A15+1</f>
        <v>4</v>
      </c>
      <c r="B16" s="409" t="s">
        <v>268</v>
      </c>
      <c r="C16" s="410" t="e">
        <f>HLOOKUP(C$3,'Summary of Information'!$C$63:$G$76,$A16,FALSE)</f>
        <v>#N/A</v>
      </c>
      <c r="D16" s="410" t="e">
        <f>HLOOKUP(D$3,'Summary of Information'!$C$63:$G$76,$A16,FALSE)</f>
        <v>#N/A</v>
      </c>
      <c r="E16" s="410" t="e">
        <f>HLOOKUP(E$3,'Summary of Information'!$C$63:$G$76,$A16,FALSE)</f>
        <v>#N/A</v>
      </c>
      <c r="F16" s="410" t="e">
        <f>HLOOKUP(F$3,'Summary of Information'!$C$63:$G$76,$A16,FALSE)</f>
        <v>#N/A</v>
      </c>
    </row>
    <row r="17" spans="1:12" ht="14.4" thickBot="1">
      <c r="A17" s="327">
        <f t="shared" si="1"/>
        <v>5</v>
      </c>
      <c r="B17" s="411" t="s">
        <v>274</v>
      </c>
      <c r="C17" s="412" t="e">
        <f>HLOOKUP(C$3,'Summary of Information'!$C$63:$G$76,$A17,FALSE)</f>
        <v>#N/A</v>
      </c>
      <c r="D17" s="412" t="e">
        <f>HLOOKUP(D$3,'Summary of Information'!$C$63:$G$76,$A17,FALSE)</f>
        <v>#N/A</v>
      </c>
      <c r="E17" s="412" t="e">
        <f>HLOOKUP(E$3,'Summary of Information'!$C$63:$G$76,$A17,FALSE)</f>
        <v>#N/A</v>
      </c>
      <c r="F17" s="412" t="e">
        <f>HLOOKUP(F$3,'Summary of Information'!$C$63:$G$76,$A17,FALSE)</f>
        <v>#N/A</v>
      </c>
    </row>
    <row r="18" spans="1:12">
      <c r="A18" s="327">
        <f t="shared" si="1"/>
        <v>6</v>
      </c>
      <c r="B18" s="413" t="s">
        <v>275</v>
      </c>
      <c r="C18" s="408" t="e">
        <f>HLOOKUP(C$3,'Summary of Information'!$C$63:$G$76,$A18,FALSE)</f>
        <v>#N/A</v>
      </c>
      <c r="D18" s="408" t="e">
        <f>HLOOKUP(D$3,'Summary of Information'!$C$63:$G$76,$A18,FALSE)</f>
        <v>#N/A</v>
      </c>
      <c r="E18" s="408" t="e">
        <f>HLOOKUP(E$3,'Summary of Information'!$C$63:$G$76,$A18,FALSE)</f>
        <v>#N/A</v>
      </c>
      <c r="F18" s="408" t="e">
        <f>HLOOKUP(F$3,'Summary of Information'!$C$63:$G$76,$A18,FALSE)</f>
        <v>#N/A</v>
      </c>
      <c r="J18" s="182"/>
      <c r="K18" s="182"/>
      <c r="L18" s="182"/>
    </row>
    <row r="19" spans="1:12" ht="14.4" thickBot="1">
      <c r="A19" s="327">
        <f t="shared" si="1"/>
        <v>7</v>
      </c>
      <c r="B19" s="409" t="s">
        <v>279</v>
      </c>
      <c r="C19" s="410" t="e">
        <f>HLOOKUP(C$3,'Summary of Information'!$C$63:$G$76,$A19,FALSE)</f>
        <v>#N/A</v>
      </c>
      <c r="D19" s="410" t="e">
        <f>HLOOKUP(D$3,'Summary of Information'!$C$63:$G$76,$A19,FALSE)</f>
        <v>#N/A</v>
      </c>
      <c r="E19" s="410" t="e">
        <f>HLOOKUP(E$3,'Summary of Information'!$C$63:$G$76,$A19,FALSE)</f>
        <v>#N/A</v>
      </c>
      <c r="F19" s="410" t="e">
        <f>HLOOKUP(F$3,'Summary of Information'!$C$63:$G$76,$A19,FALSE)</f>
        <v>#N/A</v>
      </c>
    </row>
    <row r="20" spans="1:12" ht="14.4" thickBot="1">
      <c r="A20" s="327">
        <f t="shared" si="1"/>
        <v>8</v>
      </c>
      <c r="B20" s="411" t="s">
        <v>282</v>
      </c>
      <c r="C20" s="412" t="e">
        <f>HLOOKUP(C$3,'Summary of Information'!$C$63:$G$76,$A20,FALSE)</f>
        <v>#N/A</v>
      </c>
      <c r="D20" s="412" t="e">
        <f>HLOOKUP(D$3,'Summary of Information'!$C$63:$G$76,$A20,FALSE)</f>
        <v>#N/A</v>
      </c>
      <c r="E20" s="412" t="e">
        <f>HLOOKUP(E$3,'Summary of Information'!$C$63:$G$76,$A20,FALSE)</f>
        <v>#N/A</v>
      </c>
      <c r="F20" s="412" t="e">
        <f>HLOOKUP(F$3,'Summary of Information'!$C$63:$G$76,$A20,FALSE)</f>
        <v>#N/A</v>
      </c>
    </row>
    <row r="21" spans="1:12">
      <c r="A21" s="327">
        <f t="shared" si="1"/>
        <v>9</v>
      </c>
      <c r="B21" s="414" t="s">
        <v>284</v>
      </c>
      <c r="C21" s="415" t="e">
        <f>HLOOKUP(C$3,'Summary of Information'!$C$63:$G$76,$A21,FALSE)</f>
        <v>#N/A</v>
      </c>
      <c r="D21" s="415" t="e">
        <f>HLOOKUP(D$3,'Summary of Information'!$C$63:$G$76,$A21,FALSE)</f>
        <v>#N/A</v>
      </c>
      <c r="E21" s="415" t="e">
        <f>HLOOKUP(E$3,'Summary of Information'!$C$63:$G$76,$A21,FALSE)</f>
        <v>#N/A</v>
      </c>
      <c r="F21" s="415" t="e">
        <f>HLOOKUP(F$3,'Summary of Information'!$C$63:$G$76,$A21,FALSE)</f>
        <v>#N/A</v>
      </c>
    </row>
    <row r="22" spans="1:12">
      <c r="A22" s="327">
        <f t="shared" si="1"/>
        <v>10</v>
      </c>
      <c r="B22" s="414" t="s">
        <v>792</v>
      </c>
      <c r="C22" s="410" t="e">
        <f>HLOOKUP(C$3,'Summary of Information'!$C$63:$G$76,$A22,FALSE)</f>
        <v>#N/A</v>
      </c>
      <c r="D22" s="410" t="e">
        <f>HLOOKUP(D$3,'Summary of Information'!$C$63:$G$76,$A22,FALSE)</f>
        <v>#N/A</v>
      </c>
      <c r="E22" s="415" t="e">
        <f>HLOOKUP(E$3,'Summary of Information'!$C$63:$G$76,$A22,FALSE)</f>
        <v>#N/A</v>
      </c>
      <c r="F22" s="415" t="e">
        <f>HLOOKUP(F$3,'Summary of Information'!$C$63:$G$76,$A22,FALSE)</f>
        <v>#N/A</v>
      </c>
      <c r="H22" s="135"/>
    </row>
    <row r="23" spans="1:12">
      <c r="A23" s="327">
        <f t="shared" si="1"/>
        <v>11</v>
      </c>
      <c r="B23" s="409" t="s">
        <v>786</v>
      </c>
      <c r="C23" s="410" t="e">
        <f>HLOOKUP(C$3,'Summary of Information'!$C$63:$G$76,$A23,FALSE)</f>
        <v>#N/A</v>
      </c>
      <c r="D23" s="410" t="e">
        <f>HLOOKUP(D$3,'Summary of Information'!$C$63:$G$76,$A23,FALSE)</f>
        <v>#N/A</v>
      </c>
      <c r="E23" s="410" t="e">
        <f>HLOOKUP(E$3,'Summary of Information'!$C$63:$G$76,$A23,FALSE)</f>
        <v>#N/A</v>
      </c>
      <c r="F23" s="410" t="e">
        <f>HLOOKUP(F$3,'Summary of Information'!$C$63:$G$76,$A23,FALSE)</f>
        <v>#N/A</v>
      </c>
    </row>
    <row r="24" spans="1:12" ht="14.4" thickBot="1">
      <c r="A24" s="327">
        <f t="shared" si="1"/>
        <v>12</v>
      </c>
      <c r="B24" s="414" t="s">
        <v>787</v>
      </c>
      <c r="C24" s="415" t="e">
        <f>HLOOKUP(C$3,'Summary of Information'!$C$63:$G$76,$A24,FALSE)</f>
        <v>#N/A</v>
      </c>
      <c r="D24" s="415" t="e">
        <f>HLOOKUP(D$3,'Summary of Information'!$C$63:$G$76,$A24,FALSE)</f>
        <v>#N/A</v>
      </c>
      <c r="E24" s="415" t="e">
        <f>HLOOKUP(E$3,'Summary of Information'!$C$63:$G$76,$A24,FALSE)</f>
        <v>#N/A</v>
      </c>
      <c r="F24" s="415" t="e">
        <f>HLOOKUP(F$3,'Summary of Information'!$C$63:$G$76,$A24,FALSE)</f>
        <v>#N/A</v>
      </c>
    </row>
    <row r="25" spans="1:12" ht="14.4" thickBot="1">
      <c r="A25" s="327">
        <f t="shared" si="1"/>
        <v>13</v>
      </c>
      <c r="B25" s="411" t="s">
        <v>283</v>
      </c>
      <c r="C25" s="412" t="e">
        <f>HLOOKUP(C$3,'Summary of Information'!$C$63:$G$76,$A25,FALSE)</f>
        <v>#N/A</v>
      </c>
      <c r="D25" s="412" t="e">
        <f>HLOOKUP(D$3,'Summary of Information'!$C$63:$G$76,$A25,FALSE)</f>
        <v>#N/A</v>
      </c>
      <c r="E25" s="412" t="e">
        <f>HLOOKUP(E$3,'Summary of Information'!$C$63:$G$76,$A25,FALSE)</f>
        <v>#N/A</v>
      </c>
      <c r="F25" s="416" t="e">
        <f>HLOOKUP(F$3,'Summary of Information'!$C$63:$G$76,$A25,FALSE)</f>
        <v>#N/A</v>
      </c>
    </row>
    <row r="26" spans="1:12" ht="14.4" thickBot="1">
      <c r="A26" s="327">
        <f t="shared" si="1"/>
        <v>14</v>
      </c>
      <c r="B26" s="411" t="s">
        <v>287</v>
      </c>
      <c r="C26" s="412" t="e">
        <f>HLOOKUP(C$3,'Summary of Information'!$C$63:$G$76,$A26,FALSE)</f>
        <v>#N/A</v>
      </c>
      <c r="D26" s="412" t="e">
        <f>HLOOKUP(D$3,'Summary of Information'!$C$63:$G$76,$A26,FALSE)</f>
        <v>#N/A</v>
      </c>
      <c r="E26" s="412" t="e">
        <f>HLOOKUP(E$3,'Summary of Information'!$C$63:$G$76,$A26,FALSE)</f>
        <v>#N/A</v>
      </c>
      <c r="F26" s="412" t="e">
        <f>HLOOKUP(F$3,'Summary of Information'!$C$63:$G$76,$A26,FALSE)</f>
        <v>#N/A</v>
      </c>
    </row>
    <row r="27" spans="1:12">
      <c r="D27" s="228"/>
      <c r="E27" s="228"/>
      <c r="F27" s="228"/>
    </row>
    <row r="28" spans="1:12">
      <c r="D28" s="228"/>
      <c r="E28" s="228"/>
      <c r="F28" s="228"/>
    </row>
    <row r="29" spans="1:12">
      <c r="D29" s="228"/>
      <c r="E29" s="228"/>
      <c r="F29" s="228"/>
    </row>
    <row r="30" spans="1:12">
      <c r="D30" s="228"/>
      <c r="E30" s="228"/>
      <c r="F30" s="228"/>
    </row>
    <row r="31" spans="1:12">
      <c r="D31" s="228"/>
      <c r="E31" s="228"/>
      <c r="F31" s="228"/>
    </row>
    <row r="32" spans="1:12">
      <c r="D32" s="228"/>
      <c r="E32" s="228"/>
      <c r="F32" s="228"/>
    </row>
    <row r="33" spans="4:6">
      <c r="D33" s="228"/>
      <c r="E33" s="228"/>
      <c r="F33" s="228"/>
    </row>
    <row r="34" spans="4:6">
      <c r="D34" s="228"/>
      <c r="E34" s="228"/>
      <c r="F34" s="228"/>
    </row>
  </sheetData>
  <phoneticPr fontId="11" type="noConversion"/>
  <dataValidations count="1">
    <dataValidation type="list" allowBlank="1" showInputMessage="1" showErrorMessage="1" sqref="C4:F4" xr:uid="{331DEA3D-290E-454D-8D8B-FB6B196903B9}">
      <formula1>$O$4:$O$7</formula1>
    </dataValidation>
  </dataValidations>
  <pageMargins left="0.11811023622047245" right="0.11811023622047245" top="0.15748031496062992" bottom="0.15748031496062992" header="0.31496062992125984" footer="0.31496062992125984"/>
  <pageSetup paperSize="9" scale="66" fitToHeight="7" orientation="landscape" horizontalDpi="300" verticalDpi="300" r:id="rId1"/>
  <extLst>
    <ext xmlns:x14="http://schemas.microsoft.com/office/spreadsheetml/2009/9/main" uri="{CCE6A557-97BC-4b89-ADB6-D9C93CAAB3DF}">
      <x14:dataValidations xmlns:xm="http://schemas.microsoft.com/office/excel/2006/main" count="2">
        <x14:dataValidation type="list" allowBlank="1" showInputMessage="1" showErrorMessage="1" xr:uid="{F605FEBD-2913-4BDE-8627-E0DAE39B0A43}">
          <x14:formula1>
            <xm:f>'Summary of Information'!$C$84:$G$84</xm:f>
          </x14:formula1>
          <xm:sqref>C3:F3</xm:sqref>
        </x14:dataValidation>
        <x14:dataValidation type="list" allowBlank="1" showInputMessage="1" showErrorMessage="1" xr:uid="{9FC7375F-58E5-4761-9053-E54D704A5E4D}">
          <x14:formula1>
            <xm:f>'Summary of Information'!$C$4:$F$4</xm:f>
          </x14:formula1>
          <xm:sqref>C5:E5 F5</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DA4DC9-4060-490F-92EF-70E06B60531E}">
  <sheetPr>
    <tabColor rgb="FFFFFF00"/>
    <pageSetUpPr fitToPage="1"/>
  </sheetPr>
  <dimension ref="A2:X89"/>
  <sheetViews>
    <sheetView showGridLines="0" topLeftCell="A28" zoomScale="85" zoomScaleNormal="85" workbookViewId="0">
      <selection activeCell="F6" sqref="F6"/>
    </sheetView>
  </sheetViews>
  <sheetFormatPr defaultColWidth="9.109375" defaultRowHeight="13.8" outlineLevelRow="1"/>
  <cols>
    <col min="1" max="1" width="9.109375" style="4"/>
    <col min="2" max="2" width="35.33203125" style="4" customWidth="1"/>
    <col min="3" max="3" width="11.33203125" style="4" customWidth="1"/>
    <col min="4" max="6" width="13.33203125" style="4" customWidth="1"/>
    <col min="7" max="7" width="13.33203125" style="228" customWidth="1"/>
    <col min="8" max="14" width="13.33203125" style="4" customWidth="1"/>
    <col min="15" max="26" width="9.109375" style="4"/>
    <col min="27" max="27" width="9.109375" style="4" customWidth="1"/>
    <col min="28" max="16384" width="9.109375" style="4"/>
  </cols>
  <sheetData>
    <row r="2" spans="2:24">
      <c r="C2" s="20"/>
      <c r="D2" s="20"/>
      <c r="E2" s="20"/>
      <c r="G2" s="102">
        <v>150</v>
      </c>
      <c r="H2" s="20" t="s">
        <v>288</v>
      </c>
    </row>
    <row r="3" spans="2:24">
      <c r="B3" s="222" t="s">
        <v>230</v>
      </c>
      <c r="C3" s="180" t="s">
        <v>232</v>
      </c>
      <c r="D3" s="180" t="s">
        <v>232</v>
      </c>
      <c r="E3" s="180" t="s">
        <v>232</v>
      </c>
      <c r="F3" s="180" t="s">
        <v>809</v>
      </c>
      <c r="G3" s="320" t="s">
        <v>289</v>
      </c>
      <c r="H3" s="20"/>
      <c r="J3" s="180" t="str">
        <f>C3</f>
        <v>Audited</v>
      </c>
      <c r="K3" s="180" t="str">
        <f t="shared" ref="K3:N3" si="0">D3</f>
        <v>Audited</v>
      </c>
      <c r="L3" s="180" t="str">
        <f t="shared" si="0"/>
        <v>Audited</v>
      </c>
      <c r="M3" s="180" t="str">
        <f t="shared" si="0"/>
        <v>Mgmt Acc</v>
      </c>
      <c r="N3" s="180" t="str">
        <f t="shared" si="0"/>
        <v>Annualised</v>
      </c>
      <c r="X3" s="4" t="s">
        <v>62</v>
      </c>
    </row>
    <row r="4" spans="2:24" ht="12.75" customHeight="1">
      <c r="B4" s="101" t="s">
        <v>235</v>
      </c>
      <c r="C4" s="326">
        <v>44651</v>
      </c>
      <c r="D4" s="326">
        <v>45016</v>
      </c>
      <c r="E4" s="326">
        <v>45382</v>
      </c>
      <c r="F4" s="326">
        <v>45535</v>
      </c>
      <c r="G4" s="326">
        <f>F4</f>
        <v>45535</v>
      </c>
      <c r="I4" s="101" t="s">
        <v>236</v>
      </c>
      <c r="J4" s="326">
        <f>C4</f>
        <v>44651</v>
      </c>
      <c r="K4" s="326">
        <f t="shared" ref="K4:M5" si="1">D4</f>
        <v>45016</v>
      </c>
      <c r="L4" s="326">
        <f t="shared" si="1"/>
        <v>45382</v>
      </c>
      <c r="M4" s="326">
        <f t="shared" si="1"/>
        <v>45535</v>
      </c>
      <c r="N4" s="326">
        <f t="shared" ref="N4" si="2">G4</f>
        <v>45535</v>
      </c>
      <c r="X4" s="4" t="s">
        <v>5</v>
      </c>
    </row>
    <row r="5" spans="2:24" ht="39" customHeight="1" outlineLevel="1">
      <c r="B5" s="101" t="s">
        <v>290</v>
      </c>
      <c r="C5" s="326" t="str">
        <f>C3&amp;"-"&amp;(TEXT(C4,"DDMMYYYY"))</f>
        <v>Audited-31032022</v>
      </c>
      <c r="D5" s="326" t="str">
        <f t="shared" ref="D5:E5" si="3">D3&amp;"-"&amp;(TEXT(D4,"DDMMYYYY"))</f>
        <v>Audited-31032023</v>
      </c>
      <c r="E5" s="326" t="str">
        <f t="shared" si="3"/>
        <v>Audited-31032024</v>
      </c>
      <c r="F5" s="326" t="str">
        <f t="shared" ref="F5:G5" si="4">F3&amp;"-"&amp;(TEXT(F4,"DDMMYYYY"))</f>
        <v>Mgmt Acc-31082024</v>
      </c>
      <c r="G5" s="326" t="str">
        <f t="shared" si="4"/>
        <v>Annualised-31082024</v>
      </c>
      <c r="I5" s="101" t="s">
        <v>291</v>
      </c>
      <c r="J5" s="326" t="str">
        <f>C5</f>
        <v>Audited-31032022</v>
      </c>
      <c r="K5" s="326" t="str">
        <f t="shared" si="1"/>
        <v>Audited-31032023</v>
      </c>
      <c r="L5" s="326" t="str">
        <f t="shared" si="1"/>
        <v>Audited-31032024</v>
      </c>
      <c r="M5" s="326" t="str">
        <f t="shared" si="1"/>
        <v>Mgmt Acc-31082024</v>
      </c>
      <c r="N5" s="326" t="str">
        <f t="shared" ref="N5" si="5">G5</f>
        <v>Annualised-31082024</v>
      </c>
      <c r="X5" s="4" t="s">
        <v>13</v>
      </c>
    </row>
    <row r="6" spans="2:24" ht="25.5" customHeight="1">
      <c r="B6" s="7" t="s">
        <v>237</v>
      </c>
      <c r="C6" s="256">
        <v>2166279</v>
      </c>
      <c r="D6" s="256">
        <v>285015</v>
      </c>
      <c r="E6" s="256">
        <v>2100166</v>
      </c>
      <c r="F6" s="256"/>
      <c r="G6" s="350">
        <f>IF($G$2&lt;365,$F6*365/$G$2,$F6)</f>
        <v>0</v>
      </c>
      <c r="I6" s="7" t="s">
        <v>238</v>
      </c>
      <c r="J6" s="244" t="s">
        <v>13</v>
      </c>
      <c r="K6" s="244">
        <f>(D6-C6)/C6</f>
        <v>-0.86843107466766745</v>
      </c>
      <c r="L6" s="244">
        <f t="shared" ref="L6" si="6">(E6-D6)/D6</f>
        <v>6.3686156868936719</v>
      </c>
      <c r="M6" s="244">
        <f>(F6-E6)/E6</f>
        <v>-1</v>
      </c>
      <c r="N6" s="244">
        <f>(G6-E6)/E6</f>
        <v>-1</v>
      </c>
    </row>
    <row r="7" spans="2:24">
      <c r="B7" s="7" t="s">
        <v>240</v>
      </c>
      <c r="C7" s="256">
        <v>2043055</v>
      </c>
      <c r="D7" s="256">
        <v>145672</v>
      </c>
      <c r="E7" s="256">
        <v>552057</v>
      </c>
      <c r="F7" s="256"/>
      <c r="G7" s="350">
        <f>IF($G$2&lt;365,$F7*365/$G$2,$F7)</f>
        <v>0</v>
      </c>
      <c r="I7" s="7" t="s">
        <v>241</v>
      </c>
      <c r="J7" s="244">
        <f>C8/C6</f>
        <v>5.6882793028968107E-2</v>
      </c>
      <c r="K7" s="244">
        <f>D8/D6</f>
        <v>0.48889707559251266</v>
      </c>
      <c r="L7" s="244">
        <f t="shared" ref="L7:N7" si="7">E8/E6</f>
        <v>0.73713649302007556</v>
      </c>
      <c r="M7" s="244" t="e">
        <f t="shared" si="7"/>
        <v>#DIV/0!</v>
      </c>
      <c r="N7" s="244" t="e">
        <f t="shared" si="7"/>
        <v>#DIV/0!</v>
      </c>
    </row>
    <row r="8" spans="2:24" ht="12.75" customHeight="1">
      <c r="B8" s="351" t="s">
        <v>242</v>
      </c>
      <c r="C8" s="352">
        <f t="shared" ref="C8" si="8">C6-C7</f>
        <v>123224</v>
      </c>
      <c r="D8" s="352">
        <f t="shared" ref="D8:F8" si="9">D6-D7</f>
        <v>139343</v>
      </c>
      <c r="E8" s="352">
        <f t="shared" si="9"/>
        <v>1548109</v>
      </c>
      <c r="F8" s="352">
        <f t="shared" si="9"/>
        <v>0</v>
      </c>
      <c r="G8" s="352">
        <f t="shared" ref="G8" si="10">G6-G7</f>
        <v>0</v>
      </c>
      <c r="I8" s="7" t="s">
        <v>243</v>
      </c>
      <c r="J8" s="244">
        <f>C17/C6</f>
        <v>-0.27414751285499234</v>
      </c>
      <c r="K8" s="244">
        <f>D17/D6</f>
        <v>-2.6922547936073542</v>
      </c>
      <c r="L8" s="432">
        <f>E17/E6</f>
        <v>0.18848129147886405</v>
      </c>
      <c r="M8" s="244" t="e">
        <f>F17/F6</f>
        <v>#DIV/0!</v>
      </c>
      <c r="N8" s="244" t="e">
        <f>G17/G6</f>
        <v>#DIV/0!</v>
      </c>
    </row>
    <row r="9" spans="2:24">
      <c r="B9" s="7" t="s">
        <v>214</v>
      </c>
      <c r="C9" s="256">
        <v>87344</v>
      </c>
      <c r="D9" s="256">
        <v>94988</v>
      </c>
      <c r="E9" s="256">
        <v>117756</v>
      </c>
      <c r="F9" s="778"/>
      <c r="G9" s="350">
        <f>IF((AND(G2&lt;365, F9=0)), E9, F9/G2*365)</f>
        <v>117756</v>
      </c>
      <c r="I9" s="7" t="s">
        <v>244</v>
      </c>
      <c r="J9" s="245">
        <f>C25/C39</f>
        <v>1.3970552899412705</v>
      </c>
      <c r="K9" s="245">
        <f>D25/D39</f>
        <v>1.4648152073493124</v>
      </c>
      <c r="L9" s="245">
        <f>E25/E39</f>
        <v>1.4130429918567498</v>
      </c>
      <c r="M9" s="245" t="e">
        <f>F25/F39</f>
        <v>#DIV/0!</v>
      </c>
      <c r="N9" s="245" t="e">
        <f>G25/G39</f>
        <v>#DIV/0!</v>
      </c>
    </row>
    <row r="10" spans="2:24" ht="12.75" customHeight="1">
      <c r="B10" s="7" t="s">
        <v>245</v>
      </c>
      <c r="C10" s="256">
        <f>35000+115500+14700+303993</f>
        <v>469193</v>
      </c>
      <c r="D10" s="256">
        <f>30000+169000+20280+430569</f>
        <v>649849</v>
      </c>
      <c r="E10" s="256">
        <f>212240+21559+4955+217360+3958+4327</f>
        <v>464399</v>
      </c>
      <c r="F10" s="256"/>
      <c r="G10" s="350">
        <f>IF($G$2&lt;365,$F10*365/$G$2,$F10)</f>
        <v>0</v>
      </c>
      <c r="I10" s="7" t="s">
        <v>246</v>
      </c>
      <c r="J10" s="245">
        <f>(C25-C32)/C39</f>
        <v>1.3964499101269938</v>
      </c>
      <c r="K10" s="245">
        <f>(D25-D32)/D39</f>
        <v>1.4379783791998784</v>
      </c>
      <c r="L10" s="245">
        <f>(E25-E32)/E39</f>
        <v>1.3827998827718229</v>
      </c>
      <c r="M10" s="245" t="e">
        <f>(F25-F32)/F39</f>
        <v>#DIV/0!</v>
      </c>
      <c r="N10" s="245" t="e">
        <f>(G25-G32)/G39</f>
        <v>#DIV/0!</v>
      </c>
    </row>
    <row r="11" spans="2:24">
      <c r="B11" s="7" t="s">
        <v>247</v>
      </c>
      <c r="C11" s="256">
        <f>704596-C9-C10</f>
        <v>148059</v>
      </c>
      <c r="D11" s="256">
        <f>866027-D9-D10</f>
        <v>121190</v>
      </c>
      <c r="E11" s="256">
        <f>938841-E10-E9</f>
        <v>356686</v>
      </c>
      <c r="F11" s="256"/>
      <c r="G11" s="350">
        <f>IF($G$2&lt;365,$F11*365/$G$2,$F11)</f>
        <v>0</v>
      </c>
      <c r="I11" s="7" t="s">
        <v>117</v>
      </c>
      <c r="J11" s="245">
        <f>C48/C49</f>
        <v>3.5174162728807437</v>
      </c>
      <c r="K11" s="245">
        <f>D48/D49</f>
        <v>-6.7543522778354319</v>
      </c>
      <c r="L11" s="245">
        <f>E48/E49</f>
        <v>111.19311259025271</v>
      </c>
      <c r="M11" s="245" t="e">
        <f>F48/F49</f>
        <v>#DIV/0!</v>
      </c>
      <c r="N11" s="245" t="e">
        <f>G48/G49</f>
        <v>#DIV/0!</v>
      </c>
    </row>
    <row r="12" spans="2:24" ht="12.75" customHeight="1">
      <c r="B12" s="351" t="s">
        <v>248</v>
      </c>
      <c r="C12" s="353">
        <f>C8-SUM(C9:C11)</f>
        <v>-581372</v>
      </c>
      <c r="D12" s="353">
        <f>D8-SUM(D9:D11)</f>
        <v>-726684</v>
      </c>
      <c r="E12" s="353">
        <f>E8-SUM(E9:E11)</f>
        <v>609268</v>
      </c>
      <c r="F12" s="353">
        <f>F8-SUM(F9:F11)</f>
        <v>0</v>
      </c>
      <c r="G12" s="353">
        <f>G8-SUM(G9:G11)</f>
        <v>-117756</v>
      </c>
      <c r="I12" s="7" t="s">
        <v>118</v>
      </c>
      <c r="J12" s="245">
        <f>(C36+C37+C46+C47)/C49</f>
        <v>1.5466264648713468</v>
      </c>
      <c r="K12" s="245">
        <f>(D36+D37+D46+D47)/D49</f>
        <v>-4.1900517778160085</v>
      </c>
      <c r="L12" s="245">
        <f>(E36+E37+F46+E46)/E49</f>
        <v>43.936738492779781</v>
      </c>
      <c r="M12" s="245" t="e">
        <f>(F36+F37+F46+F47)/F49</f>
        <v>#DIV/0!</v>
      </c>
      <c r="N12" s="245" t="e">
        <f>(G36+G37+G46+G47)/G49</f>
        <v>#DIV/0!</v>
      </c>
    </row>
    <row r="13" spans="2:24" ht="27.6">
      <c r="B13" s="7" t="s">
        <v>249</v>
      </c>
      <c r="C13" s="256">
        <v>22535</v>
      </c>
      <c r="D13" s="256">
        <v>19802</v>
      </c>
      <c r="E13" s="256">
        <v>84161</v>
      </c>
      <c r="F13" s="256"/>
      <c r="G13" s="350">
        <f>F13</f>
        <v>0</v>
      </c>
      <c r="I13" s="7" t="s">
        <v>250</v>
      </c>
      <c r="J13" s="238">
        <f>C14/C15</f>
        <v>-33.774749184092833</v>
      </c>
      <c r="K13" s="238">
        <f>D14/D15</f>
        <v>-11.693470744900829</v>
      </c>
      <c r="L13" s="238">
        <f>E14/E15</f>
        <v>2.3301723529589666</v>
      </c>
      <c r="M13" s="238" t="e">
        <f>F14/F15</f>
        <v>#DIV/0!</v>
      </c>
      <c r="N13" s="238">
        <f>G14/G15</f>
        <v>-0.39570276927419545</v>
      </c>
    </row>
    <row r="14" spans="2:24" ht="38.25" customHeight="1">
      <c r="B14" s="351" t="s">
        <v>251</v>
      </c>
      <c r="C14" s="353">
        <f t="shared" ref="C14" si="11">C12+C13</f>
        <v>-558837</v>
      </c>
      <c r="D14" s="353">
        <f t="shared" ref="D14:E14" si="12">D12+D13</f>
        <v>-706882</v>
      </c>
      <c r="E14" s="353">
        <f t="shared" si="12"/>
        <v>693429</v>
      </c>
      <c r="F14" s="353">
        <f>F12+F13</f>
        <v>0</v>
      </c>
      <c r="G14" s="353">
        <f>G12+G13</f>
        <v>-117756</v>
      </c>
      <c r="H14" s="257"/>
      <c r="I14" s="7" t="s">
        <v>292</v>
      </c>
      <c r="J14" s="244">
        <f>(C14-C15)/C49</f>
        <v>-1.4139015645772053</v>
      </c>
      <c r="K14" s="244">
        <f>(D14-D15)/D49</f>
        <v>2.1291975825919986</v>
      </c>
      <c r="L14" s="244">
        <f>(E14-E15)/E49</f>
        <v>11.164316335740072</v>
      </c>
      <c r="M14" s="244" t="e">
        <f>(F14-F15)/F49</f>
        <v>#DIV/0!</v>
      </c>
      <c r="N14" s="244" t="e">
        <f>(G14-G15)/G49</f>
        <v>#DIV/0!</v>
      </c>
    </row>
    <row r="15" spans="2:24" ht="41.4">
      <c r="B15" s="7" t="s">
        <v>90</v>
      </c>
      <c r="C15" s="256">
        <v>16546</v>
      </c>
      <c r="D15" s="256">
        <v>60451</v>
      </c>
      <c r="E15" s="256">
        <v>297587</v>
      </c>
      <c r="F15" s="256"/>
      <c r="G15" s="350">
        <f>IF((AND(G2&lt;365, F15=0)), E15, F15/G2*365)</f>
        <v>297587</v>
      </c>
      <c r="H15" s="182"/>
      <c r="I15" s="381" t="s">
        <v>252</v>
      </c>
      <c r="J15" s="382" t="s">
        <v>13</v>
      </c>
      <c r="K15" s="385">
        <f>((C32+D32)/2)/D7*365</f>
        <v>42.926437475973422</v>
      </c>
      <c r="L15" s="385">
        <f t="shared" ref="L15:N15" si="13">((D32+E32)/2)/E7*365</f>
        <v>38.348481225670533</v>
      </c>
      <c r="M15" s="385" t="e">
        <f t="shared" si="13"/>
        <v>#DIV/0!</v>
      </c>
      <c r="N15" s="385" t="e">
        <f t="shared" si="13"/>
        <v>#DIV/0!</v>
      </c>
    </row>
    <row r="16" spans="2:24" ht="38.25" customHeight="1">
      <c r="B16" s="7" t="s">
        <v>253</v>
      </c>
      <c r="C16" s="256">
        <v>18497</v>
      </c>
      <c r="D16" s="256">
        <v>0</v>
      </c>
      <c r="E16" s="256">
        <v>0</v>
      </c>
      <c r="F16" s="375"/>
      <c r="G16" s="350">
        <f>IF($G$2&lt;365,$F16*365/$G$2,$F16)</f>
        <v>0</v>
      </c>
      <c r="I16" s="7" t="s">
        <v>254</v>
      </c>
      <c r="J16" s="349">
        <f>C26/C6*365</f>
        <v>5.8205452760240028</v>
      </c>
      <c r="K16" s="349">
        <f>D26/D6*365</f>
        <v>111.2474255740926</v>
      </c>
      <c r="L16" s="349">
        <f>E26/E6*365</f>
        <v>297.38231644546192</v>
      </c>
      <c r="M16" s="349" t="e">
        <f>F26/F6*365</f>
        <v>#DIV/0!</v>
      </c>
      <c r="N16" s="349" t="e">
        <f>G26/G6*365</f>
        <v>#DIV/0!</v>
      </c>
    </row>
    <row r="17" spans="1:14" ht="41.4">
      <c r="B17" s="354" t="s">
        <v>255</v>
      </c>
      <c r="C17" s="355">
        <f>C14-SUM(C15:C16)</f>
        <v>-593880</v>
      </c>
      <c r="D17" s="355">
        <f>D14-SUM(D15:D16)</f>
        <v>-767333</v>
      </c>
      <c r="E17" s="355">
        <f>E14-SUM(E15:E16)</f>
        <v>395842</v>
      </c>
      <c r="F17" s="355">
        <f>F14-SUM(F15:F16)</f>
        <v>0</v>
      </c>
      <c r="G17" s="355">
        <f t="shared" ref="G17" si="14">G14-SUM(G15:G16)</f>
        <v>-415343</v>
      </c>
      <c r="I17" s="7" t="s">
        <v>256</v>
      </c>
      <c r="J17" s="349">
        <f>C40/C7*365</f>
        <v>119.1356155365372</v>
      </c>
      <c r="K17" s="349">
        <f>D40/D7*365</f>
        <v>829.12018095447308</v>
      </c>
      <c r="L17" s="349">
        <f>E40/E7*365</f>
        <v>332.95406090313139</v>
      </c>
      <c r="M17" s="349" t="e">
        <f>F40/F7*365</f>
        <v>#DIV/0!</v>
      </c>
      <c r="N17" s="349" t="e">
        <f>G40/G7*365</f>
        <v>#DIV/0!</v>
      </c>
    </row>
    <row r="18" spans="1:14" ht="51" customHeight="1">
      <c r="B18" s="7" t="s">
        <v>257</v>
      </c>
      <c r="C18" s="375">
        <v>0</v>
      </c>
      <c r="D18" s="375">
        <v>0</v>
      </c>
      <c r="E18" s="375">
        <v>0</v>
      </c>
      <c r="F18" s="375">
        <v>0</v>
      </c>
      <c r="G18" s="374">
        <f>F18</f>
        <v>0</v>
      </c>
      <c r="I18" s="364" t="s">
        <v>258</v>
      </c>
      <c r="J18" s="7" t="s">
        <v>13</v>
      </c>
      <c r="K18" s="383">
        <f>K15+K16-K17</f>
        <v>-674.94631790440712</v>
      </c>
      <c r="L18" s="383">
        <f>L15+L16-L17</f>
        <v>2.776736768001058</v>
      </c>
      <c r="M18" s="383" t="e">
        <f>M15+M16-M17</f>
        <v>#DIV/0!</v>
      </c>
      <c r="N18" s="383" t="e">
        <f>N15+N16-N17</f>
        <v>#DIV/0!</v>
      </c>
    </row>
    <row r="19" spans="1:14" ht="27.6">
      <c r="B19" s="7" t="s">
        <v>783</v>
      </c>
      <c r="C19" s="402">
        <f>C17+C16</f>
        <v>-575383</v>
      </c>
      <c r="D19" s="402">
        <f t="shared" ref="D19:F19" si="15">D17+D16</f>
        <v>-767333</v>
      </c>
      <c r="E19" s="402">
        <f>E17+E16</f>
        <v>395842</v>
      </c>
      <c r="F19" s="402">
        <f t="shared" si="15"/>
        <v>0</v>
      </c>
      <c r="G19" s="403">
        <f t="shared" ref="G19" si="16">G17-G16</f>
        <v>-415343</v>
      </c>
      <c r="I19" s="7" t="s">
        <v>259</v>
      </c>
      <c r="J19" s="371" t="s">
        <v>13</v>
      </c>
      <c r="K19" s="384">
        <f>D6/((D34+C34)/2)</f>
        <v>0.14570808742127384</v>
      </c>
      <c r="L19" s="384">
        <f>E6/((E34+D34)/2)</f>
        <v>0.69407391997001833</v>
      </c>
      <c r="M19" s="384">
        <f>F6/((F34+E34)/2)</f>
        <v>0</v>
      </c>
      <c r="N19" s="384" t="e">
        <f>G6/((G34+F34)/2)</f>
        <v>#DIV/0!</v>
      </c>
    </row>
    <row r="20" spans="1:14" ht="26.25" customHeight="1" thickBot="1">
      <c r="C20" s="181"/>
      <c r="D20" s="181"/>
      <c r="E20" s="181"/>
      <c r="F20" s="181"/>
      <c r="G20" s="319"/>
      <c r="I20" s="365" t="s">
        <v>261</v>
      </c>
      <c r="J20" s="376">
        <f>IF(C49&lt;0,"N/A",C17/C49)</f>
        <v>-1.4593546579775745</v>
      </c>
      <c r="K20" s="376" t="str">
        <f t="shared" ref="K20:N20" si="17">IF(D49&lt;0,"N/A",D17/D49)</f>
        <v>N/A</v>
      </c>
      <c r="L20" s="376">
        <f t="shared" si="17"/>
        <v>11.164316335740072</v>
      </c>
      <c r="M20" s="376" t="e">
        <f t="shared" si="17"/>
        <v>#DIV/0!</v>
      </c>
      <c r="N20" s="376" t="e">
        <f t="shared" si="17"/>
        <v>#DIV/0!</v>
      </c>
    </row>
    <row r="21" spans="1:14" ht="27.45" customHeight="1">
      <c r="B21" s="328" t="s">
        <v>262</v>
      </c>
      <c r="C21" s="329">
        <f t="shared" ref="C21:G22" si="18">C4</f>
        <v>44651</v>
      </c>
      <c r="D21" s="329">
        <f t="shared" si="18"/>
        <v>45016</v>
      </c>
      <c r="E21" s="329">
        <f t="shared" si="18"/>
        <v>45382</v>
      </c>
      <c r="F21" s="329">
        <f t="shared" si="18"/>
        <v>45535</v>
      </c>
      <c r="G21" s="330">
        <f t="shared" si="18"/>
        <v>45535</v>
      </c>
      <c r="I21" s="364" t="s">
        <v>263</v>
      </c>
      <c r="J21" s="376">
        <f>C17/C34</f>
        <v>-0.32305073737358903</v>
      </c>
      <c r="K21" s="376">
        <f t="shared" ref="K21:N21" si="19">D17/D34</f>
        <v>-0.37001516066251711</v>
      </c>
      <c r="L21" s="376">
        <f t="shared" si="19"/>
        <v>9.9509819078769574E-2</v>
      </c>
      <c r="M21" s="376" t="e">
        <f t="shared" si="19"/>
        <v>#DIV/0!</v>
      </c>
      <c r="N21" s="376" t="e">
        <f t="shared" si="19"/>
        <v>#DIV/0!</v>
      </c>
    </row>
    <row r="22" spans="1:14" ht="27.45" customHeight="1" outlineLevel="1">
      <c r="B22" s="357" t="s">
        <v>260</v>
      </c>
      <c r="C22" s="326" t="str">
        <f t="shared" si="18"/>
        <v>Audited-31032022</v>
      </c>
      <c r="D22" s="326" t="str">
        <f t="shared" si="18"/>
        <v>Audited-31032023</v>
      </c>
      <c r="E22" s="326" t="str">
        <f t="shared" si="18"/>
        <v>Audited-31032024</v>
      </c>
      <c r="F22" s="326" t="str">
        <f t="shared" si="18"/>
        <v>Mgmt Acc-31082024</v>
      </c>
      <c r="G22" s="358" t="str">
        <f t="shared" si="18"/>
        <v>Annualised-31082024</v>
      </c>
      <c r="I22" s="364" t="s">
        <v>265</v>
      </c>
      <c r="J22" s="7">
        <f>C18/(C17)</f>
        <v>0</v>
      </c>
      <c r="K22" s="7">
        <f>D18/(D17)</f>
        <v>0</v>
      </c>
      <c r="L22" s="7">
        <f>E18/(E17)</f>
        <v>0</v>
      </c>
      <c r="M22" s="7" t="e">
        <f>F18/(F17)</f>
        <v>#DIV/0!</v>
      </c>
      <c r="N22" s="7">
        <f>G18/(G17)</f>
        <v>0</v>
      </c>
    </row>
    <row r="23" spans="1:14" ht="28.2" outlineLevel="1" thickBot="1">
      <c r="A23" s="360">
        <v>2</v>
      </c>
      <c r="B23" s="386" t="s">
        <v>293</v>
      </c>
      <c r="C23" s="359" t="s">
        <v>62</v>
      </c>
      <c r="D23" s="359" t="s">
        <v>62</v>
      </c>
      <c r="E23" s="359" t="s">
        <v>13</v>
      </c>
      <c r="F23" s="359" t="s">
        <v>13</v>
      </c>
      <c r="G23" s="388" t="s">
        <v>13</v>
      </c>
      <c r="I23" s="380" t="s">
        <v>267</v>
      </c>
      <c r="J23" s="389">
        <f>C17/C56</f>
        <v>-0.56559999999999999</v>
      </c>
      <c r="K23" s="389">
        <f>D17/D56</f>
        <v>-0.73079333333333329</v>
      </c>
      <c r="L23" s="389">
        <f>E17/E56</f>
        <v>0.37699238095238097</v>
      </c>
      <c r="M23" s="389" t="e">
        <f>F17/F56</f>
        <v>#DIV/0!</v>
      </c>
      <c r="N23" s="389" t="e">
        <f>G17/G56</f>
        <v>#DIV/0!</v>
      </c>
    </row>
    <row r="24" spans="1:14" ht="25.5" customHeight="1">
      <c r="A24" s="4">
        <v>3</v>
      </c>
      <c r="B24" s="387" t="s">
        <v>266</v>
      </c>
      <c r="C24" s="356">
        <v>192935</v>
      </c>
      <c r="D24" s="356">
        <v>242498</v>
      </c>
      <c r="E24" s="356">
        <v>125530</v>
      </c>
      <c r="F24" s="356"/>
      <c r="G24" s="340">
        <f>$F24</f>
        <v>0</v>
      </c>
      <c r="I24" s="404" t="s">
        <v>269</v>
      </c>
      <c r="J24" s="405">
        <f>C18/C56</f>
        <v>0</v>
      </c>
      <c r="K24" s="405">
        <f>D18/D56</f>
        <v>0</v>
      </c>
      <c r="L24" s="405">
        <f>E18/E56</f>
        <v>0</v>
      </c>
      <c r="M24" s="405" t="e">
        <f>F18/F56</f>
        <v>#DIV/0!</v>
      </c>
      <c r="N24" s="405" t="e">
        <f>G18/G56</f>
        <v>#DIV/0!</v>
      </c>
    </row>
    <row r="25" spans="1:14">
      <c r="A25" s="360">
        <v>4</v>
      </c>
      <c r="B25" s="333" t="s">
        <v>268</v>
      </c>
      <c r="C25" s="334">
        <f>SUM(C26:C27,C32:C33)</f>
        <v>1645414</v>
      </c>
      <c r="D25" s="334">
        <f>SUM(D26:D27,D32:D33)</f>
        <v>1831290</v>
      </c>
      <c r="E25" s="334">
        <f>SUM(E26:E27,E32:E33)</f>
        <v>3852389</v>
      </c>
      <c r="F25" s="334">
        <f>SUM(F26:F27,F32:F33)</f>
        <v>0</v>
      </c>
      <c r="G25" s="335">
        <f>SUM(G26:G27,G32:G33)</f>
        <v>0</v>
      </c>
      <c r="I25" s="7" t="s">
        <v>784</v>
      </c>
      <c r="J25" s="406">
        <f>C19/C6</f>
        <v>-0.26560890817849409</v>
      </c>
      <c r="K25" s="406">
        <f t="shared" ref="K25:N25" si="20">D19/D6</f>
        <v>-2.6922547936073542</v>
      </c>
      <c r="L25" s="406">
        <f t="shared" si="20"/>
        <v>0.18848129147886405</v>
      </c>
      <c r="M25" s="406" t="e">
        <f t="shared" si="20"/>
        <v>#DIV/0!</v>
      </c>
      <c r="N25" s="406" t="e">
        <f t="shared" si="20"/>
        <v>#DIV/0!</v>
      </c>
    </row>
    <row r="26" spans="1:14" ht="12.75" customHeight="1">
      <c r="A26" s="4">
        <v>5</v>
      </c>
      <c r="B26" s="104" t="s">
        <v>270</v>
      </c>
      <c r="C26" s="103">
        <v>34545</v>
      </c>
      <c r="D26" s="103">
        <v>86869</v>
      </c>
      <c r="E26" s="103">
        <v>1711102</v>
      </c>
      <c r="F26" s="103"/>
      <c r="G26" s="321">
        <f t="shared" ref="G26:G33" si="21">$F26</f>
        <v>0</v>
      </c>
    </row>
    <row r="27" spans="1:14">
      <c r="A27" s="360">
        <v>6</v>
      </c>
      <c r="B27" s="336" t="s">
        <v>271</v>
      </c>
      <c r="C27" s="337">
        <f>SUM(C28:C31)</f>
        <v>1166997</v>
      </c>
      <c r="D27" s="337">
        <f t="shared" ref="D27:G27" si="22">SUM(D28:D31)</f>
        <v>1653991</v>
      </c>
      <c r="E27" s="337">
        <f t="shared" si="22"/>
        <v>2050193</v>
      </c>
      <c r="F27" s="337">
        <f t="shared" si="22"/>
        <v>0</v>
      </c>
      <c r="G27" s="338">
        <f t="shared" si="22"/>
        <v>0</v>
      </c>
    </row>
    <row r="28" spans="1:14" ht="12.75" customHeight="1">
      <c r="A28" s="4">
        <v>7</v>
      </c>
      <c r="B28" s="332" t="s">
        <v>294</v>
      </c>
      <c r="C28" s="106">
        <v>1039200</v>
      </c>
      <c r="D28" s="106">
        <v>1001500</v>
      </c>
      <c r="E28" s="106">
        <v>1006500</v>
      </c>
      <c r="F28" s="106"/>
      <c r="G28" s="323">
        <f>$F28</f>
        <v>0</v>
      </c>
    </row>
    <row r="29" spans="1:14">
      <c r="A29" s="360">
        <v>8</v>
      </c>
      <c r="B29" s="332" t="s">
        <v>295</v>
      </c>
      <c r="C29" s="106">
        <v>91444</v>
      </c>
      <c r="D29" s="106">
        <v>615388</v>
      </c>
      <c r="E29" s="106">
        <v>179474</v>
      </c>
      <c r="F29" s="106"/>
      <c r="G29" s="323">
        <f>$F29</f>
        <v>0</v>
      </c>
    </row>
    <row r="30" spans="1:14" ht="12.75" customHeight="1">
      <c r="A30" s="4">
        <v>9</v>
      </c>
      <c r="B30" s="332" t="s">
        <v>296</v>
      </c>
      <c r="C30" s="106"/>
      <c r="D30" s="106"/>
      <c r="E30" s="106"/>
      <c r="F30" s="106"/>
      <c r="G30" s="323">
        <f>$F30</f>
        <v>0</v>
      </c>
    </row>
    <row r="31" spans="1:14">
      <c r="A31" s="360">
        <v>10</v>
      </c>
      <c r="B31" s="332" t="s">
        <v>297</v>
      </c>
      <c r="C31" s="106">
        <f>21700+14653</f>
        <v>36353</v>
      </c>
      <c r="D31" s="106">
        <f>10400+22762+3941</f>
        <v>37103</v>
      </c>
      <c r="E31" s="106">
        <f>800000+38263+3941+22015</f>
        <v>864219</v>
      </c>
      <c r="F31" s="106"/>
      <c r="G31" s="323">
        <f>$F31</f>
        <v>0</v>
      </c>
    </row>
    <row r="32" spans="1:14" ht="12.75" customHeight="1">
      <c r="A32" s="4">
        <v>11</v>
      </c>
      <c r="B32" s="105" t="s">
        <v>272</v>
      </c>
      <c r="C32" s="106">
        <v>713</v>
      </c>
      <c r="D32" s="106">
        <v>33551</v>
      </c>
      <c r="E32" s="106">
        <v>82452</v>
      </c>
      <c r="F32" s="106"/>
      <c r="G32" s="322">
        <f t="shared" si="21"/>
        <v>0</v>
      </c>
    </row>
    <row r="33" spans="1:12" ht="14.4" thickBot="1">
      <c r="A33" s="360">
        <v>12</v>
      </c>
      <c r="B33" s="105" t="s">
        <v>273</v>
      </c>
      <c r="C33" s="106">
        <v>443159</v>
      </c>
      <c r="D33" s="106">
        <v>56879</v>
      </c>
      <c r="E33" s="106">
        <v>8642</v>
      </c>
      <c r="F33" s="106"/>
      <c r="G33" s="323">
        <f t="shared" si="21"/>
        <v>0</v>
      </c>
    </row>
    <row r="34" spans="1:12" ht="13.5" customHeight="1" thickBot="1">
      <c r="A34" s="4">
        <v>13</v>
      </c>
      <c r="B34" s="344" t="s">
        <v>274</v>
      </c>
      <c r="C34" s="345">
        <f>SUM(C24:C25)</f>
        <v>1838349</v>
      </c>
      <c r="D34" s="345">
        <f>SUM(D24:D25)</f>
        <v>2073788</v>
      </c>
      <c r="E34" s="345">
        <f>SUM(E24:E25)</f>
        <v>3977919</v>
      </c>
      <c r="F34" s="345">
        <f>SUM(F24:F25)</f>
        <v>0</v>
      </c>
      <c r="G34" s="346">
        <f>SUM(G24:G25)</f>
        <v>0</v>
      </c>
      <c r="H34" s="259"/>
      <c r="I34" s="182"/>
      <c r="J34" s="182"/>
      <c r="K34" s="182"/>
      <c r="L34" s="182"/>
    </row>
    <row r="35" spans="1:12">
      <c r="A35" s="360">
        <v>14</v>
      </c>
      <c r="B35" s="341" t="s">
        <v>275</v>
      </c>
      <c r="C35" s="342">
        <f t="shared" ref="C35:D35" si="23">SUM(C36:C38)</f>
        <v>253629</v>
      </c>
      <c r="D35" s="342">
        <f t="shared" si="23"/>
        <v>1183989</v>
      </c>
      <c r="E35" s="342">
        <f t="shared" ref="E35" si="24">SUM(E36:E38)</f>
        <v>1216156</v>
      </c>
      <c r="F35" s="342">
        <f>SUM(F36:F38)</f>
        <v>0</v>
      </c>
      <c r="G35" s="343">
        <f>SUM(G36:G38)</f>
        <v>0</v>
      </c>
    </row>
    <row r="36" spans="1:12" ht="12.75" customHeight="1">
      <c r="A36" s="4">
        <v>15</v>
      </c>
      <c r="B36" s="104" t="s">
        <v>276</v>
      </c>
      <c r="C36" s="109">
        <v>253284</v>
      </c>
      <c r="D36" s="109">
        <f>576927+500000</f>
        <v>1076927</v>
      </c>
      <c r="E36" s="109">
        <f>520057+600000</f>
        <v>1120057</v>
      </c>
      <c r="F36" s="109"/>
      <c r="G36" s="324">
        <f t="shared" ref="G36:G37" si="25">$F36</f>
        <v>0</v>
      </c>
    </row>
    <row r="37" spans="1:12">
      <c r="A37" s="360">
        <v>16</v>
      </c>
      <c r="B37" s="104" t="s">
        <v>277</v>
      </c>
      <c r="C37" s="109"/>
      <c r="D37" s="109">
        <v>106717</v>
      </c>
      <c r="E37" s="109">
        <v>95754</v>
      </c>
      <c r="F37" s="109"/>
      <c r="G37" s="324">
        <f t="shared" si="25"/>
        <v>0</v>
      </c>
    </row>
    <row r="38" spans="1:12" ht="12.75" customHeight="1">
      <c r="A38" s="4">
        <v>17</v>
      </c>
      <c r="B38" s="104" t="s">
        <v>278</v>
      </c>
      <c r="C38" s="109">
        <v>345</v>
      </c>
      <c r="D38" s="109">
        <v>345</v>
      </c>
      <c r="E38" s="109">
        <v>345</v>
      </c>
      <c r="F38" s="109"/>
      <c r="G38" s="324">
        <f>$F38</f>
        <v>0</v>
      </c>
    </row>
    <row r="39" spans="1:12">
      <c r="A39" s="360">
        <v>18</v>
      </c>
      <c r="B39" s="333" t="s">
        <v>279</v>
      </c>
      <c r="C39" s="334">
        <f>SUM(C40:C41,C46:C47)</f>
        <v>1177773</v>
      </c>
      <c r="D39" s="334">
        <f>SUM(D40:D41,D46:D47)</f>
        <v>1250185</v>
      </c>
      <c r="E39" s="334">
        <f>SUM(E40:E41,E46:E47)</f>
        <v>2726307</v>
      </c>
      <c r="F39" s="334">
        <f>SUM(F40:F41,F46:F47)</f>
        <v>0</v>
      </c>
      <c r="G39" s="335">
        <f>SUM(G40:G41,G46:G47)</f>
        <v>0</v>
      </c>
      <c r="H39" s="258"/>
    </row>
    <row r="40" spans="1:12" ht="12.75" customHeight="1">
      <c r="A40" s="4">
        <v>19</v>
      </c>
      <c r="B40" s="104" t="s">
        <v>280</v>
      </c>
      <c r="C40" s="103">
        <v>666851</v>
      </c>
      <c r="D40" s="103">
        <v>330903</v>
      </c>
      <c r="E40" s="103">
        <v>503588</v>
      </c>
      <c r="F40" s="103"/>
      <c r="G40" s="325">
        <f t="shared" ref="G40:G47" si="26">$F40</f>
        <v>0</v>
      </c>
    </row>
    <row r="41" spans="1:12">
      <c r="A41" s="360">
        <v>20</v>
      </c>
      <c r="B41" s="336" t="s">
        <v>281</v>
      </c>
      <c r="C41" s="337">
        <f>SUM(C42:C45)</f>
        <v>134811</v>
      </c>
      <c r="D41" s="337">
        <f t="shared" ref="D41" si="27">SUM(D42:D45)</f>
        <v>592890</v>
      </c>
      <c r="E41" s="337">
        <f>SUM(E42:E45)</f>
        <v>1869746</v>
      </c>
      <c r="F41" s="337">
        <f>SUM(F42:F45)</f>
        <v>0</v>
      </c>
      <c r="G41" s="347">
        <f>SUM(G42:G45)</f>
        <v>0</v>
      </c>
      <c r="J41" s="182"/>
    </row>
    <row r="42" spans="1:12" ht="12.75" customHeight="1">
      <c r="A42" s="4">
        <v>21</v>
      </c>
      <c r="B42" s="339" t="s">
        <v>278</v>
      </c>
      <c r="C42" s="103">
        <v>103892</v>
      </c>
      <c r="D42" s="103">
        <v>523190</v>
      </c>
      <c r="E42" s="103">
        <v>1794546</v>
      </c>
      <c r="F42" s="103"/>
      <c r="G42" s="325">
        <f t="shared" si="26"/>
        <v>0</v>
      </c>
    </row>
    <row r="43" spans="1:12">
      <c r="A43" s="360">
        <v>22</v>
      </c>
      <c r="B43" s="339" t="s">
        <v>298</v>
      </c>
      <c r="C43" s="103"/>
      <c r="D43" s="103"/>
      <c r="E43" s="103"/>
      <c r="F43" s="103"/>
      <c r="G43" s="325">
        <f t="shared" si="26"/>
        <v>0</v>
      </c>
    </row>
    <row r="44" spans="1:12">
      <c r="A44" s="4">
        <v>23</v>
      </c>
      <c r="B44" s="339" t="s">
        <v>299</v>
      </c>
      <c r="C44" s="103"/>
      <c r="D44" s="103">
        <v>60000</v>
      </c>
      <c r="E44" s="103">
        <v>60000</v>
      </c>
      <c r="F44" s="103"/>
      <c r="G44" s="325">
        <f t="shared" si="26"/>
        <v>0</v>
      </c>
    </row>
    <row r="45" spans="1:12">
      <c r="A45" s="360">
        <v>24</v>
      </c>
      <c r="B45" s="339" t="s">
        <v>297</v>
      </c>
      <c r="C45" s="103">
        <f>22719+8200</f>
        <v>30919</v>
      </c>
      <c r="D45" s="103">
        <f>9700</f>
        <v>9700</v>
      </c>
      <c r="E45" s="103">
        <v>15200</v>
      </c>
      <c r="F45" s="103"/>
      <c r="G45" s="325">
        <f t="shared" si="26"/>
        <v>0</v>
      </c>
    </row>
    <row r="46" spans="1:12">
      <c r="A46" s="4">
        <v>25</v>
      </c>
      <c r="B46" s="104" t="s">
        <v>276</v>
      </c>
      <c r="C46" s="103">
        <f>255822+52584</f>
        <v>308406</v>
      </c>
      <c r="D46" s="795">
        <f>171725+144384</f>
        <v>316109</v>
      </c>
      <c r="E46" s="795">
        <f>188894+153116</f>
        <v>342010</v>
      </c>
      <c r="F46" s="103"/>
      <c r="G46" s="325">
        <f t="shared" si="26"/>
        <v>0</v>
      </c>
    </row>
    <row r="47" spans="1:12" ht="14.4" thickBot="1">
      <c r="A47" s="360">
        <v>26</v>
      </c>
      <c r="B47" s="104" t="s">
        <v>277</v>
      </c>
      <c r="C47" s="103">
        <v>67705</v>
      </c>
      <c r="D47" s="103">
        <f>10283</f>
        <v>10283</v>
      </c>
      <c r="E47" s="103">
        <v>10963</v>
      </c>
      <c r="F47" s="103"/>
      <c r="G47" s="325">
        <f t="shared" si="26"/>
        <v>0</v>
      </c>
    </row>
    <row r="48" spans="1:12" ht="14.4" thickBot="1">
      <c r="A48" s="4">
        <v>27</v>
      </c>
      <c r="B48" s="344" t="s">
        <v>282</v>
      </c>
      <c r="C48" s="345">
        <f>SUM(C35,C39)</f>
        <v>1431402</v>
      </c>
      <c r="D48" s="345">
        <f>SUM(D35,D39)</f>
        <v>2434174</v>
      </c>
      <c r="E48" s="345">
        <f>SUM(E35,E39)</f>
        <v>3942463</v>
      </c>
      <c r="F48" s="345">
        <f>SUM(F35,F39)</f>
        <v>0</v>
      </c>
      <c r="G48" s="346">
        <f>SUM(G35,G39)</f>
        <v>0</v>
      </c>
    </row>
    <row r="49" spans="1:9">
      <c r="A49" s="360">
        <v>28</v>
      </c>
      <c r="B49" s="370" t="s">
        <v>283</v>
      </c>
      <c r="C49" s="368">
        <f>SUM(C50:C52)</f>
        <v>406947</v>
      </c>
      <c r="D49" s="368">
        <f t="shared" ref="D49:E49" si="28">SUM(D50:D52)</f>
        <v>-360386</v>
      </c>
      <c r="E49" s="368">
        <f t="shared" si="28"/>
        <v>35456</v>
      </c>
      <c r="F49" s="368">
        <f>SUM(F50:F52)</f>
        <v>0</v>
      </c>
      <c r="G49" s="368">
        <f>SUM(G50:G52)</f>
        <v>0</v>
      </c>
      <c r="H49" s="390"/>
    </row>
    <row r="50" spans="1:9">
      <c r="A50" s="4">
        <v>29</v>
      </c>
      <c r="B50" s="108" t="s">
        <v>284</v>
      </c>
      <c r="C50" s="107">
        <v>1050000</v>
      </c>
      <c r="D50" s="107">
        <v>1050000</v>
      </c>
      <c r="E50" s="107">
        <v>1050000</v>
      </c>
      <c r="F50" s="107"/>
      <c r="G50" s="325">
        <f>F50</f>
        <v>0</v>
      </c>
    </row>
    <row r="51" spans="1:9">
      <c r="A51" s="4">
        <v>30</v>
      </c>
      <c r="B51" s="398" t="s">
        <v>285</v>
      </c>
      <c r="C51" s="369">
        <v>-643053</v>
      </c>
      <c r="D51" s="369">
        <v>-1410386</v>
      </c>
      <c r="E51" s="369">
        <v>-1014544</v>
      </c>
      <c r="F51" s="369"/>
      <c r="G51" s="325">
        <f>F51</f>
        <v>0</v>
      </c>
      <c r="I51" s="182">
        <f>E51+F17</f>
        <v>-1014544</v>
      </c>
    </row>
    <row r="52" spans="1:9" ht="14.4" thickBot="1">
      <c r="A52" s="4">
        <v>31</v>
      </c>
      <c r="B52" s="396" t="s">
        <v>286</v>
      </c>
      <c r="C52" s="366"/>
      <c r="D52" s="397"/>
      <c r="E52" s="397"/>
      <c r="F52" s="397"/>
      <c r="G52" s="367">
        <f>F52</f>
        <v>0</v>
      </c>
    </row>
    <row r="53" spans="1:9" ht="14.4" thickBot="1">
      <c r="A53" s="4">
        <v>32</v>
      </c>
      <c r="B53" s="344" t="s">
        <v>287</v>
      </c>
      <c r="C53" s="345">
        <f>C48+C49</f>
        <v>1838349</v>
      </c>
      <c r="D53" s="345">
        <f t="shared" ref="D53:E53" si="29">D48+D49</f>
        <v>2073788</v>
      </c>
      <c r="E53" s="345">
        <f t="shared" si="29"/>
        <v>3977919</v>
      </c>
      <c r="F53" s="345">
        <f t="shared" ref="F53:G53" si="30">F48+F49</f>
        <v>0</v>
      </c>
      <c r="G53" s="346">
        <f t="shared" si="30"/>
        <v>0</v>
      </c>
    </row>
    <row r="54" spans="1:9">
      <c r="C54" s="182">
        <f>C34-C48</f>
        <v>406947</v>
      </c>
      <c r="D54" s="182">
        <f>D34-D48</f>
        <v>-360386</v>
      </c>
      <c r="E54" s="182">
        <f>E34-E48</f>
        <v>35456</v>
      </c>
      <c r="F54" s="182">
        <f>F34-F48</f>
        <v>0</v>
      </c>
    </row>
    <row r="55" spans="1:9" ht="14.4" thickBot="1">
      <c r="C55" s="182">
        <f>C53-C34</f>
        <v>0</v>
      </c>
      <c r="D55" s="182">
        <f>D53-D34</f>
        <v>0</v>
      </c>
      <c r="E55" s="182">
        <f>E53-E34</f>
        <v>0</v>
      </c>
      <c r="F55" s="182">
        <f>F53-F34</f>
        <v>0</v>
      </c>
    </row>
    <row r="56" spans="1:9" ht="14.4" thickBot="1">
      <c r="B56" s="344" t="s">
        <v>300</v>
      </c>
      <c r="C56" s="372">
        <v>1050000</v>
      </c>
      <c r="D56" s="372">
        <v>1050000</v>
      </c>
      <c r="E56" s="372">
        <v>1050000</v>
      </c>
      <c r="F56" s="372"/>
      <c r="G56" s="373">
        <f>F56</f>
        <v>0</v>
      </c>
    </row>
    <row r="57" spans="1:9">
      <c r="C57" s="228"/>
      <c r="D57" s="228"/>
      <c r="E57" s="228"/>
    </row>
    <row r="58" spans="1:9">
      <c r="C58" s="228"/>
      <c r="D58" s="228" t="b">
        <f>IF(D51=C51+D17, TRUE, FALSE)</f>
        <v>1</v>
      </c>
      <c r="E58" s="228" t="b">
        <f t="shared" ref="E58:F58" si="31">IF(E51=D51+E17, TRUE, FALSE)</f>
        <v>1</v>
      </c>
      <c r="F58" s="228" t="b">
        <f t="shared" si="31"/>
        <v>0</v>
      </c>
    </row>
    <row r="59" spans="1:9">
      <c r="C59" s="228"/>
      <c r="D59" s="228"/>
      <c r="E59" s="228"/>
    </row>
    <row r="60" spans="1:9">
      <c r="C60" s="228"/>
      <c r="D60" s="228"/>
      <c r="E60" s="228"/>
    </row>
    <row r="61" spans="1:9" ht="14.4" thickBot="1">
      <c r="C61" s="228"/>
      <c r="D61" s="228"/>
      <c r="E61" s="228"/>
      <c r="F61" s="182">
        <f>E51+F17</f>
        <v>-1014544</v>
      </c>
    </row>
    <row r="62" spans="1:9">
      <c r="B62" s="328" t="s">
        <v>262</v>
      </c>
      <c r="C62" s="329">
        <f>C21</f>
        <v>44651</v>
      </c>
      <c r="D62" s="329">
        <f t="shared" ref="D62:G62" si="32">D21</f>
        <v>45016</v>
      </c>
      <c r="E62" s="329">
        <f t="shared" si="32"/>
        <v>45382</v>
      </c>
      <c r="F62" s="329">
        <f t="shared" si="32"/>
        <v>45535</v>
      </c>
      <c r="G62" s="330">
        <f t="shared" si="32"/>
        <v>45535</v>
      </c>
    </row>
    <row r="63" spans="1:9" ht="27.6">
      <c r="B63" s="357" t="s">
        <v>260</v>
      </c>
      <c r="C63" s="326" t="str">
        <f t="shared" ref="C63:G66" si="33">C22</f>
        <v>Audited-31032022</v>
      </c>
      <c r="D63" s="326" t="str">
        <f t="shared" si="33"/>
        <v>Audited-31032023</v>
      </c>
      <c r="E63" s="326" t="str">
        <f t="shared" si="33"/>
        <v>Audited-31032024</v>
      </c>
      <c r="F63" s="326" t="str">
        <f t="shared" si="33"/>
        <v>Mgmt Acc-31082024</v>
      </c>
      <c r="G63" s="358" t="str">
        <f t="shared" si="33"/>
        <v>Annualised-31082024</v>
      </c>
    </row>
    <row r="64" spans="1:9" ht="14.4" thickBot="1">
      <c r="A64" s="360">
        <v>2</v>
      </c>
      <c r="B64" s="386" t="s">
        <v>293</v>
      </c>
      <c r="C64" s="359" t="str">
        <f t="shared" si="33"/>
        <v>Yes</v>
      </c>
      <c r="D64" s="359" t="str">
        <f t="shared" si="33"/>
        <v>Yes</v>
      </c>
      <c r="E64" s="359" t="str">
        <f t="shared" si="33"/>
        <v>N/A</v>
      </c>
      <c r="F64" s="359" t="str">
        <f t="shared" si="33"/>
        <v>N/A</v>
      </c>
      <c r="G64" s="388" t="str">
        <f t="shared" si="33"/>
        <v>N/A</v>
      </c>
    </row>
    <row r="65" spans="1:7">
      <c r="A65" s="4">
        <f>A64+1</f>
        <v>3</v>
      </c>
      <c r="B65" s="387" t="s">
        <v>266</v>
      </c>
      <c r="C65" s="356">
        <f>C24</f>
        <v>192935</v>
      </c>
      <c r="D65" s="356">
        <f t="shared" si="33"/>
        <v>242498</v>
      </c>
      <c r="E65" s="356">
        <f t="shared" si="33"/>
        <v>125530</v>
      </c>
      <c r="F65" s="356">
        <f t="shared" si="33"/>
        <v>0</v>
      </c>
      <c r="G65" s="340">
        <f t="shared" si="33"/>
        <v>0</v>
      </c>
    </row>
    <row r="66" spans="1:7" ht="14.4" thickBot="1">
      <c r="A66" s="4">
        <f t="shared" ref="A66:A74" si="34">A65+1</f>
        <v>4</v>
      </c>
      <c r="B66" s="333" t="s">
        <v>268</v>
      </c>
      <c r="C66" s="334">
        <f>C25</f>
        <v>1645414</v>
      </c>
      <c r="D66" s="334">
        <f t="shared" si="33"/>
        <v>1831290</v>
      </c>
      <c r="E66" s="334">
        <f t="shared" si="33"/>
        <v>3852389</v>
      </c>
      <c r="F66" s="334">
        <f t="shared" si="33"/>
        <v>0</v>
      </c>
      <c r="G66" s="335">
        <f t="shared" si="33"/>
        <v>0</v>
      </c>
    </row>
    <row r="67" spans="1:7" ht="14.4" thickBot="1">
      <c r="A67" s="4">
        <f t="shared" si="34"/>
        <v>5</v>
      </c>
      <c r="B67" s="344" t="s">
        <v>274</v>
      </c>
      <c r="C67" s="345">
        <f>C34</f>
        <v>1838349</v>
      </c>
      <c r="D67" s="345">
        <f t="shared" ref="D67:G68" si="35">D34</f>
        <v>2073788</v>
      </c>
      <c r="E67" s="345">
        <f t="shared" si="35"/>
        <v>3977919</v>
      </c>
      <c r="F67" s="345">
        <f t="shared" si="35"/>
        <v>0</v>
      </c>
      <c r="G67" s="346">
        <f t="shared" si="35"/>
        <v>0</v>
      </c>
    </row>
    <row r="68" spans="1:7">
      <c r="A68" s="4">
        <f t="shared" si="34"/>
        <v>6</v>
      </c>
      <c r="B68" s="341" t="s">
        <v>275</v>
      </c>
      <c r="C68" s="342">
        <f>C35</f>
        <v>253629</v>
      </c>
      <c r="D68" s="342">
        <f t="shared" si="35"/>
        <v>1183989</v>
      </c>
      <c r="E68" s="342">
        <f t="shared" si="35"/>
        <v>1216156</v>
      </c>
      <c r="F68" s="342">
        <f t="shared" si="35"/>
        <v>0</v>
      </c>
      <c r="G68" s="343">
        <f t="shared" si="35"/>
        <v>0</v>
      </c>
    </row>
    <row r="69" spans="1:7" ht="14.4" thickBot="1">
      <c r="A69" s="4">
        <f t="shared" si="34"/>
        <v>7</v>
      </c>
      <c r="B69" s="333" t="s">
        <v>279</v>
      </c>
      <c r="C69" s="334">
        <f>C39</f>
        <v>1177773</v>
      </c>
      <c r="D69" s="334">
        <f t="shared" ref="D69:G69" si="36">D39</f>
        <v>1250185</v>
      </c>
      <c r="E69" s="334">
        <f t="shared" si="36"/>
        <v>2726307</v>
      </c>
      <c r="F69" s="334">
        <f t="shared" si="36"/>
        <v>0</v>
      </c>
      <c r="G69" s="335">
        <f t="shared" si="36"/>
        <v>0</v>
      </c>
    </row>
    <row r="70" spans="1:7" ht="14.4" thickBot="1">
      <c r="A70" s="4">
        <f t="shared" si="34"/>
        <v>8</v>
      </c>
      <c r="B70" s="344" t="s">
        <v>282</v>
      </c>
      <c r="C70" s="345">
        <f>C48</f>
        <v>1431402</v>
      </c>
      <c r="D70" s="345">
        <f t="shared" ref="D70:G70" si="37">D48</f>
        <v>2434174</v>
      </c>
      <c r="E70" s="345">
        <f t="shared" si="37"/>
        <v>3942463</v>
      </c>
      <c r="F70" s="345">
        <f t="shared" si="37"/>
        <v>0</v>
      </c>
      <c r="G70" s="346">
        <f t="shared" si="37"/>
        <v>0</v>
      </c>
    </row>
    <row r="71" spans="1:7">
      <c r="A71" s="4">
        <v>9</v>
      </c>
      <c r="B71" s="108" t="s">
        <v>284</v>
      </c>
      <c r="C71" s="369">
        <f>C50</f>
        <v>1050000</v>
      </c>
      <c r="D71" s="369">
        <f t="shared" ref="D71:G71" si="38">D50</f>
        <v>1050000</v>
      </c>
      <c r="E71" s="107">
        <f t="shared" si="38"/>
        <v>1050000</v>
      </c>
      <c r="F71" s="107">
        <f t="shared" si="38"/>
        <v>0</v>
      </c>
      <c r="G71" s="325">
        <f t="shared" si="38"/>
        <v>0</v>
      </c>
    </row>
    <row r="72" spans="1:7">
      <c r="A72" s="4">
        <v>10</v>
      </c>
      <c r="B72" s="398" t="s">
        <v>785</v>
      </c>
      <c r="C72" s="369">
        <f>C52</f>
        <v>0</v>
      </c>
      <c r="D72" s="369">
        <f t="shared" ref="D72:G72" si="39">D52</f>
        <v>0</v>
      </c>
      <c r="E72" s="369">
        <f t="shared" si="39"/>
        <v>0</v>
      </c>
      <c r="F72" s="369">
        <f t="shared" si="39"/>
        <v>0</v>
      </c>
      <c r="G72" s="325">
        <f t="shared" si="39"/>
        <v>0</v>
      </c>
    </row>
    <row r="73" spans="1:7">
      <c r="A73" s="4">
        <f t="shared" si="34"/>
        <v>11</v>
      </c>
      <c r="B73" s="398" t="s">
        <v>786</v>
      </c>
      <c r="C73" s="369">
        <f>C51</f>
        <v>-643053</v>
      </c>
      <c r="D73" s="369">
        <f t="shared" ref="D73:G73" si="40">D51</f>
        <v>-1410386</v>
      </c>
      <c r="E73" s="369">
        <f t="shared" si="40"/>
        <v>-1014544</v>
      </c>
      <c r="F73" s="369">
        <f t="shared" si="40"/>
        <v>0</v>
      </c>
      <c r="G73" s="325">
        <f t="shared" si="40"/>
        <v>0</v>
      </c>
    </row>
    <row r="74" spans="1:7">
      <c r="A74" s="4">
        <f t="shared" si="34"/>
        <v>12</v>
      </c>
      <c r="B74" s="398" t="s">
        <v>787</v>
      </c>
      <c r="C74" s="369">
        <v>0</v>
      </c>
      <c r="D74" s="369">
        <v>0</v>
      </c>
      <c r="E74" s="369">
        <v>0</v>
      </c>
      <c r="F74" s="369">
        <v>0</v>
      </c>
      <c r="G74" s="325">
        <v>0</v>
      </c>
    </row>
    <row r="75" spans="1:7" ht="14.4" thickBot="1">
      <c r="A75" s="4">
        <v>13</v>
      </c>
      <c r="B75" s="370" t="s">
        <v>283</v>
      </c>
      <c r="C75" s="368">
        <f>SUM(C71:C74)</f>
        <v>406947</v>
      </c>
      <c r="D75" s="368">
        <f>SUM(D71:D74)</f>
        <v>-360386</v>
      </c>
      <c r="E75" s="368">
        <f>SUM(E71:E74)</f>
        <v>35456</v>
      </c>
      <c r="F75" s="368">
        <f>SUM(F71:F74)</f>
        <v>0</v>
      </c>
      <c r="G75" s="335">
        <f>SUM(G71:G74)</f>
        <v>0</v>
      </c>
    </row>
    <row r="76" spans="1:7" ht="14.4" thickBot="1">
      <c r="A76" s="4">
        <v>14</v>
      </c>
      <c r="B76" s="344" t="s">
        <v>287</v>
      </c>
      <c r="C76" s="345">
        <f>C53</f>
        <v>1838349</v>
      </c>
      <c r="D76" s="345">
        <f t="shared" ref="D76:G76" si="41">D53</f>
        <v>2073788</v>
      </c>
      <c r="E76" s="345">
        <f t="shared" si="41"/>
        <v>3977919</v>
      </c>
      <c r="F76" s="345">
        <f t="shared" si="41"/>
        <v>0</v>
      </c>
      <c r="G76" s="345">
        <f t="shared" si="41"/>
        <v>0</v>
      </c>
    </row>
    <row r="78" spans="1:7">
      <c r="C78" s="4" t="b">
        <f>C67=C76</f>
        <v>1</v>
      </c>
      <c r="D78" s="4" t="b">
        <f>D67=D76</f>
        <v>1</v>
      </c>
      <c r="E78" s="4" t="b">
        <f>E67=E76</f>
        <v>1</v>
      </c>
      <c r="F78" s="4" t="b">
        <f>F67=F76</f>
        <v>1</v>
      </c>
      <c r="G78" s="4" t="b">
        <f>G67=G76</f>
        <v>1</v>
      </c>
    </row>
    <row r="82" spans="1:7">
      <c r="B82" s="222" t="s">
        <v>230</v>
      </c>
      <c r="C82" s="180" t="str">
        <f>C3</f>
        <v>Audited</v>
      </c>
      <c r="D82" s="180" t="str">
        <f t="shared" ref="D82:G82" si="42">D3</f>
        <v>Audited</v>
      </c>
      <c r="E82" s="180" t="str">
        <f t="shared" si="42"/>
        <v>Audited</v>
      </c>
      <c r="F82" s="180" t="str">
        <f t="shared" si="42"/>
        <v>Mgmt Acc</v>
      </c>
      <c r="G82" s="320" t="str">
        <f t="shared" si="42"/>
        <v>Annualised</v>
      </c>
    </row>
    <row r="83" spans="1:7">
      <c r="B83" s="101" t="s">
        <v>235</v>
      </c>
      <c r="C83" s="180">
        <f t="shared" ref="C83:G85" si="43">C4</f>
        <v>44651</v>
      </c>
      <c r="D83" s="180">
        <f t="shared" si="43"/>
        <v>45016</v>
      </c>
      <c r="E83" s="326">
        <f t="shared" si="43"/>
        <v>45382</v>
      </c>
      <c r="F83" s="326">
        <f t="shared" si="43"/>
        <v>45535</v>
      </c>
      <c r="G83" s="326">
        <f t="shared" si="43"/>
        <v>45535</v>
      </c>
    </row>
    <row r="84" spans="1:7" ht="27.6">
      <c r="B84" s="101" t="s">
        <v>290</v>
      </c>
      <c r="C84" s="326" t="str">
        <f t="shared" si="43"/>
        <v>Audited-31032022</v>
      </c>
      <c r="D84" s="326" t="str">
        <f t="shared" si="43"/>
        <v>Audited-31032023</v>
      </c>
      <c r="E84" s="326" t="str">
        <f t="shared" si="43"/>
        <v>Audited-31032024</v>
      </c>
      <c r="F84" s="326" t="str">
        <f t="shared" si="43"/>
        <v>Mgmt Acc-31082024</v>
      </c>
      <c r="G84" s="326" t="str">
        <f t="shared" si="43"/>
        <v>Annualised-31082024</v>
      </c>
    </row>
    <row r="85" spans="1:7">
      <c r="A85" s="4">
        <v>2</v>
      </c>
      <c r="B85" s="7" t="s">
        <v>237</v>
      </c>
      <c r="C85" s="256">
        <f>C6</f>
        <v>2166279</v>
      </c>
      <c r="D85" s="256">
        <f t="shared" si="43"/>
        <v>285015</v>
      </c>
      <c r="E85" s="256">
        <f t="shared" si="43"/>
        <v>2100166</v>
      </c>
      <c r="F85" s="256">
        <f t="shared" si="43"/>
        <v>0</v>
      </c>
      <c r="G85" s="350">
        <f>IF($G$2&lt;365,$F85*365/$G$2,$F85)</f>
        <v>0</v>
      </c>
    </row>
    <row r="86" spans="1:7">
      <c r="A86" s="4">
        <v>3</v>
      </c>
      <c r="B86" s="354" t="s">
        <v>788</v>
      </c>
      <c r="C86" s="355">
        <f>SUM(C16:C17)</f>
        <v>-575383</v>
      </c>
      <c r="D86" s="355">
        <f>SUM(D16:D17)</f>
        <v>-767333</v>
      </c>
      <c r="E86" s="355">
        <f>SUM(E16:E17)</f>
        <v>395842</v>
      </c>
      <c r="F86" s="355">
        <f>SUM(F16:F17)</f>
        <v>0</v>
      </c>
      <c r="G86" s="355">
        <f>SUM(G16:G17)</f>
        <v>-415343</v>
      </c>
    </row>
    <row r="87" spans="1:7">
      <c r="A87" s="4">
        <v>4</v>
      </c>
      <c r="B87" s="354" t="s">
        <v>789</v>
      </c>
      <c r="C87" s="355">
        <f>C17</f>
        <v>-593880</v>
      </c>
      <c r="D87" s="355">
        <f t="shared" ref="D87:G88" si="44">D17</f>
        <v>-767333</v>
      </c>
      <c r="E87" s="355">
        <f t="shared" si="44"/>
        <v>395842</v>
      </c>
      <c r="F87" s="355">
        <f t="shared" si="44"/>
        <v>0</v>
      </c>
      <c r="G87" s="355">
        <f t="shared" si="44"/>
        <v>-415343</v>
      </c>
    </row>
    <row r="88" spans="1:7">
      <c r="A88" s="4">
        <v>5</v>
      </c>
      <c r="B88" s="7" t="s">
        <v>790</v>
      </c>
      <c r="C88" s="375">
        <f>C18</f>
        <v>0</v>
      </c>
      <c r="D88" s="375">
        <f t="shared" si="44"/>
        <v>0</v>
      </c>
      <c r="E88" s="375">
        <f t="shared" si="44"/>
        <v>0</v>
      </c>
      <c r="F88" s="375">
        <f t="shared" si="44"/>
        <v>0</v>
      </c>
      <c r="G88" s="374">
        <f t="shared" si="44"/>
        <v>0</v>
      </c>
    </row>
    <row r="89" spans="1:7">
      <c r="A89" s="4">
        <v>6</v>
      </c>
      <c r="B89" s="7" t="s">
        <v>791</v>
      </c>
      <c r="C89" s="375">
        <v>0</v>
      </c>
      <c r="D89" s="375">
        <v>0</v>
      </c>
      <c r="E89" s="375">
        <v>0</v>
      </c>
      <c r="F89" s="375">
        <v>0</v>
      </c>
      <c r="G89" s="374">
        <v>0</v>
      </c>
    </row>
  </sheetData>
  <dataValidations count="1">
    <dataValidation type="list" allowBlank="1" showInputMessage="1" showErrorMessage="1" sqref="C23:G23 J29 C64:G64" xr:uid="{920FB2E9-BF9E-44AD-8288-A0E22DE2C0D3}">
      <formula1>$X$3:$X$5</formula1>
    </dataValidation>
  </dataValidations>
  <printOptions horizontalCentered="1"/>
  <pageMargins left="0.11811023622047245" right="0.11811023622047245" top="0.15748031496062992" bottom="0.15748031496062992" header="0.31496062992125984" footer="0.31496062992125984"/>
  <pageSetup paperSize="9" scale="35" orientation="portrait" horizontalDpi="300" verticalDpi="300"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D87EF3-CF98-45F2-867E-62D86822ABFD}">
  <sheetPr codeName="Sheet3"/>
  <dimension ref="A2:P133"/>
  <sheetViews>
    <sheetView topLeftCell="A90" zoomScale="85" zoomScaleNormal="85" workbookViewId="0">
      <selection activeCell="J54" sqref="J54"/>
    </sheetView>
  </sheetViews>
  <sheetFormatPr defaultColWidth="9.109375" defaultRowHeight="13.8"/>
  <cols>
    <col min="1" max="1" width="9.109375" style="1"/>
    <col min="2" max="2" width="15.6640625" style="20" customWidth="1"/>
    <col min="3" max="3" width="28" style="4" customWidth="1"/>
    <col min="4" max="4" width="13.109375" style="2" bestFit="1" customWidth="1"/>
    <col min="5" max="5" width="16.44140625" style="2" bestFit="1" customWidth="1"/>
    <col min="6" max="6" width="13.6640625" style="2" customWidth="1"/>
    <col min="7" max="7" width="13.6640625" style="20" customWidth="1"/>
    <col min="8" max="8" width="14.44140625" style="2" customWidth="1"/>
    <col min="9" max="9" width="2.5546875" style="2" customWidth="1"/>
    <col min="10" max="10" width="12.88671875" style="2" bestFit="1" customWidth="1"/>
    <col min="11" max="11" width="16" style="2" customWidth="1"/>
    <col min="12" max="12" width="16.109375" style="1" customWidth="1"/>
    <col min="13" max="13" width="17.44140625" style="1" customWidth="1"/>
    <col min="14" max="14" width="16.88671875" style="1" customWidth="1"/>
    <col min="15" max="16" width="9.109375" style="1"/>
    <col min="17" max="17" width="12" style="1" bestFit="1" customWidth="1"/>
    <col min="18" max="16384" width="9.109375" style="1"/>
  </cols>
  <sheetData>
    <row r="2" spans="2:13">
      <c r="B2" s="116" t="s">
        <v>301</v>
      </c>
    </row>
    <row r="3" spans="2:13">
      <c r="B3" s="117"/>
      <c r="E3" s="121"/>
      <c r="F3" s="121"/>
      <c r="G3" s="121"/>
      <c r="H3" s="121"/>
      <c r="J3" s="20"/>
      <c r="L3" s="63" t="s">
        <v>302</v>
      </c>
      <c r="M3" s="64"/>
    </row>
    <row r="4" spans="2:13">
      <c r="B4" s="140" t="s">
        <v>303</v>
      </c>
      <c r="C4" s="141"/>
      <c r="D4" s="141"/>
      <c r="E4" s="141"/>
      <c r="F4" s="141"/>
      <c r="G4" s="141"/>
      <c r="H4" s="141"/>
      <c r="J4" s="141"/>
      <c r="K4" s="141"/>
      <c r="L4" s="141"/>
      <c r="M4" s="142"/>
    </row>
    <row r="5" spans="2:13" s="115" customFormat="1" ht="27.6">
      <c r="B5" s="118" t="s">
        <v>48</v>
      </c>
      <c r="C5" s="118" t="s">
        <v>94</v>
      </c>
      <c r="D5" s="118" t="s">
        <v>304</v>
      </c>
      <c r="E5" s="118" t="s">
        <v>305</v>
      </c>
      <c r="F5" s="118" t="s">
        <v>306</v>
      </c>
      <c r="G5" s="118" t="s">
        <v>307</v>
      </c>
      <c r="H5" s="118" t="s">
        <v>308</v>
      </c>
      <c r="I5" s="2"/>
      <c r="J5" s="118" t="s">
        <v>309</v>
      </c>
      <c r="K5" s="118" t="s">
        <v>310</v>
      </c>
      <c r="L5" s="118" t="s">
        <v>311</v>
      </c>
      <c r="M5" s="118" t="s">
        <v>95</v>
      </c>
    </row>
    <row r="6" spans="2:13" s="115" customFormat="1" ht="24">
      <c r="B6" s="118"/>
      <c r="C6" s="139" t="s">
        <v>312</v>
      </c>
      <c r="D6" s="221">
        <f>'Summary of Information'!C4</f>
        <v>44651</v>
      </c>
      <c r="E6" s="221">
        <f>'Summary of Information'!D4</f>
        <v>45016</v>
      </c>
      <c r="F6" s="221">
        <f>'Summary of Information'!E4</f>
        <v>45382</v>
      </c>
      <c r="G6" s="221">
        <f>'Summary of Information'!F4</f>
        <v>45535</v>
      </c>
      <c r="H6" s="202" t="s">
        <v>313</v>
      </c>
      <c r="I6" s="2"/>
      <c r="J6" s="118"/>
      <c r="K6" s="118"/>
      <c r="L6" s="118"/>
      <c r="M6" s="118"/>
    </row>
    <row r="7" spans="2:13" s="90" customFormat="1" ht="24.45" customHeight="1">
      <c r="B7" s="118"/>
      <c r="C7" s="139" t="s">
        <v>230</v>
      </c>
      <c r="D7" s="223" t="str">
        <f>'Summary of Information'!C3</f>
        <v>Audited</v>
      </c>
      <c r="E7" s="223" t="str">
        <f>'Summary of Information'!D3</f>
        <v>Audited</v>
      </c>
      <c r="F7" s="223" t="str">
        <f>'Summary of Information'!E3</f>
        <v>Audited</v>
      </c>
      <c r="G7" s="223" t="str">
        <f>'Summary of Information'!F3</f>
        <v>Mgmt Acc</v>
      </c>
      <c r="H7" s="203" t="s">
        <v>314</v>
      </c>
      <c r="I7" s="2"/>
      <c r="J7" s="118"/>
      <c r="K7" s="122"/>
      <c r="L7" s="122"/>
      <c r="M7" s="122"/>
    </row>
    <row r="8" spans="2:13" ht="25.2" customHeight="1">
      <c r="B8" s="99" t="s">
        <v>315</v>
      </c>
      <c r="C8" s="7" t="s">
        <v>316</v>
      </c>
      <c r="D8" s="185">
        <f>'Summary of Information'!C6</f>
        <v>2166279</v>
      </c>
      <c r="E8" s="185">
        <f>'Summary of Information'!D6</f>
        <v>285015</v>
      </c>
      <c r="F8" s="185">
        <f>'Summary of Information'!E6</f>
        <v>2100166</v>
      </c>
      <c r="G8" s="185">
        <f>'Summary of Information'!F6</f>
        <v>0</v>
      </c>
      <c r="H8" s="183">
        <f>'Summary of Information'!G6</f>
        <v>0</v>
      </c>
      <c r="J8" s="196" t="s">
        <v>317</v>
      </c>
      <c r="K8" s="136">
        <v>1.1000000000000001</v>
      </c>
      <c r="L8" s="75">
        <f>AVERAGE(E8:F8)*K8</f>
        <v>1311849.55</v>
      </c>
      <c r="M8" s="5"/>
    </row>
    <row r="9" spans="2:13" ht="25.2" customHeight="1">
      <c r="B9" s="99" t="s">
        <v>318</v>
      </c>
      <c r="C9" s="7" t="s">
        <v>319</v>
      </c>
      <c r="D9" s="185">
        <f>'Summary of Information'!C7</f>
        <v>2043055</v>
      </c>
      <c r="E9" s="185">
        <f>'Summary of Information'!D7</f>
        <v>145672</v>
      </c>
      <c r="F9" s="185">
        <f>'Summary of Information'!E7</f>
        <v>552057</v>
      </c>
      <c r="G9" s="185">
        <f>'Summary of Information'!F7</f>
        <v>0</v>
      </c>
      <c r="H9" s="183">
        <f>'Summary of Information'!G7</f>
        <v>0</v>
      </c>
      <c r="J9" s="196" t="s">
        <v>317</v>
      </c>
      <c r="K9" s="136">
        <v>1.1000000000000001</v>
      </c>
      <c r="L9" s="75">
        <f>AVERAGE(E9:F9)*K9</f>
        <v>383750.95</v>
      </c>
      <c r="M9" s="5"/>
    </row>
    <row r="10" spans="2:13" ht="25.2" customHeight="1">
      <c r="B10" s="99" t="s">
        <v>320</v>
      </c>
      <c r="C10" s="7" t="s">
        <v>321</v>
      </c>
      <c r="D10" s="185">
        <f>'Summary of Information'!C26</f>
        <v>34545</v>
      </c>
      <c r="E10" s="185">
        <f>'Summary of Information'!D26</f>
        <v>86869</v>
      </c>
      <c r="F10" s="185">
        <f>'Summary of Information'!E26</f>
        <v>1711102</v>
      </c>
      <c r="G10" s="185">
        <f>'Summary of Information'!F26</f>
        <v>0</v>
      </c>
      <c r="H10" s="183">
        <f>'Summary of Information'!G26</f>
        <v>0</v>
      </c>
      <c r="J10" s="196" t="s">
        <v>317</v>
      </c>
      <c r="K10" s="136">
        <v>1.1000000000000001</v>
      </c>
      <c r="L10" s="75">
        <f>F10*K10</f>
        <v>1882212.2000000002</v>
      </c>
      <c r="M10" s="5"/>
    </row>
    <row r="11" spans="2:13" ht="25.2" customHeight="1">
      <c r="B11" s="99" t="s">
        <v>322</v>
      </c>
      <c r="C11" s="7" t="s">
        <v>323</v>
      </c>
      <c r="D11" s="185">
        <f>'Summary of Information'!C32</f>
        <v>713</v>
      </c>
      <c r="E11" s="185">
        <f>'Summary of Information'!D32</f>
        <v>33551</v>
      </c>
      <c r="F11" s="185">
        <f>'Summary of Information'!E32</f>
        <v>82452</v>
      </c>
      <c r="G11" s="185">
        <f>'Summary of Information'!F32</f>
        <v>0</v>
      </c>
      <c r="H11" s="185">
        <f>'Summary of Information'!G32</f>
        <v>0</v>
      </c>
      <c r="J11" s="196" t="s">
        <v>317</v>
      </c>
      <c r="K11" s="136">
        <v>1</v>
      </c>
      <c r="L11" s="75">
        <f>F11*K11</f>
        <v>82452</v>
      </c>
      <c r="M11" s="5"/>
    </row>
    <row r="12" spans="2:13" ht="25.2" customHeight="1">
      <c r="B12" s="99" t="s">
        <v>324</v>
      </c>
      <c r="C12" s="7" t="s">
        <v>325</v>
      </c>
      <c r="D12" s="128">
        <f>SUM(D10:D11)</f>
        <v>35258</v>
      </c>
      <c r="E12" s="128">
        <f t="shared" ref="E12:H12" si="0">SUM(E10:E11)</f>
        <v>120420</v>
      </c>
      <c r="F12" s="128">
        <f>SUM(F10:F11)</f>
        <v>1793554</v>
      </c>
      <c r="G12" s="128">
        <f t="shared" si="0"/>
        <v>0</v>
      </c>
      <c r="H12" s="128">
        <f t="shared" si="0"/>
        <v>0</v>
      </c>
      <c r="J12" s="197" t="s">
        <v>326</v>
      </c>
      <c r="K12" s="136">
        <v>1.1000000000000001</v>
      </c>
      <c r="L12" s="128">
        <f t="shared" ref="L12" si="1">SUM(L10:L11)</f>
        <v>1964664.2000000002</v>
      </c>
      <c r="M12" s="5"/>
    </row>
    <row r="13" spans="2:13" ht="25.2" customHeight="1">
      <c r="B13" s="99" t="s">
        <v>327</v>
      </c>
      <c r="C13" s="7" t="s">
        <v>328</v>
      </c>
      <c r="D13" s="185">
        <f>'Summary of Information'!C40</f>
        <v>666851</v>
      </c>
      <c r="E13" s="185">
        <f>'Summary of Information'!D40</f>
        <v>330903</v>
      </c>
      <c r="F13" s="185">
        <f>'Summary of Information'!E40</f>
        <v>503588</v>
      </c>
      <c r="G13" s="185">
        <f>'Summary of Information'!F40</f>
        <v>0</v>
      </c>
      <c r="H13" s="123"/>
      <c r="J13" s="196" t="s">
        <v>317</v>
      </c>
      <c r="K13" s="136">
        <v>1.1000000000000001</v>
      </c>
      <c r="L13" s="75">
        <f>F13*K13</f>
        <v>553946.80000000005</v>
      </c>
      <c r="M13" s="5"/>
    </row>
    <row r="14" spans="2:13" ht="25.2" customHeight="1">
      <c r="B14" s="99" t="s">
        <v>329</v>
      </c>
      <c r="C14" s="7" t="s">
        <v>330</v>
      </c>
      <c r="D14" s="124">
        <f>D12-D13</f>
        <v>-631593</v>
      </c>
      <c r="E14" s="124">
        <f t="shared" ref="E14:F14" si="2">E12-E13</f>
        <v>-210483</v>
      </c>
      <c r="F14" s="124">
        <f t="shared" si="2"/>
        <v>1289966</v>
      </c>
      <c r="G14" s="124">
        <f t="shared" ref="G14" si="3">G12-G13</f>
        <v>0</v>
      </c>
      <c r="H14" s="124">
        <f t="shared" ref="H14" si="4">H12-H13</f>
        <v>0</v>
      </c>
      <c r="J14" s="197" t="s">
        <v>326</v>
      </c>
      <c r="K14" s="201"/>
      <c r="L14" s="124">
        <f t="shared" ref="L14" si="5">L12-L13</f>
        <v>1410717.4000000001</v>
      </c>
      <c r="M14" s="5"/>
    </row>
    <row r="15" spans="2:13" ht="25.2" customHeight="1">
      <c r="B15" s="99" t="s">
        <v>331</v>
      </c>
      <c r="C15" s="7" t="s">
        <v>332</v>
      </c>
      <c r="D15" s="124">
        <f>D14/D8*365</f>
        <v>-106.41816912779933</v>
      </c>
      <c r="E15" s="124">
        <f>E14/E8*365</f>
        <v>-269.5517604336614</v>
      </c>
      <c r="F15" s="124">
        <f>F14/F8*365</f>
        <v>224.19065445302897</v>
      </c>
      <c r="G15" s="124" t="e">
        <f>G14/G8*365</f>
        <v>#DIV/0!</v>
      </c>
      <c r="H15" s="124" t="e">
        <f>H14/H8*365</f>
        <v>#DIV/0!</v>
      </c>
      <c r="J15" s="197" t="s">
        <v>326</v>
      </c>
      <c r="K15" s="201"/>
      <c r="L15" s="124">
        <f>L14/L8*365</f>
        <v>392.50831088061898</v>
      </c>
      <c r="M15" s="5"/>
    </row>
    <row r="16" spans="2:13" ht="25.2" customHeight="1">
      <c r="B16" s="99" t="s">
        <v>333</v>
      </c>
      <c r="C16" s="7" t="s">
        <v>334</v>
      </c>
      <c r="D16" s="129">
        <f t="shared" ref="D16:E16" si="6">(D10/D8)*365</f>
        <v>5.8205452760240028</v>
      </c>
      <c r="E16" s="129">
        <f t="shared" si="6"/>
        <v>111.2474255740926</v>
      </c>
      <c r="F16" s="129">
        <f>(F10/F8)*365</f>
        <v>297.38231644546192</v>
      </c>
      <c r="G16" s="129" t="e">
        <f t="shared" ref="G16:H16" si="7">(G10/G8)*365</f>
        <v>#DIV/0!</v>
      </c>
      <c r="H16" s="129" t="e">
        <f t="shared" si="7"/>
        <v>#DIV/0!</v>
      </c>
      <c r="J16" s="197" t="s">
        <v>326</v>
      </c>
      <c r="K16" s="201"/>
      <c r="L16" s="129">
        <f>(L10/L8)*365</f>
        <v>523.69378256828304</v>
      </c>
      <c r="M16" s="5"/>
    </row>
    <row r="17" spans="1:16" ht="25.2" customHeight="1">
      <c r="B17" s="99" t="s">
        <v>335</v>
      </c>
      <c r="C17" s="7" t="s">
        <v>336</v>
      </c>
      <c r="D17" s="129">
        <f t="shared" ref="D17:E17" si="8">(D13/D9)*365</f>
        <v>119.1356155365372</v>
      </c>
      <c r="E17" s="129">
        <f t="shared" si="8"/>
        <v>829.12018095447308</v>
      </c>
      <c r="F17" s="129">
        <f>(F13/F9)*365</f>
        <v>332.95406090313139</v>
      </c>
      <c r="G17" s="129" t="e">
        <f t="shared" ref="G17:H17" si="9">(G13/G9)*365</f>
        <v>#DIV/0!</v>
      </c>
      <c r="H17" s="129" t="e">
        <f t="shared" si="9"/>
        <v>#DIV/0!</v>
      </c>
      <c r="J17" s="197" t="s">
        <v>326</v>
      </c>
      <c r="K17" s="201"/>
      <c r="L17" s="129">
        <f>(L13/L9)*365</f>
        <v>526.87969111216535</v>
      </c>
      <c r="M17" s="5"/>
    </row>
    <row r="18" spans="1:16" ht="25.2" customHeight="1">
      <c r="B18" s="99" t="s">
        <v>337</v>
      </c>
      <c r="C18" s="7" t="s">
        <v>338</v>
      </c>
      <c r="D18" s="128">
        <f>F18</f>
        <v>0</v>
      </c>
      <c r="E18" s="128">
        <f>F18</f>
        <v>0</v>
      </c>
      <c r="F18" s="185">
        <f>E43</f>
        <v>0</v>
      </c>
      <c r="G18" s="185">
        <f>F18</f>
        <v>0</v>
      </c>
      <c r="H18" s="185">
        <f>G18</f>
        <v>0</v>
      </c>
      <c r="J18" s="198" t="str">
        <f>E30</f>
        <v>Year (i -1)</v>
      </c>
      <c r="K18" s="201"/>
      <c r="L18" s="200">
        <f>F18</f>
        <v>0</v>
      </c>
      <c r="M18" s="5"/>
    </row>
    <row r="19" spans="1:16" ht="27.6">
      <c r="B19" s="190" t="s">
        <v>339</v>
      </c>
      <c r="C19" s="191" t="s">
        <v>340</v>
      </c>
      <c r="D19" s="192">
        <f>D18-D$14</f>
        <v>631593</v>
      </c>
      <c r="E19" s="192">
        <f>E18-E$14</f>
        <v>210483</v>
      </c>
      <c r="F19" s="193">
        <f>F18-F$14</f>
        <v>-1289966</v>
      </c>
      <c r="G19" s="193">
        <f t="shared" ref="G19:H19" si="10">G18-G$14</f>
        <v>0</v>
      </c>
      <c r="H19" s="193">
        <f t="shared" si="10"/>
        <v>0</v>
      </c>
      <c r="J19" s="199" t="s">
        <v>326</v>
      </c>
      <c r="K19" s="194"/>
      <c r="L19" s="193">
        <f>L18-L$14</f>
        <v>-1410717.4000000001</v>
      </c>
      <c r="M19" s="5"/>
    </row>
    <row r="20" spans="1:16" ht="55.2">
      <c r="A20" s="184" t="s">
        <v>341</v>
      </c>
      <c r="B20" s="99" t="s">
        <v>342</v>
      </c>
      <c r="C20" s="7" t="s">
        <v>343</v>
      </c>
      <c r="D20" s="128">
        <f>F20</f>
        <v>0</v>
      </c>
      <c r="E20" s="128">
        <f>F20</f>
        <v>0</v>
      </c>
      <c r="F20" s="185">
        <f>F18</f>
        <v>0</v>
      </c>
      <c r="G20" s="185">
        <f>F20</f>
        <v>0</v>
      </c>
      <c r="H20" s="185">
        <f>G20</f>
        <v>0</v>
      </c>
      <c r="J20" s="198" t="s">
        <v>326</v>
      </c>
      <c r="K20" s="201"/>
      <c r="L20" s="200">
        <f>F20</f>
        <v>0</v>
      </c>
      <c r="M20" s="5"/>
    </row>
    <row r="21" spans="1:16" ht="27.6">
      <c r="B21" s="190" t="s">
        <v>344</v>
      </c>
      <c r="C21" s="191" t="s">
        <v>340</v>
      </c>
      <c r="D21" s="192">
        <f>D20-D$14</f>
        <v>631593</v>
      </c>
      <c r="E21" s="192">
        <f>E20-E$14</f>
        <v>210483</v>
      </c>
      <c r="F21" s="193">
        <f>F20-F$14</f>
        <v>-1289966</v>
      </c>
      <c r="G21" s="193">
        <f t="shared" ref="G21:H21" si="11">G20-G$14</f>
        <v>0</v>
      </c>
      <c r="H21" s="193">
        <f t="shared" si="11"/>
        <v>0</v>
      </c>
      <c r="J21" s="199" t="s">
        <v>326</v>
      </c>
      <c r="K21" s="195"/>
      <c r="L21" s="193">
        <f>L20-L$14</f>
        <v>-1410717.4000000001</v>
      </c>
      <c r="M21" s="5"/>
    </row>
    <row r="22" spans="1:16" ht="55.2">
      <c r="A22" s="184" t="s">
        <v>341</v>
      </c>
      <c r="B22" s="99" t="s">
        <v>345</v>
      </c>
      <c r="C22" s="7" t="s">
        <v>346</v>
      </c>
      <c r="D22" s="128">
        <f>F22</f>
        <v>0</v>
      </c>
      <c r="E22" s="128">
        <f>F22</f>
        <v>0</v>
      </c>
      <c r="F22" s="185">
        <f>F20+N68</f>
        <v>0</v>
      </c>
      <c r="G22" s="185">
        <f>F22</f>
        <v>0</v>
      </c>
      <c r="H22" s="185">
        <f>G22</f>
        <v>0</v>
      </c>
      <c r="J22" s="198" t="s">
        <v>326</v>
      </c>
      <c r="K22" s="201"/>
      <c r="L22" s="200">
        <f>F22</f>
        <v>0</v>
      </c>
      <c r="M22" s="5"/>
    </row>
    <row r="23" spans="1:16" ht="27.6">
      <c r="B23" s="190" t="s">
        <v>347</v>
      </c>
      <c r="C23" s="191" t="s">
        <v>348</v>
      </c>
      <c r="D23" s="192">
        <f t="shared" ref="D23:E23" si="12">D22-D$14</f>
        <v>631593</v>
      </c>
      <c r="E23" s="192">
        <f t="shared" si="12"/>
        <v>210483</v>
      </c>
      <c r="F23" s="193">
        <f>F22-F$14</f>
        <v>-1289966</v>
      </c>
      <c r="G23" s="193">
        <f t="shared" ref="G23:H23" si="13">G22-G$14</f>
        <v>0</v>
      </c>
      <c r="H23" s="193">
        <f t="shared" si="13"/>
        <v>0</v>
      </c>
      <c r="J23" s="199" t="s">
        <v>326</v>
      </c>
      <c r="K23" s="195"/>
      <c r="L23" s="193">
        <f>L22-L$14</f>
        <v>-1410717.4000000001</v>
      </c>
      <c r="M23" s="5"/>
    </row>
    <row r="24" spans="1:16">
      <c r="D24" s="186"/>
      <c r="E24" s="186"/>
      <c r="F24" s="187"/>
      <c r="G24" s="187"/>
      <c r="H24" s="187"/>
      <c r="J24" s="20"/>
      <c r="K24" s="188"/>
      <c r="L24" s="189"/>
      <c r="M24" s="2"/>
    </row>
    <row r="25" spans="1:16">
      <c r="D25" s="63" t="s">
        <v>349</v>
      </c>
      <c r="E25" s="63" t="s">
        <v>349</v>
      </c>
      <c r="G25" s="2"/>
      <c r="J25" s="20"/>
      <c r="M25" s="2"/>
      <c r="O25" s="95"/>
    </row>
    <row r="26" spans="1:16" ht="27.6">
      <c r="B26" s="4"/>
      <c r="C26" s="7" t="s">
        <v>350</v>
      </c>
      <c r="D26" s="125"/>
      <c r="E26" s="125"/>
      <c r="F26" s="125"/>
      <c r="G26" s="133" t="str">
        <f>J19</f>
        <v>As per formula</v>
      </c>
      <c r="J26" s="1005" t="s">
        <v>197</v>
      </c>
      <c r="K26" s="999" t="s">
        <v>351</v>
      </c>
      <c r="L26" s="1000"/>
      <c r="M26" s="1000"/>
      <c r="N26" s="1000"/>
      <c r="O26" s="1000"/>
      <c r="P26" s="1001"/>
    </row>
    <row r="27" spans="1:16">
      <c r="B27" s="4"/>
      <c r="C27" s="7" t="s">
        <v>352</v>
      </c>
      <c r="D27" s="125"/>
      <c r="E27" s="125"/>
      <c r="F27" s="125"/>
      <c r="G27" s="134">
        <v>500000</v>
      </c>
      <c r="J27" s="1006"/>
      <c r="K27" s="1002"/>
      <c r="L27" s="1003"/>
      <c r="M27" s="1003"/>
      <c r="N27" s="1003"/>
      <c r="O27" s="1003"/>
      <c r="P27" s="1004"/>
    </row>
    <row r="28" spans="1:16">
      <c r="J28" s="68"/>
    </row>
    <row r="29" spans="1:16">
      <c r="B29" s="1007" t="s">
        <v>353</v>
      </c>
      <c r="C29" s="1008"/>
      <c r="D29" s="1008"/>
      <c r="E29" s="1008"/>
      <c r="F29" s="1009"/>
      <c r="J29" s="204"/>
      <c r="K29" s="204"/>
      <c r="L29" s="204"/>
      <c r="M29" s="204"/>
    </row>
    <row r="30" spans="1:16" s="90" customFormat="1" ht="27.6">
      <c r="B30" s="118" t="s">
        <v>48</v>
      </c>
      <c r="C30" s="118" t="s">
        <v>94</v>
      </c>
      <c r="D30" s="122" t="s">
        <v>304</v>
      </c>
      <c r="E30" s="122" t="s">
        <v>305</v>
      </c>
      <c r="F30" s="122" t="s">
        <v>306</v>
      </c>
      <c r="I30" s="2"/>
      <c r="J30" s="118" t="s">
        <v>309</v>
      </c>
      <c r="K30" s="122" t="s">
        <v>310</v>
      </c>
      <c r="L30" s="122" t="s">
        <v>354</v>
      </c>
      <c r="M30" s="122" t="s">
        <v>95</v>
      </c>
    </row>
    <row r="31" spans="1:16" ht="27.6">
      <c r="B31" s="99" t="s">
        <v>315</v>
      </c>
      <c r="C31" s="7" t="s">
        <v>316</v>
      </c>
      <c r="D31" s="126" t="s">
        <v>355</v>
      </c>
      <c r="E31" s="126" t="s">
        <v>355</v>
      </c>
      <c r="F31" s="126" t="s">
        <v>355</v>
      </c>
      <c r="J31" s="130" t="s">
        <v>317</v>
      </c>
      <c r="K31" s="136">
        <v>1.1000000000000001</v>
      </c>
      <c r="L31" s="137"/>
      <c r="M31" s="5"/>
    </row>
    <row r="32" spans="1:16" ht="27.6">
      <c r="B32" s="99" t="s">
        <v>318</v>
      </c>
      <c r="C32" s="7" t="s">
        <v>356</v>
      </c>
      <c r="D32" s="126" t="s">
        <v>355</v>
      </c>
      <c r="E32" s="126" t="s">
        <v>355</v>
      </c>
      <c r="F32" s="126" t="s">
        <v>355</v>
      </c>
      <c r="J32" s="130" t="s">
        <v>317</v>
      </c>
      <c r="K32" s="136">
        <v>1.1000000000000001</v>
      </c>
      <c r="L32" s="137"/>
      <c r="M32" s="5"/>
    </row>
    <row r="33" spans="2:13" ht="27.6">
      <c r="B33" s="99" t="s">
        <v>320</v>
      </c>
      <c r="C33" s="7" t="s">
        <v>279</v>
      </c>
      <c r="D33" s="126" t="s">
        <v>355</v>
      </c>
      <c r="E33" s="126" t="s">
        <v>355</v>
      </c>
      <c r="F33" s="126" t="s">
        <v>355</v>
      </c>
      <c r="J33" s="130" t="s">
        <v>317</v>
      </c>
      <c r="K33" s="136">
        <v>1.1000000000000001</v>
      </c>
      <c r="L33" s="137"/>
      <c r="M33" s="5"/>
    </row>
    <row r="34" spans="2:13">
      <c r="B34" s="99" t="s">
        <v>357</v>
      </c>
      <c r="C34" s="7" t="s">
        <v>330</v>
      </c>
      <c r="D34" s="5"/>
      <c r="E34" s="5"/>
      <c r="F34" s="5"/>
      <c r="J34" s="131" t="s">
        <v>326</v>
      </c>
      <c r="K34" s="136">
        <v>1</v>
      </c>
      <c r="L34" s="137"/>
      <c r="M34" s="5"/>
    </row>
    <row r="35" spans="2:13" ht="27.6">
      <c r="B35" s="99" t="s">
        <v>358</v>
      </c>
      <c r="C35" s="7" t="s">
        <v>359</v>
      </c>
      <c r="D35" s="126" t="s">
        <v>355</v>
      </c>
      <c r="E35" s="126" t="s">
        <v>355</v>
      </c>
      <c r="F35" s="126" t="s">
        <v>355</v>
      </c>
      <c r="J35" s="131" t="s">
        <v>326</v>
      </c>
      <c r="K35" s="136">
        <v>1</v>
      </c>
      <c r="L35" s="137"/>
      <c r="M35" s="5"/>
    </row>
    <row r="36" spans="2:13" ht="27.6">
      <c r="B36" s="99" t="s">
        <v>360</v>
      </c>
      <c r="C36" s="7" t="s">
        <v>361</v>
      </c>
      <c r="D36" s="5"/>
      <c r="E36" s="5"/>
      <c r="F36" s="5"/>
      <c r="J36" s="132">
        <f>E43</f>
        <v>0</v>
      </c>
      <c r="K36" s="136">
        <v>1</v>
      </c>
      <c r="L36" s="137"/>
      <c r="M36" s="5"/>
    </row>
    <row r="37" spans="2:13" ht="27.6">
      <c r="B37" s="99" t="s">
        <v>362</v>
      </c>
      <c r="C37" s="7" t="s">
        <v>348</v>
      </c>
      <c r="D37" s="5"/>
      <c r="E37" s="5"/>
      <c r="F37" s="5"/>
      <c r="J37" s="131" t="s">
        <v>326</v>
      </c>
      <c r="K37" s="136">
        <v>1</v>
      </c>
      <c r="L37" s="137"/>
      <c r="M37" s="5"/>
    </row>
    <row r="38" spans="2:13">
      <c r="B38" s="67" t="s">
        <v>363</v>
      </c>
      <c r="G38" s="4"/>
      <c r="J38" s="64"/>
    </row>
    <row r="40" spans="2:13" ht="27.6">
      <c r="C40" s="7" t="s">
        <v>350</v>
      </c>
      <c r="D40" s="125"/>
      <c r="E40" s="125"/>
      <c r="F40" s="125"/>
      <c r="G40" s="133" t="str">
        <f>J37</f>
        <v>As per formula</v>
      </c>
    </row>
    <row r="41" spans="2:13">
      <c r="C41" s="7" t="s">
        <v>352</v>
      </c>
      <c r="D41" s="125"/>
      <c r="E41" s="125"/>
      <c r="F41" s="125"/>
      <c r="G41" s="100"/>
    </row>
    <row r="43" spans="2:13" ht="27.6">
      <c r="C43" s="119" t="s">
        <v>364</v>
      </c>
      <c r="D43" s="3" t="s">
        <v>365</v>
      </c>
      <c r="E43" s="127">
        <f>SUM(E44:E47)</f>
        <v>0</v>
      </c>
      <c r="F43" s="991" t="s">
        <v>366</v>
      </c>
      <c r="G43" s="991"/>
      <c r="H43" s="991"/>
      <c r="I43" s="991"/>
      <c r="J43" s="991"/>
    </row>
    <row r="44" spans="2:13">
      <c r="C44" s="7" t="s">
        <v>367</v>
      </c>
      <c r="D44" s="52" t="s">
        <v>368</v>
      </c>
      <c r="E44" s="79">
        <f>E66</f>
        <v>0</v>
      </c>
      <c r="F44" s="998"/>
      <c r="G44" s="998"/>
      <c r="H44" s="998"/>
      <c r="I44" s="998"/>
      <c r="J44" s="998"/>
    </row>
    <row r="45" spans="2:13">
      <c r="C45" s="7" t="s">
        <v>369</v>
      </c>
      <c r="D45" s="52" t="s">
        <v>368</v>
      </c>
      <c r="E45" s="79">
        <f>E84</f>
        <v>0</v>
      </c>
      <c r="F45" s="998"/>
      <c r="G45" s="998"/>
      <c r="H45" s="998"/>
      <c r="I45" s="998"/>
      <c r="J45" s="998"/>
    </row>
    <row r="46" spans="2:13">
      <c r="C46" s="7" t="s">
        <v>370</v>
      </c>
      <c r="D46" s="52" t="s">
        <v>368</v>
      </c>
      <c r="E46" s="79">
        <f>E102</f>
        <v>0</v>
      </c>
      <c r="F46" s="998"/>
      <c r="G46" s="998"/>
      <c r="H46" s="998"/>
      <c r="I46" s="998"/>
      <c r="J46" s="998"/>
    </row>
    <row r="47" spans="2:13">
      <c r="C47" s="7" t="s">
        <v>371</v>
      </c>
      <c r="D47" s="52" t="s">
        <v>372</v>
      </c>
      <c r="E47" s="79">
        <f>E120</f>
        <v>0</v>
      </c>
      <c r="F47" s="998" t="s">
        <v>373</v>
      </c>
      <c r="G47" s="998"/>
      <c r="H47" s="998"/>
      <c r="I47" s="998"/>
      <c r="J47" s="998"/>
    </row>
    <row r="48" spans="2:13">
      <c r="C48" s="64" t="s">
        <v>374</v>
      </c>
    </row>
    <row r="49" spans="3:14">
      <c r="C49" s="120"/>
      <c r="L49" s="1" t="s">
        <v>355</v>
      </c>
    </row>
    <row r="50" spans="3:14" ht="41.4">
      <c r="C50" s="27" t="s">
        <v>375</v>
      </c>
      <c r="D50" s="3" t="s">
        <v>149</v>
      </c>
      <c r="E50" s="3" t="s">
        <v>368</v>
      </c>
      <c r="F50" s="63" t="s">
        <v>376</v>
      </c>
      <c r="K50" s="122" t="s">
        <v>377</v>
      </c>
      <c r="L50" s="118" t="s">
        <v>378</v>
      </c>
      <c r="M50" s="118" t="s">
        <v>379</v>
      </c>
      <c r="N50" s="207" t="s">
        <v>380</v>
      </c>
    </row>
    <row r="51" spans="3:14">
      <c r="C51" s="7" t="s">
        <v>381</v>
      </c>
      <c r="D51" s="5" t="s">
        <v>382</v>
      </c>
      <c r="E51" s="11"/>
      <c r="K51" s="52"/>
      <c r="L51" s="208"/>
      <c r="M51" s="208"/>
      <c r="N51" s="205"/>
    </row>
    <row r="52" spans="3:14">
      <c r="C52" s="7" t="s">
        <v>383</v>
      </c>
      <c r="D52" s="5" t="s">
        <v>384</v>
      </c>
      <c r="E52" s="11"/>
      <c r="K52" s="52"/>
      <c r="L52" s="208"/>
      <c r="M52" s="208"/>
      <c r="N52" s="206"/>
    </row>
    <row r="53" spans="3:14">
      <c r="C53" s="7" t="s">
        <v>383</v>
      </c>
      <c r="D53" s="5" t="s">
        <v>384</v>
      </c>
      <c r="E53" s="11"/>
      <c r="K53" s="52"/>
      <c r="L53" s="208"/>
      <c r="M53" s="208"/>
      <c r="N53" s="205"/>
    </row>
    <row r="54" spans="3:14">
      <c r="C54" s="7" t="s">
        <v>383</v>
      </c>
      <c r="D54" s="5" t="s">
        <v>384</v>
      </c>
      <c r="E54" s="11"/>
      <c r="K54" s="52"/>
      <c r="L54" s="208"/>
      <c r="M54" s="208"/>
      <c r="N54" s="206"/>
    </row>
    <row r="55" spans="3:14">
      <c r="C55" s="7" t="s">
        <v>383</v>
      </c>
      <c r="D55" s="5" t="s">
        <v>384</v>
      </c>
      <c r="E55" s="11"/>
      <c r="K55" s="52"/>
      <c r="L55" s="208"/>
      <c r="M55" s="208"/>
      <c r="N55" s="205"/>
    </row>
    <row r="56" spans="3:14">
      <c r="C56" s="7" t="s">
        <v>383</v>
      </c>
      <c r="D56" s="5" t="s">
        <v>384</v>
      </c>
      <c r="E56" s="11"/>
      <c r="K56" s="52"/>
      <c r="L56" s="208"/>
      <c r="M56" s="208"/>
      <c r="N56" s="206"/>
    </row>
    <row r="57" spans="3:14">
      <c r="C57" s="7" t="s">
        <v>383</v>
      </c>
      <c r="D57" s="5" t="s">
        <v>384</v>
      </c>
      <c r="E57" s="11"/>
      <c r="K57" s="52"/>
      <c r="L57" s="208"/>
      <c r="M57" s="208"/>
      <c r="N57" s="205"/>
    </row>
    <row r="58" spans="3:14">
      <c r="C58" s="7" t="s">
        <v>383</v>
      </c>
      <c r="D58" s="5" t="s">
        <v>384</v>
      </c>
      <c r="E58" s="11"/>
      <c r="K58" s="52"/>
      <c r="L58" s="208"/>
      <c r="M58" s="208"/>
      <c r="N58" s="206"/>
    </row>
    <row r="59" spans="3:14">
      <c r="C59" s="7" t="s">
        <v>383</v>
      </c>
      <c r="D59" s="5" t="s">
        <v>384</v>
      </c>
      <c r="E59" s="11"/>
      <c r="K59" s="52"/>
      <c r="L59" s="208"/>
      <c r="M59" s="208"/>
      <c r="N59" s="206"/>
    </row>
    <row r="60" spans="3:14">
      <c r="C60" s="7" t="s">
        <v>383</v>
      </c>
      <c r="D60" s="5" t="s">
        <v>384</v>
      </c>
      <c r="E60" s="11"/>
      <c r="K60" s="52"/>
      <c r="L60" s="208"/>
      <c r="M60" s="208"/>
      <c r="N60" s="206"/>
    </row>
    <row r="61" spans="3:14">
      <c r="C61" s="7" t="s">
        <v>383</v>
      </c>
      <c r="D61" s="5" t="s">
        <v>384</v>
      </c>
      <c r="E61" s="11"/>
      <c r="K61" s="52"/>
      <c r="L61" s="208"/>
      <c r="M61" s="208"/>
      <c r="N61" s="206"/>
    </row>
    <row r="62" spans="3:14">
      <c r="C62" s="7" t="s">
        <v>383</v>
      </c>
      <c r="D62" s="5" t="s">
        <v>384</v>
      </c>
      <c r="E62" s="11"/>
      <c r="K62" s="52"/>
      <c r="L62" s="208"/>
      <c r="M62" s="208"/>
      <c r="N62" s="206"/>
    </row>
    <row r="63" spans="3:14">
      <c r="C63" s="7" t="s">
        <v>383</v>
      </c>
      <c r="D63" s="5" t="s">
        <v>384</v>
      </c>
      <c r="E63" s="11"/>
      <c r="K63" s="52"/>
      <c r="L63" s="208"/>
      <c r="M63" s="208"/>
      <c r="N63" s="206"/>
    </row>
    <row r="64" spans="3:14">
      <c r="C64" s="7" t="s">
        <v>383</v>
      </c>
      <c r="D64" s="5" t="s">
        <v>384</v>
      </c>
      <c r="E64" s="11"/>
      <c r="L64" s="208"/>
      <c r="M64" s="208"/>
      <c r="N64" s="18"/>
    </row>
    <row r="65" spans="3:14">
      <c r="C65" s="7" t="s">
        <v>383</v>
      </c>
      <c r="D65" s="5" t="s">
        <v>384</v>
      </c>
      <c r="E65" s="11"/>
      <c r="L65" s="209" t="s">
        <v>179</v>
      </c>
      <c r="M65" s="209" t="s">
        <v>385</v>
      </c>
      <c r="N65" s="209">
        <f>SUM(N51:N64)</f>
        <v>0</v>
      </c>
    </row>
    <row r="66" spans="3:14">
      <c r="C66" s="114" t="s">
        <v>386</v>
      </c>
      <c r="D66" s="25"/>
      <c r="E66" s="28">
        <f>SUM(E51:E65)</f>
        <v>0</v>
      </c>
      <c r="L66" s="209" t="s">
        <v>387</v>
      </c>
      <c r="M66" s="209" t="s">
        <v>388</v>
      </c>
      <c r="N66" s="209">
        <f>SUMIFS($N51:$N64,$M51:$M64,$M66)</f>
        <v>0</v>
      </c>
    </row>
    <row r="67" spans="3:14">
      <c r="L67" s="209"/>
      <c r="M67" s="209"/>
      <c r="N67" s="209">
        <f>SUMIFS($N51:$N64,$M51:$M64,$M67)</f>
        <v>0</v>
      </c>
    </row>
    <row r="68" spans="3:14">
      <c r="C68" s="27" t="s">
        <v>389</v>
      </c>
      <c r="D68" s="3" t="s">
        <v>149</v>
      </c>
      <c r="E68" s="3" t="s">
        <v>368</v>
      </c>
      <c r="K68" s="52" t="s">
        <v>62</v>
      </c>
      <c r="L68" s="209" t="s">
        <v>377</v>
      </c>
      <c r="M68" s="209" t="s">
        <v>388</v>
      </c>
      <c r="N68" s="210">
        <f>SUMIFS($N51:$N64,$M51:$M64,$M68,$K51:$K64,$K68)</f>
        <v>0</v>
      </c>
    </row>
    <row r="69" spans="3:14">
      <c r="C69" s="7" t="s">
        <v>390</v>
      </c>
      <c r="D69" s="5" t="s">
        <v>382</v>
      </c>
      <c r="E69" s="11"/>
      <c r="F69" s="226"/>
    </row>
    <row r="70" spans="3:14">
      <c r="C70" s="7" t="s">
        <v>383</v>
      </c>
      <c r="D70" s="5" t="s">
        <v>384</v>
      </c>
      <c r="E70" s="11"/>
    </row>
    <row r="71" spans="3:14">
      <c r="C71" s="7" t="s">
        <v>383</v>
      </c>
      <c r="D71" s="5" t="s">
        <v>384</v>
      </c>
      <c r="E71" s="11"/>
    </row>
    <row r="72" spans="3:14">
      <c r="C72" s="7" t="s">
        <v>383</v>
      </c>
      <c r="D72" s="5" t="s">
        <v>384</v>
      </c>
      <c r="E72" s="11"/>
    </row>
    <row r="73" spans="3:14">
      <c r="C73" s="7" t="s">
        <v>383</v>
      </c>
      <c r="D73" s="5" t="s">
        <v>384</v>
      </c>
      <c r="E73" s="11"/>
    </row>
    <row r="74" spans="3:14">
      <c r="C74" s="7" t="s">
        <v>383</v>
      </c>
      <c r="D74" s="5" t="s">
        <v>384</v>
      </c>
      <c r="E74" s="11"/>
    </row>
    <row r="75" spans="3:14">
      <c r="C75" s="7" t="s">
        <v>383</v>
      </c>
      <c r="D75" s="5" t="s">
        <v>384</v>
      </c>
      <c r="E75" s="11"/>
    </row>
    <row r="76" spans="3:14">
      <c r="C76" s="7" t="s">
        <v>383</v>
      </c>
      <c r="D76" s="5" t="s">
        <v>384</v>
      </c>
      <c r="E76" s="11"/>
    </row>
    <row r="77" spans="3:14">
      <c r="C77" s="7" t="s">
        <v>383</v>
      </c>
      <c r="D77" s="5" t="s">
        <v>384</v>
      </c>
      <c r="E77" s="11"/>
    </row>
    <row r="78" spans="3:14">
      <c r="C78" s="7" t="s">
        <v>383</v>
      </c>
      <c r="D78" s="5" t="s">
        <v>384</v>
      </c>
      <c r="E78" s="11"/>
    </row>
    <row r="79" spans="3:14">
      <c r="C79" s="7" t="s">
        <v>383</v>
      </c>
      <c r="D79" s="5" t="s">
        <v>384</v>
      </c>
      <c r="E79" s="11"/>
    </row>
    <row r="80" spans="3:14">
      <c r="C80" s="7" t="s">
        <v>383</v>
      </c>
      <c r="D80" s="5" t="s">
        <v>384</v>
      </c>
      <c r="E80" s="11"/>
    </row>
    <row r="81" spans="3:5">
      <c r="C81" s="7" t="s">
        <v>383</v>
      </c>
      <c r="D81" s="5" t="s">
        <v>384</v>
      </c>
      <c r="E81" s="11"/>
    </row>
    <row r="82" spans="3:5">
      <c r="C82" s="7" t="s">
        <v>383</v>
      </c>
      <c r="D82" s="5" t="s">
        <v>384</v>
      </c>
      <c r="E82" s="11"/>
    </row>
    <row r="83" spans="3:5">
      <c r="C83" s="7" t="s">
        <v>383</v>
      </c>
      <c r="D83" s="5" t="s">
        <v>384</v>
      </c>
      <c r="E83" s="11"/>
    </row>
    <row r="84" spans="3:5">
      <c r="C84" s="114" t="s">
        <v>386</v>
      </c>
      <c r="D84" s="25"/>
      <c r="E84" s="28">
        <f>SUM(E69:E83)</f>
        <v>0</v>
      </c>
    </row>
    <row r="86" spans="3:5" ht="27.6">
      <c r="C86" s="27" t="s">
        <v>391</v>
      </c>
      <c r="D86" s="3" t="s">
        <v>149</v>
      </c>
      <c r="E86" s="3" t="s">
        <v>368</v>
      </c>
    </row>
    <row r="87" spans="3:5">
      <c r="C87" s="7" t="s">
        <v>392</v>
      </c>
      <c r="D87" s="5" t="s">
        <v>382</v>
      </c>
      <c r="E87" s="11"/>
    </row>
    <row r="88" spans="3:5">
      <c r="C88" s="7" t="s">
        <v>383</v>
      </c>
      <c r="D88" s="5" t="s">
        <v>384</v>
      </c>
      <c r="E88" s="11"/>
    </row>
    <row r="89" spans="3:5">
      <c r="C89" s="7" t="s">
        <v>383</v>
      </c>
      <c r="D89" s="5" t="s">
        <v>384</v>
      </c>
      <c r="E89" s="11"/>
    </row>
    <row r="90" spans="3:5">
      <c r="C90" s="7" t="s">
        <v>383</v>
      </c>
      <c r="D90" s="5" t="s">
        <v>384</v>
      </c>
      <c r="E90" s="11"/>
    </row>
    <row r="91" spans="3:5">
      <c r="C91" s="7" t="s">
        <v>383</v>
      </c>
      <c r="D91" s="5" t="s">
        <v>384</v>
      </c>
      <c r="E91" s="11"/>
    </row>
    <row r="92" spans="3:5">
      <c r="C92" s="7" t="s">
        <v>383</v>
      </c>
      <c r="D92" s="5" t="s">
        <v>384</v>
      </c>
      <c r="E92" s="11"/>
    </row>
    <row r="93" spans="3:5">
      <c r="C93" s="7" t="s">
        <v>383</v>
      </c>
      <c r="D93" s="5" t="s">
        <v>384</v>
      </c>
      <c r="E93" s="11"/>
    </row>
    <row r="94" spans="3:5">
      <c r="C94" s="7" t="s">
        <v>383</v>
      </c>
      <c r="D94" s="5" t="s">
        <v>384</v>
      </c>
      <c r="E94" s="11"/>
    </row>
    <row r="95" spans="3:5">
      <c r="C95" s="7" t="s">
        <v>383</v>
      </c>
      <c r="D95" s="5" t="s">
        <v>384</v>
      </c>
      <c r="E95" s="11"/>
    </row>
    <row r="96" spans="3:5">
      <c r="C96" s="7" t="s">
        <v>383</v>
      </c>
      <c r="D96" s="5" t="s">
        <v>384</v>
      </c>
      <c r="E96" s="11"/>
    </row>
    <row r="97" spans="3:5">
      <c r="C97" s="7" t="s">
        <v>383</v>
      </c>
      <c r="D97" s="5" t="s">
        <v>384</v>
      </c>
      <c r="E97" s="11"/>
    </row>
    <row r="98" spans="3:5">
      <c r="C98" s="7" t="s">
        <v>383</v>
      </c>
      <c r="D98" s="5" t="s">
        <v>384</v>
      </c>
      <c r="E98" s="11"/>
    </row>
    <row r="99" spans="3:5">
      <c r="C99" s="7" t="s">
        <v>383</v>
      </c>
      <c r="D99" s="5" t="s">
        <v>384</v>
      </c>
      <c r="E99" s="11"/>
    </row>
    <row r="100" spans="3:5">
      <c r="C100" s="7" t="s">
        <v>383</v>
      </c>
      <c r="D100" s="5" t="s">
        <v>384</v>
      </c>
      <c r="E100" s="11"/>
    </row>
    <row r="101" spans="3:5">
      <c r="C101" s="7" t="s">
        <v>383</v>
      </c>
      <c r="D101" s="5" t="s">
        <v>384</v>
      </c>
      <c r="E101" s="11"/>
    </row>
    <row r="102" spans="3:5">
      <c r="C102" s="114" t="s">
        <v>386</v>
      </c>
      <c r="D102" s="25"/>
      <c r="E102" s="28">
        <f>SUM(E87:E101)</f>
        <v>0</v>
      </c>
    </row>
    <row r="104" spans="3:5" ht="27.6">
      <c r="C104" s="27" t="s">
        <v>393</v>
      </c>
      <c r="D104" s="3" t="s">
        <v>149</v>
      </c>
      <c r="E104" s="3" t="s">
        <v>394</v>
      </c>
    </row>
    <row r="105" spans="3:5">
      <c r="C105" s="7" t="s">
        <v>395</v>
      </c>
      <c r="D105" s="5" t="s">
        <v>382</v>
      </c>
      <c r="E105" s="11"/>
    </row>
    <row r="106" spans="3:5">
      <c r="C106" s="7" t="s">
        <v>396</v>
      </c>
      <c r="D106" s="5" t="s">
        <v>384</v>
      </c>
      <c r="E106" s="11"/>
    </row>
    <row r="107" spans="3:5">
      <c r="C107" s="7" t="s">
        <v>397</v>
      </c>
      <c r="D107" s="5" t="s">
        <v>384</v>
      </c>
      <c r="E107" s="11"/>
    </row>
    <row r="108" spans="3:5">
      <c r="C108" s="7" t="s">
        <v>398</v>
      </c>
      <c r="D108" s="5" t="s">
        <v>384</v>
      </c>
      <c r="E108" s="11"/>
    </row>
    <row r="109" spans="3:5">
      <c r="C109" s="7" t="s">
        <v>399</v>
      </c>
      <c r="D109" s="5" t="s">
        <v>384</v>
      </c>
      <c r="E109" s="11"/>
    </row>
    <row r="110" spans="3:5">
      <c r="C110" s="7" t="s">
        <v>400</v>
      </c>
      <c r="D110" s="5" t="s">
        <v>384</v>
      </c>
      <c r="E110" s="11"/>
    </row>
    <row r="111" spans="3:5">
      <c r="C111" s="7" t="s">
        <v>401</v>
      </c>
      <c r="D111" s="5" t="s">
        <v>384</v>
      </c>
      <c r="E111" s="11"/>
    </row>
    <row r="112" spans="3:5">
      <c r="C112" s="7" t="s">
        <v>383</v>
      </c>
      <c r="D112" s="5" t="s">
        <v>384</v>
      </c>
      <c r="E112" s="11"/>
    </row>
    <row r="113" spans="3:5">
      <c r="C113" s="7" t="s">
        <v>383</v>
      </c>
      <c r="D113" s="5" t="s">
        <v>384</v>
      </c>
      <c r="E113" s="11"/>
    </row>
    <row r="114" spans="3:5">
      <c r="C114" s="7" t="s">
        <v>383</v>
      </c>
      <c r="D114" s="5" t="s">
        <v>384</v>
      </c>
      <c r="E114" s="11"/>
    </row>
    <row r="115" spans="3:5">
      <c r="C115" s="7" t="s">
        <v>383</v>
      </c>
      <c r="D115" s="5" t="s">
        <v>384</v>
      </c>
      <c r="E115" s="11"/>
    </row>
    <row r="116" spans="3:5">
      <c r="C116" s="7" t="s">
        <v>383</v>
      </c>
      <c r="D116" s="5" t="s">
        <v>384</v>
      </c>
      <c r="E116" s="11"/>
    </row>
    <row r="117" spans="3:5">
      <c r="C117" s="7" t="s">
        <v>383</v>
      </c>
      <c r="D117" s="5" t="s">
        <v>384</v>
      </c>
      <c r="E117" s="11"/>
    </row>
    <row r="118" spans="3:5">
      <c r="C118" s="7" t="s">
        <v>383</v>
      </c>
      <c r="D118" s="5" t="s">
        <v>384</v>
      </c>
      <c r="E118" s="11"/>
    </row>
    <row r="119" spans="3:5">
      <c r="C119" s="7" t="s">
        <v>383</v>
      </c>
      <c r="D119" s="5" t="s">
        <v>384</v>
      </c>
      <c r="E119" s="11"/>
    </row>
    <row r="120" spans="3:5">
      <c r="C120" s="114" t="s">
        <v>386</v>
      </c>
      <c r="D120" s="25"/>
      <c r="E120" s="28">
        <f>SUM(E105:E119)</f>
        <v>0</v>
      </c>
    </row>
    <row r="124" spans="3:5">
      <c r="C124" s="20"/>
      <c r="D124" s="2" t="s">
        <v>402</v>
      </c>
    </row>
    <row r="125" spans="3:5" ht="27.6">
      <c r="C125" s="135" t="s">
        <v>375</v>
      </c>
      <c r="D125" s="138" t="s">
        <v>9</v>
      </c>
      <c r="E125" s="138"/>
    </row>
    <row r="126" spans="3:5">
      <c r="C126" s="135" t="s">
        <v>389</v>
      </c>
      <c r="D126" s="138" t="s">
        <v>11</v>
      </c>
      <c r="E126" s="138"/>
    </row>
    <row r="127" spans="3:5" ht="27.6">
      <c r="C127" s="135" t="s">
        <v>391</v>
      </c>
      <c r="D127" s="138" t="s">
        <v>14</v>
      </c>
      <c r="E127" s="138"/>
    </row>
    <row r="128" spans="3:5">
      <c r="C128" s="135" t="s">
        <v>403</v>
      </c>
      <c r="D128" s="138" t="s">
        <v>15</v>
      </c>
      <c r="E128" s="138"/>
    </row>
    <row r="129" spans="3:6">
      <c r="C129" s="20"/>
      <c r="D129" s="138" t="s">
        <v>16</v>
      </c>
      <c r="E129" s="138"/>
      <c r="F129" s="2" t="s">
        <v>404</v>
      </c>
    </row>
    <row r="130" spans="3:6">
      <c r="C130" s="20"/>
      <c r="D130" s="2" t="s">
        <v>17</v>
      </c>
    </row>
    <row r="131" spans="3:6">
      <c r="C131" s="20"/>
      <c r="D131" s="138" t="s">
        <v>18</v>
      </c>
      <c r="E131" s="138"/>
    </row>
    <row r="132" spans="3:6">
      <c r="C132" s="20"/>
      <c r="D132" s="138" t="s">
        <v>19</v>
      </c>
      <c r="E132" s="138"/>
    </row>
    <row r="133" spans="3:6">
      <c r="C133" s="20"/>
      <c r="D133" s="138" t="s">
        <v>20</v>
      </c>
      <c r="E133" s="138"/>
    </row>
  </sheetData>
  <mergeCells count="8">
    <mergeCell ref="F47:J47"/>
    <mergeCell ref="F43:J43"/>
    <mergeCell ref="F44:J44"/>
    <mergeCell ref="K26:P27"/>
    <mergeCell ref="J26:J27"/>
    <mergeCell ref="B29:F29"/>
    <mergeCell ref="F45:J45"/>
    <mergeCell ref="F46:J46"/>
  </mergeCells>
  <phoneticPr fontId="11" type="noConversion"/>
  <conditionalFormatting sqref="D19:I19">
    <cfRule type="cellIs" dxfId="7" priority="10" operator="lessThan">
      <formula>0</formula>
    </cfRule>
  </conditionalFormatting>
  <conditionalFormatting sqref="D23:I24">
    <cfRule type="cellIs" dxfId="6" priority="8" operator="lessThan">
      <formula>0</formula>
    </cfRule>
  </conditionalFormatting>
  <conditionalFormatting sqref="D23:E24">
    <cfRule type="cellIs" dxfId="5" priority="7" operator="lessThan">
      <formula>0</formula>
    </cfRule>
  </conditionalFormatting>
  <conditionalFormatting sqref="L19">
    <cfRule type="cellIs" dxfId="4" priority="1" operator="lessThan">
      <formula>0</formula>
    </cfRule>
  </conditionalFormatting>
  <conditionalFormatting sqref="D21:I21">
    <cfRule type="cellIs" dxfId="3" priority="5" operator="lessThan">
      <formula>0</formula>
    </cfRule>
  </conditionalFormatting>
  <conditionalFormatting sqref="L23">
    <cfRule type="cellIs" dxfId="2" priority="3" operator="lessThan">
      <formula>0</formula>
    </cfRule>
  </conditionalFormatting>
  <conditionalFormatting sqref="L21">
    <cfRule type="cellIs" dxfId="1" priority="2" operator="lessThan">
      <formula>0</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disablePrompts="1" count="5">
        <x14:dataValidation type="list" allowBlank="1" showInputMessage="1" showErrorMessage="1" xr:uid="{BDDD8014-284D-4707-AA40-7475FD936D94}">
          <x14:formula1>
            <xm:f>'Mapping &amp; Selection'!$C$3:$C$9</xm:f>
          </x14:formula1>
          <xm:sqref>D51:D65 D69:D83 D87:D101 D105:D119</xm:sqref>
        </x14:dataValidation>
        <x14:dataValidation type="list" allowBlank="1" showInputMessage="1" showErrorMessage="1" xr:uid="{05C4C373-40CE-4AD6-A4DF-CF452C0B04FE}">
          <x14:formula1>
            <xm:f>'Mapping &amp; Selection'!$E$3:$E$18</xm:f>
          </x14:formula1>
          <xm:sqref>C51:C65</xm:sqref>
        </x14:dataValidation>
        <x14:dataValidation type="list" allowBlank="1" showInputMessage="1" showErrorMessage="1" xr:uid="{3EC48FF2-E238-470E-90B8-A243A79ABFC4}">
          <x14:formula1>
            <xm:f>'Mapping &amp; Selection'!$G$3:$G$18</xm:f>
          </x14:formula1>
          <xm:sqref>C69:C83</xm:sqref>
        </x14:dataValidation>
        <x14:dataValidation type="list" allowBlank="1" showInputMessage="1" showErrorMessage="1" xr:uid="{BA667642-5DBA-4DC3-9861-45C383BEFFC0}">
          <x14:formula1>
            <xm:f>'Mapping &amp; Selection'!$I$3:$I$18</xm:f>
          </x14:formula1>
          <xm:sqref>C87:C101</xm:sqref>
        </x14:dataValidation>
        <x14:dataValidation type="list" allowBlank="1" showInputMessage="1" showErrorMessage="1" xr:uid="{A88F492C-9674-4D24-B900-3D6CE2D7B586}">
          <x14:formula1>
            <xm:f>'Mapping &amp; Selection'!$K$3:$K$18</xm:f>
          </x14:formula1>
          <xm:sqref>C105:C119</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FD15C7-E4D0-4C55-BC86-5E87D8F5A56B}">
  <sheetPr codeName="Sheet10">
    <tabColor rgb="FFFFFF00"/>
    <pageSetUpPr fitToPage="1"/>
  </sheetPr>
  <dimension ref="A2:AF317"/>
  <sheetViews>
    <sheetView topLeftCell="A189" zoomScale="85" zoomScaleNormal="85" workbookViewId="0">
      <selection activeCell="F211" sqref="F211"/>
    </sheetView>
  </sheetViews>
  <sheetFormatPr defaultColWidth="9.109375" defaultRowHeight="13.8" outlineLevelRow="1" outlineLevelCol="1"/>
  <cols>
    <col min="1" max="1" width="22.88671875" style="2" customWidth="1"/>
    <col min="2" max="2" width="34.109375" style="2" bestFit="1" customWidth="1"/>
    <col min="3" max="3" width="11.33203125" style="2" customWidth="1"/>
    <col min="4" max="4" width="12.88671875" style="2" customWidth="1"/>
    <col min="5" max="5" width="10.33203125" style="2" customWidth="1"/>
    <col min="6" max="6" width="12.88671875" style="2" bestFit="1" customWidth="1"/>
    <col min="7" max="9" width="10.33203125" style="2" customWidth="1"/>
    <col min="10" max="10" width="20.5546875" style="2" customWidth="1"/>
    <col min="11" max="11" width="3.109375" style="2" customWidth="1"/>
    <col min="12" max="12" width="34.109375" style="2" customWidth="1" outlineLevel="1"/>
    <col min="13" max="13" width="11.6640625" style="2" customWidth="1" outlineLevel="1"/>
    <col min="14" max="14" width="14.88671875" style="2" bestFit="1" customWidth="1" outlineLevel="1"/>
    <col min="15" max="19" width="10.33203125" style="2" customWidth="1" outlineLevel="1"/>
    <col min="20" max="20" width="20.5546875" style="2" customWidth="1" outlineLevel="1"/>
    <col min="21" max="21" width="3.109375" style="2" customWidth="1" outlineLevel="1"/>
    <col min="22" max="22" width="34.109375" style="2" customWidth="1"/>
    <col min="23" max="23" width="17.6640625" style="2" bestFit="1" customWidth="1"/>
    <col min="24" max="24" width="25" style="2" customWidth="1"/>
    <col min="25" max="25" width="23" style="2" customWidth="1"/>
    <col min="26" max="26" width="17.6640625" style="2" bestFit="1" customWidth="1"/>
    <col min="27" max="27" width="10.88671875" style="2" bestFit="1" customWidth="1"/>
    <col min="28" max="29" width="10.33203125" style="2" customWidth="1"/>
    <col min="30" max="30" width="20.5546875" style="2" customWidth="1"/>
    <col min="31" max="31" width="3.109375" style="2" customWidth="1"/>
    <col min="32" max="32" width="10.44140625" style="2" customWidth="1"/>
    <col min="33" max="34" width="9.6640625" style="2" customWidth="1"/>
    <col min="35" max="16384" width="9.109375" style="2"/>
  </cols>
  <sheetData>
    <row r="2" spans="2:28">
      <c r="B2" s="55" t="s">
        <v>405</v>
      </c>
    </row>
    <row r="3" spans="2:28">
      <c r="B3" s="55"/>
    </row>
    <row r="4" spans="2:28">
      <c r="D4" s="50" t="s">
        <v>406</v>
      </c>
      <c r="E4" s="50" t="s">
        <v>310</v>
      </c>
      <c r="F4" s="50" t="s">
        <v>407</v>
      </c>
    </row>
    <row r="5" spans="2:28">
      <c r="B5" s="50" t="s">
        <v>408</v>
      </c>
      <c r="C5" s="84"/>
      <c r="D5" s="98">
        <f>D21/SUM(D26,D31)</f>
        <v>0</v>
      </c>
      <c r="E5" s="84"/>
      <c r="F5" s="98">
        <f>F21/SUM(F26,F31)</f>
        <v>0</v>
      </c>
    </row>
    <row r="6" spans="2:28" ht="24.75" customHeight="1">
      <c r="W6" t="str">
        <f>'Summary of Information'!D5</f>
        <v>Audited-31032023</v>
      </c>
      <c r="X6" t="str">
        <f>'Summary of Information'!E5</f>
        <v>Audited-31032024</v>
      </c>
      <c r="Y6" t="str">
        <f>'Summary of Information'!F5</f>
        <v>Mgmt Acc-31082024</v>
      </c>
      <c r="Z6" t="str">
        <f>'Summary of Information'!G5</f>
        <v>Annualised-31082024</v>
      </c>
    </row>
    <row r="7" spans="2:28">
      <c r="B7" s="50" t="s">
        <v>409</v>
      </c>
      <c r="C7" s="50" t="s">
        <v>149</v>
      </c>
      <c r="D7" s="50" t="s">
        <v>406</v>
      </c>
      <c r="E7" s="50" t="s">
        <v>310</v>
      </c>
      <c r="F7" s="50" t="s">
        <v>407</v>
      </c>
      <c r="H7" s="24"/>
      <c r="V7" s="5" t="s">
        <v>410</v>
      </c>
      <c r="W7" s="211">
        <f>'Summary of Information'!D14-'Summary of Information'!D15</f>
        <v>-767333</v>
      </c>
      <c r="X7" s="211">
        <f>'Summary of Information'!E14-'Summary of Information'!E15</f>
        <v>395842</v>
      </c>
      <c r="Y7" s="211">
        <f>'Summary of Information'!F14-'Summary of Information'!F15</f>
        <v>0</v>
      </c>
      <c r="Z7" s="211">
        <f>'Summary of Information'!G14-'Summary of Information'!G15</f>
        <v>-415343</v>
      </c>
    </row>
    <row r="8" spans="2:28">
      <c r="B8" s="69" t="s">
        <v>1031</v>
      </c>
      <c r="C8" s="66"/>
      <c r="D8" s="70">
        <f>'N.Margin (Ind. Benchmark)'!E22</f>
        <v>0</v>
      </c>
      <c r="E8" s="21">
        <v>1</v>
      </c>
      <c r="F8" s="75">
        <f>D8*E8</f>
        <v>0</v>
      </c>
      <c r="V8" s="5" t="s">
        <v>411</v>
      </c>
      <c r="W8" s="211">
        <f>'Summary of Information'!D9</f>
        <v>94988</v>
      </c>
      <c r="X8" s="211">
        <f>'Summary of Information'!E9</f>
        <v>117756</v>
      </c>
      <c r="Y8" s="211">
        <f>'Summary of Information'!F9</f>
        <v>0</v>
      </c>
      <c r="Z8" s="211">
        <f>'Summary of Information'!G9</f>
        <v>117756</v>
      </c>
    </row>
    <row r="9" spans="2:28" ht="20.399999999999999">
      <c r="B9" s="5" t="s">
        <v>412</v>
      </c>
      <c r="C9" s="801" t="s">
        <v>1033</v>
      </c>
      <c r="D9" s="97">
        <f>Z7</f>
        <v>-415343</v>
      </c>
      <c r="E9" s="21">
        <v>1</v>
      </c>
      <c r="F9" s="75">
        <f>D9*E9</f>
        <v>-415343</v>
      </c>
      <c r="V9" s="5" t="s">
        <v>413</v>
      </c>
      <c r="W9" s="211">
        <f>'Summary of Information'!D15</f>
        <v>60451</v>
      </c>
      <c r="X9" s="211">
        <f>'Summary of Information'!E15</f>
        <v>297587</v>
      </c>
      <c r="Y9" s="211">
        <f>'Summary of Information'!F15</f>
        <v>0</v>
      </c>
      <c r="Z9" s="211">
        <f>'Summary of Information'!G15</f>
        <v>297587</v>
      </c>
      <c r="AA9" s="225"/>
      <c r="AB9" s="2">
        <f>'Summary of Information'!H14-'Summary of Information'!H15</f>
        <v>0</v>
      </c>
    </row>
    <row r="10" spans="2:28" ht="20.399999999999999">
      <c r="B10" s="5" t="s">
        <v>411</v>
      </c>
      <c r="C10" s="801" t="s">
        <v>1033</v>
      </c>
      <c r="D10" s="97">
        <f t="shared" ref="D10:D11" si="0">Z8</f>
        <v>117756</v>
      </c>
      <c r="E10" s="21">
        <v>1</v>
      </c>
      <c r="F10" s="75">
        <f>D10*E10</f>
        <v>117756</v>
      </c>
      <c r="V10" s="5" t="s">
        <v>414</v>
      </c>
      <c r="W10" s="96">
        <v>0</v>
      </c>
      <c r="X10" s="111">
        <v>0</v>
      </c>
      <c r="Y10" s="111">
        <v>0</v>
      </c>
      <c r="Z10" s="111">
        <v>0</v>
      </c>
      <c r="AA10" s="225"/>
      <c r="AB10" s="2" t="e">
        <f>'Summary of Information'!#REF!</f>
        <v>#REF!</v>
      </c>
    </row>
    <row r="11" spans="2:28" ht="20.399999999999999">
      <c r="B11" s="5" t="s">
        <v>413</v>
      </c>
      <c r="C11" s="801" t="s">
        <v>1033</v>
      </c>
      <c r="D11" s="97">
        <f t="shared" si="0"/>
        <v>297587</v>
      </c>
      <c r="E11" s="21">
        <v>1</v>
      </c>
      <c r="F11" s="75">
        <f>D11*E11</f>
        <v>297587</v>
      </c>
      <c r="V11" s="71"/>
      <c r="W11" s="96"/>
      <c r="X11" s="96"/>
      <c r="Y11" s="96"/>
      <c r="Z11" s="96"/>
      <c r="AA11" s="225"/>
    </row>
    <row r="12" spans="2:28" ht="20.399999999999999">
      <c r="B12" s="5" t="s">
        <v>414</v>
      </c>
      <c r="C12" s="801" t="s">
        <v>1033</v>
      </c>
      <c r="D12" s="97">
        <f>Z10</f>
        <v>0</v>
      </c>
      <c r="E12" s="21">
        <v>1</v>
      </c>
      <c r="F12" s="75">
        <f>D12*E12</f>
        <v>0</v>
      </c>
      <c r="V12" s="86"/>
      <c r="W12" s="96"/>
      <c r="X12" s="96"/>
      <c r="Y12" s="96"/>
      <c r="Z12" s="96"/>
    </row>
    <row r="13" spans="2:28">
      <c r="B13" s="71"/>
      <c r="C13" s="425" t="s">
        <v>384</v>
      </c>
      <c r="D13" s="6">
        <f>SUM(D14:D20)</f>
        <v>0</v>
      </c>
      <c r="E13" s="32"/>
      <c r="F13" s="75"/>
      <c r="H13" s="24" t="s">
        <v>416</v>
      </c>
      <c r="V13" s="86"/>
      <c r="W13" s="96"/>
      <c r="X13" s="96"/>
      <c r="Y13" s="96"/>
      <c r="Z13" s="96"/>
    </row>
    <row r="14" spans="2:28">
      <c r="B14" s="86"/>
      <c r="C14" s="425" t="s">
        <v>384</v>
      </c>
      <c r="D14" s="97"/>
      <c r="E14" s="21">
        <v>1</v>
      </c>
      <c r="F14" s="75"/>
      <c r="V14" s="86"/>
      <c r="W14" s="96"/>
      <c r="X14" s="96"/>
      <c r="Y14" s="96"/>
      <c r="Z14" s="96"/>
    </row>
    <row r="15" spans="2:28">
      <c r="B15" s="86"/>
      <c r="C15" s="425" t="s">
        <v>384</v>
      </c>
      <c r="D15" s="97"/>
      <c r="E15" s="21">
        <v>1</v>
      </c>
      <c r="F15" s="75"/>
      <c r="V15" s="86"/>
      <c r="W15" s="96"/>
      <c r="X15" s="96"/>
      <c r="Y15" s="96"/>
      <c r="Z15" s="96"/>
    </row>
    <row r="16" spans="2:28">
      <c r="B16" s="86"/>
      <c r="C16" s="425" t="s">
        <v>384</v>
      </c>
      <c r="D16" s="97"/>
      <c r="E16" s="21">
        <v>1</v>
      </c>
      <c r="F16" s="75"/>
      <c r="V16" s="86"/>
      <c r="W16" s="96"/>
      <c r="X16" s="96"/>
      <c r="Y16" s="96"/>
      <c r="Z16" s="96"/>
    </row>
    <row r="17" spans="1:26">
      <c r="B17" s="86"/>
      <c r="C17" s="425" t="s">
        <v>384</v>
      </c>
      <c r="D17" s="97"/>
      <c r="E17" s="21">
        <v>1</v>
      </c>
      <c r="F17" s="75"/>
      <c r="V17" s="86"/>
      <c r="W17" s="96"/>
      <c r="X17" s="96"/>
      <c r="Y17" s="96"/>
      <c r="Z17" s="96"/>
    </row>
    <row r="18" spans="1:26">
      <c r="B18" s="86"/>
      <c r="C18" s="425" t="s">
        <v>384</v>
      </c>
      <c r="D18" s="97"/>
      <c r="E18" s="21">
        <v>1</v>
      </c>
      <c r="F18" s="75"/>
      <c r="V18" s="86"/>
      <c r="W18" s="96"/>
      <c r="X18" s="96"/>
      <c r="Y18" s="96"/>
      <c r="Z18" s="96"/>
    </row>
    <row r="19" spans="1:26">
      <c r="B19" s="86"/>
      <c r="C19" s="425" t="s">
        <v>384</v>
      </c>
      <c r="D19" s="97"/>
      <c r="E19" s="21">
        <v>1</v>
      </c>
      <c r="F19" s="75"/>
    </row>
    <row r="20" spans="1:26">
      <c r="B20" s="86"/>
      <c r="C20" s="425" t="s">
        <v>384</v>
      </c>
      <c r="D20" s="97"/>
      <c r="E20" s="21">
        <v>1</v>
      </c>
      <c r="F20" s="75"/>
    </row>
    <row r="21" spans="1:26" s="24" customFormat="1">
      <c r="B21" s="72" t="s">
        <v>417</v>
      </c>
      <c r="C21" s="73"/>
      <c r="D21" s="74">
        <f>SUM(D9:D12)</f>
        <v>0</v>
      </c>
      <c r="E21" s="74"/>
      <c r="F21" s="74">
        <f>SUM(F9:F12)</f>
        <v>0</v>
      </c>
      <c r="L21" s="2"/>
      <c r="M21" s="2"/>
      <c r="N21" s="2"/>
      <c r="O21" s="2"/>
      <c r="P21" s="2"/>
      <c r="V21" s="2"/>
      <c r="W21" s="2"/>
      <c r="X21" s="2"/>
      <c r="Y21" s="2"/>
      <c r="Z21" s="2"/>
    </row>
    <row r="23" spans="1:26">
      <c r="B23" s="82" t="s">
        <v>418</v>
      </c>
    </row>
    <row r="24" spans="1:26">
      <c r="B24" s="71" t="s">
        <v>419</v>
      </c>
      <c r="C24" s="5"/>
      <c r="D24" s="77">
        <f>H59</f>
        <v>173208</v>
      </c>
      <c r="E24" s="21">
        <v>1</v>
      </c>
      <c r="F24" s="75">
        <f>D24*E24</f>
        <v>173208</v>
      </c>
      <c r="H24" s="63" t="s">
        <v>420</v>
      </c>
    </row>
    <row r="25" spans="1:26">
      <c r="B25" s="5" t="s">
        <v>421</v>
      </c>
      <c r="C25" s="5"/>
      <c r="D25" s="81">
        <f>G59</f>
        <v>131447.4</v>
      </c>
      <c r="E25" s="21">
        <v>1</v>
      </c>
      <c r="F25" s="75">
        <f>D25*E25</f>
        <v>131447.4</v>
      </c>
    </row>
    <row r="26" spans="1:26" s="24" customFormat="1">
      <c r="B26" s="72" t="s">
        <v>422</v>
      </c>
      <c r="C26" s="73"/>
      <c r="D26" s="74">
        <f>SUM(D24:D25)</f>
        <v>304655.40000000002</v>
      </c>
      <c r="E26" s="74"/>
      <c r="F26" s="74">
        <f>SUM(F24:F25)</f>
        <v>304655.40000000002</v>
      </c>
      <c r="G26" s="110"/>
      <c r="L26" s="2"/>
      <c r="M26" s="2"/>
      <c r="N26" s="2"/>
      <c r="O26" s="2"/>
      <c r="P26" s="2"/>
      <c r="V26" s="2"/>
      <c r="W26" s="2"/>
      <c r="X26" s="2"/>
      <c r="Y26" s="2"/>
      <c r="Z26" s="2"/>
    </row>
    <row r="27" spans="1:26" s="24" customFormat="1">
      <c r="L27" s="2"/>
      <c r="M27" s="2"/>
      <c r="N27" s="2"/>
      <c r="O27" s="2"/>
      <c r="P27" s="2"/>
      <c r="V27" s="2"/>
      <c r="W27" s="2"/>
      <c r="X27" s="2"/>
      <c r="Y27" s="2"/>
      <c r="Z27" s="2"/>
    </row>
    <row r="28" spans="1:26">
      <c r="A28" s="24"/>
      <c r="B28" s="82" t="s">
        <v>423</v>
      </c>
    </row>
    <row r="29" spans="1:26">
      <c r="A29" s="24"/>
      <c r="B29" s="71" t="s">
        <v>419</v>
      </c>
      <c r="C29" s="5"/>
      <c r="D29" s="77">
        <f>R59</f>
        <v>0</v>
      </c>
      <c r="E29" s="21">
        <v>1</v>
      </c>
      <c r="F29" s="75">
        <f>D29*E29</f>
        <v>0</v>
      </c>
    </row>
    <row r="30" spans="1:26">
      <c r="B30" s="5" t="s">
        <v>421</v>
      </c>
      <c r="C30" s="5"/>
      <c r="D30" s="81">
        <f>Q59</f>
        <v>0</v>
      </c>
      <c r="E30" s="21">
        <v>1</v>
      </c>
      <c r="F30" s="75">
        <f>D30*E30</f>
        <v>0</v>
      </c>
    </row>
    <row r="31" spans="1:26" s="24" customFormat="1">
      <c r="B31" s="72" t="s">
        <v>422</v>
      </c>
      <c r="C31" s="73"/>
      <c r="D31" s="74">
        <f>SUM(D29:D30)</f>
        <v>0</v>
      </c>
      <c r="E31" s="74"/>
      <c r="F31" s="74">
        <f>SUM(F29:F30)</f>
        <v>0</v>
      </c>
      <c r="L31" s="2"/>
      <c r="M31" s="2"/>
      <c r="N31" s="2"/>
      <c r="O31" s="2"/>
      <c r="P31" s="2"/>
    </row>
    <row r="32" spans="1:26">
      <c r="B32" s="64" t="s">
        <v>424</v>
      </c>
    </row>
    <row r="33" spans="1:30">
      <c r="B33" s="64" t="s">
        <v>425</v>
      </c>
    </row>
    <row r="34" spans="1:30">
      <c r="B34" s="64" t="s">
        <v>426</v>
      </c>
    </row>
    <row r="35" spans="1:30">
      <c r="B35" s="67" t="s">
        <v>427</v>
      </c>
    </row>
    <row r="36" spans="1:30">
      <c r="B36" s="67" t="s">
        <v>428</v>
      </c>
    </row>
    <row r="37" spans="1:30">
      <c r="B37" s="67" t="s">
        <v>429</v>
      </c>
    </row>
    <row r="38" spans="1:30">
      <c r="B38" s="67" t="s">
        <v>430</v>
      </c>
    </row>
    <row r="39" spans="1:30">
      <c r="B39" s="67" t="s">
        <v>431</v>
      </c>
    </row>
    <row r="40" spans="1:30">
      <c r="B40" s="67" t="s">
        <v>432</v>
      </c>
    </row>
    <row r="43" spans="1:30">
      <c r="B43" s="1011" t="s">
        <v>433</v>
      </c>
      <c r="C43" s="1011"/>
      <c r="D43" s="1011"/>
      <c r="E43" s="1011"/>
      <c r="F43" s="1011"/>
      <c r="G43" s="1011"/>
      <c r="H43" s="1011"/>
      <c r="I43" s="1011"/>
      <c r="J43" s="1011"/>
      <c r="L43" s="1011" t="s">
        <v>434</v>
      </c>
      <c r="M43" s="1011"/>
      <c r="N43" s="1011"/>
      <c r="O43" s="1011"/>
      <c r="P43" s="1011"/>
      <c r="Q43" s="1011"/>
      <c r="R43" s="1011"/>
      <c r="S43" s="1011"/>
      <c r="T43" s="1011"/>
      <c r="V43" s="1010" t="s">
        <v>435</v>
      </c>
      <c r="W43" s="1010"/>
      <c r="X43" s="1010"/>
      <c r="Y43" s="1010"/>
      <c r="Z43" s="1010"/>
      <c r="AA43" s="1010"/>
      <c r="AB43" s="1010"/>
      <c r="AC43" s="1010"/>
      <c r="AD43" s="1010"/>
    </row>
    <row r="45" spans="1:30" s="20" customFormat="1" ht="54" customHeight="1">
      <c r="B45" s="83" t="s">
        <v>436</v>
      </c>
      <c r="C45" s="173" t="s">
        <v>365</v>
      </c>
      <c r="D45" s="173" t="s">
        <v>368</v>
      </c>
      <c r="E45" s="173" t="s">
        <v>372</v>
      </c>
      <c r="F45" s="173" t="s">
        <v>437</v>
      </c>
      <c r="G45" s="173" t="s">
        <v>438</v>
      </c>
      <c r="H45" s="173" t="s">
        <v>439</v>
      </c>
      <c r="I45" s="173" t="s">
        <v>440</v>
      </c>
      <c r="J45" s="173" t="s">
        <v>441</v>
      </c>
      <c r="L45" s="83" t="s">
        <v>442</v>
      </c>
      <c r="M45" s="3" t="str">
        <f>C45</f>
        <v>Fin. Type</v>
      </c>
      <c r="N45" s="3" t="str">
        <f t="shared" ref="N45:T45" si="1">D45</f>
        <v>Limit</v>
      </c>
      <c r="O45" s="3" t="str">
        <f t="shared" si="1"/>
        <v>Outstanding</v>
      </c>
      <c r="P45" s="3" t="str">
        <f t="shared" si="1"/>
        <v>Monthly Repayment</v>
      </c>
      <c r="Q45" s="3" t="str">
        <f t="shared" si="1"/>
        <v>Minimum Interest (Y)</v>
      </c>
      <c r="R45" s="3" t="str">
        <f t="shared" si="1"/>
        <v>Repayment (Y)</v>
      </c>
      <c r="S45" s="3" t="str">
        <f t="shared" si="1"/>
        <v>Annual Interest/
Principal Repayment</v>
      </c>
      <c r="T45" s="3" t="str">
        <f t="shared" si="1"/>
        <v>Overall Code Of Conduct</v>
      </c>
      <c r="V45" s="83" t="s">
        <v>442</v>
      </c>
      <c r="W45" s="3" t="str">
        <f>M45</f>
        <v>Fin. Type</v>
      </c>
      <c r="X45" s="3" t="str">
        <f t="shared" ref="X45" si="2">N45</f>
        <v>Limit</v>
      </c>
      <c r="Y45" s="3" t="str">
        <f t="shared" ref="Y45" si="3">O45</f>
        <v>Outstanding</v>
      </c>
      <c r="Z45" s="3" t="str">
        <f t="shared" ref="Z45" si="4">P45</f>
        <v>Monthly Repayment</v>
      </c>
      <c r="AA45" s="3" t="str">
        <f t="shared" ref="AA45" si="5">Q45</f>
        <v>Minimum Interest (Y)</v>
      </c>
      <c r="AB45" s="3" t="str">
        <f t="shared" ref="AB45" si="6">R45</f>
        <v>Repayment (Y)</v>
      </c>
      <c r="AC45" s="3" t="str">
        <f t="shared" ref="AC45" si="7">S45</f>
        <v>Annual Interest/
Principal Repayment</v>
      </c>
      <c r="AD45" s="3" t="str">
        <f t="shared" ref="AD45" si="8">T45</f>
        <v>Overall Code Of Conduct</v>
      </c>
    </row>
    <row r="46" spans="1:30" ht="25.5" customHeight="1">
      <c r="A46" s="2">
        <f>COUNT(D62:D76)</f>
        <v>1</v>
      </c>
      <c r="B46" s="5" t="str">
        <f>B61</f>
        <v>Facility (Overdraft)</v>
      </c>
      <c r="C46" s="7" t="s">
        <v>368</v>
      </c>
      <c r="D46" s="79">
        <f>D$77</f>
        <v>187500</v>
      </c>
      <c r="E46" s="79">
        <f t="shared" ref="E46:F46" si="9">E$77</f>
        <v>71318</v>
      </c>
      <c r="F46" s="79">
        <f t="shared" si="9"/>
        <v>0</v>
      </c>
      <c r="G46" s="174">
        <f>I$77</f>
        <v>0</v>
      </c>
      <c r="H46" s="174">
        <f>F46*12</f>
        <v>0</v>
      </c>
      <c r="I46" s="34">
        <f>IF(C46="Installment",H46,G46)</f>
        <v>0</v>
      </c>
      <c r="J46" s="172"/>
      <c r="L46" s="5" t="str">
        <f>$B46</f>
        <v>Facility (Overdraft)</v>
      </c>
      <c r="M46" s="7" t="str">
        <f>$C46</f>
        <v>Limit</v>
      </c>
      <c r="N46" s="79">
        <f>N$77</f>
        <v>0</v>
      </c>
      <c r="O46" s="79">
        <f t="shared" ref="O46:P46" si="10">O$77</f>
        <v>0</v>
      </c>
      <c r="P46" s="79">
        <f t="shared" si="10"/>
        <v>0</v>
      </c>
      <c r="Q46" s="174">
        <f>S$77</f>
        <v>0</v>
      </c>
      <c r="R46" s="174">
        <f>P46*12</f>
        <v>0</v>
      </c>
      <c r="S46" s="34">
        <f>IF(M46="Installment",R46,Q46)</f>
        <v>0</v>
      </c>
      <c r="T46" s="172"/>
      <c r="V46" s="5" t="str">
        <f>$B46</f>
        <v>Facility (Overdraft)</v>
      </c>
      <c r="W46" s="7" t="str">
        <f>$C46</f>
        <v>Limit</v>
      </c>
      <c r="X46" s="79">
        <f>X$77</f>
        <v>0</v>
      </c>
      <c r="Y46" s="79">
        <f t="shared" ref="Y46:Z46" si="11">Y$77</f>
        <v>0</v>
      </c>
      <c r="Z46" s="79">
        <f t="shared" si="11"/>
        <v>0</v>
      </c>
      <c r="AA46" s="174">
        <f>AC$77</f>
        <v>0</v>
      </c>
      <c r="AB46" s="174">
        <f>Z46*12</f>
        <v>0</v>
      </c>
      <c r="AC46" s="34">
        <f>IF(W46="Installment",AB46,AA46)</f>
        <v>0</v>
      </c>
      <c r="AD46" s="172"/>
    </row>
    <row r="47" spans="1:30" ht="25.5" customHeight="1">
      <c r="A47" s="2">
        <f>COUNT(D80:D94)</f>
        <v>0</v>
      </c>
      <c r="B47" s="5" t="str">
        <f>B79</f>
        <v>Facility (Overdraft - Temporary)</v>
      </c>
      <c r="C47" s="7" t="s">
        <v>368</v>
      </c>
      <c r="D47" s="79">
        <f>D$95</f>
        <v>0</v>
      </c>
      <c r="E47" s="79">
        <f>E$95</f>
        <v>0</v>
      </c>
      <c r="F47" s="79">
        <f>F$95</f>
        <v>0</v>
      </c>
      <c r="G47" s="174">
        <f>I$95</f>
        <v>0</v>
      </c>
      <c r="H47" s="174">
        <f t="shared" ref="H47:H57" si="12">F47*12</f>
        <v>0</v>
      </c>
      <c r="I47" s="34">
        <f t="shared" ref="I47:I58" si="13">IF(C47="Installment",H47,G47)</f>
        <v>0</v>
      </c>
      <c r="J47" s="172"/>
      <c r="L47" s="5" t="str">
        <f t="shared" ref="L47:L59" si="14">$B47</f>
        <v>Facility (Overdraft - Temporary)</v>
      </c>
      <c r="M47" s="7" t="str">
        <f t="shared" ref="M47:M59" si="15">$C47</f>
        <v>Limit</v>
      </c>
      <c r="N47" s="79">
        <f>N$95</f>
        <v>0</v>
      </c>
      <c r="O47" s="79">
        <f>O$95</f>
        <v>0</v>
      </c>
      <c r="P47" s="79">
        <f>P$95</f>
        <v>0</v>
      </c>
      <c r="Q47" s="174">
        <f>S$95</f>
        <v>0</v>
      </c>
      <c r="R47" s="174">
        <f t="shared" ref="R47:R58" si="16">P47*12</f>
        <v>0</v>
      </c>
      <c r="S47" s="34">
        <f t="shared" ref="S47:S58" si="17">IF(M47="Installment",R47,Q47)</f>
        <v>0</v>
      </c>
      <c r="T47" s="172"/>
      <c r="V47" s="5" t="str">
        <f t="shared" ref="V47:V59" si="18">$B47</f>
        <v>Facility (Overdraft - Temporary)</v>
      </c>
      <c r="W47" s="7" t="str">
        <f t="shared" ref="W47:W59" si="19">$C47</f>
        <v>Limit</v>
      </c>
      <c r="X47" s="79">
        <f>X$95</f>
        <v>0</v>
      </c>
      <c r="Y47" s="79">
        <f>Y$95</f>
        <v>0</v>
      </c>
      <c r="Z47" s="79">
        <f>Z$95</f>
        <v>0</v>
      </c>
      <c r="AA47" s="174">
        <f>AC$95</f>
        <v>0</v>
      </c>
      <c r="AB47" s="174">
        <f t="shared" ref="AB47:AB58" si="20">Z47*12</f>
        <v>0</v>
      </c>
      <c r="AC47" s="34">
        <f t="shared" ref="AC47:AC58" si="21">IF(W47="Installment",AB47,AA47)</f>
        <v>0</v>
      </c>
      <c r="AD47" s="172"/>
    </row>
    <row r="48" spans="1:30" ht="25.5" customHeight="1">
      <c r="A48" s="2">
        <f>COUNT(D98:D112)</f>
        <v>0</v>
      </c>
      <c r="B48" s="5" t="str">
        <f>B97</f>
        <v>Facility (Bank Guarantee)</v>
      </c>
      <c r="C48" s="7" t="s">
        <v>368</v>
      </c>
      <c r="D48" s="79">
        <f>D$113</f>
        <v>0</v>
      </c>
      <c r="E48" s="79">
        <f>E$113</f>
        <v>0</v>
      </c>
      <c r="F48" s="79">
        <f>F$113</f>
        <v>0</v>
      </c>
      <c r="G48" s="174">
        <f>I$113</f>
        <v>0</v>
      </c>
      <c r="H48" s="174">
        <f t="shared" si="12"/>
        <v>0</v>
      </c>
      <c r="I48" s="34">
        <f t="shared" si="13"/>
        <v>0</v>
      </c>
      <c r="J48" s="172"/>
      <c r="L48" s="5" t="str">
        <f t="shared" si="14"/>
        <v>Facility (Bank Guarantee)</v>
      </c>
      <c r="M48" s="7" t="str">
        <f t="shared" si="15"/>
        <v>Limit</v>
      </c>
      <c r="N48" s="79">
        <f>N$113</f>
        <v>0</v>
      </c>
      <c r="O48" s="79">
        <f>O$113</f>
        <v>0</v>
      </c>
      <c r="P48" s="79">
        <f>P$113</f>
        <v>0</v>
      </c>
      <c r="Q48" s="174">
        <f>S$113</f>
        <v>0</v>
      </c>
      <c r="R48" s="174">
        <f t="shared" si="16"/>
        <v>0</v>
      </c>
      <c r="S48" s="34">
        <f t="shared" si="17"/>
        <v>0</v>
      </c>
      <c r="T48" s="172"/>
      <c r="V48" s="5" t="str">
        <f t="shared" si="18"/>
        <v>Facility (Bank Guarantee)</v>
      </c>
      <c r="W48" s="7" t="str">
        <f t="shared" si="19"/>
        <v>Limit</v>
      </c>
      <c r="X48" s="79">
        <f>X$113</f>
        <v>0</v>
      </c>
      <c r="Y48" s="79">
        <f>Y$113</f>
        <v>0</v>
      </c>
      <c r="Z48" s="79">
        <f>Z$113</f>
        <v>0</v>
      </c>
      <c r="AA48" s="174">
        <f>AC$113</f>
        <v>0</v>
      </c>
      <c r="AB48" s="174">
        <f t="shared" si="20"/>
        <v>0</v>
      </c>
      <c r="AC48" s="34">
        <f t="shared" si="21"/>
        <v>0</v>
      </c>
      <c r="AD48" s="172"/>
    </row>
    <row r="49" spans="1:32" ht="25.5" customHeight="1">
      <c r="A49" s="2">
        <f>COUNT(D116:D130)</f>
        <v>0</v>
      </c>
      <c r="B49" s="5" t="str">
        <f>B115</f>
        <v>Facility (Bank Trade - Funded)</v>
      </c>
      <c r="C49" s="7" t="s">
        <v>368</v>
      </c>
      <c r="D49" s="79">
        <f>D$131</f>
        <v>0</v>
      </c>
      <c r="E49" s="79">
        <f>E$131</f>
        <v>0</v>
      </c>
      <c r="F49" s="79">
        <f>F$131</f>
        <v>0</v>
      </c>
      <c r="G49" s="174">
        <f>I$131</f>
        <v>0</v>
      </c>
      <c r="H49" s="174">
        <f t="shared" si="12"/>
        <v>0</v>
      </c>
      <c r="I49" s="34">
        <f t="shared" si="13"/>
        <v>0</v>
      </c>
      <c r="J49" s="172"/>
      <c r="L49" s="5" t="str">
        <f t="shared" si="14"/>
        <v>Facility (Bank Trade - Funded)</v>
      </c>
      <c r="M49" s="7" t="str">
        <f t="shared" si="15"/>
        <v>Limit</v>
      </c>
      <c r="N49" s="79">
        <f>N$131</f>
        <v>0</v>
      </c>
      <c r="O49" s="79">
        <f>O$131</f>
        <v>0</v>
      </c>
      <c r="P49" s="79">
        <f>P$131</f>
        <v>0</v>
      </c>
      <c r="Q49" s="174">
        <f>S$131</f>
        <v>0</v>
      </c>
      <c r="R49" s="174">
        <f t="shared" si="16"/>
        <v>0</v>
      </c>
      <c r="S49" s="34">
        <f t="shared" si="17"/>
        <v>0</v>
      </c>
      <c r="T49" s="172"/>
      <c r="V49" s="5" t="str">
        <f t="shared" si="18"/>
        <v>Facility (Bank Trade - Funded)</v>
      </c>
      <c r="W49" s="7" t="str">
        <f t="shared" si="19"/>
        <v>Limit</v>
      </c>
      <c r="X49" s="79">
        <f>X$131</f>
        <v>0</v>
      </c>
      <c r="Y49" s="79">
        <f>Y$131</f>
        <v>0</v>
      </c>
      <c r="Z49" s="79">
        <f>Z$131</f>
        <v>0</v>
      </c>
      <c r="AA49" s="174">
        <f>AC$131</f>
        <v>0</v>
      </c>
      <c r="AB49" s="174">
        <f t="shared" si="20"/>
        <v>0</v>
      </c>
      <c r="AC49" s="34">
        <f t="shared" si="21"/>
        <v>0</v>
      </c>
      <c r="AD49" s="172"/>
    </row>
    <row r="50" spans="1:32" ht="25.5" customHeight="1">
      <c r="A50" s="2">
        <f>COUNT(D134:D148)</f>
        <v>0</v>
      </c>
      <c r="B50" s="5" t="str">
        <f>B133</f>
        <v>Facility (Bank Trade - Non Funded)</v>
      </c>
      <c r="C50" s="7" t="s">
        <v>368</v>
      </c>
      <c r="D50" s="79">
        <f>D$149</f>
        <v>0</v>
      </c>
      <c r="E50" s="79">
        <f>E$149</f>
        <v>0</v>
      </c>
      <c r="F50" s="79">
        <f>F$149</f>
        <v>0</v>
      </c>
      <c r="G50" s="174">
        <f>I$149</f>
        <v>0</v>
      </c>
      <c r="H50" s="174">
        <f t="shared" si="12"/>
        <v>0</v>
      </c>
      <c r="I50" s="34">
        <f t="shared" si="13"/>
        <v>0</v>
      </c>
      <c r="J50" s="172"/>
      <c r="L50" s="5" t="str">
        <f t="shared" si="14"/>
        <v>Facility (Bank Trade - Non Funded)</v>
      </c>
      <c r="M50" s="7" t="str">
        <f t="shared" si="15"/>
        <v>Limit</v>
      </c>
      <c r="N50" s="79">
        <f>N$149</f>
        <v>0</v>
      </c>
      <c r="O50" s="79">
        <f>O$149</f>
        <v>0</v>
      </c>
      <c r="P50" s="79">
        <f>P$149</f>
        <v>0</v>
      </c>
      <c r="Q50" s="174">
        <f>S$149</f>
        <v>0</v>
      </c>
      <c r="R50" s="174">
        <f t="shared" si="16"/>
        <v>0</v>
      </c>
      <c r="S50" s="34">
        <f t="shared" si="17"/>
        <v>0</v>
      </c>
      <c r="T50" s="172"/>
      <c r="V50" s="5" t="str">
        <f t="shared" si="18"/>
        <v>Facility (Bank Trade - Non Funded)</v>
      </c>
      <c r="W50" s="7" t="str">
        <f t="shared" si="19"/>
        <v>Limit</v>
      </c>
      <c r="X50" s="79">
        <f>X$149</f>
        <v>0</v>
      </c>
      <c r="Y50" s="79">
        <f>Y$149</f>
        <v>0</v>
      </c>
      <c r="Z50" s="79">
        <f>Z$149</f>
        <v>0</v>
      </c>
      <c r="AA50" s="174">
        <f>AC$149</f>
        <v>0</v>
      </c>
      <c r="AB50" s="174">
        <f t="shared" si="20"/>
        <v>0</v>
      </c>
      <c r="AC50" s="34">
        <f t="shared" si="21"/>
        <v>0</v>
      </c>
      <c r="AD50" s="172"/>
    </row>
    <row r="51" spans="1:32" ht="25.5" customHeight="1">
      <c r="A51" s="2">
        <f>COUNT(D152:D166)</f>
        <v>0</v>
      </c>
      <c r="B51" s="5" t="str">
        <f>B151</f>
        <v>Facility (Revolving Credit)</v>
      </c>
      <c r="C51" s="7" t="s">
        <v>368</v>
      </c>
      <c r="D51" s="79">
        <f>D$167</f>
        <v>0</v>
      </c>
      <c r="E51" s="79">
        <f>E$167</f>
        <v>0</v>
      </c>
      <c r="F51" s="79">
        <f>F$167</f>
        <v>0</v>
      </c>
      <c r="G51" s="174">
        <f>I$167</f>
        <v>0</v>
      </c>
      <c r="H51" s="174">
        <f t="shared" si="12"/>
        <v>0</v>
      </c>
      <c r="I51" s="34">
        <f t="shared" si="13"/>
        <v>0</v>
      </c>
      <c r="J51" s="172"/>
      <c r="L51" s="5" t="str">
        <f t="shared" si="14"/>
        <v>Facility (Revolving Credit)</v>
      </c>
      <c r="M51" s="7" t="str">
        <f t="shared" si="15"/>
        <v>Limit</v>
      </c>
      <c r="N51" s="79">
        <f>N$167</f>
        <v>0</v>
      </c>
      <c r="O51" s="79">
        <f>O$167</f>
        <v>0</v>
      </c>
      <c r="P51" s="79">
        <f>P$167</f>
        <v>0</v>
      </c>
      <c r="Q51" s="174">
        <f>S$167</f>
        <v>0</v>
      </c>
      <c r="R51" s="174">
        <f t="shared" si="16"/>
        <v>0</v>
      </c>
      <c r="S51" s="34">
        <f t="shared" si="17"/>
        <v>0</v>
      </c>
      <c r="T51" s="172"/>
      <c r="V51" s="5" t="str">
        <f t="shared" si="18"/>
        <v>Facility (Revolving Credit)</v>
      </c>
      <c r="W51" s="7" t="str">
        <f t="shared" si="19"/>
        <v>Limit</v>
      </c>
      <c r="X51" s="79">
        <f>X$167</f>
        <v>0</v>
      </c>
      <c r="Y51" s="79">
        <f>Y$167</f>
        <v>0</v>
      </c>
      <c r="Z51" s="79">
        <f>Z$167</f>
        <v>0</v>
      </c>
      <c r="AA51" s="174">
        <f>AC$167</f>
        <v>0</v>
      </c>
      <c r="AB51" s="174">
        <f t="shared" si="20"/>
        <v>0</v>
      </c>
      <c r="AC51" s="34">
        <f t="shared" si="21"/>
        <v>0</v>
      </c>
      <c r="AD51" s="172"/>
    </row>
    <row r="52" spans="1:32" ht="25.5" customHeight="1">
      <c r="A52" s="2">
        <f>COUNT(D170:D184)</f>
        <v>1</v>
      </c>
      <c r="B52" s="5" t="str">
        <f>B169</f>
        <v>Facility (Factoring)</v>
      </c>
      <c r="C52" s="7" t="s">
        <v>368</v>
      </c>
      <c r="D52" s="79">
        <f>D$185</f>
        <v>2551000</v>
      </c>
      <c r="E52" s="79">
        <f>E$185</f>
        <v>0</v>
      </c>
      <c r="F52" s="79">
        <f>F$185</f>
        <v>0</v>
      </c>
      <c r="G52" s="174">
        <f>I$185</f>
        <v>122448</v>
      </c>
      <c r="H52" s="174">
        <f t="shared" si="12"/>
        <v>0</v>
      </c>
      <c r="I52" s="34">
        <f t="shared" si="13"/>
        <v>122448</v>
      </c>
      <c r="J52" s="172"/>
      <c r="L52" s="5" t="str">
        <f t="shared" si="14"/>
        <v>Facility (Factoring)</v>
      </c>
      <c r="M52" s="7" t="str">
        <f t="shared" si="15"/>
        <v>Limit</v>
      </c>
      <c r="N52" s="79">
        <f>N$185</f>
        <v>0</v>
      </c>
      <c r="O52" s="79">
        <f>O$185</f>
        <v>0</v>
      </c>
      <c r="P52" s="79">
        <f>P$185</f>
        <v>0</v>
      </c>
      <c r="Q52" s="174">
        <f>S$185</f>
        <v>0</v>
      </c>
      <c r="R52" s="174">
        <f t="shared" si="16"/>
        <v>0</v>
      </c>
      <c r="S52" s="34">
        <f t="shared" si="17"/>
        <v>0</v>
      </c>
      <c r="T52" s="172"/>
      <c r="V52" s="5" t="str">
        <f t="shared" si="18"/>
        <v>Facility (Factoring)</v>
      </c>
      <c r="W52" s="7" t="str">
        <f t="shared" si="19"/>
        <v>Limit</v>
      </c>
      <c r="X52" s="79">
        <f>X$185</f>
        <v>0</v>
      </c>
      <c r="Y52" s="79">
        <f>Y$185</f>
        <v>0</v>
      </c>
      <c r="Z52" s="79">
        <f>Z$185</f>
        <v>0</v>
      </c>
      <c r="AA52" s="174">
        <f>AC$185</f>
        <v>0</v>
      </c>
      <c r="AB52" s="174">
        <f t="shared" si="20"/>
        <v>0</v>
      </c>
      <c r="AC52" s="34">
        <f t="shared" si="21"/>
        <v>0</v>
      </c>
      <c r="AD52" s="172"/>
    </row>
    <row r="53" spans="1:32" ht="25.5" customHeight="1">
      <c r="A53" s="2">
        <f>COUNT(D188:D202)</f>
        <v>1</v>
      </c>
      <c r="B53" s="5" t="str">
        <f>B187</f>
        <v>Facility (Credit Card)</v>
      </c>
      <c r="C53" s="7" t="s">
        <v>372</v>
      </c>
      <c r="D53" s="79">
        <f>D$203</f>
        <v>20000</v>
      </c>
      <c r="E53" s="79">
        <f>E$203</f>
        <v>14999</v>
      </c>
      <c r="F53" s="79">
        <f>F$203</f>
        <v>0</v>
      </c>
      <c r="G53" s="175">
        <f>I$203*12</f>
        <v>8999.4000000000015</v>
      </c>
      <c r="H53" s="174">
        <f t="shared" si="12"/>
        <v>0</v>
      </c>
      <c r="I53" s="34">
        <f t="shared" si="13"/>
        <v>8999.4000000000015</v>
      </c>
      <c r="J53" s="172"/>
      <c r="L53" s="5" t="str">
        <f t="shared" si="14"/>
        <v>Facility (Credit Card)</v>
      </c>
      <c r="M53" s="7" t="str">
        <f t="shared" si="15"/>
        <v>Outstanding</v>
      </c>
      <c r="N53" s="79">
        <f>N$203</f>
        <v>0</v>
      </c>
      <c r="O53" s="79">
        <f>O$203</f>
        <v>0</v>
      </c>
      <c r="P53" s="79">
        <f>P$203</f>
        <v>0</v>
      </c>
      <c r="Q53" s="175">
        <f>S$203*12</f>
        <v>0</v>
      </c>
      <c r="R53" s="174">
        <f t="shared" si="16"/>
        <v>0</v>
      </c>
      <c r="S53" s="34">
        <f t="shared" si="17"/>
        <v>0</v>
      </c>
      <c r="T53" s="172"/>
      <c r="V53" s="5" t="str">
        <f t="shared" si="18"/>
        <v>Facility (Credit Card)</v>
      </c>
      <c r="W53" s="7" t="str">
        <f t="shared" si="19"/>
        <v>Outstanding</v>
      </c>
      <c r="X53" s="79">
        <f>X$203</f>
        <v>0</v>
      </c>
      <c r="Y53" s="79">
        <f>Y$203</f>
        <v>0</v>
      </c>
      <c r="Z53" s="79">
        <f>Z$203</f>
        <v>0</v>
      </c>
      <c r="AA53" s="175">
        <f>AC$203*12</f>
        <v>0</v>
      </c>
      <c r="AB53" s="174">
        <f t="shared" si="20"/>
        <v>0</v>
      </c>
      <c r="AC53" s="34">
        <f t="shared" si="21"/>
        <v>0</v>
      </c>
      <c r="AD53" s="172"/>
      <c r="AF53" s="19"/>
    </row>
    <row r="54" spans="1:32" ht="25.5" customHeight="1">
      <c r="A54" s="2">
        <f>COUNT(D206:D220)</f>
        <v>3</v>
      </c>
      <c r="B54" s="5" t="str">
        <f>B205</f>
        <v>Facility (Term-loan)</v>
      </c>
      <c r="C54" s="7" t="s">
        <v>443</v>
      </c>
      <c r="D54" s="79">
        <f>D$221</f>
        <v>850000</v>
      </c>
      <c r="E54" s="79">
        <f>E$221</f>
        <v>641476</v>
      </c>
      <c r="F54" s="79">
        <f>F$221</f>
        <v>13093</v>
      </c>
      <c r="G54" s="174">
        <f>I$221</f>
        <v>0</v>
      </c>
      <c r="H54" s="174">
        <f t="shared" si="12"/>
        <v>157116</v>
      </c>
      <c r="I54" s="34">
        <f t="shared" si="13"/>
        <v>157116</v>
      </c>
      <c r="J54" s="172"/>
      <c r="L54" s="5" t="str">
        <f t="shared" si="14"/>
        <v>Facility (Term-loan)</v>
      </c>
      <c r="M54" s="7" t="str">
        <f t="shared" si="15"/>
        <v>Installment</v>
      </c>
      <c r="N54" s="79">
        <f>N$221</f>
        <v>0</v>
      </c>
      <c r="O54" s="79">
        <f>O$221</f>
        <v>0</v>
      </c>
      <c r="P54" s="79">
        <f>P$221</f>
        <v>0</v>
      </c>
      <c r="Q54" s="174">
        <f>S$221</f>
        <v>0</v>
      </c>
      <c r="R54" s="174">
        <f t="shared" si="16"/>
        <v>0</v>
      </c>
      <c r="S54" s="34">
        <f t="shared" si="17"/>
        <v>0</v>
      </c>
      <c r="T54" s="172"/>
      <c r="V54" s="5" t="str">
        <f t="shared" si="18"/>
        <v>Facility (Term-loan)</v>
      </c>
      <c r="W54" s="7" t="str">
        <f t="shared" si="19"/>
        <v>Installment</v>
      </c>
      <c r="X54" s="79">
        <f>X$221</f>
        <v>0</v>
      </c>
      <c r="Y54" s="79">
        <f>Y$221</f>
        <v>0</v>
      </c>
      <c r="Z54" s="79">
        <f>Z$221</f>
        <v>0</v>
      </c>
      <c r="AA54" s="174">
        <f>AC$221</f>
        <v>0</v>
      </c>
      <c r="AB54" s="174">
        <f t="shared" si="20"/>
        <v>0</v>
      </c>
      <c r="AC54" s="34">
        <f t="shared" si="21"/>
        <v>0</v>
      </c>
      <c r="AD54" s="172"/>
    </row>
    <row r="55" spans="1:32" ht="25.5" customHeight="1">
      <c r="A55" s="2">
        <f>COUNT(D224:D238)</f>
        <v>1</v>
      </c>
      <c r="B55" s="5" t="str">
        <f>B223</f>
        <v>Facility (Hire Purchase / Leasing)</v>
      </c>
      <c r="C55" s="7" t="s">
        <v>443</v>
      </c>
      <c r="D55" s="79">
        <f>D$239</f>
        <v>117000</v>
      </c>
      <c r="E55" s="79">
        <f>E$239</f>
        <v>102315</v>
      </c>
      <c r="F55" s="79">
        <f>F$239</f>
        <v>1341</v>
      </c>
      <c r="G55" s="174">
        <f>I$239</f>
        <v>0</v>
      </c>
      <c r="H55" s="174">
        <f>F55*12</f>
        <v>16092</v>
      </c>
      <c r="I55" s="34">
        <f t="shared" si="13"/>
        <v>16092</v>
      </c>
      <c r="J55" s="172"/>
      <c r="L55" s="5" t="str">
        <f t="shared" si="14"/>
        <v>Facility (Hire Purchase / Leasing)</v>
      </c>
      <c r="M55" s="7" t="str">
        <f t="shared" si="15"/>
        <v>Installment</v>
      </c>
      <c r="N55" s="79">
        <f>N$239</f>
        <v>0</v>
      </c>
      <c r="O55" s="79">
        <f>O$239</f>
        <v>0</v>
      </c>
      <c r="P55" s="79">
        <f>P$239</f>
        <v>0</v>
      </c>
      <c r="Q55" s="174">
        <f>S$239</f>
        <v>0</v>
      </c>
      <c r="R55" s="174">
        <f t="shared" si="16"/>
        <v>0</v>
      </c>
      <c r="S55" s="34">
        <f t="shared" si="17"/>
        <v>0</v>
      </c>
      <c r="T55" s="172"/>
      <c r="V55" s="5" t="str">
        <f t="shared" si="18"/>
        <v>Facility (Hire Purchase / Leasing)</v>
      </c>
      <c r="W55" s="7" t="str">
        <f t="shared" si="19"/>
        <v>Installment</v>
      </c>
      <c r="X55" s="79">
        <f>X$239</f>
        <v>0</v>
      </c>
      <c r="Y55" s="79">
        <f>Y$239</f>
        <v>0</v>
      </c>
      <c r="Z55" s="79">
        <f>Z$239</f>
        <v>0</v>
      </c>
      <c r="AA55" s="174">
        <f>AC$239</f>
        <v>0</v>
      </c>
      <c r="AB55" s="174">
        <f t="shared" si="20"/>
        <v>0</v>
      </c>
      <c r="AC55" s="34">
        <f t="shared" si="21"/>
        <v>0</v>
      </c>
      <c r="AD55" s="172"/>
    </row>
    <row r="56" spans="1:32" ht="25.5" customHeight="1">
      <c r="A56" s="2">
        <f>COUNT(D242:D256)</f>
        <v>1</v>
      </c>
      <c r="B56" s="5" t="str">
        <f>B241</f>
        <v>P2P - Facility (Term-loan / Working Capital)</v>
      </c>
      <c r="C56" s="7" t="s">
        <v>443</v>
      </c>
      <c r="D56" s="79">
        <f>D$257</f>
        <v>500000</v>
      </c>
      <c r="E56" s="79">
        <f>E$257</f>
        <v>0</v>
      </c>
      <c r="F56" s="79">
        <f>F$257</f>
        <v>0</v>
      </c>
      <c r="G56" s="174">
        <f>I$257</f>
        <v>0</v>
      </c>
      <c r="H56" s="174">
        <f t="shared" si="12"/>
        <v>0</v>
      </c>
      <c r="I56" s="34">
        <f t="shared" si="13"/>
        <v>0</v>
      </c>
      <c r="J56" s="172"/>
      <c r="L56" s="5" t="str">
        <f t="shared" si="14"/>
        <v>P2P - Facility (Term-loan / Working Capital)</v>
      </c>
      <c r="M56" s="7" t="str">
        <f t="shared" si="15"/>
        <v>Installment</v>
      </c>
      <c r="N56" s="79">
        <f>N$257</f>
        <v>0</v>
      </c>
      <c r="O56" s="79">
        <f>O$257</f>
        <v>0</v>
      </c>
      <c r="P56" s="79">
        <f>P$257</f>
        <v>0</v>
      </c>
      <c r="Q56" s="174">
        <f>S$257</f>
        <v>0</v>
      </c>
      <c r="R56" s="174">
        <f t="shared" si="16"/>
        <v>0</v>
      </c>
      <c r="S56" s="34">
        <f t="shared" si="17"/>
        <v>0</v>
      </c>
      <c r="T56" s="172"/>
      <c r="V56" s="5" t="str">
        <f t="shared" si="18"/>
        <v>P2P - Facility (Term-loan / Working Capital)</v>
      </c>
      <c r="W56" s="7" t="str">
        <f t="shared" si="19"/>
        <v>Installment</v>
      </c>
      <c r="X56" s="79">
        <f>X$257</f>
        <v>0</v>
      </c>
      <c r="Y56" s="79">
        <f>Y$257</f>
        <v>0</v>
      </c>
      <c r="Z56" s="79">
        <f>Z$257</f>
        <v>0</v>
      </c>
      <c r="AA56" s="174">
        <f>AC$257</f>
        <v>0</v>
      </c>
      <c r="AB56" s="174">
        <f t="shared" si="20"/>
        <v>0</v>
      </c>
      <c r="AC56" s="34">
        <f t="shared" si="21"/>
        <v>0</v>
      </c>
      <c r="AD56" s="172"/>
      <c r="AF56" s="19"/>
    </row>
    <row r="57" spans="1:32" ht="25.5" customHeight="1">
      <c r="A57" s="2">
        <f>COUNT(D260:D274)</f>
        <v>0</v>
      </c>
      <c r="B57" s="5" t="str">
        <f>B259</f>
        <v>P2P - Facility (Trade Invoice Financing)</v>
      </c>
      <c r="C57" s="7" t="s">
        <v>368</v>
      </c>
      <c r="D57" s="79">
        <f>D$275</f>
        <v>0</v>
      </c>
      <c r="E57" s="79">
        <f>E$275</f>
        <v>0</v>
      </c>
      <c r="F57" s="79">
        <f>F$275</f>
        <v>0</v>
      </c>
      <c r="G57" s="174">
        <f>I$275</f>
        <v>0</v>
      </c>
      <c r="H57" s="174">
        <f t="shared" si="12"/>
        <v>0</v>
      </c>
      <c r="I57" s="34">
        <f t="shared" si="13"/>
        <v>0</v>
      </c>
      <c r="J57" s="172"/>
      <c r="L57" s="5" t="str">
        <f t="shared" si="14"/>
        <v>P2P - Facility (Trade Invoice Financing)</v>
      </c>
      <c r="M57" s="7" t="str">
        <f t="shared" si="15"/>
        <v>Limit</v>
      </c>
      <c r="N57" s="79">
        <f>N$275</f>
        <v>0</v>
      </c>
      <c r="O57" s="79">
        <f>O$275</f>
        <v>0</v>
      </c>
      <c r="P57" s="79">
        <f>P$275</f>
        <v>0</v>
      </c>
      <c r="Q57" s="174">
        <f>S$275</f>
        <v>0</v>
      </c>
      <c r="R57" s="174">
        <f t="shared" si="16"/>
        <v>0</v>
      </c>
      <c r="S57" s="34">
        <f t="shared" si="17"/>
        <v>0</v>
      </c>
      <c r="T57" s="172"/>
      <c r="V57" s="5" t="str">
        <f t="shared" si="18"/>
        <v>P2P - Facility (Trade Invoice Financing)</v>
      </c>
      <c r="W57" s="7" t="str">
        <f t="shared" si="19"/>
        <v>Limit</v>
      </c>
      <c r="X57" s="79">
        <f>X$275</f>
        <v>0</v>
      </c>
      <c r="Y57" s="79">
        <f>Y$275</f>
        <v>0</v>
      </c>
      <c r="Z57" s="79">
        <f>Z$275</f>
        <v>0</v>
      </c>
      <c r="AA57" s="174">
        <f>AC$275</f>
        <v>0</v>
      </c>
      <c r="AB57" s="174">
        <f t="shared" si="20"/>
        <v>0</v>
      </c>
      <c r="AC57" s="34">
        <f t="shared" si="21"/>
        <v>0</v>
      </c>
      <c r="AD57" s="172"/>
      <c r="AF57" s="19"/>
    </row>
    <row r="58" spans="1:32" ht="25.5" customHeight="1">
      <c r="A58" s="2">
        <f>COUNT(D278:D292)</f>
        <v>1</v>
      </c>
      <c r="B58" s="5" t="str">
        <f>B277</f>
        <v>Others</v>
      </c>
      <c r="C58" s="7" t="s">
        <v>443</v>
      </c>
      <c r="D58" s="79">
        <f>D$293</f>
        <v>50000</v>
      </c>
      <c r="E58" s="79">
        <f>E$293</f>
        <v>50021</v>
      </c>
      <c r="F58" s="79">
        <f>F$293</f>
        <v>1000</v>
      </c>
      <c r="G58" s="174">
        <f>I$293</f>
        <v>0</v>
      </c>
      <c r="H58" s="174"/>
      <c r="I58" s="34">
        <f t="shared" si="13"/>
        <v>0</v>
      </c>
      <c r="J58" s="172"/>
      <c r="L58" s="5" t="str">
        <f t="shared" si="14"/>
        <v>Others</v>
      </c>
      <c r="M58" s="7" t="str">
        <f t="shared" si="15"/>
        <v>Installment</v>
      </c>
      <c r="N58" s="79">
        <f>N$293</f>
        <v>0</v>
      </c>
      <c r="O58" s="79">
        <f>O$293</f>
        <v>0</v>
      </c>
      <c r="P58" s="79">
        <f>P$293</f>
        <v>0</v>
      </c>
      <c r="Q58" s="174">
        <f>S$293</f>
        <v>0</v>
      </c>
      <c r="R58" s="174">
        <f t="shared" si="16"/>
        <v>0</v>
      </c>
      <c r="S58" s="34">
        <f t="shared" si="17"/>
        <v>0</v>
      </c>
      <c r="T58" s="172"/>
      <c r="V58" s="5" t="str">
        <f t="shared" si="18"/>
        <v>Others</v>
      </c>
      <c r="W58" s="7" t="str">
        <f t="shared" si="19"/>
        <v>Installment</v>
      </c>
      <c r="X58" s="79">
        <f>X$293</f>
        <v>0</v>
      </c>
      <c r="Y58" s="79">
        <f>Y$293</f>
        <v>0</v>
      </c>
      <c r="Z58" s="79">
        <f>Z$293</f>
        <v>0</v>
      </c>
      <c r="AA58" s="174">
        <f>AC$293</f>
        <v>0</v>
      </c>
      <c r="AB58" s="174">
        <f t="shared" si="20"/>
        <v>0</v>
      </c>
      <c r="AC58" s="34">
        <f t="shared" si="21"/>
        <v>0</v>
      </c>
      <c r="AD58" s="172"/>
      <c r="AF58" s="19"/>
    </row>
    <row r="59" spans="1:32" ht="25.5" customHeight="1">
      <c r="B59" s="39" t="s">
        <v>179</v>
      </c>
      <c r="C59" s="33"/>
      <c r="D59" s="35">
        <f t="shared" ref="D59:I59" si="22">SUM(D46:D58)</f>
        <v>4275500</v>
      </c>
      <c r="E59" s="35">
        <f t="shared" si="22"/>
        <v>880129</v>
      </c>
      <c r="F59" s="35">
        <f t="shared" si="22"/>
        <v>15434</v>
      </c>
      <c r="G59" s="35">
        <f t="shared" si="22"/>
        <v>131447.4</v>
      </c>
      <c r="H59" s="35">
        <f t="shared" si="22"/>
        <v>173208</v>
      </c>
      <c r="I59" s="35">
        <f t="shared" si="22"/>
        <v>304655.40000000002</v>
      </c>
      <c r="J59" s="171"/>
      <c r="L59" s="39" t="str">
        <f t="shared" si="14"/>
        <v>Total</v>
      </c>
      <c r="M59" s="33">
        <f t="shared" si="15"/>
        <v>0</v>
      </c>
      <c r="N59" s="35">
        <f t="shared" ref="N59:S59" si="23">SUM(N46:N58)</f>
        <v>0</v>
      </c>
      <c r="O59" s="35">
        <f t="shared" si="23"/>
        <v>0</v>
      </c>
      <c r="P59" s="35">
        <f t="shared" si="23"/>
        <v>0</v>
      </c>
      <c r="Q59" s="35">
        <f t="shared" si="23"/>
        <v>0</v>
      </c>
      <c r="R59" s="35">
        <f t="shared" si="23"/>
        <v>0</v>
      </c>
      <c r="S59" s="35">
        <f t="shared" si="23"/>
        <v>0</v>
      </c>
      <c r="T59" s="171"/>
      <c r="V59" s="39" t="str">
        <f t="shared" si="18"/>
        <v>Total</v>
      </c>
      <c r="W59" s="33">
        <f t="shared" si="19"/>
        <v>0</v>
      </c>
      <c r="X59" s="35">
        <f t="shared" ref="X59:AC59" si="24">SUM(X46:X58)</f>
        <v>0</v>
      </c>
      <c r="Y59" s="35">
        <f t="shared" si="24"/>
        <v>0</v>
      </c>
      <c r="Z59" s="35">
        <f t="shared" si="24"/>
        <v>0</v>
      </c>
      <c r="AA59" s="35">
        <f t="shared" si="24"/>
        <v>0</v>
      </c>
      <c r="AB59" s="35">
        <f t="shared" si="24"/>
        <v>0</v>
      </c>
      <c r="AC59" s="35">
        <f t="shared" si="24"/>
        <v>0</v>
      </c>
      <c r="AD59" s="171"/>
      <c r="AF59" s="19">
        <f>'N.Margin (Ind. Benchmark)'!E23</f>
        <v>0</v>
      </c>
    </row>
    <row r="61" spans="1:32" s="20" customFormat="1" ht="41.4">
      <c r="B61" s="27" t="s">
        <v>9</v>
      </c>
      <c r="C61" s="3" t="s">
        <v>149</v>
      </c>
      <c r="D61" s="173" t="s">
        <v>444</v>
      </c>
      <c r="E61" s="173" t="s">
        <v>445</v>
      </c>
      <c r="F61" s="173" t="s">
        <v>446</v>
      </c>
      <c r="G61" s="173" t="s">
        <v>447</v>
      </c>
      <c r="H61" s="173" t="s">
        <v>448</v>
      </c>
      <c r="I61" s="173" t="s">
        <v>449</v>
      </c>
      <c r="J61" s="173" t="s">
        <v>450</v>
      </c>
      <c r="L61" s="176" t="str">
        <f>B61</f>
        <v>Facility (Overdraft)</v>
      </c>
      <c r="M61" s="177" t="str">
        <f t="shared" ref="M61:T61" si="25">C61</f>
        <v>Source</v>
      </c>
      <c r="N61" s="177" t="str">
        <f t="shared" si="25"/>
        <v>Limit (A)</v>
      </c>
      <c r="O61" s="177" t="str">
        <f t="shared" si="25"/>
        <v>Outstanding (A1)</v>
      </c>
      <c r="P61" s="177" t="str">
        <f t="shared" si="25"/>
        <v>Monthly Repayment (B)</v>
      </c>
      <c r="Q61" s="177" t="str">
        <f t="shared" si="25"/>
        <v>Interest Rate (C)</v>
      </c>
      <c r="R61" s="177" t="str">
        <f t="shared" si="25"/>
        <v>Factor (D)</v>
      </c>
      <c r="S61" s="177" t="str">
        <f t="shared" si="25"/>
        <v>Interest (E) = (A or A1) * (C) * (D)</v>
      </c>
      <c r="T61" s="177" t="str">
        <f t="shared" si="25"/>
        <v>Code Of Conduct</v>
      </c>
      <c r="V61" s="176" t="str">
        <f>L61</f>
        <v>Facility (Overdraft)</v>
      </c>
      <c r="W61" s="177" t="str">
        <f t="shared" ref="W61" si="26">M61</f>
        <v>Source</v>
      </c>
      <c r="X61" s="177" t="str">
        <f t="shared" ref="X61" si="27">N61</f>
        <v>Limit (A)</v>
      </c>
      <c r="Y61" s="177" t="str">
        <f t="shared" ref="Y61" si="28">O61</f>
        <v>Outstanding (A1)</v>
      </c>
      <c r="Z61" s="177" t="str">
        <f t="shared" ref="Z61" si="29">P61</f>
        <v>Monthly Repayment (B)</v>
      </c>
      <c r="AA61" s="177" t="str">
        <f t="shared" ref="AA61" si="30">Q61</f>
        <v>Interest Rate (C)</v>
      </c>
      <c r="AB61" s="177" t="str">
        <f t="shared" ref="AB61" si="31">R61</f>
        <v>Factor (D)</v>
      </c>
      <c r="AC61" s="177" t="str">
        <f t="shared" ref="AC61" si="32">S61</f>
        <v>Interest (E) = (A or A1) * (C) * (D)</v>
      </c>
      <c r="AD61" s="177" t="str">
        <f t="shared" ref="AD61" si="33">T61</f>
        <v>Code Of Conduct</v>
      </c>
    </row>
    <row r="62" spans="1:32">
      <c r="A62" s="2" t="s">
        <v>1045</v>
      </c>
      <c r="B62" s="11" t="s">
        <v>1051</v>
      </c>
      <c r="C62" s="5" t="s">
        <v>451</v>
      </c>
      <c r="D62" s="97">
        <v>187500</v>
      </c>
      <c r="E62" s="97">
        <v>71318</v>
      </c>
      <c r="F62" s="178"/>
      <c r="G62" s="179"/>
      <c r="H62" s="170">
        <f>H$77</f>
        <v>0.75</v>
      </c>
      <c r="I62" s="75">
        <f>D62*G62*H62</f>
        <v>0</v>
      </c>
      <c r="J62" s="172"/>
      <c r="L62" s="11"/>
      <c r="M62" s="5" t="s">
        <v>382</v>
      </c>
      <c r="N62" s="11"/>
      <c r="O62" s="11"/>
      <c r="P62" s="29"/>
      <c r="Q62" s="22"/>
      <c r="R62" s="170">
        <f>R$77</f>
        <v>0.75</v>
      </c>
      <c r="S62" s="75">
        <f>N62*Q62*R62</f>
        <v>0</v>
      </c>
      <c r="T62" s="172"/>
      <c r="V62" s="41" t="s">
        <v>355</v>
      </c>
      <c r="W62" s="5" t="s">
        <v>451</v>
      </c>
      <c r="X62" s="40"/>
      <c r="Y62" s="40"/>
      <c r="Z62" s="29"/>
      <c r="AA62" s="22"/>
      <c r="AB62" s="170">
        <f>AB$77</f>
        <v>0.75</v>
      </c>
      <c r="AC62" s="75">
        <f>X62*AA62*AB62</f>
        <v>0</v>
      </c>
      <c r="AD62" s="172"/>
    </row>
    <row r="63" spans="1:32">
      <c r="B63" s="11"/>
      <c r="C63" s="5" t="s">
        <v>384</v>
      </c>
      <c r="D63" s="11"/>
      <c r="E63" s="11"/>
      <c r="F63" s="29"/>
      <c r="G63" s="22"/>
      <c r="H63" s="170">
        <f t="shared" ref="H63:H76" si="34">H$77</f>
        <v>0.75</v>
      </c>
      <c r="I63" s="75">
        <f t="shared" ref="I63:I76" si="35">D63*G63*H63</f>
        <v>0</v>
      </c>
      <c r="J63" s="172"/>
      <c r="L63" s="11"/>
      <c r="M63" s="5" t="s">
        <v>384</v>
      </c>
      <c r="N63" s="11"/>
      <c r="O63" s="11"/>
      <c r="P63" s="29"/>
      <c r="Q63" s="22"/>
      <c r="R63" s="170">
        <f t="shared" ref="R63:R76" si="36">R$77</f>
        <v>0.75</v>
      </c>
      <c r="S63" s="75">
        <f t="shared" ref="S63:S76" si="37">N63*Q63*R63</f>
        <v>0</v>
      </c>
      <c r="T63" s="172"/>
      <c r="V63" s="41" t="s">
        <v>355</v>
      </c>
      <c r="W63" s="5" t="s">
        <v>451</v>
      </c>
      <c r="X63" s="41"/>
      <c r="Y63" s="41"/>
      <c r="Z63" s="29"/>
      <c r="AA63" s="22"/>
      <c r="AB63" s="170">
        <f t="shared" ref="AB63:AB76" si="38">AB$77</f>
        <v>0.75</v>
      </c>
      <c r="AC63" s="75">
        <f t="shared" ref="AC63:AC76" si="39">X63*AA63*AB63</f>
        <v>0</v>
      </c>
      <c r="AD63" s="172"/>
    </row>
    <row r="64" spans="1:32">
      <c r="B64" s="11"/>
      <c r="C64" s="5" t="s">
        <v>384</v>
      </c>
      <c r="D64" s="11"/>
      <c r="E64" s="11"/>
      <c r="F64" s="29"/>
      <c r="G64" s="22"/>
      <c r="H64" s="170">
        <f t="shared" si="34"/>
        <v>0.75</v>
      </c>
      <c r="I64" s="75">
        <f t="shared" si="35"/>
        <v>0</v>
      </c>
      <c r="J64" s="172"/>
      <c r="L64" s="11"/>
      <c r="M64" s="5" t="s">
        <v>384</v>
      </c>
      <c r="N64" s="11"/>
      <c r="O64" s="11"/>
      <c r="P64" s="29"/>
      <c r="Q64" s="22"/>
      <c r="R64" s="170">
        <f t="shared" si="36"/>
        <v>0.75</v>
      </c>
      <c r="S64" s="75">
        <f t="shared" si="37"/>
        <v>0</v>
      </c>
      <c r="T64" s="172"/>
      <c r="V64" s="41" t="s">
        <v>355</v>
      </c>
      <c r="W64" s="5" t="s">
        <v>451</v>
      </c>
      <c r="X64" s="41"/>
      <c r="Y64" s="41"/>
      <c r="Z64" s="29"/>
      <c r="AA64" s="22"/>
      <c r="AB64" s="170">
        <f t="shared" si="38"/>
        <v>0.75</v>
      </c>
      <c r="AC64" s="75">
        <f t="shared" si="39"/>
        <v>0</v>
      </c>
      <c r="AD64" s="172"/>
    </row>
    <row r="65" spans="2:30">
      <c r="B65" s="11"/>
      <c r="C65" s="5" t="s">
        <v>384</v>
      </c>
      <c r="D65" s="11"/>
      <c r="E65" s="11"/>
      <c r="F65" s="29"/>
      <c r="G65" s="22"/>
      <c r="H65" s="170">
        <f t="shared" si="34"/>
        <v>0.75</v>
      </c>
      <c r="I65" s="75">
        <f t="shared" si="35"/>
        <v>0</v>
      </c>
      <c r="J65" s="172"/>
      <c r="L65" s="11"/>
      <c r="M65" s="5" t="s">
        <v>384</v>
      </c>
      <c r="N65" s="11"/>
      <c r="O65" s="11"/>
      <c r="P65" s="29"/>
      <c r="Q65" s="22"/>
      <c r="R65" s="170">
        <f t="shared" si="36"/>
        <v>0.75</v>
      </c>
      <c r="S65" s="75">
        <f t="shared" si="37"/>
        <v>0</v>
      </c>
      <c r="T65" s="172"/>
      <c r="V65" s="41" t="s">
        <v>355</v>
      </c>
      <c r="W65" s="5" t="s">
        <v>451</v>
      </c>
      <c r="X65" s="41"/>
      <c r="Y65" s="41"/>
      <c r="Z65" s="29"/>
      <c r="AA65" s="22"/>
      <c r="AB65" s="170">
        <f t="shared" si="38"/>
        <v>0.75</v>
      </c>
      <c r="AC65" s="75">
        <f t="shared" si="39"/>
        <v>0</v>
      </c>
      <c r="AD65" s="172"/>
    </row>
    <row r="66" spans="2:30">
      <c r="B66" s="11"/>
      <c r="C66" s="5" t="s">
        <v>384</v>
      </c>
      <c r="D66" s="11"/>
      <c r="E66" s="11"/>
      <c r="F66" s="29"/>
      <c r="G66" s="22"/>
      <c r="H66" s="170">
        <f t="shared" si="34"/>
        <v>0.75</v>
      </c>
      <c r="I66" s="75">
        <f t="shared" si="35"/>
        <v>0</v>
      </c>
      <c r="J66" s="172"/>
      <c r="L66" s="11"/>
      <c r="M66" s="5" t="s">
        <v>384</v>
      </c>
      <c r="N66" s="11"/>
      <c r="O66" s="11"/>
      <c r="P66" s="29"/>
      <c r="Q66" s="22"/>
      <c r="R66" s="170">
        <f t="shared" si="36"/>
        <v>0.75</v>
      </c>
      <c r="S66" s="75">
        <f t="shared" si="37"/>
        <v>0</v>
      </c>
      <c r="T66" s="172"/>
      <c r="V66" s="41" t="s">
        <v>355</v>
      </c>
      <c r="W66" s="5" t="s">
        <v>451</v>
      </c>
      <c r="X66" s="41"/>
      <c r="Y66" s="41"/>
      <c r="Z66" s="29"/>
      <c r="AA66" s="22"/>
      <c r="AB66" s="170">
        <f t="shared" si="38"/>
        <v>0.75</v>
      </c>
      <c r="AC66" s="75">
        <f t="shared" si="39"/>
        <v>0</v>
      </c>
      <c r="AD66" s="172"/>
    </row>
    <row r="67" spans="2:30">
      <c r="B67" s="11"/>
      <c r="C67" s="5" t="s">
        <v>384</v>
      </c>
      <c r="D67" s="11"/>
      <c r="E67" s="11"/>
      <c r="F67" s="29"/>
      <c r="G67" s="22"/>
      <c r="H67" s="170">
        <f t="shared" si="34"/>
        <v>0.75</v>
      </c>
      <c r="I67" s="75">
        <f t="shared" si="35"/>
        <v>0</v>
      </c>
      <c r="J67" s="172"/>
      <c r="L67" s="11"/>
      <c r="M67" s="5" t="s">
        <v>384</v>
      </c>
      <c r="N67" s="11"/>
      <c r="O67" s="11"/>
      <c r="P67" s="29"/>
      <c r="Q67" s="22"/>
      <c r="R67" s="170">
        <f t="shared" si="36"/>
        <v>0.75</v>
      </c>
      <c r="S67" s="75">
        <f t="shared" si="37"/>
        <v>0</v>
      </c>
      <c r="T67" s="172"/>
      <c r="V67" s="41" t="s">
        <v>355</v>
      </c>
      <c r="W67" s="5" t="s">
        <v>451</v>
      </c>
      <c r="X67" s="41"/>
      <c r="Y67" s="41"/>
      <c r="Z67" s="29"/>
      <c r="AA67" s="22"/>
      <c r="AB67" s="170">
        <f t="shared" si="38"/>
        <v>0.75</v>
      </c>
      <c r="AC67" s="75">
        <f t="shared" si="39"/>
        <v>0</v>
      </c>
      <c r="AD67" s="172"/>
    </row>
    <row r="68" spans="2:30" hidden="1" outlineLevel="1">
      <c r="B68" s="11"/>
      <c r="C68" s="5" t="s">
        <v>384</v>
      </c>
      <c r="D68" s="11"/>
      <c r="E68" s="11"/>
      <c r="F68" s="29"/>
      <c r="G68" s="22"/>
      <c r="H68" s="170">
        <f t="shared" si="34"/>
        <v>0.75</v>
      </c>
      <c r="I68" s="75">
        <f t="shared" si="35"/>
        <v>0</v>
      </c>
      <c r="J68" s="172"/>
      <c r="L68" s="11"/>
      <c r="M68" s="5" t="s">
        <v>384</v>
      </c>
      <c r="N68" s="11"/>
      <c r="O68" s="11"/>
      <c r="P68" s="29"/>
      <c r="Q68" s="22"/>
      <c r="R68" s="170">
        <f t="shared" si="36"/>
        <v>0.75</v>
      </c>
      <c r="S68" s="75">
        <f t="shared" si="37"/>
        <v>0</v>
      </c>
      <c r="T68" s="172"/>
      <c r="V68" s="41" t="s">
        <v>355</v>
      </c>
      <c r="W68" s="5" t="s">
        <v>451</v>
      </c>
      <c r="X68" s="41"/>
      <c r="Y68" s="41"/>
      <c r="Z68" s="29"/>
      <c r="AA68" s="22"/>
      <c r="AB68" s="170">
        <f t="shared" si="38"/>
        <v>0.75</v>
      </c>
      <c r="AC68" s="75">
        <f t="shared" si="39"/>
        <v>0</v>
      </c>
      <c r="AD68" s="172"/>
    </row>
    <row r="69" spans="2:30" hidden="1" outlineLevel="1">
      <c r="B69" s="11"/>
      <c r="C69" s="5" t="s">
        <v>384</v>
      </c>
      <c r="D69" s="11"/>
      <c r="E69" s="11"/>
      <c r="F69" s="29"/>
      <c r="G69" s="22"/>
      <c r="H69" s="170">
        <f t="shared" si="34"/>
        <v>0.75</v>
      </c>
      <c r="I69" s="75">
        <f t="shared" si="35"/>
        <v>0</v>
      </c>
      <c r="J69" s="172"/>
      <c r="L69" s="11"/>
      <c r="M69" s="5" t="s">
        <v>384</v>
      </c>
      <c r="N69" s="11"/>
      <c r="O69" s="11"/>
      <c r="P69" s="29"/>
      <c r="Q69" s="22"/>
      <c r="R69" s="170">
        <f t="shared" si="36"/>
        <v>0.75</v>
      </c>
      <c r="S69" s="75">
        <f t="shared" si="37"/>
        <v>0</v>
      </c>
      <c r="T69" s="172"/>
      <c r="V69" s="41" t="s">
        <v>355</v>
      </c>
      <c r="W69" s="5" t="s">
        <v>451</v>
      </c>
      <c r="X69" s="41"/>
      <c r="Y69" s="41"/>
      <c r="Z69" s="29"/>
      <c r="AA69" s="22"/>
      <c r="AB69" s="170">
        <f t="shared" si="38"/>
        <v>0.75</v>
      </c>
      <c r="AC69" s="75">
        <f t="shared" si="39"/>
        <v>0</v>
      </c>
      <c r="AD69" s="172"/>
    </row>
    <row r="70" spans="2:30" hidden="1" outlineLevel="1">
      <c r="B70" s="11"/>
      <c r="C70" s="5" t="s">
        <v>384</v>
      </c>
      <c r="D70" s="11"/>
      <c r="E70" s="11"/>
      <c r="F70" s="29"/>
      <c r="G70" s="22"/>
      <c r="H70" s="170">
        <f t="shared" si="34"/>
        <v>0.75</v>
      </c>
      <c r="I70" s="75">
        <f t="shared" si="35"/>
        <v>0</v>
      </c>
      <c r="J70" s="172"/>
      <c r="L70" s="11"/>
      <c r="M70" s="5" t="s">
        <v>384</v>
      </c>
      <c r="N70" s="11"/>
      <c r="O70" s="11"/>
      <c r="P70" s="29"/>
      <c r="Q70" s="22"/>
      <c r="R70" s="170">
        <f t="shared" si="36"/>
        <v>0.75</v>
      </c>
      <c r="S70" s="75">
        <f t="shared" si="37"/>
        <v>0</v>
      </c>
      <c r="T70" s="172"/>
      <c r="V70" s="41" t="s">
        <v>355</v>
      </c>
      <c r="W70" s="5" t="s">
        <v>451</v>
      </c>
      <c r="X70" s="41"/>
      <c r="Y70" s="41"/>
      <c r="Z70" s="29"/>
      <c r="AA70" s="22"/>
      <c r="AB70" s="170">
        <f t="shared" si="38"/>
        <v>0.75</v>
      </c>
      <c r="AC70" s="75">
        <f t="shared" si="39"/>
        <v>0</v>
      </c>
      <c r="AD70" s="172"/>
    </row>
    <row r="71" spans="2:30" hidden="1" outlineLevel="1">
      <c r="B71" s="11"/>
      <c r="C71" s="5" t="s">
        <v>384</v>
      </c>
      <c r="D71" s="11"/>
      <c r="E71" s="11"/>
      <c r="F71" s="29"/>
      <c r="G71" s="22"/>
      <c r="H71" s="170">
        <f t="shared" si="34"/>
        <v>0.75</v>
      </c>
      <c r="I71" s="75">
        <f t="shared" si="35"/>
        <v>0</v>
      </c>
      <c r="J71" s="172"/>
      <c r="L71" s="11"/>
      <c r="M71" s="5" t="s">
        <v>384</v>
      </c>
      <c r="N71" s="11"/>
      <c r="O71" s="11"/>
      <c r="P71" s="29"/>
      <c r="Q71" s="22"/>
      <c r="R71" s="170">
        <f t="shared" si="36"/>
        <v>0.75</v>
      </c>
      <c r="S71" s="75">
        <f t="shared" si="37"/>
        <v>0</v>
      </c>
      <c r="T71" s="172"/>
      <c r="V71" s="41" t="s">
        <v>355</v>
      </c>
      <c r="W71" s="5" t="s">
        <v>451</v>
      </c>
      <c r="X71" s="41"/>
      <c r="Y71" s="41"/>
      <c r="Z71" s="29"/>
      <c r="AA71" s="22"/>
      <c r="AB71" s="170">
        <f t="shared" si="38"/>
        <v>0.75</v>
      </c>
      <c r="AC71" s="75">
        <f t="shared" si="39"/>
        <v>0</v>
      </c>
      <c r="AD71" s="172"/>
    </row>
    <row r="72" spans="2:30" hidden="1" outlineLevel="1">
      <c r="B72" s="11"/>
      <c r="C72" s="5" t="s">
        <v>384</v>
      </c>
      <c r="D72" s="11"/>
      <c r="E72" s="11"/>
      <c r="F72" s="29"/>
      <c r="G72" s="22"/>
      <c r="H72" s="170">
        <f t="shared" si="34"/>
        <v>0.75</v>
      </c>
      <c r="I72" s="75">
        <f t="shared" si="35"/>
        <v>0</v>
      </c>
      <c r="J72" s="172"/>
      <c r="L72" s="11"/>
      <c r="M72" s="5" t="s">
        <v>384</v>
      </c>
      <c r="N72" s="11"/>
      <c r="O72" s="11"/>
      <c r="P72" s="29"/>
      <c r="Q72" s="22"/>
      <c r="R72" s="170">
        <f t="shared" si="36"/>
        <v>0.75</v>
      </c>
      <c r="S72" s="75">
        <f t="shared" si="37"/>
        <v>0</v>
      </c>
      <c r="T72" s="172"/>
      <c r="V72" s="41" t="s">
        <v>355</v>
      </c>
      <c r="W72" s="5" t="s">
        <v>451</v>
      </c>
      <c r="X72" s="41"/>
      <c r="Y72" s="41"/>
      <c r="Z72" s="29"/>
      <c r="AA72" s="22"/>
      <c r="AB72" s="170">
        <f t="shared" si="38"/>
        <v>0.75</v>
      </c>
      <c r="AC72" s="75">
        <f t="shared" si="39"/>
        <v>0</v>
      </c>
      <c r="AD72" s="172"/>
    </row>
    <row r="73" spans="2:30" hidden="1" outlineLevel="1">
      <c r="B73" s="11"/>
      <c r="C73" s="5" t="s">
        <v>384</v>
      </c>
      <c r="D73" s="11"/>
      <c r="E73" s="11"/>
      <c r="F73" s="29"/>
      <c r="G73" s="22"/>
      <c r="H73" s="170">
        <f t="shared" si="34"/>
        <v>0.75</v>
      </c>
      <c r="I73" s="75">
        <f t="shared" si="35"/>
        <v>0</v>
      </c>
      <c r="J73" s="172"/>
      <c r="L73" s="11"/>
      <c r="M73" s="5" t="s">
        <v>384</v>
      </c>
      <c r="N73" s="11"/>
      <c r="O73" s="11"/>
      <c r="P73" s="29"/>
      <c r="Q73" s="22"/>
      <c r="R73" s="170">
        <f t="shared" si="36"/>
        <v>0.75</v>
      </c>
      <c r="S73" s="75">
        <f t="shared" si="37"/>
        <v>0</v>
      </c>
      <c r="T73" s="172"/>
      <c r="V73" s="41" t="s">
        <v>355</v>
      </c>
      <c r="W73" s="5" t="s">
        <v>451</v>
      </c>
      <c r="X73" s="41"/>
      <c r="Y73" s="41"/>
      <c r="Z73" s="29"/>
      <c r="AA73" s="22"/>
      <c r="AB73" s="170">
        <f t="shared" si="38"/>
        <v>0.75</v>
      </c>
      <c r="AC73" s="75">
        <f t="shared" si="39"/>
        <v>0</v>
      </c>
      <c r="AD73" s="172"/>
    </row>
    <row r="74" spans="2:30" hidden="1" outlineLevel="1">
      <c r="B74" s="11"/>
      <c r="C74" s="5" t="s">
        <v>384</v>
      </c>
      <c r="D74" s="11"/>
      <c r="E74" s="11"/>
      <c r="F74" s="29"/>
      <c r="G74" s="22"/>
      <c r="H74" s="170">
        <f t="shared" si="34"/>
        <v>0.75</v>
      </c>
      <c r="I74" s="75">
        <f t="shared" si="35"/>
        <v>0</v>
      </c>
      <c r="J74" s="172"/>
      <c r="L74" s="11"/>
      <c r="M74" s="5" t="s">
        <v>384</v>
      </c>
      <c r="N74" s="11"/>
      <c r="O74" s="11"/>
      <c r="P74" s="29"/>
      <c r="Q74" s="22"/>
      <c r="R74" s="170">
        <f t="shared" si="36"/>
        <v>0.75</v>
      </c>
      <c r="S74" s="75">
        <f t="shared" si="37"/>
        <v>0</v>
      </c>
      <c r="T74" s="172"/>
      <c r="V74" s="41" t="s">
        <v>355</v>
      </c>
      <c r="W74" s="5" t="s">
        <v>451</v>
      </c>
      <c r="X74" s="41"/>
      <c r="Y74" s="41"/>
      <c r="Z74" s="29"/>
      <c r="AA74" s="22"/>
      <c r="AB74" s="170">
        <f t="shared" si="38"/>
        <v>0.75</v>
      </c>
      <c r="AC74" s="75">
        <f t="shared" si="39"/>
        <v>0</v>
      </c>
      <c r="AD74" s="172"/>
    </row>
    <row r="75" spans="2:30" hidden="1" outlineLevel="1">
      <c r="B75" s="11"/>
      <c r="C75" s="5" t="s">
        <v>384</v>
      </c>
      <c r="D75" s="11"/>
      <c r="E75" s="11"/>
      <c r="F75" s="29"/>
      <c r="G75" s="22"/>
      <c r="H75" s="170">
        <f t="shared" si="34"/>
        <v>0.75</v>
      </c>
      <c r="I75" s="75">
        <f t="shared" si="35"/>
        <v>0</v>
      </c>
      <c r="J75" s="172"/>
      <c r="L75" s="11"/>
      <c r="M75" s="5" t="s">
        <v>384</v>
      </c>
      <c r="N75" s="11"/>
      <c r="O75" s="11"/>
      <c r="P75" s="29"/>
      <c r="Q75" s="22"/>
      <c r="R75" s="170">
        <f t="shared" si="36"/>
        <v>0.75</v>
      </c>
      <c r="S75" s="75">
        <f t="shared" si="37"/>
        <v>0</v>
      </c>
      <c r="T75" s="172"/>
      <c r="V75" s="41" t="s">
        <v>355</v>
      </c>
      <c r="W75" s="5" t="s">
        <v>451</v>
      </c>
      <c r="X75" s="41"/>
      <c r="Y75" s="41"/>
      <c r="Z75" s="29"/>
      <c r="AA75" s="22"/>
      <c r="AB75" s="170">
        <f t="shared" si="38"/>
        <v>0.75</v>
      </c>
      <c r="AC75" s="75">
        <f t="shared" si="39"/>
        <v>0</v>
      </c>
      <c r="AD75" s="172"/>
    </row>
    <row r="76" spans="2:30" hidden="1" outlineLevel="1">
      <c r="B76" s="11"/>
      <c r="C76" s="5" t="s">
        <v>384</v>
      </c>
      <c r="D76" s="11"/>
      <c r="E76" s="11"/>
      <c r="F76" s="29"/>
      <c r="G76" s="22"/>
      <c r="H76" s="170">
        <f t="shared" si="34"/>
        <v>0.75</v>
      </c>
      <c r="I76" s="75">
        <f t="shared" si="35"/>
        <v>0</v>
      </c>
      <c r="J76" s="172"/>
      <c r="L76" s="11"/>
      <c r="M76" s="5" t="s">
        <v>384</v>
      </c>
      <c r="N76" s="11"/>
      <c r="O76" s="11"/>
      <c r="P76" s="29"/>
      <c r="Q76" s="22"/>
      <c r="R76" s="170">
        <f t="shared" si="36"/>
        <v>0.75</v>
      </c>
      <c r="S76" s="75">
        <f t="shared" si="37"/>
        <v>0</v>
      </c>
      <c r="T76" s="172"/>
      <c r="V76" s="41" t="s">
        <v>355</v>
      </c>
      <c r="W76" s="5" t="s">
        <v>451</v>
      </c>
      <c r="X76" s="41"/>
      <c r="Y76" s="41"/>
      <c r="Z76" s="29"/>
      <c r="AA76" s="22"/>
      <c r="AB76" s="170">
        <f t="shared" si="38"/>
        <v>0.75</v>
      </c>
      <c r="AC76" s="75">
        <f t="shared" si="39"/>
        <v>0</v>
      </c>
      <c r="AD76" s="172"/>
    </row>
    <row r="77" spans="2:30" s="24" customFormat="1" collapsed="1">
      <c r="B77" s="8" t="str">
        <f>"Total "&amp;B61</f>
        <v>Total Facility (Overdraft)</v>
      </c>
      <c r="C77" s="25"/>
      <c r="D77" s="28">
        <f>SUM(D62:D76)</f>
        <v>187500</v>
      </c>
      <c r="E77" s="28">
        <f>SUM(E62:E76)</f>
        <v>71318</v>
      </c>
      <c r="F77" s="30"/>
      <c r="G77" s="25"/>
      <c r="H77" s="169">
        <v>0.75</v>
      </c>
      <c r="I77" s="28">
        <f>SUM(I62:I76)</f>
        <v>0</v>
      </c>
      <c r="J77" s="171"/>
      <c r="L77" s="8" t="str">
        <f>"Total "&amp;L61</f>
        <v>Total Facility (Overdraft)</v>
      </c>
      <c r="M77" s="25"/>
      <c r="N77" s="28">
        <f>SUM(N62:N76)</f>
        <v>0</v>
      </c>
      <c r="O77" s="28">
        <f>SUM(O62:O76)</f>
        <v>0</v>
      </c>
      <c r="P77" s="30"/>
      <c r="Q77" s="25"/>
      <c r="R77" s="169">
        <v>0.75</v>
      </c>
      <c r="S77" s="28">
        <f>SUM(S62:S76)</f>
        <v>0</v>
      </c>
      <c r="T77" s="171"/>
      <c r="V77" s="8" t="str">
        <f>"Total "&amp;V61</f>
        <v>Total Facility (Overdraft)</v>
      </c>
      <c r="W77" s="25"/>
      <c r="X77" s="28">
        <f>SUM(X62:X76)</f>
        <v>0</v>
      </c>
      <c r="Y77" s="28">
        <f>SUM(Y62:Y76)</f>
        <v>0</v>
      </c>
      <c r="Z77" s="30"/>
      <c r="AA77" s="25"/>
      <c r="AB77" s="169">
        <v>0.75</v>
      </c>
      <c r="AC77" s="28">
        <f>SUM(AC62:AC76)</f>
        <v>0</v>
      </c>
      <c r="AD77" s="171"/>
    </row>
    <row r="79" spans="2:30" s="20" customFormat="1" ht="41.4">
      <c r="B79" s="27" t="s">
        <v>452</v>
      </c>
      <c r="C79" s="3" t="str">
        <f>C$61</f>
        <v>Source</v>
      </c>
      <c r="D79" s="3" t="str">
        <f t="shared" ref="D79:J79" si="40">D$61</f>
        <v>Limit (A)</v>
      </c>
      <c r="E79" s="3" t="str">
        <f t="shared" si="40"/>
        <v>Outstanding (A1)</v>
      </c>
      <c r="F79" s="3" t="str">
        <f t="shared" si="40"/>
        <v>Monthly Repayment (B)</v>
      </c>
      <c r="G79" s="3" t="str">
        <f t="shared" si="40"/>
        <v>Interest Rate (C)</v>
      </c>
      <c r="H79" s="3" t="str">
        <f t="shared" si="40"/>
        <v>Factor (D)</v>
      </c>
      <c r="I79" s="3" t="str">
        <f t="shared" si="40"/>
        <v>Interest (E) = (A or A1) * (C) * (D)</v>
      </c>
      <c r="J79" s="3" t="str">
        <f t="shared" si="40"/>
        <v>Code Of Conduct</v>
      </c>
      <c r="L79" s="176" t="str">
        <f>B79</f>
        <v>Facility (Overdraft - Temporary)</v>
      </c>
      <c r="M79" s="177" t="str">
        <f t="shared" ref="M79" si="41">C79</f>
        <v>Source</v>
      </c>
      <c r="N79" s="177" t="str">
        <f t="shared" ref="N79" si="42">D79</f>
        <v>Limit (A)</v>
      </c>
      <c r="O79" s="177" t="str">
        <f t="shared" ref="O79" si="43">E79</f>
        <v>Outstanding (A1)</v>
      </c>
      <c r="P79" s="177" t="str">
        <f t="shared" ref="P79" si="44">F79</f>
        <v>Monthly Repayment (B)</v>
      </c>
      <c r="Q79" s="177" t="str">
        <f t="shared" ref="Q79" si="45">G79</f>
        <v>Interest Rate (C)</v>
      </c>
      <c r="R79" s="177" t="str">
        <f t="shared" ref="R79" si="46">H79</f>
        <v>Factor (D)</v>
      </c>
      <c r="S79" s="177" t="str">
        <f t="shared" ref="S79" si="47">I79</f>
        <v>Interest (E) = (A or A1) * (C) * (D)</v>
      </c>
      <c r="T79" s="177" t="str">
        <f t="shared" ref="T79" si="48">J79</f>
        <v>Code Of Conduct</v>
      </c>
      <c r="V79" s="176" t="str">
        <f>L79</f>
        <v>Facility (Overdraft - Temporary)</v>
      </c>
      <c r="W79" s="177" t="str">
        <f t="shared" ref="W79" si="49">M79</f>
        <v>Source</v>
      </c>
      <c r="X79" s="177" t="str">
        <f t="shared" ref="X79" si="50">N79</f>
        <v>Limit (A)</v>
      </c>
      <c r="Y79" s="177" t="str">
        <f t="shared" ref="Y79" si="51">O79</f>
        <v>Outstanding (A1)</v>
      </c>
      <c r="Z79" s="177" t="str">
        <f t="shared" ref="Z79" si="52">P79</f>
        <v>Monthly Repayment (B)</v>
      </c>
      <c r="AA79" s="177" t="str">
        <f t="shared" ref="AA79" si="53">Q79</f>
        <v>Interest Rate (C)</v>
      </c>
      <c r="AB79" s="177" t="str">
        <f t="shared" ref="AB79" si="54">R79</f>
        <v>Factor (D)</v>
      </c>
      <c r="AC79" s="177" t="str">
        <f t="shared" ref="AC79" si="55">S79</f>
        <v>Interest (E) = (A or A1) * (C) * (D)</v>
      </c>
      <c r="AD79" s="177" t="str">
        <f t="shared" ref="AD79" si="56">T79</f>
        <v>Code Of Conduct</v>
      </c>
    </row>
    <row r="80" spans="2:30">
      <c r="B80" s="11"/>
      <c r="C80" s="5" t="s">
        <v>384</v>
      </c>
      <c r="D80" s="11"/>
      <c r="E80" s="11"/>
      <c r="F80" s="29"/>
      <c r="G80" s="22"/>
      <c r="H80" s="170">
        <f>H$95</f>
        <v>1</v>
      </c>
      <c r="I80" s="75">
        <f>D80*G80*H80</f>
        <v>0</v>
      </c>
      <c r="J80" s="172"/>
      <c r="L80" s="11"/>
      <c r="M80" s="5" t="s">
        <v>382</v>
      </c>
      <c r="N80" s="11"/>
      <c r="O80" s="11"/>
      <c r="P80" s="29"/>
      <c r="Q80" s="22"/>
      <c r="R80" s="170">
        <f>R$95</f>
        <v>1</v>
      </c>
      <c r="S80" s="75">
        <f>N80*Q80*R80</f>
        <v>0</v>
      </c>
      <c r="T80" s="172"/>
      <c r="V80" s="41" t="s">
        <v>355</v>
      </c>
      <c r="W80" s="5" t="s">
        <v>451</v>
      </c>
      <c r="X80" s="41"/>
      <c r="Y80" s="41"/>
      <c r="Z80" s="29"/>
      <c r="AA80" s="22"/>
      <c r="AB80" s="170">
        <f>AB$95</f>
        <v>1</v>
      </c>
      <c r="AC80" s="75">
        <f>X80*AA80*AB80</f>
        <v>0</v>
      </c>
      <c r="AD80" s="172"/>
    </row>
    <row r="81" spans="2:30">
      <c r="B81" s="11"/>
      <c r="C81" s="5" t="s">
        <v>384</v>
      </c>
      <c r="D81" s="11"/>
      <c r="E81" s="11"/>
      <c r="F81" s="29"/>
      <c r="G81" s="22"/>
      <c r="H81" s="170">
        <f t="shared" ref="H81:H94" si="57">H$95</f>
        <v>1</v>
      </c>
      <c r="I81" s="75">
        <f t="shared" ref="I81:I94" si="58">D81*G81*H81</f>
        <v>0</v>
      </c>
      <c r="J81" s="172"/>
      <c r="L81" s="11"/>
      <c r="M81" s="5" t="s">
        <v>384</v>
      </c>
      <c r="N81" s="11"/>
      <c r="O81" s="11"/>
      <c r="P81" s="29"/>
      <c r="Q81" s="22"/>
      <c r="R81" s="170">
        <f t="shared" ref="R81:R94" si="59">R$95</f>
        <v>1</v>
      </c>
      <c r="S81" s="75">
        <f t="shared" ref="S81:S94" si="60">N81*Q81*R81</f>
        <v>0</v>
      </c>
      <c r="T81" s="172"/>
      <c r="V81" s="41" t="s">
        <v>355</v>
      </c>
      <c r="W81" s="5" t="s">
        <v>451</v>
      </c>
      <c r="X81" s="41"/>
      <c r="Y81" s="41"/>
      <c r="Z81" s="29"/>
      <c r="AA81" s="22"/>
      <c r="AB81" s="170">
        <f t="shared" ref="AB81:AB94" si="61">AB$95</f>
        <v>1</v>
      </c>
      <c r="AC81" s="75">
        <f t="shared" ref="AC81:AC94" si="62">X81*AA81*AB81</f>
        <v>0</v>
      </c>
      <c r="AD81" s="172"/>
    </row>
    <row r="82" spans="2:30">
      <c r="B82" s="11"/>
      <c r="C82" s="5" t="s">
        <v>384</v>
      </c>
      <c r="D82" s="11"/>
      <c r="E82" s="11"/>
      <c r="F82" s="29"/>
      <c r="G82" s="22"/>
      <c r="H82" s="170">
        <f t="shared" si="57"/>
        <v>1</v>
      </c>
      <c r="I82" s="75">
        <f t="shared" si="58"/>
        <v>0</v>
      </c>
      <c r="J82" s="172"/>
      <c r="L82" s="11"/>
      <c r="M82" s="5" t="s">
        <v>384</v>
      </c>
      <c r="N82" s="11"/>
      <c r="O82" s="11"/>
      <c r="P82" s="29"/>
      <c r="Q82" s="22"/>
      <c r="R82" s="170">
        <f t="shared" si="59"/>
        <v>1</v>
      </c>
      <c r="S82" s="75">
        <f t="shared" si="60"/>
        <v>0</v>
      </c>
      <c r="T82" s="172"/>
      <c r="V82" s="41" t="s">
        <v>355</v>
      </c>
      <c r="W82" s="5" t="s">
        <v>451</v>
      </c>
      <c r="X82" s="41"/>
      <c r="Y82" s="41"/>
      <c r="Z82" s="29"/>
      <c r="AA82" s="22"/>
      <c r="AB82" s="170">
        <f t="shared" si="61"/>
        <v>1</v>
      </c>
      <c r="AC82" s="75">
        <f t="shared" si="62"/>
        <v>0</v>
      </c>
      <c r="AD82" s="172"/>
    </row>
    <row r="83" spans="2:30">
      <c r="B83" s="11"/>
      <c r="C83" s="5" t="s">
        <v>384</v>
      </c>
      <c r="D83" s="11"/>
      <c r="E83" s="11"/>
      <c r="F83" s="29"/>
      <c r="G83" s="22"/>
      <c r="H83" s="170">
        <f t="shared" si="57"/>
        <v>1</v>
      </c>
      <c r="I83" s="75">
        <f t="shared" si="58"/>
        <v>0</v>
      </c>
      <c r="J83" s="172"/>
      <c r="L83" s="11"/>
      <c r="M83" s="5" t="s">
        <v>384</v>
      </c>
      <c r="N83" s="11"/>
      <c r="O83" s="11"/>
      <c r="P83" s="29"/>
      <c r="Q83" s="22"/>
      <c r="R83" s="170">
        <f t="shared" si="59"/>
        <v>1</v>
      </c>
      <c r="S83" s="75">
        <f t="shared" si="60"/>
        <v>0</v>
      </c>
      <c r="T83" s="172"/>
      <c r="V83" s="41" t="s">
        <v>355</v>
      </c>
      <c r="W83" s="5" t="s">
        <v>451</v>
      </c>
      <c r="X83" s="41"/>
      <c r="Y83" s="41"/>
      <c r="Z83" s="29"/>
      <c r="AA83" s="22"/>
      <c r="AB83" s="170">
        <f t="shared" si="61"/>
        <v>1</v>
      </c>
      <c r="AC83" s="75">
        <f t="shared" si="62"/>
        <v>0</v>
      </c>
      <c r="AD83" s="172"/>
    </row>
    <row r="84" spans="2:30">
      <c r="B84" s="11"/>
      <c r="C84" s="5" t="s">
        <v>384</v>
      </c>
      <c r="D84" s="11"/>
      <c r="E84" s="11"/>
      <c r="F84" s="29"/>
      <c r="G84" s="22"/>
      <c r="H84" s="170">
        <f t="shared" si="57"/>
        <v>1</v>
      </c>
      <c r="I84" s="75">
        <f t="shared" si="58"/>
        <v>0</v>
      </c>
      <c r="J84" s="172"/>
      <c r="L84" s="11"/>
      <c r="M84" s="5" t="s">
        <v>384</v>
      </c>
      <c r="N84" s="11"/>
      <c r="O84" s="11"/>
      <c r="P84" s="29"/>
      <c r="Q84" s="22"/>
      <c r="R84" s="170">
        <f t="shared" si="59"/>
        <v>1</v>
      </c>
      <c r="S84" s="75">
        <f t="shared" si="60"/>
        <v>0</v>
      </c>
      <c r="T84" s="172"/>
      <c r="V84" s="41" t="s">
        <v>355</v>
      </c>
      <c r="W84" s="5" t="s">
        <v>451</v>
      </c>
      <c r="X84" s="41"/>
      <c r="Y84" s="41"/>
      <c r="Z84" s="29"/>
      <c r="AA84" s="22"/>
      <c r="AB84" s="170">
        <f t="shared" si="61"/>
        <v>1</v>
      </c>
      <c r="AC84" s="75">
        <f t="shared" si="62"/>
        <v>0</v>
      </c>
      <c r="AD84" s="172"/>
    </row>
    <row r="85" spans="2:30">
      <c r="B85" s="11"/>
      <c r="C85" s="5" t="s">
        <v>384</v>
      </c>
      <c r="D85" s="11"/>
      <c r="E85" s="11"/>
      <c r="F85" s="29"/>
      <c r="G85" s="22"/>
      <c r="H85" s="170">
        <f t="shared" si="57"/>
        <v>1</v>
      </c>
      <c r="I85" s="75">
        <f t="shared" si="58"/>
        <v>0</v>
      </c>
      <c r="J85" s="172"/>
      <c r="L85" s="11"/>
      <c r="M85" s="5" t="s">
        <v>384</v>
      </c>
      <c r="N85" s="11"/>
      <c r="O85" s="11"/>
      <c r="P85" s="29"/>
      <c r="Q85" s="22"/>
      <c r="R85" s="170">
        <f t="shared" si="59"/>
        <v>1</v>
      </c>
      <c r="S85" s="75">
        <f t="shared" si="60"/>
        <v>0</v>
      </c>
      <c r="T85" s="172"/>
      <c r="V85" s="41" t="s">
        <v>355</v>
      </c>
      <c r="W85" s="5" t="s">
        <v>451</v>
      </c>
      <c r="X85" s="41"/>
      <c r="Y85" s="41"/>
      <c r="Z85" s="29"/>
      <c r="AA85" s="22"/>
      <c r="AB85" s="170">
        <f t="shared" si="61"/>
        <v>1</v>
      </c>
      <c r="AC85" s="75">
        <f t="shared" si="62"/>
        <v>0</v>
      </c>
      <c r="AD85" s="172"/>
    </row>
    <row r="86" spans="2:30" hidden="1" outlineLevel="1">
      <c r="B86" s="11"/>
      <c r="C86" s="5" t="s">
        <v>384</v>
      </c>
      <c r="D86" s="11"/>
      <c r="E86" s="11"/>
      <c r="F86" s="29"/>
      <c r="G86" s="22"/>
      <c r="H86" s="170">
        <f t="shared" si="57"/>
        <v>1</v>
      </c>
      <c r="I86" s="75">
        <f t="shared" si="58"/>
        <v>0</v>
      </c>
      <c r="J86" s="172"/>
      <c r="L86" s="11"/>
      <c r="M86" s="5" t="s">
        <v>384</v>
      </c>
      <c r="N86" s="11"/>
      <c r="O86" s="11"/>
      <c r="P86" s="29"/>
      <c r="Q86" s="22"/>
      <c r="R86" s="170">
        <f t="shared" si="59"/>
        <v>1</v>
      </c>
      <c r="S86" s="75">
        <f t="shared" si="60"/>
        <v>0</v>
      </c>
      <c r="T86" s="172"/>
      <c r="V86" s="41" t="s">
        <v>355</v>
      </c>
      <c r="W86" s="5" t="s">
        <v>451</v>
      </c>
      <c r="X86" s="41"/>
      <c r="Y86" s="41"/>
      <c r="Z86" s="29"/>
      <c r="AA86" s="22"/>
      <c r="AB86" s="170">
        <f t="shared" si="61"/>
        <v>1</v>
      </c>
      <c r="AC86" s="75">
        <f t="shared" si="62"/>
        <v>0</v>
      </c>
      <c r="AD86" s="172"/>
    </row>
    <row r="87" spans="2:30" hidden="1" outlineLevel="1">
      <c r="B87" s="11"/>
      <c r="C87" s="5" t="s">
        <v>384</v>
      </c>
      <c r="D87" s="11"/>
      <c r="E87" s="11"/>
      <c r="F87" s="29"/>
      <c r="G87" s="22"/>
      <c r="H87" s="170">
        <f t="shared" si="57"/>
        <v>1</v>
      </c>
      <c r="I87" s="75">
        <f t="shared" si="58"/>
        <v>0</v>
      </c>
      <c r="J87" s="172"/>
      <c r="L87" s="11"/>
      <c r="M87" s="5" t="s">
        <v>384</v>
      </c>
      <c r="N87" s="11"/>
      <c r="O87" s="11"/>
      <c r="P87" s="29"/>
      <c r="Q87" s="22"/>
      <c r="R87" s="170">
        <f t="shared" si="59"/>
        <v>1</v>
      </c>
      <c r="S87" s="75">
        <f t="shared" si="60"/>
        <v>0</v>
      </c>
      <c r="T87" s="172"/>
      <c r="V87" s="41" t="s">
        <v>355</v>
      </c>
      <c r="W87" s="5" t="s">
        <v>451</v>
      </c>
      <c r="X87" s="41"/>
      <c r="Y87" s="41"/>
      <c r="Z87" s="29"/>
      <c r="AA87" s="22"/>
      <c r="AB87" s="170">
        <f t="shared" si="61"/>
        <v>1</v>
      </c>
      <c r="AC87" s="75">
        <f t="shared" si="62"/>
        <v>0</v>
      </c>
      <c r="AD87" s="172"/>
    </row>
    <row r="88" spans="2:30" hidden="1" outlineLevel="1">
      <c r="B88" s="11"/>
      <c r="C88" s="5" t="s">
        <v>384</v>
      </c>
      <c r="D88" s="11"/>
      <c r="E88" s="11"/>
      <c r="F88" s="29"/>
      <c r="G88" s="22"/>
      <c r="H88" s="170">
        <f t="shared" si="57"/>
        <v>1</v>
      </c>
      <c r="I88" s="75">
        <f t="shared" si="58"/>
        <v>0</v>
      </c>
      <c r="J88" s="172"/>
      <c r="L88" s="11"/>
      <c r="M88" s="5" t="s">
        <v>384</v>
      </c>
      <c r="N88" s="11"/>
      <c r="O88" s="11"/>
      <c r="P88" s="29"/>
      <c r="Q88" s="22"/>
      <c r="R88" s="170">
        <f t="shared" si="59"/>
        <v>1</v>
      </c>
      <c r="S88" s="75">
        <f t="shared" si="60"/>
        <v>0</v>
      </c>
      <c r="T88" s="172"/>
      <c r="V88" s="41" t="s">
        <v>355</v>
      </c>
      <c r="W88" s="5" t="s">
        <v>451</v>
      </c>
      <c r="X88" s="41"/>
      <c r="Y88" s="41"/>
      <c r="Z88" s="29"/>
      <c r="AA88" s="22"/>
      <c r="AB88" s="170">
        <f t="shared" si="61"/>
        <v>1</v>
      </c>
      <c r="AC88" s="75">
        <f t="shared" si="62"/>
        <v>0</v>
      </c>
      <c r="AD88" s="172"/>
    </row>
    <row r="89" spans="2:30" hidden="1" outlineLevel="1">
      <c r="B89" s="11"/>
      <c r="C89" s="5" t="s">
        <v>384</v>
      </c>
      <c r="D89" s="11"/>
      <c r="E89" s="11"/>
      <c r="F89" s="29"/>
      <c r="G89" s="22"/>
      <c r="H89" s="170">
        <f t="shared" si="57"/>
        <v>1</v>
      </c>
      <c r="I89" s="75">
        <f t="shared" si="58"/>
        <v>0</v>
      </c>
      <c r="J89" s="172"/>
      <c r="L89" s="11"/>
      <c r="M89" s="5" t="s">
        <v>384</v>
      </c>
      <c r="N89" s="11"/>
      <c r="O89" s="11"/>
      <c r="P89" s="29"/>
      <c r="Q89" s="22"/>
      <c r="R89" s="170">
        <f t="shared" si="59"/>
        <v>1</v>
      </c>
      <c r="S89" s="75">
        <f t="shared" si="60"/>
        <v>0</v>
      </c>
      <c r="T89" s="172"/>
      <c r="V89" s="41" t="s">
        <v>355</v>
      </c>
      <c r="W89" s="5" t="s">
        <v>451</v>
      </c>
      <c r="X89" s="41"/>
      <c r="Y89" s="41"/>
      <c r="Z89" s="29"/>
      <c r="AA89" s="22"/>
      <c r="AB89" s="170">
        <f t="shared" si="61"/>
        <v>1</v>
      </c>
      <c r="AC89" s="75">
        <f t="shared" si="62"/>
        <v>0</v>
      </c>
      <c r="AD89" s="172"/>
    </row>
    <row r="90" spans="2:30" hidden="1" outlineLevel="1">
      <c r="B90" s="11"/>
      <c r="C90" s="5" t="s">
        <v>384</v>
      </c>
      <c r="D90" s="11"/>
      <c r="E90" s="11"/>
      <c r="F90" s="29"/>
      <c r="G90" s="22"/>
      <c r="H90" s="170">
        <f t="shared" si="57"/>
        <v>1</v>
      </c>
      <c r="I90" s="75">
        <f t="shared" si="58"/>
        <v>0</v>
      </c>
      <c r="J90" s="172"/>
      <c r="L90" s="11"/>
      <c r="M90" s="5" t="s">
        <v>384</v>
      </c>
      <c r="N90" s="11"/>
      <c r="O90" s="11"/>
      <c r="P90" s="29"/>
      <c r="Q90" s="22"/>
      <c r="R90" s="170">
        <f t="shared" si="59"/>
        <v>1</v>
      </c>
      <c r="S90" s="75">
        <f t="shared" si="60"/>
        <v>0</v>
      </c>
      <c r="T90" s="172"/>
      <c r="V90" s="41" t="s">
        <v>355</v>
      </c>
      <c r="W90" s="5" t="s">
        <v>451</v>
      </c>
      <c r="X90" s="41"/>
      <c r="Y90" s="41"/>
      <c r="Z90" s="29"/>
      <c r="AA90" s="22"/>
      <c r="AB90" s="170">
        <f t="shared" si="61"/>
        <v>1</v>
      </c>
      <c r="AC90" s="75">
        <f t="shared" si="62"/>
        <v>0</v>
      </c>
      <c r="AD90" s="172"/>
    </row>
    <row r="91" spans="2:30" hidden="1" outlineLevel="1">
      <c r="B91" s="11"/>
      <c r="C91" s="5" t="s">
        <v>384</v>
      </c>
      <c r="D91" s="11"/>
      <c r="E91" s="11"/>
      <c r="F91" s="29"/>
      <c r="G91" s="22"/>
      <c r="H91" s="170">
        <f t="shared" si="57"/>
        <v>1</v>
      </c>
      <c r="I91" s="75">
        <f t="shared" si="58"/>
        <v>0</v>
      </c>
      <c r="J91" s="172"/>
      <c r="L91" s="11"/>
      <c r="M91" s="5" t="s">
        <v>384</v>
      </c>
      <c r="N91" s="11"/>
      <c r="O91" s="11"/>
      <c r="P91" s="29"/>
      <c r="Q91" s="22"/>
      <c r="R91" s="170">
        <f t="shared" si="59"/>
        <v>1</v>
      </c>
      <c r="S91" s="75">
        <f t="shared" si="60"/>
        <v>0</v>
      </c>
      <c r="T91" s="172"/>
      <c r="V91" s="41" t="s">
        <v>355</v>
      </c>
      <c r="W91" s="5" t="s">
        <v>451</v>
      </c>
      <c r="X91" s="41"/>
      <c r="Y91" s="41"/>
      <c r="Z91" s="29"/>
      <c r="AA91" s="22"/>
      <c r="AB91" s="170">
        <f t="shared" si="61"/>
        <v>1</v>
      </c>
      <c r="AC91" s="75">
        <f t="shared" si="62"/>
        <v>0</v>
      </c>
      <c r="AD91" s="172"/>
    </row>
    <row r="92" spans="2:30" hidden="1" outlineLevel="1">
      <c r="B92" s="11"/>
      <c r="C92" s="5" t="s">
        <v>384</v>
      </c>
      <c r="D92" s="11"/>
      <c r="E92" s="11"/>
      <c r="F92" s="29"/>
      <c r="G92" s="22"/>
      <c r="H92" s="170">
        <f t="shared" si="57"/>
        <v>1</v>
      </c>
      <c r="I92" s="75">
        <f t="shared" si="58"/>
        <v>0</v>
      </c>
      <c r="J92" s="172"/>
      <c r="L92" s="11"/>
      <c r="M92" s="5" t="s">
        <v>384</v>
      </c>
      <c r="N92" s="11"/>
      <c r="O92" s="11"/>
      <c r="P92" s="29"/>
      <c r="Q92" s="22"/>
      <c r="R92" s="170">
        <f t="shared" si="59"/>
        <v>1</v>
      </c>
      <c r="S92" s="75">
        <f t="shared" si="60"/>
        <v>0</v>
      </c>
      <c r="T92" s="172"/>
      <c r="V92" s="41" t="s">
        <v>355</v>
      </c>
      <c r="W92" s="5" t="s">
        <v>451</v>
      </c>
      <c r="X92" s="41"/>
      <c r="Y92" s="41"/>
      <c r="Z92" s="29"/>
      <c r="AA92" s="22"/>
      <c r="AB92" s="170">
        <f t="shared" si="61"/>
        <v>1</v>
      </c>
      <c r="AC92" s="75">
        <f t="shared" si="62"/>
        <v>0</v>
      </c>
      <c r="AD92" s="172"/>
    </row>
    <row r="93" spans="2:30" hidden="1" outlineLevel="1">
      <c r="B93" s="11"/>
      <c r="C93" s="5" t="s">
        <v>384</v>
      </c>
      <c r="D93" s="11"/>
      <c r="E93" s="11"/>
      <c r="F93" s="29"/>
      <c r="G93" s="22"/>
      <c r="H93" s="170">
        <f t="shared" si="57"/>
        <v>1</v>
      </c>
      <c r="I93" s="75">
        <f t="shared" si="58"/>
        <v>0</v>
      </c>
      <c r="J93" s="172"/>
      <c r="L93" s="11"/>
      <c r="M93" s="5" t="s">
        <v>384</v>
      </c>
      <c r="N93" s="11"/>
      <c r="O93" s="11"/>
      <c r="P93" s="29"/>
      <c r="Q93" s="22"/>
      <c r="R93" s="170">
        <f t="shared" si="59"/>
        <v>1</v>
      </c>
      <c r="S93" s="75">
        <f t="shared" si="60"/>
        <v>0</v>
      </c>
      <c r="T93" s="172"/>
      <c r="V93" s="41" t="s">
        <v>355</v>
      </c>
      <c r="W93" s="5" t="s">
        <v>451</v>
      </c>
      <c r="X93" s="41"/>
      <c r="Y93" s="41"/>
      <c r="Z93" s="29"/>
      <c r="AA93" s="22"/>
      <c r="AB93" s="170">
        <f t="shared" si="61"/>
        <v>1</v>
      </c>
      <c r="AC93" s="75">
        <f t="shared" si="62"/>
        <v>0</v>
      </c>
      <c r="AD93" s="172"/>
    </row>
    <row r="94" spans="2:30" hidden="1" outlineLevel="1">
      <c r="B94" s="11"/>
      <c r="C94" s="5" t="s">
        <v>384</v>
      </c>
      <c r="D94" s="11"/>
      <c r="E94" s="11"/>
      <c r="F94" s="29"/>
      <c r="G94" s="22"/>
      <c r="H94" s="170">
        <f t="shared" si="57"/>
        <v>1</v>
      </c>
      <c r="I94" s="75">
        <f t="shared" si="58"/>
        <v>0</v>
      </c>
      <c r="J94" s="172"/>
      <c r="L94" s="11"/>
      <c r="M94" s="5" t="s">
        <v>384</v>
      </c>
      <c r="N94" s="11"/>
      <c r="O94" s="11"/>
      <c r="P94" s="29"/>
      <c r="Q94" s="22"/>
      <c r="R94" s="170">
        <f t="shared" si="59"/>
        <v>1</v>
      </c>
      <c r="S94" s="75">
        <f t="shared" si="60"/>
        <v>0</v>
      </c>
      <c r="T94" s="172"/>
      <c r="V94" s="41" t="s">
        <v>355</v>
      </c>
      <c r="W94" s="5" t="s">
        <v>451</v>
      </c>
      <c r="X94" s="41"/>
      <c r="Y94" s="41"/>
      <c r="Z94" s="29"/>
      <c r="AA94" s="22"/>
      <c r="AB94" s="170">
        <f t="shared" si="61"/>
        <v>1</v>
      </c>
      <c r="AC94" s="75">
        <f t="shared" si="62"/>
        <v>0</v>
      </c>
      <c r="AD94" s="172"/>
    </row>
    <row r="95" spans="2:30" s="24" customFormat="1" collapsed="1">
      <c r="B95" s="8" t="str">
        <f>"Total "&amp;B79</f>
        <v>Total Facility (Overdraft - Temporary)</v>
      </c>
      <c r="C95" s="25"/>
      <c r="D95" s="28">
        <f>SUM(D80:D94)</f>
        <v>0</v>
      </c>
      <c r="E95" s="28">
        <f>SUM(E80:E94)</f>
        <v>0</v>
      </c>
      <c r="F95" s="30"/>
      <c r="G95" s="25"/>
      <c r="H95" s="169">
        <v>1</v>
      </c>
      <c r="I95" s="28">
        <f>SUM(I80:I94)</f>
        <v>0</v>
      </c>
      <c r="J95" s="171"/>
      <c r="L95" s="8" t="str">
        <f>"Total "&amp;L79</f>
        <v>Total Facility (Overdraft - Temporary)</v>
      </c>
      <c r="M95" s="25"/>
      <c r="N95" s="28">
        <f>SUM(N80:N94)</f>
        <v>0</v>
      </c>
      <c r="O95" s="28">
        <f>SUM(O80:O94)</f>
        <v>0</v>
      </c>
      <c r="P95" s="30"/>
      <c r="Q95" s="25"/>
      <c r="R95" s="169">
        <v>1</v>
      </c>
      <c r="S95" s="28">
        <f>SUM(S80:S94)</f>
        <v>0</v>
      </c>
      <c r="T95" s="171"/>
      <c r="V95" s="8" t="str">
        <f>"Total "&amp;V79</f>
        <v>Total Facility (Overdraft - Temporary)</v>
      </c>
      <c r="W95" s="25"/>
      <c r="X95" s="28">
        <f>SUM(X80:X94)</f>
        <v>0</v>
      </c>
      <c r="Y95" s="28">
        <f>SUM(Y80:Y94)</f>
        <v>0</v>
      </c>
      <c r="Z95" s="30"/>
      <c r="AA95" s="25"/>
      <c r="AB95" s="169">
        <v>1</v>
      </c>
      <c r="AC95" s="28">
        <f>SUM(AC80:AC94)</f>
        <v>0</v>
      </c>
      <c r="AD95" s="171"/>
    </row>
    <row r="97" spans="2:30" s="20" customFormat="1" ht="41.4">
      <c r="B97" s="27" t="s">
        <v>453</v>
      </c>
      <c r="C97" s="3" t="str">
        <f>C$61</f>
        <v>Source</v>
      </c>
      <c r="D97" s="3" t="str">
        <f t="shared" ref="D97:J97" si="63">D$61</f>
        <v>Limit (A)</v>
      </c>
      <c r="E97" s="3" t="str">
        <f t="shared" si="63"/>
        <v>Outstanding (A1)</v>
      </c>
      <c r="F97" s="3" t="str">
        <f t="shared" si="63"/>
        <v>Monthly Repayment (B)</v>
      </c>
      <c r="G97" s="3" t="str">
        <f t="shared" si="63"/>
        <v>Interest Rate (C)</v>
      </c>
      <c r="H97" s="3" t="str">
        <f t="shared" si="63"/>
        <v>Factor (D)</v>
      </c>
      <c r="I97" s="3" t="str">
        <f t="shared" si="63"/>
        <v>Interest (E) = (A or A1) * (C) * (D)</v>
      </c>
      <c r="J97" s="3" t="str">
        <f t="shared" si="63"/>
        <v>Code Of Conduct</v>
      </c>
      <c r="L97" s="176" t="str">
        <f>B97</f>
        <v>Facility (Bank Guarantee)</v>
      </c>
      <c r="M97" s="177" t="str">
        <f t="shared" ref="M97" si="64">C97</f>
        <v>Source</v>
      </c>
      <c r="N97" s="177" t="str">
        <f t="shared" ref="N97" si="65">D97</f>
        <v>Limit (A)</v>
      </c>
      <c r="O97" s="177" t="str">
        <f t="shared" ref="O97" si="66">E97</f>
        <v>Outstanding (A1)</v>
      </c>
      <c r="P97" s="177" t="str">
        <f t="shared" ref="P97" si="67">F97</f>
        <v>Monthly Repayment (B)</v>
      </c>
      <c r="Q97" s="177" t="str">
        <f t="shared" ref="Q97" si="68">G97</f>
        <v>Interest Rate (C)</v>
      </c>
      <c r="R97" s="177" t="str">
        <f t="shared" ref="R97" si="69">H97</f>
        <v>Factor (D)</v>
      </c>
      <c r="S97" s="177" t="str">
        <f t="shared" ref="S97" si="70">I97</f>
        <v>Interest (E) = (A or A1) * (C) * (D)</v>
      </c>
      <c r="T97" s="177" t="str">
        <f t="shared" ref="T97" si="71">J97</f>
        <v>Code Of Conduct</v>
      </c>
      <c r="V97" s="176" t="str">
        <f>L97</f>
        <v>Facility (Bank Guarantee)</v>
      </c>
      <c r="W97" s="177" t="str">
        <f t="shared" ref="W97" si="72">M97</f>
        <v>Source</v>
      </c>
      <c r="X97" s="177" t="str">
        <f t="shared" ref="X97" si="73">N97</f>
        <v>Limit (A)</v>
      </c>
      <c r="Y97" s="177" t="str">
        <f t="shared" ref="Y97" si="74">O97</f>
        <v>Outstanding (A1)</v>
      </c>
      <c r="Z97" s="177" t="str">
        <f t="shared" ref="Z97" si="75">P97</f>
        <v>Monthly Repayment (B)</v>
      </c>
      <c r="AA97" s="177" t="str">
        <f t="shared" ref="AA97" si="76">Q97</f>
        <v>Interest Rate (C)</v>
      </c>
      <c r="AB97" s="177" t="str">
        <f t="shared" ref="AB97" si="77">R97</f>
        <v>Factor (D)</v>
      </c>
      <c r="AC97" s="177" t="str">
        <f t="shared" ref="AC97" si="78">S97</f>
        <v>Interest (E) = (A or A1) * (C) * (D)</v>
      </c>
      <c r="AD97" s="177" t="str">
        <f t="shared" ref="AD97" si="79">T97</f>
        <v>Code Of Conduct</v>
      </c>
    </row>
    <row r="98" spans="2:30">
      <c r="B98" s="11"/>
      <c r="C98" s="5" t="s">
        <v>384</v>
      </c>
      <c r="D98" s="11"/>
      <c r="E98" s="11"/>
      <c r="F98" s="29"/>
      <c r="G98" s="22"/>
      <c r="H98" s="170">
        <f>H$113</f>
        <v>1</v>
      </c>
      <c r="I98" s="75">
        <f>D98*G98*H98</f>
        <v>0</v>
      </c>
      <c r="J98" s="172"/>
      <c r="L98" s="11"/>
      <c r="M98" s="5" t="s">
        <v>384</v>
      </c>
      <c r="N98" s="11"/>
      <c r="O98" s="11"/>
      <c r="P98" s="29"/>
      <c r="Q98" s="22"/>
      <c r="R98" s="170">
        <f>R$113</f>
        <v>1</v>
      </c>
      <c r="S98" s="75">
        <f>N98*Q98*R98</f>
        <v>0</v>
      </c>
      <c r="T98" s="172"/>
      <c r="V98" s="41" t="s">
        <v>355</v>
      </c>
      <c r="W98" s="5" t="s">
        <v>451</v>
      </c>
      <c r="X98" s="41"/>
      <c r="Y98" s="41"/>
      <c r="Z98" s="29"/>
      <c r="AA98" s="22"/>
      <c r="AB98" s="170">
        <f>AB$113</f>
        <v>1</v>
      </c>
      <c r="AC98" s="75">
        <f>X98*AA98*AB98</f>
        <v>0</v>
      </c>
      <c r="AD98" s="172"/>
    </row>
    <row r="99" spans="2:30">
      <c r="B99" s="11"/>
      <c r="C99" s="5" t="s">
        <v>384</v>
      </c>
      <c r="D99" s="11"/>
      <c r="E99" s="11"/>
      <c r="F99" s="29"/>
      <c r="G99" s="22"/>
      <c r="H99" s="170">
        <f t="shared" ref="H99:H112" si="80">H$113</f>
        <v>1</v>
      </c>
      <c r="I99" s="75">
        <f t="shared" ref="I99:I112" si="81">D99*G99*H99</f>
        <v>0</v>
      </c>
      <c r="J99" s="172"/>
      <c r="L99" s="11"/>
      <c r="M99" s="5" t="s">
        <v>384</v>
      </c>
      <c r="N99" s="11"/>
      <c r="O99" s="11"/>
      <c r="P99" s="29"/>
      <c r="Q99" s="22"/>
      <c r="R99" s="170">
        <f t="shared" ref="R99:R112" si="82">R$113</f>
        <v>1</v>
      </c>
      <c r="S99" s="75">
        <f t="shared" ref="S99:S112" si="83">N99*Q99*R99</f>
        <v>0</v>
      </c>
      <c r="T99" s="172"/>
      <c r="V99" s="41" t="s">
        <v>355</v>
      </c>
      <c r="W99" s="5" t="s">
        <v>451</v>
      </c>
      <c r="X99" s="41"/>
      <c r="Y99" s="41"/>
      <c r="Z99" s="29"/>
      <c r="AA99" s="22"/>
      <c r="AB99" s="170">
        <f t="shared" ref="AB99:AB112" si="84">AB$113</f>
        <v>1</v>
      </c>
      <c r="AC99" s="75">
        <f t="shared" ref="AC99:AC112" si="85">X99*AA99*AB99</f>
        <v>0</v>
      </c>
      <c r="AD99" s="172"/>
    </row>
    <row r="100" spans="2:30">
      <c r="B100" s="11"/>
      <c r="C100" s="5" t="s">
        <v>384</v>
      </c>
      <c r="D100" s="11"/>
      <c r="E100" s="11"/>
      <c r="F100" s="29"/>
      <c r="G100" s="22"/>
      <c r="H100" s="170">
        <f t="shared" si="80"/>
        <v>1</v>
      </c>
      <c r="I100" s="75">
        <f t="shared" si="81"/>
        <v>0</v>
      </c>
      <c r="J100" s="172"/>
      <c r="L100" s="11"/>
      <c r="M100" s="5" t="s">
        <v>384</v>
      </c>
      <c r="N100" s="11"/>
      <c r="O100" s="11"/>
      <c r="P100" s="29"/>
      <c r="Q100" s="22"/>
      <c r="R100" s="170">
        <f t="shared" si="82"/>
        <v>1</v>
      </c>
      <c r="S100" s="75">
        <f t="shared" si="83"/>
        <v>0</v>
      </c>
      <c r="T100" s="172"/>
      <c r="V100" s="41" t="s">
        <v>355</v>
      </c>
      <c r="W100" s="5" t="s">
        <v>451</v>
      </c>
      <c r="X100" s="41"/>
      <c r="Y100" s="41"/>
      <c r="Z100" s="29"/>
      <c r="AA100" s="22"/>
      <c r="AB100" s="170">
        <f t="shared" si="84"/>
        <v>1</v>
      </c>
      <c r="AC100" s="75">
        <f t="shared" si="85"/>
        <v>0</v>
      </c>
      <c r="AD100" s="172"/>
    </row>
    <row r="101" spans="2:30">
      <c r="B101" s="11"/>
      <c r="C101" s="5" t="s">
        <v>384</v>
      </c>
      <c r="D101" s="11"/>
      <c r="E101" s="11"/>
      <c r="F101" s="29"/>
      <c r="G101" s="22"/>
      <c r="H101" s="170">
        <f t="shared" si="80"/>
        <v>1</v>
      </c>
      <c r="I101" s="75">
        <f t="shared" si="81"/>
        <v>0</v>
      </c>
      <c r="J101" s="172"/>
      <c r="L101" s="11"/>
      <c r="M101" s="5" t="s">
        <v>384</v>
      </c>
      <c r="N101" s="11"/>
      <c r="O101" s="11"/>
      <c r="P101" s="29"/>
      <c r="Q101" s="22"/>
      <c r="R101" s="170">
        <f t="shared" si="82"/>
        <v>1</v>
      </c>
      <c r="S101" s="75">
        <f t="shared" si="83"/>
        <v>0</v>
      </c>
      <c r="T101" s="172"/>
      <c r="V101" s="41" t="s">
        <v>355</v>
      </c>
      <c r="W101" s="5" t="s">
        <v>451</v>
      </c>
      <c r="X101" s="41"/>
      <c r="Y101" s="41"/>
      <c r="Z101" s="29"/>
      <c r="AA101" s="22"/>
      <c r="AB101" s="170">
        <f t="shared" si="84"/>
        <v>1</v>
      </c>
      <c r="AC101" s="75">
        <f t="shared" si="85"/>
        <v>0</v>
      </c>
      <c r="AD101" s="172"/>
    </row>
    <row r="102" spans="2:30">
      <c r="B102" s="11"/>
      <c r="C102" s="5" t="s">
        <v>384</v>
      </c>
      <c r="D102" s="11"/>
      <c r="E102" s="11"/>
      <c r="F102" s="29"/>
      <c r="G102" s="22"/>
      <c r="H102" s="170">
        <f t="shared" si="80"/>
        <v>1</v>
      </c>
      <c r="I102" s="75">
        <f t="shared" si="81"/>
        <v>0</v>
      </c>
      <c r="J102" s="172"/>
      <c r="L102" s="11"/>
      <c r="M102" s="5" t="s">
        <v>384</v>
      </c>
      <c r="N102" s="11"/>
      <c r="O102" s="11"/>
      <c r="P102" s="29"/>
      <c r="Q102" s="22"/>
      <c r="R102" s="170">
        <f t="shared" si="82"/>
        <v>1</v>
      </c>
      <c r="S102" s="75">
        <f t="shared" si="83"/>
        <v>0</v>
      </c>
      <c r="T102" s="172"/>
      <c r="V102" s="41" t="s">
        <v>355</v>
      </c>
      <c r="W102" s="5" t="s">
        <v>451</v>
      </c>
      <c r="X102" s="41"/>
      <c r="Y102" s="41"/>
      <c r="Z102" s="29"/>
      <c r="AA102" s="22"/>
      <c r="AB102" s="170">
        <f t="shared" si="84"/>
        <v>1</v>
      </c>
      <c r="AC102" s="75">
        <f t="shared" si="85"/>
        <v>0</v>
      </c>
      <c r="AD102" s="172"/>
    </row>
    <row r="103" spans="2:30">
      <c r="B103" s="11"/>
      <c r="C103" s="5" t="s">
        <v>384</v>
      </c>
      <c r="D103" s="11"/>
      <c r="E103" s="11"/>
      <c r="F103" s="29"/>
      <c r="G103" s="22"/>
      <c r="H103" s="170">
        <f t="shared" si="80"/>
        <v>1</v>
      </c>
      <c r="I103" s="75">
        <f t="shared" si="81"/>
        <v>0</v>
      </c>
      <c r="J103" s="172"/>
      <c r="L103" s="11"/>
      <c r="M103" s="5" t="s">
        <v>384</v>
      </c>
      <c r="N103" s="11"/>
      <c r="O103" s="11"/>
      <c r="P103" s="29"/>
      <c r="Q103" s="22"/>
      <c r="R103" s="170">
        <f t="shared" si="82"/>
        <v>1</v>
      </c>
      <c r="S103" s="75">
        <f t="shared" si="83"/>
        <v>0</v>
      </c>
      <c r="T103" s="172"/>
      <c r="V103" s="41" t="s">
        <v>355</v>
      </c>
      <c r="W103" s="5" t="s">
        <v>451</v>
      </c>
      <c r="X103" s="41"/>
      <c r="Y103" s="41"/>
      <c r="Z103" s="29"/>
      <c r="AA103" s="22"/>
      <c r="AB103" s="170">
        <f t="shared" si="84"/>
        <v>1</v>
      </c>
      <c r="AC103" s="75">
        <f t="shared" si="85"/>
        <v>0</v>
      </c>
      <c r="AD103" s="172"/>
    </row>
    <row r="104" spans="2:30" hidden="1" outlineLevel="1">
      <c r="B104" s="11"/>
      <c r="C104" s="5" t="s">
        <v>384</v>
      </c>
      <c r="D104" s="11"/>
      <c r="E104" s="11"/>
      <c r="F104" s="29"/>
      <c r="G104" s="22"/>
      <c r="H104" s="170">
        <f t="shared" si="80"/>
        <v>1</v>
      </c>
      <c r="I104" s="75">
        <f t="shared" si="81"/>
        <v>0</v>
      </c>
      <c r="J104" s="172"/>
      <c r="L104" s="11"/>
      <c r="M104" s="5" t="s">
        <v>384</v>
      </c>
      <c r="N104" s="11"/>
      <c r="O104" s="11"/>
      <c r="P104" s="29"/>
      <c r="Q104" s="22"/>
      <c r="R104" s="170">
        <f t="shared" si="82"/>
        <v>1</v>
      </c>
      <c r="S104" s="75">
        <f t="shared" si="83"/>
        <v>0</v>
      </c>
      <c r="T104" s="172"/>
      <c r="V104" s="41" t="s">
        <v>355</v>
      </c>
      <c r="W104" s="5" t="s">
        <v>451</v>
      </c>
      <c r="X104" s="41"/>
      <c r="Y104" s="41"/>
      <c r="Z104" s="29"/>
      <c r="AA104" s="22"/>
      <c r="AB104" s="170">
        <f t="shared" si="84"/>
        <v>1</v>
      </c>
      <c r="AC104" s="75">
        <f t="shared" si="85"/>
        <v>0</v>
      </c>
      <c r="AD104" s="172"/>
    </row>
    <row r="105" spans="2:30" hidden="1" outlineLevel="1">
      <c r="B105" s="11"/>
      <c r="C105" s="5" t="s">
        <v>384</v>
      </c>
      <c r="D105" s="11"/>
      <c r="E105" s="11"/>
      <c r="F105" s="29"/>
      <c r="G105" s="22"/>
      <c r="H105" s="170">
        <f t="shared" si="80"/>
        <v>1</v>
      </c>
      <c r="I105" s="75">
        <f t="shared" si="81"/>
        <v>0</v>
      </c>
      <c r="J105" s="172"/>
      <c r="L105" s="11"/>
      <c r="M105" s="5" t="s">
        <v>384</v>
      </c>
      <c r="N105" s="11"/>
      <c r="O105" s="11"/>
      <c r="P105" s="29"/>
      <c r="Q105" s="22"/>
      <c r="R105" s="170">
        <f t="shared" si="82"/>
        <v>1</v>
      </c>
      <c r="S105" s="75">
        <f t="shared" si="83"/>
        <v>0</v>
      </c>
      <c r="T105" s="172"/>
      <c r="V105" s="41" t="s">
        <v>355</v>
      </c>
      <c r="W105" s="5" t="s">
        <v>451</v>
      </c>
      <c r="X105" s="41"/>
      <c r="Y105" s="41"/>
      <c r="Z105" s="29"/>
      <c r="AA105" s="22"/>
      <c r="AB105" s="170">
        <f t="shared" si="84"/>
        <v>1</v>
      </c>
      <c r="AC105" s="75">
        <f t="shared" si="85"/>
        <v>0</v>
      </c>
      <c r="AD105" s="172"/>
    </row>
    <row r="106" spans="2:30" hidden="1" outlineLevel="1">
      <c r="B106" s="11"/>
      <c r="C106" s="5" t="s">
        <v>384</v>
      </c>
      <c r="D106" s="11"/>
      <c r="E106" s="11"/>
      <c r="F106" s="29"/>
      <c r="G106" s="22"/>
      <c r="H106" s="170">
        <f t="shared" si="80"/>
        <v>1</v>
      </c>
      <c r="I106" s="75">
        <f t="shared" si="81"/>
        <v>0</v>
      </c>
      <c r="J106" s="172"/>
      <c r="L106" s="11"/>
      <c r="M106" s="5" t="s">
        <v>384</v>
      </c>
      <c r="N106" s="11"/>
      <c r="O106" s="11"/>
      <c r="P106" s="29"/>
      <c r="Q106" s="22"/>
      <c r="R106" s="170">
        <f t="shared" si="82"/>
        <v>1</v>
      </c>
      <c r="S106" s="75">
        <f t="shared" si="83"/>
        <v>0</v>
      </c>
      <c r="T106" s="172"/>
      <c r="V106" s="41" t="s">
        <v>355</v>
      </c>
      <c r="W106" s="5" t="s">
        <v>451</v>
      </c>
      <c r="X106" s="41"/>
      <c r="Y106" s="41"/>
      <c r="Z106" s="29"/>
      <c r="AA106" s="22"/>
      <c r="AB106" s="170">
        <f t="shared" si="84"/>
        <v>1</v>
      </c>
      <c r="AC106" s="75">
        <f t="shared" si="85"/>
        <v>0</v>
      </c>
      <c r="AD106" s="172"/>
    </row>
    <row r="107" spans="2:30" hidden="1" outlineLevel="1">
      <c r="B107" s="11"/>
      <c r="C107" s="5" t="s">
        <v>384</v>
      </c>
      <c r="D107" s="11"/>
      <c r="E107" s="11"/>
      <c r="F107" s="29"/>
      <c r="G107" s="22"/>
      <c r="H107" s="170">
        <f t="shared" si="80"/>
        <v>1</v>
      </c>
      <c r="I107" s="75">
        <f t="shared" si="81"/>
        <v>0</v>
      </c>
      <c r="J107" s="172"/>
      <c r="L107" s="11"/>
      <c r="M107" s="5" t="s">
        <v>384</v>
      </c>
      <c r="N107" s="11"/>
      <c r="O107" s="11"/>
      <c r="P107" s="29"/>
      <c r="Q107" s="22"/>
      <c r="R107" s="170">
        <f t="shared" si="82"/>
        <v>1</v>
      </c>
      <c r="S107" s="75">
        <f t="shared" si="83"/>
        <v>0</v>
      </c>
      <c r="T107" s="172"/>
      <c r="V107" s="41" t="s">
        <v>355</v>
      </c>
      <c r="W107" s="5" t="s">
        <v>451</v>
      </c>
      <c r="X107" s="41"/>
      <c r="Y107" s="41"/>
      <c r="Z107" s="29"/>
      <c r="AA107" s="22"/>
      <c r="AB107" s="170">
        <f t="shared" si="84"/>
        <v>1</v>
      </c>
      <c r="AC107" s="75">
        <f t="shared" si="85"/>
        <v>0</v>
      </c>
      <c r="AD107" s="172"/>
    </row>
    <row r="108" spans="2:30" hidden="1" outlineLevel="1">
      <c r="B108" s="11"/>
      <c r="C108" s="5" t="s">
        <v>384</v>
      </c>
      <c r="D108" s="11"/>
      <c r="E108" s="11"/>
      <c r="F108" s="29"/>
      <c r="G108" s="22"/>
      <c r="H108" s="170">
        <f t="shared" si="80"/>
        <v>1</v>
      </c>
      <c r="I108" s="75">
        <f t="shared" si="81"/>
        <v>0</v>
      </c>
      <c r="J108" s="172"/>
      <c r="L108" s="11"/>
      <c r="M108" s="5" t="s">
        <v>384</v>
      </c>
      <c r="N108" s="11"/>
      <c r="O108" s="11"/>
      <c r="P108" s="29"/>
      <c r="Q108" s="22"/>
      <c r="R108" s="170">
        <f t="shared" si="82"/>
        <v>1</v>
      </c>
      <c r="S108" s="75">
        <f t="shared" si="83"/>
        <v>0</v>
      </c>
      <c r="T108" s="172"/>
      <c r="V108" s="41" t="s">
        <v>355</v>
      </c>
      <c r="W108" s="5" t="s">
        <v>451</v>
      </c>
      <c r="X108" s="41"/>
      <c r="Y108" s="41"/>
      <c r="Z108" s="29"/>
      <c r="AA108" s="22"/>
      <c r="AB108" s="170">
        <f t="shared" si="84"/>
        <v>1</v>
      </c>
      <c r="AC108" s="75">
        <f t="shared" si="85"/>
        <v>0</v>
      </c>
      <c r="AD108" s="172"/>
    </row>
    <row r="109" spans="2:30" hidden="1" outlineLevel="1">
      <c r="B109" s="11"/>
      <c r="C109" s="5" t="s">
        <v>384</v>
      </c>
      <c r="D109" s="11"/>
      <c r="E109" s="11"/>
      <c r="F109" s="29"/>
      <c r="G109" s="22"/>
      <c r="H109" s="170">
        <f t="shared" si="80"/>
        <v>1</v>
      </c>
      <c r="I109" s="75">
        <f t="shared" si="81"/>
        <v>0</v>
      </c>
      <c r="J109" s="172"/>
      <c r="L109" s="11"/>
      <c r="M109" s="5" t="s">
        <v>384</v>
      </c>
      <c r="N109" s="11"/>
      <c r="O109" s="11"/>
      <c r="P109" s="29"/>
      <c r="Q109" s="22"/>
      <c r="R109" s="170">
        <f t="shared" si="82"/>
        <v>1</v>
      </c>
      <c r="S109" s="75">
        <f t="shared" si="83"/>
        <v>0</v>
      </c>
      <c r="T109" s="172"/>
      <c r="V109" s="41" t="s">
        <v>355</v>
      </c>
      <c r="W109" s="5" t="s">
        <v>451</v>
      </c>
      <c r="X109" s="41"/>
      <c r="Y109" s="41"/>
      <c r="Z109" s="29"/>
      <c r="AA109" s="22"/>
      <c r="AB109" s="170">
        <f t="shared" si="84"/>
        <v>1</v>
      </c>
      <c r="AC109" s="75">
        <f t="shared" si="85"/>
        <v>0</v>
      </c>
      <c r="AD109" s="172"/>
    </row>
    <row r="110" spans="2:30" hidden="1" outlineLevel="1">
      <c r="B110" s="11"/>
      <c r="C110" s="5" t="s">
        <v>384</v>
      </c>
      <c r="D110" s="11"/>
      <c r="E110" s="11"/>
      <c r="F110" s="29"/>
      <c r="G110" s="22"/>
      <c r="H110" s="170">
        <f t="shared" si="80"/>
        <v>1</v>
      </c>
      <c r="I110" s="75">
        <f t="shared" si="81"/>
        <v>0</v>
      </c>
      <c r="J110" s="172"/>
      <c r="L110" s="11"/>
      <c r="M110" s="5" t="s">
        <v>384</v>
      </c>
      <c r="N110" s="11"/>
      <c r="O110" s="11"/>
      <c r="P110" s="29"/>
      <c r="Q110" s="22"/>
      <c r="R110" s="170">
        <f t="shared" si="82"/>
        <v>1</v>
      </c>
      <c r="S110" s="75">
        <f t="shared" si="83"/>
        <v>0</v>
      </c>
      <c r="T110" s="172"/>
      <c r="V110" s="41" t="s">
        <v>355</v>
      </c>
      <c r="W110" s="5" t="s">
        <v>451</v>
      </c>
      <c r="X110" s="41"/>
      <c r="Y110" s="41"/>
      <c r="Z110" s="29"/>
      <c r="AA110" s="22"/>
      <c r="AB110" s="170">
        <f t="shared" si="84"/>
        <v>1</v>
      </c>
      <c r="AC110" s="75">
        <f t="shared" si="85"/>
        <v>0</v>
      </c>
      <c r="AD110" s="172"/>
    </row>
    <row r="111" spans="2:30" hidden="1" outlineLevel="1">
      <c r="B111" s="11"/>
      <c r="C111" s="5" t="s">
        <v>384</v>
      </c>
      <c r="D111" s="11"/>
      <c r="E111" s="11"/>
      <c r="F111" s="29"/>
      <c r="G111" s="22"/>
      <c r="H111" s="170">
        <f t="shared" si="80"/>
        <v>1</v>
      </c>
      <c r="I111" s="75">
        <f t="shared" si="81"/>
        <v>0</v>
      </c>
      <c r="J111" s="172"/>
      <c r="L111" s="11"/>
      <c r="M111" s="5" t="s">
        <v>384</v>
      </c>
      <c r="N111" s="11"/>
      <c r="O111" s="11"/>
      <c r="P111" s="29"/>
      <c r="Q111" s="22"/>
      <c r="R111" s="170">
        <f t="shared" si="82"/>
        <v>1</v>
      </c>
      <c r="S111" s="75">
        <f t="shared" si="83"/>
        <v>0</v>
      </c>
      <c r="T111" s="172"/>
      <c r="V111" s="41" t="s">
        <v>355</v>
      </c>
      <c r="W111" s="5" t="s">
        <v>451</v>
      </c>
      <c r="X111" s="41"/>
      <c r="Y111" s="41"/>
      <c r="Z111" s="29"/>
      <c r="AA111" s="22"/>
      <c r="AB111" s="170">
        <f t="shared" si="84"/>
        <v>1</v>
      </c>
      <c r="AC111" s="75">
        <f t="shared" si="85"/>
        <v>0</v>
      </c>
      <c r="AD111" s="172"/>
    </row>
    <row r="112" spans="2:30" hidden="1" outlineLevel="1">
      <c r="B112" s="11"/>
      <c r="C112" s="5" t="s">
        <v>384</v>
      </c>
      <c r="D112" s="11"/>
      <c r="E112" s="11"/>
      <c r="F112" s="29"/>
      <c r="G112" s="22"/>
      <c r="H112" s="170">
        <f t="shared" si="80"/>
        <v>1</v>
      </c>
      <c r="I112" s="75">
        <f t="shared" si="81"/>
        <v>0</v>
      </c>
      <c r="J112" s="172"/>
      <c r="L112" s="11"/>
      <c r="M112" s="5" t="s">
        <v>384</v>
      </c>
      <c r="N112" s="11"/>
      <c r="O112" s="11"/>
      <c r="P112" s="29"/>
      <c r="Q112" s="22"/>
      <c r="R112" s="170">
        <f t="shared" si="82"/>
        <v>1</v>
      </c>
      <c r="S112" s="75">
        <f t="shared" si="83"/>
        <v>0</v>
      </c>
      <c r="T112" s="172"/>
      <c r="V112" s="41" t="s">
        <v>355</v>
      </c>
      <c r="W112" s="5" t="s">
        <v>451</v>
      </c>
      <c r="X112" s="41"/>
      <c r="Y112" s="41"/>
      <c r="Z112" s="29"/>
      <c r="AA112" s="22"/>
      <c r="AB112" s="170">
        <f t="shared" si="84"/>
        <v>1</v>
      </c>
      <c r="AC112" s="75">
        <f t="shared" si="85"/>
        <v>0</v>
      </c>
      <c r="AD112" s="172"/>
    </row>
    <row r="113" spans="2:30" s="24" customFormat="1" collapsed="1">
      <c r="B113" s="8" t="str">
        <f>"Total "&amp;B97</f>
        <v>Total Facility (Bank Guarantee)</v>
      </c>
      <c r="C113" s="25"/>
      <c r="D113" s="28">
        <f>SUM(D98:D112)</f>
        <v>0</v>
      </c>
      <c r="E113" s="28">
        <f>SUM(E98:E112)</f>
        <v>0</v>
      </c>
      <c r="F113" s="30"/>
      <c r="G113" s="25"/>
      <c r="H113" s="169">
        <v>1</v>
      </c>
      <c r="I113" s="28">
        <f>SUM(I98:I112)</f>
        <v>0</v>
      </c>
      <c r="J113" s="171"/>
      <c r="L113" s="8" t="str">
        <f>"Total "&amp;L97</f>
        <v>Total Facility (Bank Guarantee)</v>
      </c>
      <c r="M113" s="25"/>
      <c r="N113" s="28">
        <f>SUM(N98:N112)</f>
        <v>0</v>
      </c>
      <c r="O113" s="28">
        <f>SUM(O98:O112)</f>
        <v>0</v>
      </c>
      <c r="P113" s="30"/>
      <c r="Q113" s="25"/>
      <c r="R113" s="169">
        <v>1</v>
      </c>
      <c r="S113" s="28">
        <f>SUM(S98:S112)</f>
        <v>0</v>
      </c>
      <c r="T113" s="171"/>
      <c r="V113" s="8" t="str">
        <f>"Total "&amp;V97</f>
        <v>Total Facility (Bank Guarantee)</v>
      </c>
      <c r="W113" s="25"/>
      <c r="X113" s="28">
        <f>SUM(X98:X112)</f>
        <v>0</v>
      </c>
      <c r="Y113" s="28">
        <f>SUM(Y98:Y112)</f>
        <v>0</v>
      </c>
      <c r="Z113" s="30"/>
      <c r="AA113" s="25"/>
      <c r="AB113" s="169">
        <v>1</v>
      </c>
      <c r="AC113" s="28">
        <f>SUM(AC98:AC112)</f>
        <v>0</v>
      </c>
      <c r="AD113" s="171"/>
    </row>
    <row r="115" spans="2:30" s="20" customFormat="1" ht="41.4">
      <c r="B115" s="27" t="s">
        <v>454</v>
      </c>
      <c r="C115" s="3" t="str">
        <f>C$61</f>
        <v>Source</v>
      </c>
      <c r="D115" s="3" t="str">
        <f t="shared" ref="D115:J115" si="86">D$61</f>
        <v>Limit (A)</v>
      </c>
      <c r="E115" s="3" t="str">
        <f t="shared" si="86"/>
        <v>Outstanding (A1)</v>
      </c>
      <c r="F115" s="3" t="str">
        <f t="shared" si="86"/>
        <v>Monthly Repayment (B)</v>
      </c>
      <c r="G115" s="3" t="str">
        <f t="shared" si="86"/>
        <v>Interest Rate (C)</v>
      </c>
      <c r="H115" s="3" t="str">
        <f t="shared" si="86"/>
        <v>Factor (D)</v>
      </c>
      <c r="I115" s="3" t="str">
        <f t="shared" si="86"/>
        <v>Interest (E) = (A or A1) * (C) * (D)</v>
      </c>
      <c r="J115" s="3" t="str">
        <f t="shared" si="86"/>
        <v>Code Of Conduct</v>
      </c>
      <c r="L115" s="176" t="str">
        <f>B115</f>
        <v>Facility (Bank Trade - Funded)</v>
      </c>
      <c r="M115" s="177" t="str">
        <f t="shared" ref="M115" si="87">C115</f>
        <v>Source</v>
      </c>
      <c r="N115" s="177" t="str">
        <f t="shared" ref="N115" si="88">D115</f>
        <v>Limit (A)</v>
      </c>
      <c r="O115" s="177" t="str">
        <f t="shared" ref="O115" si="89">E115</f>
        <v>Outstanding (A1)</v>
      </c>
      <c r="P115" s="177" t="str">
        <f t="shared" ref="P115" si="90">F115</f>
        <v>Monthly Repayment (B)</v>
      </c>
      <c r="Q115" s="177" t="str">
        <f t="shared" ref="Q115" si="91">G115</f>
        <v>Interest Rate (C)</v>
      </c>
      <c r="R115" s="177" t="str">
        <f t="shared" ref="R115" si="92">H115</f>
        <v>Factor (D)</v>
      </c>
      <c r="S115" s="177" t="str">
        <f t="shared" ref="S115" si="93">I115</f>
        <v>Interest (E) = (A or A1) * (C) * (D)</v>
      </c>
      <c r="T115" s="177" t="str">
        <f t="shared" ref="T115" si="94">J115</f>
        <v>Code Of Conduct</v>
      </c>
      <c r="V115" s="176" t="str">
        <f>L115</f>
        <v>Facility (Bank Trade - Funded)</v>
      </c>
      <c r="W115" s="177" t="str">
        <f t="shared" ref="W115" si="95">M115</f>
        <v>Source</v>
      </c>
      <c r="X115" s="177" t="str">
        <f t="shared" ref="X115" si="96">N115</f>
        <v>Limit (A)</v>
      </c>
      <c r="Y115" s="177" t="str">
        <f t="shared" ref="Y115" si="97">O115</f>
        <v>Outstanding (A1)</v>
      </c>
      <c r="Z115" s="177" t="str">
        <f t="shared" ref="Z115" si="98">P115</f>
        <v>Monthly Repayment (B)</v>
      </c>
      <c r="AA115" s="177" t="str">
        <f t="shared" ref="AA115" si="99">Q115</f>
        <v>Interest Rate (C)</v>
      </c>
      <c r="AB115" s="177" t="str">
        <f t="shared" ref="AB115" si="100">R115</f>
        <v>Factor (D)</v>
      </c>
      <c r="AC115" s="177" t="str">
        <f t="shared" ref="AC115" si="101">S115</f>
        <v>Interest (E) = (A or A1) * (C) * (D)</v>
      </c>
      <c r="AD115" s="177" t="str">
        <f t="shared" ref="AD115" si="102">T115</f>
        <v>Code Of Conduct</v>
      </c>
    </row>
    <row r="116" spans="2:30">
      <c r="B116" s="11"/>
      <c r="C116" s="5" t="s">
        <v>384</v>
      </c>
      <c r="D116" s="11"/>
      <c r="E116" s="11"/>
      <c r="F116" s="29"/>
      <c r="G116" s="22"/>
      <c r="H116" s="170">
        <f>H$131</f>
        <v>0.8</v>
      </c>
      <c r="I116" s="75">
        <f>D116*G116*H116</f>
        <v>0</v>
      </c>
      <c r="J116" s="172"/>
      <c r="L116" s="11"/>
      <c r="M116" s="5" t="s">
        <v>382</v>
      </c>
      <c r="N116" s="11"/>
      <c r="O116" s="11"/>
      <c r="P116" s="29"/>
      <c r="Q116" s="22"/>
      <c r="R116" s="170">
        <f>R$131</f>
        <v>0.8</v>
      </c>
      <c r="S116" s="75">
        <f>N116*Q116*R116</f>
        <v>0</v>
      </c>
      <c r="T116" s="172"/>
      <c r="V116" s="41" t="s">
        <v>355</v>
      </c>
      <c r="W116" s="5" t="s">
        <v>451</v>
      </c>
      <c r="X116" s="41"/>
      <c r="Y116" s="41"/>
      <c r="Z116" s="29"/>
      <c r="AA116" s="22"/>
      <c r="AB116" s="170">
        <f>AB$131</f>
        <v>0.8</v>
      </c>
      <c r="AC116" s="75">
        <f>X116*AA116*AB116</f>
        <v>0</v>
      </c>
      <c r="AD116" s="172"/>
    </row>
    <row r="117" spans="2:30">
      <c r="B117" s="11"/>
      <c r="C117" s="5" t="s">
        <v>384</v>
      </c>
      <c r="D117" s="11"/>
      <c r="E117" s="11"/>
      <c r="F117" s="29"/>
      <c r="G117" s="22"/>
      <c r="H117" s="170">
        <f t="shared" ref="H117:H130" si="103">H$131</f>
        <v>0.8</v>
      </c>
      <c r="I117" s="75">
        <f t="shared" ref="I117:I130" si="104">D117*G117*H117</f>
        <v>0</v>
      </c>
      <c r="J117" s="172"/>
      <c r="L117" s="11"/>
      <c r="M117" s="5" t="s">
        <v>384</v>
      </c>
      <c r="N117" s="11"/>
      <c r="O117" s="11"/>
      <c r="P117" s="29"/>
      <c r="Q117" s="22"/>
      <c r="R117" s="170">
        <f t="shared" ref="R117:R130" si="105">R$131</f>
        <v>0.8</v>
      </c>
      <c r="S117" s="75">
        <f t="shared" ref="S117:S130" si="106">N117*Q117*R117</f>
        <v>0</v>
      </c>
      <c r="T117" s="172"/>
      <c r="V117" s="41" t="s">
        <v>355</v>
      </c>
      <c r="W117" s="5" t="s">
        <v>451</v>
      </c>
      <c r="X117" s="41"/>
      <c r="Y117" s="41"/>
      <c r="Z117" s="29"/>
      <c r="AA117" s="22"/>
      <c r="AB117" s="170">
        <f t="shared" ref="AB117:AB130" si="107">AB$131</f>
        <v>0.8</v>
      </c>
      <c r="AC117" s="75">
        <f t="shared" ref="AC117:AC130" si="108">X117*AA117*AB117</f>
        <v>0</v>
      </c>
      <c r="AD117" s="172"/>
    </row>
    <row r="118" spans="2:30">
      <c r="B118" s="11"/>
      <c r="C118" s="5" t="s">
        <v>384</v>
      </c>
      <c r="D118" s="11"/>
      <c r="E118" s="11"/>
      <c r="F118" s="29"/>
      <c r="G118" s="22"/>
      <c r="H118" s="170">
        <f t="shared" si="103"/>
        <v>0.8</v>
      </c>
      <c r="I118" s="75">
        <f t="shared" si="104"/>
        <v>0</v>
      </c>
      <c r="J118" s="172"/>
      <c r="L118" s="11"/>
      <c r="M118" s="5" t="s">
        <v>384</v>
      </c>
      <c r="N118" s="11"/>
      <c r="O118" s="11"/>
      <c r="P118" s="29"/>
      <c r="Q118" s="22"/>
      <c r="R118" s="170">
        <f t="shared" si="105"/>
        <v>0.8</v>
      </c>
      <c r="S118" s="75">
        <f t="shared" si="106"/>
        <v>0</v>
      </c>
      <c r="T118" s="172"/>
      <c r="V118" s="41" t="s">
        <v>355</v>
      </c>
      <c r="W118" s="5" t="s">
        <v>451</v>
      </c>
      <c r="X118" s="41"/>
      <c r="Y118" s="41"/>
      <c r="Z118" s="29"/>
      <c r="AA118" s="22"/>
      <c r="AB118" s="170">
        <f t="shared" si="107"/>
        <v>0.8</v>
      </c>
      <c r="AC118" s="75">
        <f t="shared" si="108"/>
        <v>0</v>
      </c>
      <c r="AD118" s="172"/>
    </row>
    <row r="119" spans="2:30">
      <c r="B119" s="11"/>
      <c r="C119" s="5" t="s">
        <v>384</v>
      </c>
      <c r="D119" s="11"/>
      <c r="E119" s="11"/>
      <c r="F119" s="29"/>
      <c r="G119" s="22"/>
      <c r="H119" s="170">
        <f t="shared" si="103"/>
        <v>0.8</v>
      </c>
      <c r="I119" s="75">
        <f t="shared" si="104"/>
        <v>0</v>
      </c>
      <c r="J119" s="172"/>
      <c r="L119" s="11"/>
      <c r="M119" s="5" t="s">
        <v>384</v>
      </c>
      <c r="N119" s="11"/>
      <c r="O119" s="11"/>
      <c r="P119" s="29"/>
      <c r="Q119" s="22"/>
      <c r="R119" s="170">
        <f t="shared" si="105"/>
        <v>0.8</v>
      </c>
      <c r="S119" s="75">
        <f t="shared" si="106"/>
        <v>0</v>
      </c>
      <c r="T119" s="172"/>
      <c r="V119" s="41" t="s">
        <v>355</v>
      </c>
      <c r="W119" s="5" t="s">
        <v>451</v>
      </c>
      <c r="X119" s="41"/>
      <c r="Y119" s="41"/>
      <c r="Z119" s="29"/>
      <c r="AA119" s="22"/>
      <c r="AB119" s="170">
        <f t="shared" si="107"/>
        <v>0.8</v>
      </c>
      <c r="AC119" s="75">
        <f t="shared" si="108"/>
        <v>0</v>
      </c>
      <c r="AD119" s="172"/>
    </row>
    <row r="120" spans="2:30">
      <c r="B120" s="11"/>
      <c r="C120" s="5" t="s">
        <v>384</v>
      </c>
      <c r="D120" s="11"/>
      <c r="E120" s="11"/>
      <c r="F120" s="29"/>
      <c r="G120" s="22"/>
      <c r="H120" s="170">
        <f t="shared" si="103"/>
        <v>0.8</v>
      </c>
      <c r="I120" s="75">
        <f t="shared" si="104"/>
        <v>0</v>
      </c>
      <c r="J120" s="172"/>
      <c r="L120" s="11"/>
      <c r="M120" s="5" t="s">
        <v>384</v>
      </c>
      <c r="N120" s="11"/>
      <c r="O120" s="11"/>
      <c r="P120" s="29"/>
      <c r="Q120" s="22"/>
      <c r="R120" s="170">
        <f t="shared" si="105"/>
        <v>0.8</v>
      </c>
      <c r="S120" s="75">
        <f t="shared" si="106"/>
        <v>0</v>
      </c>
      <c r="T120" s="172"/>
      <c r="V120" s="41" t="s">
        <v>355</v>
      </c>
      <c r="W120" s="5" t="s">
        <v>451</v>
      </c>
      <c r="X120" s="41"/>
      <c r="Y120" s="41"/>
      <c r="Z120" s="29"/>
      <c r="AA120" s="22"/>
      <c r="AB120" s="170">
        <f t="shared" si="107"/>
        <v>0.8</v>
      </c>
      <c r="AC120" s="75">
        <f t="shared" si="108"/>
        <v>0</v>
      </c>
      <c r="AD120" s="172"/>
    </row>
    <row r="121" spans="2:30">
      <c r="B121" s="11"/>
      <c r="C121" s="5" t="s">
        <v>384</v>
      </c>
      <c r="D121" s="11"/>
      <c r="E121" s="11"/>
      <c r="F121" s="29"/>
      <c r="G121" s="22"/>
      <c r="H121" s="170">
        <f t="shared" si="103"/>
        <v>0.8</v>
      </c>
      <c r="I121" s="75">
        <f t="shared" si="104"/>
        <v>0</v>
      </c>
      <c r="J121" s="172"/>
      <c r="L121" s="11"/>
      <c r="M121" s="5" t="s">
        <v>384</v>
      </c>
      <c r="N121" s="11"/>
      <c r="O121" s="11"/>
      <c r="P121" s="29"/>
      <c r="Q121" s="22"/>
      <c r="R121" s="170">
        <f t="shared" si="105"/>
        <v>0.8</v>
      </c>
      <c r="S121" s="75">
        <f t="shared" si="106"/>
        <v>0</v>
      </c>
      <c r="T121" s="172"/>
      <c r="V121" s="41" t="s">
        <v>355</v>
      </c>
      <c r="W121" s="5" t="s">
        <v>451</v>
      </c>
      <c r="X121" s="41"/>
      <c r="Y121" s="41"/>
      <c r="Z121" s="29"/>
      <c r="AA121" s="22"/>
      <c r="AB121" s="170">
        <f t="shared" si="107"/>
        <v>0.8</v>
      </c>
      <c r="AC121" s="75">
        <f t="shared" si="108"/>
        <v>0</v>
      </c>
      <c r="AD121" s="172"/>
    </row>
    <row r="122" spans="2:30" hidden="1" outlineLevel="1">
      <c r="B122" s="11"/>
      <c r="C122" s="5" t="s">
        <v>384</v>
      </c>
      <c r="D122" s="11"/>
      <c r="E122" s="11"/>
      <c r="F122" s="29"/>
      <c r="G122" s="22"/>
      <c r="H122" s="170">
        <f t="shared" si="103"/>
        <v>0.8</v>
      </c>
      <c r="I122" s="75">
        <f t="shared" si="104"/>
        <v>0</v>
      </c>
      <c r="J122" s="172"/>
      <c r="L122" s="11"/>
      <c r="M122" s="5" t="s">
        <v>384</v>
      </c>
      <c r="N122" s="11"/>
      <c r="O122" s="11"/>
      <c r="P122" s="29"/>
      <c r="Q122" s="22"/>
      <c r="R122" s="170">
        <f t="shared" si="105"/>
        <v>0.8</v>
      </c>
      <c r="S122" s="75">
        <f t="shared" si="106"/>
        <v>0</v>
      </c>
      <c r="T122" s="172"/>
      <c r="V122" s="41" t="s">
        <v>355</v>
      </c>
      <c r="W122" s="5" t="s">
        <v>451</v>
      </c>
      <c r="X122" s="41"/>
      <c r="Y122" s="41"/>
      <c r="Z122" s="29"/>
      <c r="AA122" s="22"/>
      <c r="AB122" s="170">
        <f t="shared" si="107"/>
        <v>0.8</v>
      </c>
      <c r="AC122" s="75">
        <f t="shared" si="108"/>
        <v>0</v>
      </c>
      <c r="AD122" s="172"/>
    </row>
    <row r="123" spans="2:30" hidden="1" outlineLevel="1">
      <c r="B123" s="11"/>
      <c r="C123" s="5" t="s">
        <v>384</v>
      </c>
      <c r="D123" s="11"/>
      <c r="E123" s="11"/>
      <c r="F123" s="29"/>
      <c r="G123" s="22"/>
      <c r="H123" s="170">
        <f t="shared" si="103"/>
        <v>0.8</v>
      </c>
      <c r="I123" s="75">
        <f t="shared" si="104"/>
        <v>0</v>
      </c>
      <c r="J123" s="172"/>
      <c r="L123" s="11"/>
      <c r="M123" s="5" t="s">
        <v>384</v>
      </c>
      <c r="N123" s="11"/>
      <c r="O123" s="11"/>
      <c r="P123" s="29"/>
      <c r="Q123" s="22"/>
      <c r="R123" s="170">
        <f t="shared" si="105"/>
        <v>0.8</v>
      </c>
      <c r="S123" s="75">
        <f t="shared" si="106"/>
        <v>0</v>
      </c>
      <c r="T123" s="172"/>
      <c r="V123" s="41" t="s">
        <v>355</v>
      </c>
      <c r="W123" s="5" t="s">
        <v>451</v>
      </c>
      <c r="X123" s="41"/>
      <c r="Y123" s="41"/>
      <c r="Z123" s="29"/>
      <c r="AA123" s="22"/>
      <c r="AB123" s="170">
        <f t="shared" si="107"/>
        <v>0.8</v>
      </c>
      <c r="AC123" s="75">
        <f t="shared" si="108"/>
        <v>0</v>
      </c>
      <c r="AD123" s="172"/>
    </row>
    <row r="124" spans="2:30" hidden="1" outlineLevel="1">
      <c r="B124" s="11"/>
      <c r="C124" s="5" t="s">
        <v>384</v>
      </c>
      <c r="D124" s="11"/>
      <c r="E124" s="11"/>
      <c r="F124" s="29"/>
      <c r="G124" s="22"/>
      <c r="H124" s="170">
        <f t="shared" si="103"/>
        <v>0.8</v>
      </c>
      <c r="I124" s="75">
        <f t="shared" si="104"/>
        <v>0</v>
      </c>
      <c r="J124" s="172"/>
      <c r="L124" s="11"/>
      <c r="M124" s="5" t="s">
        <v>384</v>
      </c>
      <c r="N124" s="11"/>
      <c r="O124" s="11"/>
      <c r="P124" s="29"/>
      <c r="Q124" s="22"/>
      <c r="R124" s="170">
        <f t="shared" si="105"/>
        <v>0.8</v>
      </c>
      <c r="S124" s="75">
        <f t="shared" si="106"/>
        <v>0</v>
      </c>
      <c r="T124" s="172"/>
      <c r="V124" s="41" t="s">
        <v>355</v>
      </c>
      <c r="W124" s="5" t="s">
        <v>451</v>
      </c>
      <c r="X124" s="41"/>
      <c r="Y124" s="41"/>
      <c r="Z124" s="29"/>
      <c r="AA124" s="22"/>
      <c r="AB124" s="170">
        <f t="shared" si="107"/>
        <v>0.8</v>
      </c>
      <c r="AC124" s="75">
        <f t="shared" si="108"/>
        <v>0</v>
      </c>
      <c r="AD124" s="172"/>
    </row>
    <row r="125" spans="2:30" hidden="1" outlineLevel="1">
      <c r="B125" s="11"/>
      <c r="C125" s="5" t="s">
        <v>384</v>
      </c>
      <c r="D125" s="11"/>
      <c r="E125" s="11"/>
      <c r="F125" s="29"/>
      <c r="G125" s="22"/>
      <c r="H125" s="170">
        <f t="shared" si="103"/>
        <v>0.8</v>
      </c>
      <c r="I125" s="75">
        <f t="shared" si="104"/>
        <v>0</v>
      </c>
      <c r="J125" s="172"/>
      <c r="L125" s="11"/>
      <c r="M125" s="5" t="s">
        <v>384</v>
      </c>
      <c r="N125" s="11"/>
      <c r="O125" s="11"/>
      <c r="P125" s="29"/>
      <c r="Q125" s="22"/>
      <c r="R125" s="170">
        <f t="shared" si="105"/>
        <v>0.8</v>
      </c>
      <c r="S125" s="75">
        <f t="shared" si="106"/>
        <v>0</v>
      </c>
      <c r="T125" s="172"/>
      <c r="V125" s="41" t="s">
        <v>355</v>
      </c>
      <c r="W125" s="5" t="s">
        <v>451</v>
      </c>
      <c r="X125" s="41"/>
      <c r="Y125" s="41"/>
      <c r="Z125" s="29"/>
      <c r="AA125" s="22"/>
      <c r="AB125" s="170">
        <f t="shared" si="107"/>
        <v>0.8</v>
      </c>
      <c r="AC125" s="75">
        <f t="shared" si="108"/>
        <v>0</v>
      </c>
      <c r="AD125" s="172"/>
    </row>
    <row r="126" spans="2:30" hidden="1" outlineLevel="1">
      <c r="B126" s="11"/>
      <c r="C126" s="5" t="s">
        <v>384</v>
      </c>
      <c r="D126" s="11"/>
      <c r="E126" s="11"/>
      <c r="F126" s="29"/>
      <c r="G126" s="22"/>
      <c r="H126" s="170">
        <f t="shared" si="103"/>
        <v>0.8</v>
      </c>
      <c r="I126" s="75">
        <f t="shared" si="104"/>
        <v>0</v>
      </c>
      <c r="J126" s="172"/>
      <c r="L126" s="11"/>
      <c r="M126" s="5" t="s">
        <v>384</v>
      </c>
      <c r="N126" s="11"/>
      <c r="O126" s="11"/>
      <c r="P126" s="29"/>
      <c r="Q126" s="22"/>
      <c r="R126" s="170">
        <f t="shared" si="105"/>
        <v>0.8</v>
      </c>
      <c r="S126" s="75">
        <f t="shared" si="106"/>
        <v>0</v>
      </c>
      <c r="T126" s="172"/>
      <c r="V126" s="41" t="s">
        <v>355</v>
      </c>
      <c r="W126" s="5" t="s">
        <v>451</v>
      </c>
      <c r="X126" s="41"/>
      <c r="Y126" s="41"/>
      <c r="Z126" s="29"/>
      <c r="AA126" s="22"/>
      <c r="AB126" s="170">
        <f t="shared" si="107"/>
        <v>0.8</v>
      </c>
      <c r="AC126" s="75">
        <f t="shared" si="108"/>
        <v>0</v>
      </c>
      <c r="AD126" s="172"/>
    </row>
    <row r="127" spans="2:30" hidden="1" outlineLevel="1">
      <c r="B127" s="11"/>
      <c r="C127" s="5" t="s">
        <v>384</v>
      </c>
      <c r="D127" s="11"/>
      <c r="E127" s="11"/>
      <c r="F127" s="29"/>
      <c r="G127" s="22"/>
      <c r="H127" s="170">
        <f t="shared" si="103"/>
        <v>0.8</v>
      </c>
      <c r="I127" s="75">
        <f t="shared" si="104"/>
        <v>0</v>
      </c>
      <c r="J127" s="172"/>
      <c r="L127" s="11"/>
      <c r="M127" s="5" t="s">
        <v>384</v>
      </c>
      <c r="N127" s="11"/>
      <c r="O127" s="11"/>
      <c r="P127" s="29"/>
      <c r="Q127" s="22"/>
      <c r="R127" s="170">
        <f t="shared" si="105"/>
        <v>0.8</v>
      </c>
      <c r="S127" s="75">
        <f t="shared" si="106"/>
        <v>0</v>
      </c>
      <c r="T127" s="172"/>
      <c r="V127" s="41" t="s">
        <v>355</v>
      </c>
      <c r="W127" s="5" t="s">
        <v>451</v>
      </c>
      <c r="X127" s="41"/>
      <c r="Y127" s="41"/>
      <c r="Z127" s="29"/>
      <c r="AA127" s="22"/>
      <c r="AB127" s="170">
        <f t="shared" si="107"/>
        <v>0.8</v>
      </c>
      <c r="AC127" s="75">
        <f t="shared" si="108"/>
        <v>0</v>
      </c>
      <c r="AD127" s="172"/>
    </row>
    <row r="128" spans="2:30" hidden="1" outlineLevel="1">
      <c r="B128" s="11"/>
      <c r="C128" s="5" t="s">
        <v>384</v>
      </c>
      <c r="D128" s="11"/>
      <c r="E128" s="11"/>
      <c r="F128" s="29"/>
      <c r="G128" s="22"/>
      <c r="H128" s="170">
        <f t="shared" si="103"/>
        <v>0.8</v>
      </c>
      <c r="I128" s="75">
        <f t="shared" si="104"/>
        <v>0</v>
      </c>
      <c r="J128" s="172"/>
      <c r="L128" s="11"/>
      <c r="M128" s="5" t="s">
        <v>384</v>
      </c>
      <c r="N128" s="11"/>
      <c r="O128" s="11"/>
      <c r="P128" s="29"/>
      <c r="Q128" s="22"/>
      <c r="R128" s="170">
        <f t="shared" si="105"/>
        <v>0.8</v>
      </c>
      <c r="S128" s="75">
        <f t="shared" si="106"/>
        <v>0</v>
      </c>
      <c r="T128" s="172"/>
      <c r="V128" s="41" t="s">
        <v>355</v>
      </c>
      <c r="W128" s="5" t="s">
        <v>451</v>
      </c>
      <c r="X128" s="41"/>
      <c r="Y128" s="41"/>
      <c r="Z128" s="29"/>
      <c r="AA128" s="22"/>
      <c r="AB128" s="170">
        <f t="shared" si="107"/>
        <v>0.8</v>
      </c>
      <c r="AC128" s="75">
        <f t="shared" si="108"/>
        <v>0</v>
      </c>
      <c r="AD128" s="172"/>
    </row>
    <row r="129" spans="2:30" hidden="1" outlineLevel="1">
      <c r="B129" s="11"/>
      <c r="C129" s="5" t="s">
        <v>384</v>
      </c>
      <c r="D129" s="11"/>
      <c r="E129" s="11"/>
      <c r="F129" s="29"/>
      <c r="G129" s="22"/>
      <c r="H129" s="170">
        <f t="shared" si="103"/>
        <v>0.8</v>
      </c>
      <c r="I129" s="75">
        <f t="shared" si="104"/>
        <v>0</v>
      </c>
      <c r="J129" s="172"/>
      <c r="L129" s="11"/>
      <c r="M129" s="5" t="s">
        <v>384</v>
      </c>
      <c r="N129" s="11"/>
      <c r="O129" s="11"/>
      <c r="P129" s="29"/>
      <c r="Q129" s="22"/>
      <c r="R129" s="170">
        <f t="shared" si="105"/>
        <v>0.8</v>
      </c>
      <c r="S129" s="75">
        <f t="shared" si="106"/>
        <v>0</v>
      </c>
      <c r="T129" s="172"/>
      <c r="V129" s="41" t="s">
        <v>355</v>
      </c>
      <c r="W129" s="5" t="s">
        <v>451</v>
      </c>
      <c r="X129" s="41"/>
      <c r="Y129" s="41"/>
      <c r="Z129" s="29"/>
      <c r="AA129" s="22"/>
      <c r="AB129" s="170">
        <f t="shared" si="107"/>
        <v>0.8</v>
      </c>
      <c r="AC129" s="75">
        <f t="shared" si="108"/>
        <v>0</v>
      </c>
      <c r="AD129" s="172"/>
    </row>
    <row r="130" spans="2:30" hidden="1" outlineLevel="1">
      <c r="B130" s="11"/>
      <c r="C130" s="5" t="s">
        <v>384</v>
      </c>
      <c r="D130" s="11"/>
      <c r="E130" s="11"/>
      <c r="F130" s="29"/>
      <c r="G130" s="22"/>
      <c r="H130" s="170">
        <f t="shared" si="103"/>
        <v>0.8</v>
      </c>
      <c r="I130" s="75">
        <f t="shared" si="104"/>
        <v>0</v>
      </c>
      <c r="J130" s="172"/>
      <c r="L130" s="11"/>
      <c r="M130" s="5" t="s">
        <v>384</v>
      </c>
      <c r="N130" s="11"/>
      <c r="O130" s="11"/>
      <c r="P130" s="29"/>
      <c r="Q130" s="22"/>
      <c r="R130" s="170">
        <f t="shared" si="105"/>
        <v>0.8</v>
      </c>
      <c r="S130" s="75">
        <f t="shared" si="106"/>
        <v>0</v>
      </c>
      <c r="T130" s="172"/>
      <c r="V130" s="41" t="s">
        <v>355</v>
      </c>
      <c r="W130" s="5" t="s">
        <v>451</v>
      </c>
      <c r="X130" s="41"/>
      <c r="Y130" s="41"/>
      <c r="Z130" s="29"/>
      <c r="AA130" s="22"/>
      <c r="AB130" s="170">
        <f t="shared" si="107"/>
        <v>0.8</v>
      </c>
      <c r="AC130" s="75">
        <f t="shared" si="108"/>
        <v>0</v>
      </c>
      <c r="AD130" s="172"/>
    </row>
    <row r="131" spans="2:30" s="24" customFormat="1" collapsed="1">
      <c r="B131" s="8" t="str">
        <f>"Total "&amp;B115</f>
        <v>Total Facility (Bank Trade - Funded)</v>
      </c>
      <c r="C131" s="25"/>
      <c r="D131" s="28">
        <f>SUM(D116:D130)</f>
        <v>0</v>
      </c>
      <c r="E131" s="28">
        <f>SUM(E116:E130)</f>
        <v>0</v>
      </c>
      <c r="F131" s="30"/>
      <c r="G131" s="25"/>
      <c r="H131" s="169">
        <v>0.8</v>
      </c>
      <c r="I131" s="28">
        <f>SUM(I116:I130)</f>
        <v>0</v>
      </c>
      <c r="J131" s="171"/>
      <c r="L131" s="8" t="str">
        <f>"Total "&amp;L115</f>
        <v>Total Facility (Bank Trade - Funded)</v>
      </c>
      <c r="M131" s="25"/>
      <c r="N131" s="28">
        <f>SUM(N116:N130)</f>
        <v>0</v>
      </c>
      <c r="O131" s="28">
        <f>SUM(O116:O130)</f>
        <v>0</v>
      </c>
      <c r="P131" s="30"/>
      <c r="Q131" s="25"/>
      <c r="R131" s="169">
        <v>0.8</v>
      </c>
      <c r="S131" s="28">
        <f>SUM(S116:S130)</f>
        <v>0</v>
      </c>
      <c r="T131" s="171"/>
      <c r="V131" s="8" t="str">
        <f>"Total "&amp;V115</f>
        <v>Total Facility (Bank Trade - Funded)</v>
      </c>
      <c r="W131" s="25"/>
      <c r="X131" s="28">
        <f>SUM(X116:X130)</f>
        <v>0</v>
      </c>
      <c r="Y131" s="28">
        <f>SUM(Y116:Y130)</f>
        <v>0</v>
      </c>
      <c r="Z131" s="30"/>
      <c r="AA131" s="25"/>
      <c r="AB131" s="169">
        <v>0.8</v>
      </c>
      <c r="AC131" s="28">
        <f>SUM(AC116:AC130)</f>
        <v>0</v>
      </c>
      <c r="AD131" s="171"/>
    </row>
    <row r="133" spans="2:30" s="20" customFormat="1" ht="41.4">
      <c r="B133" s="27" t="s">
        <v>455</v>
      </c>
      <c r="C133" s="3" t="str">
        <f>C$61</f>
        <v>Source</v>
      </c>
      <c r="D133" s="3" t="str">
        <f t="shared" ref="D133:J133" si="109">D$61</f>
        <v>Limit (A)</v>
      </c>
      <c r="E133" s="3" t="str">
        <f t="shared" si="109"/>
        <v>Outstanding (A1)</v>
      </c>
      <c r="F133" s="3" t="str">
        <f t="shared" si="109"/>
        <v>Monthly Repayment (B)</v>
      </c>
      <c r="G133" s="3" t="str">
        <f t="shared" si="109"/>
        <v>Interest Rate (C)</v>
      </c>
      <c r="H133" s="3" t="str">
        <f t="shared" si="109"/>
        <v>Factor (D)</v>
      </c>
      <c r="I133" s="3" t="str">
        <f t="shared" si="109"/>
        <v>Interest (E) = (A or A1) * (C) * (D)</v>
      </c>
      <c r="J133" s="3" t="str">
        <f t="shared" si="109"/>
        <v>Code Of Conduct</v>
      </c>
      <c r="L133" s="176" t="str">
        <f>B133</f>
        <v>Facility (Bank Trade - Non Funded)</v>
      </c>
      <c r="M133" s="177" t="str">
        <f t="shared" ref="M133" si="110">C133</f>
        <v>Source</v>
      </c>
      <c r="N133" s="177" t="str">
        <f t="shared" ref="N133" si="111">D133</f>
        <v>Limit (A)</v>
      </c>
      <c r="O133" s="177" t="str">
        <f t="shared" ref="O133" si="112">E133</f>
        <v>Outstanding (A1)</v>
      </c>
      <c r="P133" s="177" t="str">
        <f t="shared" ref="P133" si="113">F133</f>
        <v>Monthly Repayment (B)</v>
      </c>
      <c r="Q133" s="177" t="str">
        <f t="shared" ref="Q133" si="114">G133</f>
        <v>Interest Rate (C)</v>
      </c>
      <c r="R133" s="177" t="str">
        <f t="shared" ref="R133" si="115">H133</f>
        <v>Factor (D)</v>
      </c>
      <c r="S133" s="177" t="str">
        <f t="shared" ref="S133" si="116">I133</f>
        <v>Interest (E) = (A or A1) * (C) * (D)</v>
      </c>
      <c r="T133" s="177" t="str">
        <f t="shared" ref="T133" si="117">J133</f>
        <v>Code Of Conduct</v>
      </c>
      <c r="V133" s="176" t="str">
        <f>L133</f>
        <v>Facility (Bank Trade - Non Funded)</v>
      </c>
      <c r="W133" s="177" t="str">
        <f t="shared" ref="W133" si="118">M133</f>
        <v>Source</v>
      </c>
      <c r="X133" s="177" t="str">
        <f t="shared" ref="X133" si="119">N133</f>
        <v>Limit (A)</v>
      </c>
      <c r="Y133" s="177" t="str">
        <f t="shared" ref="Y133" si="120">O133</f>
        <v>Outstanding (A1)</v>
      </c>
      <c r="Z133" s="177" t="str">
        <f t="shared" ref="Z133" si="121">P133</f>
        <v>Monthly Repayment (B)</v>
      </c>
      <c r="AA133" s="177" t="str">
        <f t="shared" ref="AA133" si="122">Q133</f>
        <v>Interest Rate (C)</v>
      </c>
      <c r="AB133" s="177" t="str">
        <f t="shared" ref="AB133" si="123">R133</f>
        <v>Factor (D)</v>
      </c>
      <c r="AC133" s="177" t="str">
        <f t="shared" ref="AC133" si="124">S133</f>
        <v>Interest (E) = (A or A1) * (C) * (D)</v>
      </c>
      <c r="AD133" s="177" t="str">
        <f t="shared" ref="AD133" si="125">T133</f>
        <v>Code Of Conduct</v>
      </c>
    </row>
    <row r="134" spans="2:30">
      <c r="B134" s="11"/>
      <c r="C134" s="5" t="s">
        <v>384</v>
      </c>
      <c r="D134" s="11"/>
      <c r="E134" s="11"/>
      <c r="F134" s="29"/>
      <c r="G134" s="22"/>
      <c r="H134" s="170">
        <f>H$149</f>
        <v>1</v>
      </c>
      <c r="I134" s="75">
        <f>D134*G134*H134</f>
        <v>0</v>
      </c>
      <c r="J134" s="172"/>
      <c r="L134" s="11"/>
      <c r="M134" s="5" t="s">
        <v>382</v>
      </c>
      <c r="N134" s="11"/>
      <c r="O134" s="11"/>
      <c r="P134" s="29"/>
      <c r="Q134" s="22"/>
      <c r="R134" s="170">
        <f>R$149</f>
        <v>1</v>
      </c>
      <c r="S134" s="75">
        <f>N134*Q134*R134</f>
        <v>0</v>
      </c>
      <c r="T134" s="172"/>
      <c r="V134" s="41" t="s">
        <v>355</v>
      </c>
      <c r="W134" s="5" t="s">
        <v>451</v>
      </c>
      <c r="X134" s="41"/>
      <c r="Y134" s="41"/>
      <c r="Z134" s="29"/>
      <c r="AA134" s="22"/>
      <c r="AB134" s="170">
        <f>AB$149</f>
        <v>1</v>
      </c>
      <c r="AC134" s="75">
        <f>X134*AA134*AB134</f>
        <v>0</v>
      </c>
      <c r="AD134" s="172"/>
    </row>
    <row r="135" spans="2:30">
      <c r="B135" s="11"/>
      <c r="C135" s="5" t="s">
        <v>384</v>
      </c>
      <c r="D135" s="11"/>
      <c r="E135" s="11"/>
      <c r="F135" s="29"/>
      <c r="G135" s="22"/>
      <c r="H135" s="170">
        <f t="shared" ref="H135:H148" si="126">H$149</f>
        <v>1</v>
      </c>
      <c r="I135" s="75">
        <f t="shared" ref="I135:I148" si="127">D135*G135*H135</f>
        <v>0</v>
      </c>
      <c r="J135" s="172"/>
      <c r="L135" s="11"/>
      <c r="M135" s="5" t="s">
        <v>384</v>
      </c>
      <c r="N135" s="11"/>
      <c r="O135" s="11"/>
      <c r="P135" s="29"/>
      <c r="Q135" s="22"/>
      <c r="R135" s="170">
        <f t="shared" ref="R135:R148" si="128">R$149</f>
        <v>1</v>
      </c>
      <c r="S135" s="75">
        <f t="shared" ref="S135:S148" si="129">N135*Q135*R135</f>
        <v>0</v>
      </c>
      <c r="T135" s="172"/>
      <c r="V135" s="41" t="s">
        <v>355</v>
      </c>
      <c r="W135" s="5" t="s">
        <v>451</v>
      </c>
      <c r="X135" s="41"/>
      <c r="Y135" s="41"/>
      <c r="Z135" s="29"/>
      <c r="AA135" s="22"/>
      <c r="AB135" s="170">
        <f t="shared" ref="AB135:AB148" si="130">AB$149</f>
        <v>1</v>
      </c>
      <c r="AC135" s="75">
        <f t="shared" ref="AC135:AC148" si="131">X135*AA135*AB135</f>
        <v>0</v>
      </c>
      <c r="AD135" s="172"/>
    </row>
    <row r="136" spans="2:30">
      <c r="B136" s="11"/>
      <c r="C136" s="5" t="s">
        <v>384</v>
      </c>
      <c r="D136" s="11"/>
      <c r="E136" s="11"/>
      <c r="F136" s="29"/>
      <c r="G136" s="22"/>
      <c r="H136" s="170">
        <f t="shared" si="126"/>
        <v>1</v>
      </c>
      <c r="I136" s="75">
        <f t="shared" si="127"/>
        <v>0</v>
      </c>
      <c r="J136" s="172"/>
      <c r="L136" s="11"/>
      <c r="M136" s="5" t="s">
        <v>384</v>
      </c>
      <c r="N136" s="11"/>
      <c r="O136" s="11"/>
      <c r="P136" s="29"/>
      <c r="Q136" s="22"/>
      <c r="R136" s="170">
        <f t="shared" si="128"/>
        <v>1</v>
      </c>
      <c r="S136" s="75">
        <f t="shared" si="129"/>
        <v>0</v>
      </c>
      <c r="T136" s="172"/>
      <c r="V136" s="41" t="s">
        <v>355</v>
      </c>
      <c r="W136" s="5" t="s">
        <v>451</v>
      </c>
      <c r="X136" s="41"/>
      <c r="Y136" s="41"/>
      <c r="Z136" s="29"/>
      <c r="AA136" s="22"/>
      <c r="AB136" s="170">
        <f t="shared" si="130"/>
        <v>1</v>
      </c>
      <c r="AC136" s="75">
        <f t="shared" si="131"/>
        <v>0</v>
      </c>
      <c r="AD136" s="172"/>
    </row>
    <row r="137" spans="2:30">
      <c r="B137" s="11"/>
      <c r="C137" s="5" t="s">
        <v>384</v>
      </c>
      <c r="D137" s="11"/>
      <c r="E137" s="11"/>
      <c r="F137" s="29"/>
      <c r="G137" s="22"/>
      <c r="H137" s="170">
        <f t="shared" si="126"/>
        <v>1</v>
      </c>
      <c r="I137" s="75">
        <f t="shared" si="127"/>
        <v>0</v>
      </c>
      <c r="J137" s="172"/>
      <c r="L137" s="11"/>
      <c r="M137" s="5" t="s">
        <v>384</v>
      </c>
      <c r="N137" s="11"/>
      <c r="O137" s="11"/>
      <c r="P137" s="29"/>
      <c r="Q137" s="22"/>
      <c r="R137" s="170">
        <f t="shared" si="128"/>
        <v>1</v>
      </c>
      <c r="S137" s="75">
        <f t="shared" si="129"/>
        <v>0</v>
      </c>
      <c r="T137" s="172"/>
      <c r="V137" s="41" t="s">
        <v>355</v>
      </c>
      <c r="W137" s="5" t="s">
        <v>451</v>
      </c>
      <c r="X137" s="41"/>
      <c r="Y137" s="41"/>
      <c r="Z137" s="29"/>
      <c r="AA137" s="22"/>
      <c r="AB137" s="170">
        <f t="shared" si="130"/>
        <v>1</v>
      </c>
      <c r="AC137" s="75">
        <f t="shared" si="131"/>
        <v>0</v>
      </c>
      <c r="AD137" s="172"/>
    </row>
    <row r="138" spans="2:30">
      <c r="B138" s="11"/>
      <c r="C138" s="5" t="s">
        <v>384</v>
      </c>
      <c r="D138" s="11"/>
      <c r="E138" s="11"/>
      <c r="F138" s="29"/>
      <c r="G138" s="22"/>
      <c r="H138" s="170">
        <f t="shared" si="126"/>
        <v>1</v>
      </c>
      <c r="I138" s="75">
        <f t="shared" si="127"/>
        <v>0</v>
      </c>
      <c r="J138" s="172"/>
      <c r="L138" s="11"/>
      <c r="M138" s="5" t="s">
        <v>384</v>
      </c>
      <c r="N138" s="11"/>
      <c r="O138" s="11"/>
      <c r="P138" s="29"/>
      <c r="Q138" s="22"/>
      <c r="R138" s="170">
        <f t="shared" si="128"/>
        <v>1</v>
      </c>
      <c r="S138" s="75">
        <f t="shared" si="129"/>
        <v>0</v>
      </c>
      <c r="T138" s="172"/>
      <c r="V138" s="41" t="s">
        <v>355</v>
      </c>
      <c r="W138" s="5" t="s">
        <v>451</v>
      </c>
      <c r="X138" s="41"/>
      <c r="Y138" s="41"/>
      <c r="Z138" s="29"/>
      <c r="AA138" s="22"/>
      <c r="AB138" s="170">
        <f t="shared" si="130"/>
        <v>1</v>
      </c>
      <c r="AC138" s="75">
        <f t="shared" si="131"/>
        <v>0</v>
      </c>
      <c r="AD138" s="172"/>
    </row>
    <row r="139" spans="2:30">
      <c r="B139" s="11"/>
      <c r="C139" s="5" t="s">
        <v>384</v>
      </c>
      <c r="D139" s="11"/>
      <c r="E139" s="11"/>
      <c r="F139" s="29"/>
      <c r="G139" s="22"/>
      <c r="H139" s="170">
        <f t="shared" si="126"/>
        <v>1</v>
      </c>
      <c r="I139" s="75">
        <f t="shared" si="127"/>
        <v>0</v>
      </c>
      <c r="J139" s="172"/>
      <c r="L139" s="11"/>
      <c r="M139" s="5" t="s">
        <v>384</v>
      </c>
      <c r="N139" s="11"/>
      <c r="O139" s="11"/>
      <c r="P139" s="29"/>
      <c r="Q139" s="22"/>
      <c r="R139" s="170">
        <f t="shared" si="128"/>
        <v>1</v>
      </c>
      <c r="S139" s="75">
        <f t="shared" si="129"/>
        <v>0</v>
      </c>
      <c r="T139" s="172"/>
      <c r="V139" s="41" t="s">
        <v>355</v>
      </c>
      <c r="W139" s="5" t="s">
        <v>451</v>
      </c>
      <c r="X139" s="41"/>
      <c r="Y139" s="41"/>
      <c r="Z139" s="29"/>
      <c r="AA139" s="22"/>
      <c r="AB139" s="170">
        <f t="shared" si="130"/>
        <v>1</v>
      </c>
      <c r="AC139" s="75">
        <f t="shared" si="131"/>
        <v>0</v>
      </c>
      <c r="AD139" s="172"/>
    </row>
    <row r="140" spans="2:30" hidden="1" outlineLevel="1">
      <c r="B140" s="11"/>
      <c r="C140" s="5" t="s">
        <v>384</v>
      </c>
      <c r="D140" s="11"/>
      <c r="E140" s="11"/>
      <c r="F140" s="29"/>
      <c r="G140" s="22"/>
      <c r="H140" s="170">
        <f t="shared" si="126"/>
        <v>1</v>
      </c>
      <c r="I140" s="75">
        <f t="shared" si="127"/>
        <v>0</v>
      </c>
      <c r="J140" s="172"/>
      <c r="L140" s="11"/>
      <c r="M140" s="5" t="s">
        <v>384</v>
      </c>
      <c r="N140" s="11"/>
      <c r="O140" s="11"/>
      <c r="P140" s="29"/>
      <c r="Q140" s="22"/>
      <c r="R140" s="170">
        <f t="shared" si="128"/>
        <v>1</v>
      </c>
      <c r="S140" s="75">
        <f t="shared" si="129"/>
        <v>0</v>
      </c>
      <c r="T140" s="172"/>
      <c r="V140" s="41" t="s">
        <v>355</v>
      </c>
      <c r="W140" s="5" t="s">
        <v>451</v>
      </c>
      <c r="X140" s="41"/>
      <c r="Y140" s="41"/>
      <c r="Z140" s="29"/>
      <c r="AA140" s="22"/>
      <c r="AB140" s="170">
        <f t="shared" si="130"/>
        <v>1</v>
      </c>
      <c r="AC140" s="75">
        <f t="shared" si="131"/>
        <v>0</v>
      </c>
      <c r="AD140" s="172"/>
    </row>
    <row r="141" spans="2:30" hidden="1" outlineLevel="1">
      <c r="B141" s="11"/>
      <c r="C141" s="5" t="s">
        <v>384</v>
      </c>
      <c r="D141" s="11"/>
      <c r="E141" s="11"/>
      <c r="F141" s="29"/>
      <c r="G141" s="22"/>
      <c r="H141" s="170">
        <f t="shared" si="126"/>
        <v>1</v>
      </c>
      <c r="I141" s="75">
        <f t="shared" si="127"/>
        <v>0</v>
      </c>
      <c r="J141" s="172"/>
      <c r="L141" s="11"/>
      <c r="M141" s="5" t="s">
        <v>384</v>
      </c>
      <c r="N141" s="11"/>
      <c r="O141" s="11"/>
      <c r="P141" s="29"/>
      <c r="Q141" s="22"/>
      <c r="R141" s="170">
        <f t="shared" si="128"/>
        <v>1</v>
      </c>
      <c r="S141" s="75">
        <f t="shared" si="129"/>
        <v>0</v>
      </c>
      <c r="T141" s="172"/>
      <c r="V141" s="41" t="s">
        <v>355</v>
      </c>
      <c r="W141" s="5" t="s">
        <v>451</v>
      </c>
      <c r="X141" s="41"/>
      <c r="Y141" s="41"/>
      <c r="Z141" s="29"/>
      <c r="AA141" s="22"/>
      <c r="AB141" s="170">
        <f t="shared" si="130"/>
        <v>1</v>
      </c>
      <c r="AC141" s="75">
        <f t="shared" si="131"/>
        <v>0</v>
      </c>
      <c r="AD141" s="172"/>
    </row>
    <row r="142" spans="2:30" hidden="1" outlineLevel="1">
      <c r="B142" s="11"/>
      <c r="C142" s="5" t="s">
        <v>384</v>
      </c>
      <c r="D142" s="11"/>
      <c r="E142" s="11"/>
      <c r="F142" s="29"/>
      <c r="G142" s="22"/>
      <c r="H142" s="170">
        <f t="shared" si="126"/>
        <v>1</v>
      </c>
      <c r="I142" s="75">
        <f t="shared" si="127"/>
        <v>0</v>
      </c>
      <c r="J142" s="172"/>
      <c r="L142" s="11"/>
      <c r="M142" s="5" t="s">
        <v>384</v>
      </c>
      <c r="N142" s="11"/>
      <c r="O142" s="11"/>
      <c r="P142" s="29"/>
      <c r="Q142" s="22"/>
      <c r="R142" s="170">
        <f t="shared" si="128"/>
        <v>1</v>
      </c>
      <c r="S142" s="75">
        <f t="shared" si="129"/>
        <v>0</v>
      </c>
      <c r="T142" s="172"/>
      <c r="V142" s="41" t="s">
        <v>355</v>
      </c>
      <c r="W142" s="5" t="s">
        <v>451</v>
      </c>
      <c r="X142" s="41"/>
      <c r="Y142" s="41"/>
      <c r="Z142" s="29"/>
      <c r="AA142" s="22"/>
      <c r="AB142" s="170">
        <f t="shared" si="130"/>
        <v>1</v>
      </c>
      <c r="AC142" s="75">
        <f t="shared" si="131"/>
        <v>0</v>
      </c>
      <c r="AD142" s="172"/>
    </row>
    <row r="143" spans="2:30" hidden="1" outlineLevel="1">
      <c r="B143" s="11"/>
      <c r="C143" s="5" t="s">
        <v>384</v>
      </c>
      <c r="D143" s="11"/>
      <c r="E143" s="11"/>
      <c r="F143" s="29"/>
      <c r="G143" s="22"/>
      <c r="H143" s="170">
        <f t="shared" si="126"/>
        <v>1</v>
      </c>
      <c r="I143" s="75">
        <f t="shared" si="127"/>
        <v>0</v>
      </c>
      <c r="J143" s="172"/>
      <c r="L143" s="11"/>
      <c r="M143" s="5" t="s">
        <v>384</v>
      </c>
      <c r="N143" s="11"/>
      <c r="O143" s="11"/>
      <c r="P143" s="29"/>
      <c r="Q143" s="22"/>
      <c r="R143" s="170">
        <f t="shared" si="128"/>
        <v>1</v>
      </c>
      <c r="S143" s="75">
        <f t="shared" si="129"/>
        <v>0</v>
      </c>
      <c r="T143" s="172"/>
      <c r="V143" s="41" t="s">
        <v>355</v>
      </c>
      <c r="W143" s="5" t="s">
        <v>451</v>
      </c>
      <c r="X143" s="41"/>
      <c r="Y143" s="41"/>
      <c r="Z143" s="29"/>
      <c r="AA143" s="22"/>
      <c r="AB143" s="170">
        <f t="shared" si="130"/>
        <v>1</v>
      </c>
      <c r="AC143" s="75">
        <f t="shared" si="131"/>
        <v>0</v>
      </c>
      <c r="AD143" s="172"/>
    </row>
    <row r="144" spans="2:30" hidden="1" outlineLevel="1">
      <c r="B144" s="11"/>
      <c r="C144" s="5" t="s">
        <v>384</v>
      </c>
      <c r="D144" s="11"/>
      <c r="E144" s="11"/>
      <c r="F144" s="29"/>
      <c r="G144" s="22"/>
      <c r="H144" s="170">
        <f t="shared" si="126"/>
        <v>1</v>
      </c>
      <c r="I144" s="75">
        <f t="shared" si="127"/>
        <v>0</v>
      </c>
      <c r="J144" s="172"/>
      <c r="L144" s="11"/>
      <c r="M144" s="5" t="s">
        <v>384</v>
      </c>
      <c r="N144" s="11"/>
      <c r="O144" s="11"/>
      <c r="P144" s="29"/>
      <c r="Q144" s="22"/>
      <c r="R144" s="170">
        <f t="shared" si="128"/>
        <v>1</v>
      </c>
      <c r="S144" s="75">
        <f t="shared" si="129"/>
        <v>0</v>
      </c>
      <c r="T144" s="172"/>
      <c r="V144" s="41" t="s">
        <v>355</v>
      </c>
      <c r="W144" s="5" t="s">
        <v>451</v>
      </c>
      <c r="X144" s="41"/>
      <c r="Y144" s="41"/>
      <c r="Z144" s="29"/>
      <c r="AA144" s="22"/>
      <c r="AB144" s="170">
        <f t="shared" si="130"/>
        <v>1</v>
      </c>
      <c r="AC144" s="75">
        <f t="shared" si="131"/>
        <v>0</v>
      </c>
      <c r="AD144" s="172"/>
    </row>
    <row r="145" spans="2:30" hidden="1" outlineLevel="1">
      <c r="B145" s="11"/>
      <c r="C145" s="5" t="s">
        <v>384</v>
      </c>
      <c r="D145" s="11"/>
      <c r="E145" s="11"/>
      <c r="F145" s="29"/>
      <c r="G145" s="22"/>
      <c r="H145" s="170">
        <f t="shared" si="126"/>
        <v>1</v>
      </c>
      <c r="I145" s="75">
        <f t="shared" si="127"/>
        <v>0</v>
      </c>
      <c r="J145" s="172"/>
      <c r="L145" s="11"/>
      <c r="M145" s="5" t="s">
        <v>384</v>
      </c>
      <c r="N145" s="11"/>
      <c r="O145" s="11"/>
      <c r="P145" s="29"/>
      <c r="Q145" s="22"/>
      <c r="R145" s="170">
        <f t="shared" si="128"/>
        <v>1</v>
      </c>
      <c r="S145" s="75">
        <f t="shared" si="129"/>
        <v>0</v>
      </c>
      <c r="T145" s="172"/>
      <c r="V145" s="41" t="s">
        <v>355</v>
      </c>
      <c r="W145" s="5" t="s">
        <v>451</v>
      </c>
      <c r="X145" s="41"/>
      <c r="Y145" s="41"/>
      <c r="Z145" s="29"/>
      <c r="AA145" s="22"/>
      <c r="AB145" s="170">
        <f t="shared" si="130"/>
        <v>1</v>
      </c>
      <c r="AC145" s="75">
        <f t="shared" si="131"/>
        <v>0</v>
      </c>
      <c r="AD145" s="172"/>
    </row>
    <row r="146" spans="2:30" hidden="1" outlineLevel="1">
      <c r="B146" s="11"/>
      <c r="C146" s="5" t="s">
        <v>384</v>
      </c>
      <c r="D146" s="11"/>
      <c r="E146" s="11"/>
      <c r="F146" s="29"/>
      <c r="G146" s="22"/>
      <c r="H146" s="170">
        <f t="shared" si="126"/>
        <v>1</v>
      </c>
      <c r="I146" s="75">
        <f t="shared" si="127"/>
        <v>0</v>
      </c>
      <c r="J146" s="172"/>
      <c r="L146" s="11"/>
      <c r="M146" s="5" t="s">
        <v>384</v>
      </c>
      <c r="N146" s="11"/>
      <c r="O146" s="11"/>
      <c r="P146" s="29"/>
      <c r="Q146" s="22"/>
      <c r="R146" s="170">
        <f t="shared" si="128"/>
        <v>1</v>
      </c>
      <c r="S146" s="75">
        <f t="shared" si="129"/>
        <v>0</v>
      </c>
      <c r="T146" s="172"/>
      <c r="V146" s="41" t="s">
        <v>355</v>
      </c>
      <c r="W146" s="5" t="s">
        <v>451</v>
      </c>
      <c r="X146" s="41"/>
      <c r="Y146" s="41"/>
      <c r="Z146" s="29"/>
      <c r="AA146" s="22"/>
      <c r="AB146" s="170">
        <f t="shared" si="130"/>
        <v>1</v>
      </c>
      <c r="AC146" s="75">
        <f t="shared" si="131"/>
        <v>0</v>
      </c>
      <c r="AD146" s="172"/>
    </row>
    <row r="147" spans="2:30" hidden="1" outlineLevel="1">
      <c r="B147" s="11"/>
      <c r="C147" s="5" t="s">
        <v>384</v>
      </c>
      <c r="D147" s="11"/>
      <c r="E147" s="11"/>
      <c r="F147" s="29"/>
      <c r="G147" s="22"/>
      <c r="H147" s="170">
        <f t="shared" si="126"/>
        <v>1</v>
      </c>
      <c r="I147" s="75">
        <f t="shared" si="127"/>
        <v>0</v>
      </c>
      <c r="J147" s="172"/>
      <c r="L147" s="11"/>
      <c r="M147" s="5" t="s">
        <v>384</v>
      </c>
      <c r="N147" s="11"/>
      <c r="O147" s="11"/>
      <c r="P147" s="29"/>
      <c r="Q147" s="22"/>
      <c r="R147" s="170">
        <f t="shared" si="128"/>
        <v>1</v>
      </c>
      <c r="S147" s="75">
        <f t="shared" si="129"/>
        <v>0</v>
      </c>
      <c r="T147" s="172"/>
      <c r="V147" s="41" t="s">
        <v>355</v>
      </c>
      <c r="W147" s="5" t="s">
        <v>451</v>
      </c>
      <c r="X147" s="41"/>
      <c r="Y147" s="41"/>
      <c r="Z147" s="29"/>
      <c r="AA147" s="22"/>
      <c r="AB147" s="170">
        <f t="shared" si="130"/>
        <v>1</v>
      </c>
      <c r="AC147" s="75">
        <f t="shared" si="131"/>
        <v>0</v>
      </c>
      <c r="AD147" s="172"/>
    </row>
    <row r="148" spans="2:30" hidden="1" outlineLevel="1">
      <c r="B148" s="11"/>
      <c r="C148" s="5" t="s">
        <v>384</v>
      </c>
      <c r="D148" s="11"/>
      <c r="E148" s="11"/>
      <c r="F148" s="29"/>
      <c r="G148" s="22"/>
      <c r="H148" s="170">
        <f t="shared" si="126"/>
        <v>1</v>
      </c>
      <c r="I148" s="75">
        <f t="shared" si="127"/>
        <v>0</v>
      </c>
      <c r="J148" s="172"/>
      <c r="L148" s="11"/>
      <c r="M148" s="5" t="s">
        <v>384</v>
      </c>
      <c r="N148" s="11"/>
      <c r="O148" s="11"/>
      <c r="P148" s="29"/>
      <c r="Q148" s="22"/>
      <c r="R148" s="170">
        <f t="shared" si="128"/>
        <v>1</v>
      </c>
      <c r="S148" s="75">
        <f t="shared" si="129"/>
        <v>0</v>
      </c>
      <c r="T148" s="172"/>
      <c r="V148" s="41" t="s">
        <v>355</v>
      </c>
      <c r="W148" s="5" t="s">
        <v>451</v>
      </c>
      <c r="X148" s="41"/>
      <c r="Y148" s="41"/>
      <c r="Z148" s="29"/>
      <c r="AA148" s="22"/>
      <c r="AB148" s="170">
        <f t="shared" si="130"/>
        <v>1</v>
      </c>
      <c r="AC148" s="75">
        <f t="shared" si="131"/>
        <v>0</v>
      </c>
      <c r="AD148" s="172"/>
    </row>
    <row r="149" spans="2:30" s="24" customFormat="1" collapsed="1">
      <c r="B149" s="8" t="str">
        <f>"Total "&amp;B133</f>
        <v>Total Facility (Bank Trade - Non Funded)</v>
      </c>
      <c r="C149" s="25"/>
      <c r="D149" s="28">
        <f>SUM(D134:D148)</f>
        <v>0</v>
      </c>
      <c r="E149" s="28">
        <f>SUM(E134:E148)</f>
        <v>0</v>
      </c>
      <c r="F149" s="30"/>
      <c r="G149" s="25"/>
      <c r="H149" s="169">
        <v>1</v>
      </c>
      <c r="I149" s="28">
        <f>SUM(I134:I148)</f>
        <v>0</v>
      </c>
      <c r="J149" s="171"/>
      <c r="L149" s="8" t="str">
        <f>"Total "&amp;L133</f>
        <v>Total Facility (Bank Trade - Non Funded)</v>
      </c>
      <c r="M149" s="25"/>
      <c r="N149" s="28">
        <f>SUM(N134:N148)</f>
        <v>0</v>
      </c>
      <c r="O149" s="28">
        <f>SUM(O134:O148)</f>
        <v>0</v>
      </c>
      <c r="P149" s="30"/>
      <c r="Q149" s="25"/>
      <c r="R149" s="169">
        <v>1</v>
      </c>
      <c r="S149" s="28">
        <f>SUM(S134:S148)</f>
        <v>0</v>
      </c>
      <c r="T149" s="171"/>
      <c r="V149" s="8" t="str">
        <f>"Total "&amp;V133</f>
        <v>Total Facility (Bank Trade - Non Funded)</v>
      </c>
      <c r="W149" s="25"/>
      <c r="X149" s="28">
        <f>SUM(X134:X148)</f>
        <v>0</v>
      </c>
      <c r="Y149" s="28">
        <f>SUM(Y134:Y148)</f>
        <v>0</v>
      </c>
      <c r="Z149" s="30"/>
      <c r="AA149" s="25"/>
      <c r="AB149" s="169">
        <v>1</v>
      </c>
      <c r="AC149" s="28">
        <f>SUM(AC134:AC148)</f>
        <v>0</v>
      </c>
      <c r="AD149" s="171"/>
    </row>
    <row r="151" spans="2:30" s="20" customFormat="1" ht="41.4">
      <c r="B151" s="27" t="s">
        <v>456</v>
      </c>
      <c r="C151" s="3" t="str">
        <f>C$61</f>
        <v>Source</v>
      </c>
      <c r="D151" s="3" t="str">
        <f t="shared" ref="D151:J151" si="132">D$61</f>
        <v>Limit (A)</v>
      </c>
      <c r="E151" s="3" t="str">
        <f t="shared" si="132"/>
        <v>Outstanding (A1)</v>
      </c>
      <c r="F151" s="3" t="str">
        <f t="shared" si="132"/>
        <v>Monthly Repayment (B)</v>
      </c>
      <c r="G151" s="3" t="str">
        <f t="shared" si="132"/>
        <v>Interest Rate (C)</v>
      </c>
      <c r="H151" s="3" t="str">
        <f t="shared" si="132"/>
        <v>Factor (D)</v>
      </c>
      <c r="I151" s="3" t="str">
        <f t="shared" si="132"/>
        <v>Interest (E) = (A or A1) * (C) * (D)</v>
      </c>
      <c r="J151" s="3" t="str">
        <f t="shared" si="132"/>
        <v>Code Of Conduct</v>
      </c>
      <c r="L151" s="176" t="str">
        <f>B151</f>
        <v>Facility (Revolving Credit)</v>
      </c>
      <c r="M151" s="177" t="str">
        <f t="shared" ref="M151" si="133">C151</f>
        <v>Source</v>
      </c>
      <c r="N151" s="177" t="str">
        <f t="shared" ref="N151" si="134">D151</f>
        <v>Limit (A)</v>
      </c>
      <c r="O151" s="177" t="str">
        <f t="shared" ref="O151" si="135">E151</f>
        <v>Outstanding (A1)</v>
      </c>
      <c r="P151" s="177" t="str">
        <f t="shared" ref="P151" si="136">F151</f>
        <v>Monthly Repayment (B)</v>
      </c>
      <c r="Q151" s="177" t="str">
        <f t="shared" ref="Q151" si="137">G151</f>
        <v>Interest Rate (C)</v>
      </c>
      <c r="R151" s="177" t="str">
        <f t="shared" ref="R151" si="138">H151</f>
        <v>Factor (D)</v>
      </c>
      <c r="S151" s="177" t="str">
        <f t="shared" ref="S151" si="139">I151</f>
        <v>Interest (E) = (A or A1) * (C) * (D)</v>
      </c>
      <c r="T151" s="177" t="str">
        <f t="shared" ref="T151" si="140">J151</f>
        <v>Code Of Conduct</v>
      </c>
      <c r="V151" s="176" t="str">
        <f>L151</f>
        <v>Facility (Revolving Credit)</v>
      </c>
      <c r="W151" s="177" t="str">
        <f t="shared" ref="W151" si="141">M151</f>
        <v>Source</v>
      </c>
      <c r="X151" s="177" t="str">
        <f t="shared" ref="X151" si="142">N151</f>
        <v>Limit (A)</v>
      </c>
      <c r="Y151" s="177" t="str">
        <f t="shared" ref="Y151" si="143">O151</f>
        <v>Outstanding (A1)</v>
      </c>
      <c r="Z151" s="177" t="str">
        <f t="shared" ref="Z151" si="144">P151</f>
        <v>Monthly Repayment (B)</v>
      </c>
      <c r="AA151" s="177" t="str">
        <f t="shared" ref="AA151" si="145">Q151</f>
        <v>Interest Rate (C)</v>
      </c>
      <c r="AB151" s="177" t="str">
        <f t="shared" ref="AB151" si="146">R151</f>
        <v>Factor (D)</v>
      </c>
      <c r="AC151" s="177" t="str">
        <f t="shared" ref="AC151" si="147">S151</f>
        <v>Interest (E) = (A or A1) * (C) * (D)</v>
      </c>
      <c r="AD151" s="177" t="str">
        <f t="shared" ref="AD151" si="148">T151</f>
        <v>Code Of Conduct</v>
      </c>
    </row>
    <row r="152" spans="2:30">
      <c r="B152" s="11"/>
      <c r="C152" s="5" t="s">
        <v>384</v>
      </c>
      <c r="D152" s="11"/>
      <c r="E152" s="11"/>
      <c r="F152" s="29"/>
      <c r="G152" s="22"/>
      <c r="H152" s="170">
        <f>H$167</f>
        <v>1</v>
      </c>
      <c r="I152" s="75">
        <f>D152*G152*H152</f>
        <v>0</v>
      </c>
      <c r="J152" s="172"/>
      <c r="L152" s="11"/>
      <c r="M152" s="5" t="s">
        <v>382</v>
      </c>
      <c r="N152" s="11"/>
      <c r="O152" s="11"/>
      <c r="P152" s="29"/>
      <c r="Q152" s="22"/>
      <c r="R152" s="170">
        <f>R$167</f>
        <v>1</v>
      </c>
      <c r="S152" s="75">
        <f>N152*Q152*R152</f>
        <v>0</v>
      </c>
      <c r="T152" s="172"/>
      <c r="V152" s="41" t="s">
        <v>355</v>
      </c>
      <c r="W152" s="5" t="s">
        <v>451</v>
      </c>
      <c r="X152" s="41"/>
      <c r="Y152" s="41"/>
      <c r="Z152" s="29"/>
      <c r="AA152" s="22"/>
      <c r="AB152" s="170">
        <f>AB$167</f>
        <v>1</v>
      </c>
      <c r="AC152" s="75">
        <f>X152*AA152*AB152</f>
        <v>0</v>
      </c>
      <c r="AD152" s="172"/>
    </row>
    <row r="153" spans="2:30">
      <c r="B153" s="11"/>
      <c r="C153" s="5" t="s">
        <v>384</v>
      </c>
      <c r="D153" s="11"/>
      <c r="E153" s="11"/>
      <c r="F153" s="29"/>
      <c r="G153" s="22"/>
      <c r="H153" s="170">
        <f t="shared" ref="H153:H166" si="149">H$167</f>
        <v>1</v>
      </c>
      <c r="I153" s="75">
        <f t="shared" ref="I153:I166" si="150">D153*G153*H153</f>
        <v>0</v>
      </c>
      <c r="J153" s="172"/>
      <c r="L153" s="11"/>
      <c r="M153" s="5" t="s">
        <v>384</v>
      </c>
      <c r="N153" s="11"/>
      <c r="O153" s="11"/>
      <c r="P153" s="29"/>
      <c r="Q153" s="22"/>
      <c r="R153" s="170">
        <f t="shared" ref="R153:R166" si="151">R$167</f>
        <v>1</v>
      </c>
      <c r="S153" s="75">
        <f t="shared" ref="S153:S166" si="152">N153*Q153*R153</f>
        <v>0</v>
      </c>
      <c r="T153" s="172"/>
      <c r="V153" s="41" t="s">
        <v>355</v>
      </c>
      <c r="W153" s="5" t="s">
        <v>451</v>
      </c>
      <c r="X153" s="41"/>
      <c r="Y153" s="41"/>
      <c r="Z153" s="29"/>
      <c r="AA153" s="22"/>
      <c r="AB153" s="170">
        <f t="shared" ref="AB153:AB166" si="153">AB$167</f>
        <v>1</v>
      </c>
      <c r="AC153" s="75">
        <f t="shared" ref="AC153:AC166" si="154">X153*AA153*AB153</f>
        <v>0</v>
      </c>
      <c r="AD153" s="172"/>
    </row>
    <row r="154" spans="2:30">
      <c r="B154" s="11"/>
      <c r="C154" s="5" t="s">
        <v>384</v>
      </c>
      <c r="D154" s="11"/>
      <c r="E154" s="11"/>
      <c r="F154" s="29"/>
      <c r="G154" s="22"/>
      <c r="H154" s="170">
        <f t="shared" si="149"/>
        <v>1</v>
      </c>
      <c r="I154" s="75">
        <f t="shared" si="150"/>
        <v>0</v>
      </c>
      <c r="J154" s="172"/>
      <c r="L154" s="11"/>
      <c r="M154" s="5" t="s">
        <v>384</v>
      </c>
      <c r="N154" s="11"/>
      <c r="O154" s="11"/>
      <c r="P154" s="29"/>
      <c r="Q154" s="22"/>
      <c r="R154" s="170">
        <f t="shared" si="151"/>
        <v>1</v>
      </c>
      <c r="S154" s="75">
        <f t="shared" si="152"/>
        <v>0</v>
      </c>
      <c r="T154" s="172"/>
      <c r="V154" s="41" t="s">
        <v>355</v>
      </c>
      <c r="W154" s="5" t="s">
        <v>451</v>
      </c>
      <c r="X154" s="41"/>
      <c r="Y154" s="41"/>
      <c r="Z154" s="29"/>
      <c r="AA154" s="22"/>
      <c r="AB154" s="170">
        <f t="shared" si="153"/>
        <v>1</v>
      </c>
      <c r="AC154" s="75">
        <f t="shared" si="154"/>
        <v>0</v>
      </c>
      <c r="AD154" s="172"/>
    </row>
    <row r="155" spans="2:30">
      <c r="B155" s="11"/>
      <c r="C155" s="5" t="s">
        <v>384</v>
      </c>
      <c r="D155" s="11"/>
      <c r="E155" s="11"/>
      <c r="F155" s="29"/>
      <c r="G155" s="22"/>
      <c r="H155" s="170">
        <f t="shared" si="149"/>
        <v>1</v>
      </c>
      <c r="I155" s="75">
        <f t="shared" si="150"/>
        <v>0</v>
      </c>
      <c r="J155" s="172"/>
      <c r="L155" s="11"/>
      <c r="M155" s="5" t="s">
        <v>384</v>
      </c>
      <c r="N155" s="11"/>
      <c r="O155" s="11"/>
      <c r="P155" s="29"/>
      <c r="Q155" s="22"/>
      <c r="R155" s="170">
        <f t="shared" si="151"/>
        <v>1</v>
      </c>
      <c r="S155" s="75">
        <f t="shared" si="152"/>
        <v>0</v>
      </c>
      <c r="T155" s="172"/>
      <c r="V155" s="41" t="s">
        <v>355</v>
      </c>
      <c r="W155" s="5" t="s">
        <v>451</v>
      </c>
      <c r="X155" s="41"/>
      <c r="Y155" s="41"/>
      <c r="Z155" s="29"/>
      <c r="AA155" s="22"/>
      <c r="AB155" s="170">
        <f t="shared" si="153"/>
        <v>1</v>
      </c>
      <c r="AC155" s="75">
        <f t="shared" si="154"/>
        <v>0</v>
      </c>
      <c r="AD155" s="172"/>
    </row>
    <row r="156" spans="2:30">
      <c r="B156" s="11"/>
      <c r="C156" s="5" t="s">
        <v>384</v>
      </c>
      <c r="D156" s="11"/>
      <c r="E156" s="11"/>
      <c r="F156" s="29"/>
      <c r="G156" s="22"/>
      <c r="H156" s="170">
        <f t="shared" si="149"/>
        <v>1</v>
      </c>
      <c r="I156" s="75">
        <f t="shared" si="150"/>
        <v>0</v>
      </c>
      <c r="J156" s="172"/>
      <c r="L156" s="11"/>
      <c r="M156" s="5" t="s">
        <v>384</v>
      </c>
      <c r="N156" s="11"/>
      <c r="O156" s="11"/>
      <c r="P156" s="29"/>
      <c r="Q156" s="22"/>
      <c r="R156" s="170">
        <f t="shared" si="151"/>
        <v>1</v>
      </c>
      <c r="S156" s="75">
        <f t="shared" si="152"/>
        <v>0</v>
      </c>
      <c r="T156" s="172"/>
      <c r="V156" s="41" t="s">
        <v>355</v>
      </c>
      <c r="W156" s="5" t="s">
        <v>451</v>
      </c>
      <c r="X156" s="41"/>
      <c r="Y156" s="41"/>
      <c r="Z156" s="29"/>
      <c r="AA156" s="22"/>
      <c r="AB156" s="170">
        <f t="shared" si="153"/>
        <v>1</v>
      </c>
      <c r="AC156" s="75">
        <f t="shared" si="154"/>
        <v>0</v>
      </c>
      <c r="AD156" s="172"/>
    </row>
    <row r="157" spans="2:30">
      <c r="B157" s="11"/>
      <c r="C157" s="5" t="s">
        <v>384</v>
      </c>
      <c r="D157" s="11"/>
      <c r="E157" s="11"/>
      <c r="F157" s="29"/>
      <c r="G157" s="22"/>
      <c r="H157" s="170">
        <f t="shared" si="149"/>
        <v>1</v>
      </c>
      <c r="I157" s="75">
        <f t="shared" si="150"/>
        <v>0</v>
      </c>
      <c r="J157" s="172"/>
      <c r="L157" s="11"/>
      <c r="M157" s="5" t="s">
        <v>384</v>
      </c>
      <c r="N157" s="11"/>
      <c r="O157" s="11"/>
      <c r="P157" s="29"/>
      <c r="Q157" s="22"/>
      <c r="R157" s="170">
        <f t="shared" si="151"/>
        <v>1</v>
      </c>
      <c r="S157" s="75">
        <f t="shared" si="152"/>
        <v>0</v>
      </c>
      <c r="T157" s="172"/>
      <c r="V157" s="41" t="s">
        <v>355</v>
      </c>
      <c r="W157" s="5" t="s">
        <v>451</v>
      </c>
      <c r="X157" s="41"/>
      <c r="Y157" s="41"/>
      <c r="Z157" s="29"/>
      <c r="AA157" s="22"/>
      <c r="AB157" s="170">
        <f t="shared" si="153"/>
        <v>1</v>
      </c>
      <c r="AC157" s="75">
        <f t="shared" si="154"/>
        <v>0</v>
      </c>
      <c r="AD157" s="172"/>
    </row>
    <row r="158" spans="2:30" hidden="1" outlineLevel="1">
      <c r="B158" s="11"/>
      <c r="C158" s="5" t="s">
        <v>384</v>
      </c>
      <c r="D158" s="11"/>
      <c r="E158" s="11"/>
      <c r="F158" s="29"/>
      <c r="G158" s="22"/>
      <c r="H158" s="170">
        <f t="shared" si="149"/>
        <v>1</v>
      </c>
      <c r="I158" s="75">
        <f t="shared" si="150"/>
        <v>0</v>
      </c>
      <c r="J158" s="172"/>
      <c r="L158" s="11"/>
      <c r="M158" s="5" t="s">
        <v>384</v>
      </c>
      <c r="N158" s="11"/>
      <c r="O158" s="11"/>
      <c r="P158" s="29"/>
      <c r="Q158" s="22"/>
      <c r="R158" s="170">
        <f t="shared" si="151"/>
        <v>1</v>
      </c>
      <c r="S158" s="75">
        <f t="shared" si="152"/>
        <v>0</v>
      </c>
      <c r="T158" s="172"/>
      <c r="V158" s="41" t="s">
        <v>355</v>
      </c>
      <c r="W158" s="5" t="s">
        <v>451</v>
      </c>
      <c r="X158" s="41"/>
      <c r="Y158" s="41"/>
      <c r="Z158" s="29"/>
      <c r="AA158" s="22"/>
      <c r="AB158" s="170">
        <f t="shared" si="153"/>
        <v>1</v>
      </c>
      <c r="AC158" s="75">
        <f t="shared" si="154"/>
        <v>0</v>
      </c>
      <c r="AD158" s="172"/>
    </row>
    <row r="159" spans="2:30" hidden="1" outlineLevel="1">
      <c r="B159" s="11"/>
      <c r="C159" s="5" t="s">
        <v>384</v>
      </c>
      <c r="D159" s="11"/>
      <c r="E159" s="11"/>
      <c r="F159" s="29"/>
      <c r="G159" s="22"/>
      <c r="H159" s="170">
        <f t="shared" si="149"/>
        <v>1</v>
      </c>
      <c r="I159" s="75">
        <f t="shared" si="150"/>
        <v>0</v>
      </c>
      <c r="J159" s="172"/>
      <c r="L159" s="11"/>
      <c r="M159" s="5" t="s">
        <v>384</v>
      </c>
      <c r="N159" s="11"/>
      <c r="O159" s="11"/>
      <c r="P159" s="29"/>
      <c r="Q159" s="22"/>
      <c r="R159" s="170">
        <f t="shared" si="151"/>
        <v>1</v>
      </c>
      <c r="S159" s="75">
        <f t="shared" si="152"/>
        <v>0</v>
      </c>
      <c r="T159" s="172"/>
      <c r="V159" s="41" t="s">
        <v>355</v>
      </c>
      <c r="W159" s="5" t="s">
        <v>451</v>
      </c>
      <c r="X159" s="41"/>
      <c r="Y159" s="41"/>
      <c r="Z159" s="29"/>
      <c r="AA159" s="22"/>
      <c r="AB159" s="170">
        <f t="shared" si="153"/>
        <v>1</v>
      </c>
      <c r="AC159" s="75">
        <f t="shared" si="154"/>
        <v>0</v>
      </c>
      <c r="AD159" s="172"/>
    </row>
    <row r="160" spans="2:30" hidden="1" outlineLevel="1">
      <c r="B160" s="11"/>
      <c r="C160" s="5" t="s">
        <v>384</v>
      </c>
      <c r="D160" s="11"/>
      <c r="E160" s="11"/>
      <c r="F160" s="29"/>
      <c r="G160" s="22"/>
      <c r="H160" s="170">
        <f t="shared" si="149"/>
        <v>1</v>
      </c>
      <c r="I160" s="75">
        <f t="shared" si="150"/>
        <v>0</v>
      </c>
      <c r="J160" s="172"/>
      <c r="L160" s="11"/>
      <c r="M160" s="5" t="s">
        <v>384</v>
      </c>
      <c r="N160" s="11"/>
      <c r="O160" s="11"/>
      <c r="P160" s="29"/>
      <c r="Q160" s="22"/>
      <c r="R160" s="170">
        <f t="shared" si="151"/>
        <v>1</v>
      </c>
      <c r="S160" s="75">
        <f t="shared" si="152"/>
        <v>0</v>
      </c>
      <c r="T160" s="172"/>
      <c r="V160" s="41" t="s">
        <v>355</v>
      </c>
      <c r="W160" s="5" t="s">
        <v>451</v>
      </c>
      <c r="X160" s="41"/>
      <c r="Y160" s="41"/>
      <c r="Z160" s="29"/>
      <c r="AA160" s="22"/>
      <c r="AB160" s="170">
        <f t="shared" si="153"/>
        <v>1</v>
      </c>
      <c r="AC160" s="75">
        <f t="shared" si="154"/>
        <v>0</v>
      </c>
      <c r="AD160" s="172"/>
    </row>
    <row r="161" spans="1:30" hidden="1" outlineLevel="1">
      <c r="B161" s="11"/>
      <c r="C161" s="5" t="s">
        <v>384</v>
      </c>
      <c r="D161" s="11"/>
      <c r="E161" s="11"/>
      <c r="F161" s="29"/>
      <c r="G161" s="22"/>
      <c r="H161" s="170">
        <f t="shared" si="149"/>
        <v>1</v>
      </c>
      <c r="I161" s="75">
        <f t="shared" si="150"/>
        <v>0</v>
      </c>
      <c r="J161" s="172"/>
      <c r="L161" s="11"/>
      <c r="M161" s="5" t="s">
        <v>384</v>
      </c>
      <c r="N161" s="11"/>
      <c r="O161" s="11"/>
      <c r="P161" s="29"/>
      <c r="Q161" s="22"/>
      <c r="R161" s="170">
        <f t="shared" si="151"/>
        <v>1</v>
      </c>
      <c r="S161" s="75">
        <f t="shared" si="152"/>
        <v>0</v>
      </c>
      <c r="T161" s="172"/>
      <c r="V161" s="41" t="s">
        <v>355</v>
      </c>
      <c r="W161" s="5" t="s">
        <v>451</v>
      </c>
      <c r="X161" s="41"/>
      <c r="Y161" s="41"/>
      <c r="Z161" s="29"/>
      <c r="AA161" s="22"/>
      <c r="AB161" s="170">
        <f t="shared" si="153"/>
        <v>1</v>
      </c>
      <c r="AC161" s="75">
        <f t="shared" si="154"/>
        <v>0</v>
      </c>
      <c r="AD161" s="172"/>
    </row>
    <row r="162" spans="1:30" hidden="1" outlineLevel="1">
      <c r="B162" s="11"/>
      <c r="C162" s="5" t="s">
        <v>384</v>
      </c>
      <c r="D162" s="11"/>
      <c r="E162" s="11"/>
      <c r="F162" s="29"/>
      <c r="G162" s="22"/>
      <c r="H162" s="170">
        <f t="shared" si="149"/>
        <v>1</v>
      </c>
      <c r="I162" s="75">
        <f t="shared" si="150"/>
        <v>0</v>
      </c>
      <c r="J162" s="172"/>
      <c r="L162" s="11"/>
      <c r="M162" s="5" t="s">
        <v>384</v>
      </c>
      <c r="N162" s="11"/>
      <c r="O162" s="11"/>
      <c r="P162" s="29"/>
      <c r="Q162" s="22"/>
      <c r="R162" s="170">
        <f t="shared" si="151"/>
        <v>1</v>
      </c>
      <c r="S162" s="75">
        <f t="shared" si="152"/>
        <v>0</v>
      </c>
      <c r="T162" s="172"/>
      <c r="V162" s="41" t="s">
        <v>355</v>
      </c>
      <c r="W162" s="5" t="s">
        <v>451</v>
      </c>
      <c r="X162" s="41"/>
      <c r="Y162" s="41"/>
      <c r="Z162" s="29"/>
      <c r="AA162" s="22"/>
      <c r="AB162" s="170">
        <f t="shared" si="153"/>
        <v>1</v>
      </c>
      <c r="AC162" s="75">
        <f t="shared" si="154"/>
        <v>0</v>
      </c>
      <c r="AD162" s="172"/>
    </row>
    <row r="163" spans="1:30" hidden="1" outlineLevel="1">
      <c r="B163" s="11"/>
      <c r="C163" s="5" t="s">
        <v>384</v>
      </c>
      <c r="D163" s="11"/>
      <c r="E163" s="11"/>
      <c r="F163" s="29"/>
      <c r="G163" s="22"/>
      <c r="H163" s="170">
        <f t="shared" si="149"/>
        <v>1</v>
      </c>
      <c r="I163" s="75">
        <f t="shared" si="150"/>
        <v>0</v>
      </c>
      <c r="J163" s="172"/>
      <c r="L163" s="11"/>
      <c r="M163" s="5" t="s">
        <v>384</v>
      </c>
      <c r="N163" s="11"/>
      <c r="O163" s="11"/>
      <c r="P163" s="29"/>
      <c r="Q163" s="22"/>
      <c r="R163" s="170">
        <f t="shared" si="151"/>
        <v>1</v>
      </c>
      <c r="S163" s="75">
        <f t="shared" si="152"/>
        <v>0</v>
      </c>
      <c r="T163" s="172"/>
      <c r="V163" s="41" t="s">
        <v>355</v>
      </c>
      <c r="W163" s="5" t="s">
        <v>451</v>
      </c>
      <c r="X163" s="41"/>
      <c r="Y163" s="41"/>
      <c r="Z163" s="29"/>
      <c r="AA163" s="22"/>
      <c r="AB163" s="170">
        <f t="shared" si="153"/>
        <v>1</v>
      </c>
      <c r="AC163" s="75">
        <f t="shared" si="154"/>
        <v>0</v>
      </c>
      <c r="AD163" s="172"/>
    </row>
    <row r="164" spans="1:30" hidden="1" outlineLevel="1">
      <c r="B164" s="11"/>
      <c r="C164" s="5" t="s">
        <v>384</v>
      </c>
      <c r="D164" s="11"/>
      <c r="E164" s="11"/>
      <c r="F164" s="29"/>
      <c r="G164" s="22"/>
      <c r="H164" s="170">
        <f t="shared" si="149"/>
        <v>1</v>
      </c>
      <c r="I164" s="75">
        <f t="shared" si="150"/>
        <v>0</v>
      </c>
      <c r="J164" s="172"/>
      <c r="L164" s="11"/>
      <c r="M164" s="5" t="s">
        <v>384</v>
      </c>
      <c r="N164" s="11"/>
      <c r="O164" s="11"/>
      <c r="P164" s="29"/>
      <c r="Q164" s="22"/>
      <c r="R164" s="170">
        <f t="shared" si="151"/>
        <v>1</v>
      </c>
      <c r="S164" s="75">
        <f t="shared" si="152"/>
        <v>0</v>
      </c>
      <c r="T164" s="172"/>
      <c r="V164" s="41" t="s">
        <v>355</v>
      </c>
      <c r="W164" s="5" t="s">
        <v>451</v>
      </c>
      <c r="X164" s="41"/>
      <c r="Y164" s="41"/>
      <c r="Z164" s="29"/>
      <c r="AA164" s="22"/>
      <c r="AB164" s="170">
        <f t="shared" si="153"/>
        <v>1</v>
      </c>
      <c r="AC164" s="75">
        <f t="shared" si="154"/>
        <v>0</v>
      </c>
      <c r="AD164" s="172"/>
    </row>
    <row r="165" spans="1:30" hidden="1" outlineLevel="1">
      <c r="B165" s="11"/>
      <c r="C165" s="5" t="s">
        <v>384</v>
      </c>
      <c r="D165" s="11"/>
      <c r="E165" s="11"/>
      <c r="F165" s="29"/>
      <c r="G165" s="22"/>
      <c r="H165" s="170">
        <f t="shared" si="149"/>
        <v>1</v>
      </c>
      <c r="I165" s="75">
        <f t="shared" si="150"/>
        <v>0</v>
      </c>
      <c r="J165" s="172"/>
      <c r="L165" s="11"/>
      <c r="M165" s="5" t="s">
        <v>384</v>
      </c>
      <c r="N165" s="11"/>
      <c r="O165" s="11"/>
      <c r="P165" s="29"/>
      <c r="Q165" s="22"/>
      <c r="R165" s="170">
        <f t="shared" si="151"/>
        <v>1</v>
      </c>
      <c r="S165" s="75">
        <f t="shared" si="152"/>
        <v>0</v>
      </c>
      <c r="T165" s="172"/>
      <c r="V165" s="41" t="s">
        <v>355</v>
      </c>
      <c r="W165" s="5" t="s">
        <v>451</v>
      </c>
      <c r="X165" s="41"/>
      <c r="Y165" s="41"/>
      <c r="Z165" s="29"/>
      <c r="AA165" s="22"/>
      <c r="AB165" s="170">
        <f t="shared" si="153"/>
        <v>1</v>
      </c>
      <c r="AC165" s="75">
        <f t="shared" si="154"/>
        <v>0</v>
      </c>
      <c r="AD165" s="172"/>
    </row>
    <row r="166" spans="1:30" hidden="1" outlineLevel="1">
      <c r="B166" s="11"/>
      <c r="C166" s="5" t="s">
        <v>384</v>
      </c>
      <c r="D166" s="11"/>
      <c r="E166" s="11"/>
      <c r="F166" s="29"/>
      <c r="G166" s="22"/>
      <c r="H166" s="170">
        <f t="shared" si="149"/>
        <v>1</v>
      </c>
      <c r="I166" s="75">
        <f t="shared" si="150"/>
        <v>0</v>
      </c>
      <c r="J166" s="172"/>
      <c r="L166" s="11"/>
      <c r="M166" s="5" t="s">
        <v>384</v>
      </c>
      <c r="N166" s="11"/>
      <c r="O166" s="11"/>
      <c r="P166" s="29"/>
      <c r="Q166" s="22"/>
      <c r="R166" s="170">
        <f t="shared" si="151"/>
        <v>1</v>
      </c>
      <c r="S166" s="75">
        <f t="shared" si="152"/>
        <v>0</v>
      </c>
      <c r="T166" s="172"/>
      <c r="V166" s="41" t="s">
        <v>355</v>
      </c>
      <c r="W166" s="5" t="s">
        <v>451</v>
      </c>
      <c r="X166" s="41"/>
      <c r="Y166" s="41"/>
      <c r="Z166" s="29"/>
      <c r="AA166" s="22"/>
      <c r="AB166" s="170">
        <f t="shared" si="153"/>
        <v>1</v>
      </c>
      <c r="AC166" s="75">
        <f t="shared" si="154"/>
        <v>0</v>
      </c>
      <c r="AD166" s="172"/>
    </row>
    <row r="167" spans="1:30" s="24" customFormat="1" collapsed="1">
      <c r="B167" s="8" t="str">
        <f>"Total "&amp;B151</f>
        <v>Total Facility (Revolving Credit)</v>
      </c>
      <c r="C167" s="25"/>
      <c r="D167" s="28">
        <f>SUM(D152:D166)</f>
        <v>0</v>
      </c>
      <c r="E167" s="28">
        <f>SUM(E152:E166)</f>
        <v>0</v>
      </c>
      <c r="F167" s="30"/>
      <c r="G167" s="25"/>
      <c r="H167" s="169">
        <v>1</v>
      </c>
      <c r="I167" s="28">
        <f>SUM(I152:I166)</f>
        <v>0</v>
      </c>
      <c r="J167" s="171"/>
      <c r="L167" s="8" t="str">
        <f>"Total "&amp;L151</f>
        <v>Total Facility (Revolving Credit)</v>
      </c>
      <c r="M167" s="25"/>
      <c r="N167" s="28">
        <f>SUM(N152:N166)</f>
        <v>0</v>
      </c>
      <c r="O167" s="28">
        <f>SUM(O152:O166)</f>
        <v>0</v>
      </c>
      <c r="P167" s="30"/>
      <c r="Q167" s="25"/>
      <c r="R167" s="169">
        <v>1</v>
      </c>
      <c r="S167" s="28">
        <f>SUM(S152:S166)</f>
        <v>0</v>
      </c>
      <c r="T167" s="171"/>
      <c r="V167" s="8" t="str">
        <f>"Total "&amp;V151</f>
        <v>Total Facility (Revolving Credit)</v>
      </c>
      <c r="W167" s="25"/>
      <c r="X167" s="28">
        <f>SUM(X152:X166)</f>
        <v>0</v>
      </c>
      <c r="Y167" s="28">
        <f>SUM(Y152:Y166)</f>
        <v>0</v>
      </c>
      <c r="Z167" s="30"/>
      <c r="AA167" s="25"/>
      <c r="AB167" s="169">
        <v>1</v>
      </c>
      <c r="AC167" s="28">
        <f>SUM(AC152:AC166)</f>
        <v>0</v>
      </c>
      <c r="AD167" s="171"/>
    </row>
    <row r="169" spans="1:30" s="20" customFormat="1" ht="41.4">
      <c r="B169" s="27" t="s">
        <v>457</v>
      </c>
      <c r="C169" s="3" t="str">
        <f>C$61</f>
        <v>Source</v>
      </c>
      <c r="D169" s="3" t="str">
        <f t="shared" ref="D169:J169" si="155">D$61</f>
        <v>Limit (A)</v>
      </c>
      <c r="E169" s="3" t="str">
        <f t="shared" si="155"/>
        <v>Outstanding (A1)</v>
      </c>
      <c r="F169" s="3" t="str">
        <f t="shared" si="155"/>
        <v>Monthly Repayment (B)</v>
      </c>
      <c r="G169" s="3" t="str">
        <f t="shared" si="155"/>
        <v>Interest Rate (C)</v>
      </c>
      <c r="H169" s="3" t="str">
        <f t="shared" si="155"/>
        <v>Factor (D)</v>
      </c>
      <c r="I169" s="3" t="str">
        <f t="shared" si="155"/>
        <v>Interest (E) = (A or A1) * (C) * (D)</v>
      </c>
      <c r="J169" s="3" t="str">
        <f t="shared" si="155"/>
        <v>Code Of Conduct</v>
      </c>
      <c r="L169" s="176" t="str">
        <f>B169</f>
        <v>Facility (Factoring)</v>
      </c>
      <c r="M169" s="177" t="str">
        <f t="shared" ref="M169" si="156">C169</f>
        <v>Source</v>
      </c>
      <c r="N169" s="177" t="str">
        <f t="shared" ref="N169" si="157">D169</f>
        <v>Limit (A)</v>
      </c>
      <c r="O169" s="177" t="str">
        <f t="shared" ref="O169" si="158">E169</f>
        <v>Outstanding (A1)</v>
      </c>
      <c r="P169" s="177" t="str">
        <f t="shared" ref="P169" si="159">F169</f>
        <v>Monthly Repayment (B)</v>
      </c>
      <c r="Q169" s="177" t="str">
        <f t="shared" ref="Q169" si="160">G169</f>
        <v>Interest Rate (C)</v>
      </c>
      <c r="R169" s="177" t="str">
        <f t="shared" ref="R169" si="161">H169</f>
        <v>Factor (D)</v>
      </c>
      <c r="S169" s="177" t="str">
        <f t="shared" ref="S169" si="162">I169</f>
        <v>Interest (E) = (A or A1) * (C) * (D)</v>
      </c>
      <c r="T169" s="177" t="str">
        <f t="shared" ref="T169" si="163">J169</f>
        <v>Code Of Conduct</v>
      </c>
      <c r="V169" s="176" t="str">
        <f>L169</f>
        <v>Facility (Factoring)</v>
      </c>
      <c r="W169" s="177" t="str">
        <f t="shared" ref="W169" si="164">M169</f>
        <v>Source</v>
      </c>
      <c r="X169" s="177" t="str">
        <f t="shared" ref="X169" si="165">N169</f>
        <v>Limit (A)</v>
      </c>
      <c r="Y169" s="177" t="str">
        <f t="shared" ref="Y169" si="166">O169</f>
        <v>Outstanding (A1)</v>
      </c>
      <c r="Z169" s="177" t="str">
        <f t="shared" ref="Z169" si="167">P169</f>
        <v>Monthly Repayment (B)</v>
      </c>
      <c r="AA169" s="177" t="str">
        <f t="shared" ref="AA169" si="168">Q169</f>
        <v>Interest Rate (C)</v>
      </c>
      <c r="AB169" s="177" t="str">
        <f t="shared" ref="AB169" si="169">R169</f>
        <v>Factor (D)</v>
      </c>
      <c r="AC169" s="177" t="str">
        <f t="shared" ref="AC169" si="170">S169</f>
        <v>Interest (E) = (A or A1) * (C) * (D)</v>
      </c>
      <c r="AD169" s="177" t="str">
        <f t="shared" ref="AD169" si="171">T169</f>
        <v>Code Of Conduct</v>
      </c>
    </row>
    <row r="170" spans="1:30">
      <c r="A170" s="2" t="s">
        <v>1064</v>
      </c>
      <c r="B170" s="11" t="s">
        <v>1060</v>
      </c>
      <c r="C170" s="5" t="s">
        <v>382</v>
      </c>
      <c r="D170" s="11">
        <v>2551000</v>
      </c>
      <c r="E170" s="11"/>
      <c r="F170" s="29"/>
      <c r="G170" s="22">
        <v>0.06</v>
      </c>
      <c r="H170" s="23">
        <f>H$185</f>
        <v>0.8</v>
      </c>
      <c r="I170" s="75">
        <f>D170*G170*H170</f>
        <v>122448</v>
      </c>
      <c r="J170" s="172"/>
      <c r="L170" s="11"/>
      <c r="M170" s="5" t="s">
        <v>382</v>
      </c>
      <c r="N170" s="11"/>
      <c r="O170" s="11"/>
      <c r="P170" s="29"/>
      <c r="Q170" s="22"/>
      <c r="R170" s="23">
        <f>R$185</f>
        <v>0.8</v>
      </c>
      <c r="S170" s="75">
        <f>N170*Q170*R170</f>
        <v>0</v>
      </c>
      <c r="T170" s="172"/>
      <c r="V170" s="41" t="s">
        <v>355</v>
      </c>
      <c r="W170" s="5" t="s">
        <v>451</v>
      </c>
      <c r="X170" s="41"/>
      <c r="Y170" s="41"/>
      <c r="Z170" s="29"/>
      <c r="AA170" s="22"/>
      <c r="AB170" s="23">
        <f>AB$185</f>
        <v>0.8</v>
      </c>
      <c r="AC170" s="75">
        <f>X170*AA170*AB170</f>
        <v>0</v>
      </c>
      <c r="AD170" s="172"/>
    </row>
    <row r="171" spans="1:30">
      <c r="B171" s="11"/>
      <c r="C171" s="5" t="s">
        <v>384</v>
      </c>
      <c r="D171" s="11"/>
      <c r="E171" s="11"/>
      <c r="F171" s="29"/>
      <c r="G171" s="22"/>
      <c r="H171" s="23">
        <f t="shared" ref="H171:H184" si="172">H$185</f>
        <v>0.8</v>
      </c>
      <c r="I171" s="75">
        <f t="shared" ref="I171:I184" si="173">D171*G171*H171</f>
        <v>0</v>
      </c>
      <c r="J171" s="172"/>
      <c r="L171" s="11"/>
      <c r="M171" s="5" t="s">
        <v>384</v>
      </c>
      <c r="N171" s="11"/>
      <c r="O171" s="11"/>
      <c r="P171" s="29"/>
      <c r="Q171" s="22"/>
      <c r="R171" s="23">
        <f t="shared" ref="R171:R184" si="174">R$185</f>
        <v>0.8</v>
      </c>
      <c r="S171" s="75">
        <f t="shared" ref="S171:S184" si="175">N171*Q171*R171</f>
        <v>0</v>
      </c>
      <c r="T171" s="172"/>
      <c r="V171" s="41" t="s">
        <v>355</v>
      </c>
      <c r="W171" s="5" t="s">
        <v>451</v>
      </c>
      <c r="X171" s="41"/>
      <c r="Y171" s="41"/>
      <c r="Z171" s="29"/>
      <c r="AA171" s="22"/>
      <c r="AB171" s="23">
        <f t="shared" ref="AB171:AB184" si="176">AB$185</f>
        <v>0.8</v>
      </c>
      <c r="AC171" s="75">
        <f t="shared" ref="AC171:AC184" si="177">X171*AA171*AB171</f>
        <v>0</v>
      </c>
      <c r="AD171" s="172"/>
    </row>
    <row r="172" spans="1:30">
      <c r="B172" s="11"/>
      <c r="C172" s="5" t="s">
        <v>384</v>
      </c>
      <c r="D172" s="11"/>
      <c r="E172" s="11"/>
      <c r="F172" s="29"/>
      <c r="G172" s="22"/>
      <c r="H172" s="23">
        <f t="shared" si="172"/>
        <v>0.8</v>
      </c>
      <c r="I172" s="75">
        <f t="shared" si="173"/>
        <v>0</v>
      </c>
      <c r="J172" s="172"/>
      <c r="L172" s="11"/>
      <c r="M172" s="5" t="s">
        <v>384</v>
      </c>
      <c r="N172" s="11"/>
      <c r="O172" s="11"/>
      <c r="P172" s="29"/>
      <c r="Q172" s="22"/>
      <c r="R172" s="23">
        <f t="shared" si="174"/>
        <v>0.8</v>
      </c>
      <c r="S172" s="75">
        <f t="shared" si="175"/>
        <v>0</v>
      </c>
      <c r="T172" s="172"/>
      <c r="V172" s="41" t="s">
        <v>355</v>
      </c>
      <c r="W172" s="5" t="s">
        <v>451</v>
      </c>
      <c r="X172" s="41"/>
      <c r="Y172" s="41"/>
      <c r="Z172" s="29"/>
      <c r="AA172" s="22"/>
      <c r="AB172" s="23">
        <f t="shared" si="176"/>
        <v>0.8</v>
      </c>
      <c r="AC172" s="75">
        <f t="shared" si="177"/>
        <v>0</v>
      </c>
      <c r="AD172" s="172"/>
    </row>
    <row r="173" spans="1:30">
      <c r="B173" s="11"/>
      <c r="C173" s="5" t="s">
        <v>384</v>
      </c>
      <c r="D173" s="11"/>
      <c r="E173" s="11"/>
      <c r="F173" s="29"/>
      <c r="G173" s="22"/>
      <c r="H173" s="23">
        <f t="shared" si="172"/>
        <v>0.8</v>
      </c>
      <c r="I173" s="75">
        <f t="shared" si="173"/>
        <v>0</v>
      </c>
      <c r="J173" s="172"/>
      <c r="L173" s="11"/>
      <c r="M173" s="5" t="s">
        <v>384</v>
      </c>
      <c r="N173" s="11"/>
      <c r="O173" s="11"/>
      <c r="P173" s="29"/>
      <c r="Q173" s="22"/>
      <c r="R173" s="23">
        <f t="shared" si="174"/>
        <v>0.8</v>
      </c>
      <c r="S173" s="75">
        <f t="shared" si="175"/>
        <v>0</v>
      </c>
      <c r="T173" s="172"/>
      <c r="V173" s="41" t="s">
        <v>355</v>
      </c>
      <c r="W173" s="5" t="s">
        <v>451</v>
      </c>
      <c r="X173" s="41"/>
      <c r="Y173" s="41"/>
      <c r="Z173" s="29"/>
      <c r="AA173" s="22"/>
      <c r="AB173" s="23">
        <f t="shared" si="176"/>
        <v>0.8</v>
      </c>
      <c r="AC173" s="75">
        <f t="shared" si="177"/>
        <v>0</v>
      </c>
      <c r="AD173" s="172"/>
    </row>
    <row r="174" spans="1:30">
      <c r="B174" s="11"/>
      <c r="C174" s="5" t="s">
        <v>384</v>
      </c>
      <c r="D174" s="11"/>
      <c r="E174" s="11"/>
      <c r="F174" s="29"/>
      <c r="G174" s="22"/>
      <c r="H174" s="23">
        <f t="shared" si="172"/>
        <v>0.8</v>
      </c>
      <c r="I174" s="75">
        <f t="shared" si="173"/>
        <v>0</v>
      </c>
      <c r="J174" s="172"/>
      <c r="L174" s="11"/>
      <c r="M174" s="5" t="s">
        <v>384</v>
      </c>
      <c r="N174" s="11"/>
      <c r="O174" s="11"/>
      <c r="P174" s="29"/>
      <c r="Q174" s="22"/>
      <c r="R174" s="23">
        <f t="shared" si="174"/>
        <v>0.8</v>
      </c>
      <c r="S174" s="75">
        <f t="shared" si="175"/>
        <v>0</v>
      </c>
      <c r="T174" s="172"/>
      <c r="V174" s="41" t="s">
        <v>355</v>
      </c>
      <c r="W174" s="5" t="s">
        <v>451</v>
      </c>
      <c r="X174" s="41"/>
      <c r="Y174" s="41"/>
      <c r="Z174" s="29"/>
      <c r="AA174" s="22"/>
      <c r="AB174" s="23">
        <f t="shared" si="176"/>
        <v>0.8</v>
      </c>
      <c r="AC174" s="75">
        <f t="shared" si="177"/>
        <v>0</v>
      </c>
      <c r="AD174" s="172"/>
    </row>
    <row r="175" spans="1:30">
      <c r="B175" s="11"/>
      <c r="C175" s="5" t="s">
        <v>384</v>
      </c>
      <c r="D175" s="11"/>
      <c r="E175" s="11"/>
      <c r="F175" s="29"/>
      <c r="G175" s="22"/>
      <c r="H175" s="23">
        <f t="shared" si="172"/>
        <v>0.8</v>
      </c>
      <c r="I175" s="75">
        <f t="shared" si="173"/>
        <v>0</v>
      </c>
      <c r="J175" s="172"/>
      <c r="L175" s="11"/>
      <c r="M175" s="5" t="s">
        <v>384</v>
      </c>
      <c r="N175" s="11"/>
      <c r="O175" s="11"/>
      <c r="P175" s="29"/>
      <c r="Q175" s="22"/>
      <c r="R175" s="23">
        <f t="shared" si="174"/>
        <v>0.8</v>
      </c>
      <c r="S175" s="75">
        <f t="shared" si="175"/>
        <v>0</v>
      </c>
      <c r="T175" s="172"/>
      <c r="V175" s="41" t="s">
        <v>355</v>
      </c>
      <c r="W175" s="5" t="s">
        <v>451</v>
      </c>
      <c r="X175" s="41"/>
      <c r="Y175" s="41"/>
      <c r="Z175" s="29"/>
      <c r="AA175" s="22"/>
      <c r="AB175" s="23">
        <f t="shared" si="176"/>
        <v>0.8</v>
      </c>
      <c r="AC175" s="75">
        <f t="shared" si="177"/>
        <v>0</v>
      </c>
      <c r="AD175" s="172"/>
    </row>
    <row r="176" spans="1:30" hidden="1" outlineLevel="1">
      <c r="B176" s="11"/>
      <c r="C176" s="5" t="s">
        <v>384</v>
      </c>
      <c r="D176" s="11"/>
      <c r="E176" s="11"/>
      <c r="F176" s="29"/>
      <c r="G176" s="22"/>
      <c r="H176" s="23">
        <f t="shared" si="172"/>
        <v>0.8</v>
      </c>
      <c r="I176" s="75">
        <f t="shared" si="173"/>
        <v>0</v>
      </c>
      <c r="J176" s="172"/>
      <c r="L176" s="11"/>
      <c r="M176" s="5" t="s">
        <v>384</v>
      </c>
      <c r="N176" s="11"/>
      <c r="O176" s="11"/>
      <c r="P176" s="29"/>
      <c r="Q176" s="22"/>
      <c r="R176" s="23">
        <f t="shared" si="174"/>
        <v>0.8</v>
      </c>
      <c r="S176" s="75">
        <f t="shared" si="175"/>
        <v>0</v>
      </c>
      <c r="T176" s="172"/>
      <c r="V176" s="41" t="s">
        <v>355</v>
      </c>
      <c r="W176" s="5" t="s">
        <v>451</v>
      </c>
      <c r="X176" s="41"/>
      <c r="Y176" s="41"/>
      <c r="Z176" s="29"/>
      <c r="AA176" s="22"/>
      <c r="AB176" s="23">
        <f t="shared" si="176"/>
        <v>0.8</v>
      </c>
      <c r="AC176" s="75">
        <f t="shared" si="177"/>
        <v>0</v>
      </c>
      <c r="AD176" s="172"/>
    </row>
    <row r="177" spans="2:30" hidden="1" outlineLevel="1">
      <c r="B177" s="11"/>
      <c r="C177" s="5" t="s">
        <v>384</v>
      </c>
      <c r="D177" s="11"/>
      <c r="E177" s="11"/>
      <c r="F177" s="29"/>
      <c r="G177" s="22"/>
      <c r="H177" s="23">
        <f t="shared" si="172"/>
        <v>0.8</v>
      </c>
      <c r="I177" s="75">
        <f t="shared" si="173"/>
        <v>0</v>
      </c>
      <c r="J177" s="172"/>
      <c r="L177" s="11"/>
      <c r="M177" s="5" t="s">
        <v>384</v>
      </c>
      <c r="N177" s="11"/>
      <c r="O177" s="11"/>
      <c r="P177" s="29"/>
      <c r="Q177" s="22"/>
      <c r="R177" s="23">
        <f t="shared" si="174"/>
        <v>0.8</v>
      </c>
      <c r="S177" s="75">
        <f t="shared" si="175"/>
        <v>0</v>
      </c>
      <c r="T177" s="172"/>
      <c r="V177" s="41" t="s">
        <v>355</v>
      </c>
      <c r="W177" s="5" t="s">
        <v>451</v>
      </c>
      <c r="X177" s="41"/>
      <c r="Y177" s="41"/>
      <c r="Z177" s="29"/>
      <c r="AA177" s="22"/>
      <c r="AB177" s="23">
        <f t="shared" si="176"/>
        <v>0.8</v>
      </c>
      <c r="AC177" s="75">
        <f t="shared" si="177"/>
        <v>0</v>
      </c>
      <c r="AD177" s="172"/>
    </row>
    <row r="178" spans="2:30" hidden="1" outlineLevel="1">
      <c r="B178" s="11"/>
      <c r="C178" s="5" t="s">
        <v>384</v>
      </c>
      <c r="D178" s="11"/>
      <c r="E178" s="11"/>
      <c r="F178" s="29"/>
      <c r="G178" s="22"/>
      <c r="H178" s="23">
        <f t="shared" si="172"/>
        <v>0.8</v>
      </c>
      <c r="I178" s="75">
        <f t="shared" si="173"/>
        <v>0</v>
      </c>
      <c r="J178" s="172"/>
      <c r="L178" s="11"/>
      <c r="M178" s="5" t="s">
        <v>384</v>
      </c>
      <c r="N178" s="11"/>
      <c r="O178" s="11"/>
      <c r="P178" s="29"/>
      <c r="Q178" s="22"/>
      <c r="R178" s="23">
        <f t="shared" si="174"/>
        <v>0.8</v>
      </c>
      <c r="S178" s="75">
        <f t="shared" si="175"/>
        <v>0</v>
      </c>
      <c r="T178" s="172"/>
      <c r="V178" s="41" t="s">
        <v>355</v>
      </c>
      <c r="W178" s="5" t="s">
        <v>451</v>
      </c>
      <c r="X178" s="41"/>
      <c r="Y178" s="41"/>
      <c r="Z178" s="29"/>
      <c r="AA178" s="22"/>
      <c r="AB178" s="23">
        <f t="shared" si="176"/>
        <v>0.8</v>
      </c>
      <c r="AC178" s="75">
        <f t="shared" si="177"/>
        <v>0</v>
      </c>
      <c r="AD178" s="172"/>
    </row>
    <row r="179" spans="2:30" hidden="1" outlineLevel="1">
      <c r="B179" s="11"/>
      <c r="C179" s="5" t="s">
        <v>384</v>
      </c>
      <c r="D179" s="11"/>
      <c r="E179" s="11"/>
      <c r="F179" s="29"/>
      <c r="G179" s="22"/>
      <c r="H179" s="23">
        <f t="shared" si="172"/>
        <v>0.8</v>
      </c>
      <c r="I179" s="75">
        <f t="shared" si="173"/>
        <v>0</v>
      </c>
      <c r="J179" s="172"/>
      <c r="L179" s="11"/>
      <c r="M179" s="5" t="s">
        <v>384</v>
      </c>
      <c r="N179" s="11"/>
      <c r="O179" s="11"/>
      <c r="P179" s="29"/>
      <c r="Q179" s="22"/>
      <c r="R179" s="23">
        <f t="shared" si="174"/>
        <v>0.8</v>
      </c>
      <c r="S179" s="75">
        <f t="shared" si="175"/>
        <v>0</v>
      </c>
      <c r="T179" s="172"/>
      <c r="V179" s="41" t="s">
        <v>355</v>
      </c>
      <c r="W179" s="5" t="s">
        <v>451</v>
      </c>
      <c r="X179" s="41"/>
      <c r="Y179" s="41"/>
      <c r="Z179" s="29"/>
      <c r="AA179" s="22"/>
      <c r="AB179" s="23">
        <f t="shared" si="176"/>
        <v>0.8</v>
      </c>
      <c r="AC179" s="75">
        <f t="shared" si="177"/>
        <v>0</v>
      </c>
      <c r="AD179" s="172"/>
    </row>
    <row r="180" spans="2:30" hidden="1" outlineLevel="1">
      <c r="B180" s="11"/>
      <c r="C180" s="5" t="s">
        <v>384</v>
      </c>
      <c r="D180" s="11"/>
      <c r="E180" s="11"/>
      <c r="F180" s="29"/>
      <c r="G180" s="22"/>
      <c r="H180" s="23">
        <f t="shared" si="172"/>
        <v>0.8</v>
      </c>
      <c r="I180" s="75">
        <f t="shared" si="173"/>
        <v>0</v>
      </c>
      <c r="J180" s="172"/>
      <c r="L180" s="11"/>
      <c r="M180" s="5" t="s">
        <v>384</v>
      </c>
      <c r="N180" s="11"/>
      <c r="O180" s="11"/>
      <c r="P180" s="29"/>
      <c r="Q180" s="22"/>
      <c r="R180" s="23">
        <f t="shared" si="174"/>
        <v>0.8</v>
      </c>
      <c r="S180" s="75">
        <f t="shared" si="175"/>
        <v>0</v>
      </c>
      <c r="T180" s="172"/>
      <c r="V180" s="41" t="s">
        <v>355</v>
      </c>
      <c r="W180" s="5" t="s">
        <v>451</v>
      </c>
      <c r="X180" s="41"/>
      <c r="Y180" s="41"/>
      <c r="Z180" s="29"/>
      <c r="AA180" s="22"/>
      <c r="AB180" s="23">
        <f t="shared" si="176"/>
        <v>0.8</v>
      </c>
      <c r="AC180" s="75">
        <f t="shared" si="177"/>
        <v>0</v>
      </c>
      <c r="AD180" s="172"/>
    </row>
    <row r="181" spans="2:30" hidden="1" outlineLevel="1">
      <c r="B181" s="11"/>
      <c r="C181" s="5" t="s">
        <v>384</v>
      </c>
      <c r="D181" s="11"/>
      <c r="E181" s="11"/>
      <c r="F181" s="29"/>
      <c r="G181" s="22"/>
      <c r="H181" s="23">
        <f t="shared" si="172"/>
        <v>0.8</v>
      </c>
      <c r="I181" s="75">
        <f t="shared" si="173"/>
        <v>0</v>
      </c>
      <c r="J181" s="172"/>
      <c r="L181" s="11"/>
      <c r="M181" s="5" t="s">
        <v>384</v>
      </c>
      <c r="N181" s="11"/>
      <c r="O181" s="11"/>
      <c r="P181" s="29"/>
      <c r="Q181" s="22"/>
      <c r="R181" s="23">
        <f t="shared" si="174"/>
        <v>0.8</v>
      </c>
      <c r="S181" s="75">
        <f t="shared" si="175"/>
        <v>0</v>
      </c>
      <c r="T181" s="172"/>
      <c r="V181" s="41" t="s">
        <v>355</v>
      </c>
      <c r="W181" s="5" t="s">
        <v>451</v>
      </c>
      <c r="X181" s="41"/>
      <c r="Y181" s="41"/>
      <c r="Z181" s="29"/>
      <c r="AA181" s="22"/>
      <c r="AB181" s="23">
        <f t="shared" si="176"/>
        <v>0.8</v>
      </c>
      <c r="AC181" s="75">
        <f t="shared" si="177"/>
        <v>0</v>
      </c>
      <c r="AD181" s="172"/>
    </row>
    <row r="182" spans="2:30" hidden="1" outlineLevel="1">
      <c r="B182" s="11"/>
      <c r="C182" s="5" t="s">
        <v>384</v>
      </c>
      <c r="D182" s="11"/>
      <c r="E182" s="11"/>
      <c r="F182" s="29"/>
      <c r="G182" s="22"/>
      <c r="H182" s="23">
        <f t="shared" si="172"/>
        <v>0.8</v>
      </c>
      <c r="I182" s="75">
        <f t="shared" si="173"/>
        <v>0</v>
      </c>
      <c r="J182" s="172"/>
      <c r="L182" s="11"/>
      <c r="M182" s="5" t="s">
        <v>384</v>
      </c>
      <c r="N182" s="11"/>
      <c r="O182" s="11"/>
      <c r="P182" s="29"/>
      <c r="Q182" s="22"/>
      <c r="R182" s="23">
        <f t="shared" si="174"/>
        <v>0.8</v>
      </c>
      <c r="S182" s="75">
        <f t="shared" si="175"/>
        <v>0</v>
      </c>
      <c r="T182" s="172"/>
      <c r="V182" s="41" t="s">
        <v>355</v>
      </c>
      <c r="W182" s="5" t="s">
        <v>451</v>
      </c>
      <c r="X182" s="41"/>
      <c r="Y182" s="41"/>
      <c r="Z182" s="29"/>
      <c r="AA182" s="22"/>
      <c r="AB182" s="23">
        <f t="shared" si="176"/>
        <v>0.8</v>
      </c>
      <c r="AC182" s="75">
        <f t="shared" si="177"/>
        <v>0</v>
      </c>
      <c r="AD182" s="172"/>
    </row>
    <row r="183" spans="2:30" hidden="1" outlineLevel="1">
      <c r="B183" s="11"/>
      <c r="C183" s="5" t="s">
        <v>384</v>
      </c>
      <c r="D183" s="11"/>
      <c r="E183" s="11"/>
      <c r="F183" s="29"/>
      <c r="G183" s="22"/>
      <c r="H183" s="23">
        <f t="shared" si="172"/>
        <v>0.8</v>
      </c>
      <c r="I183" s="75">
        <f t="shared" si="173"/>
        <v>0</v>
      </c>
      <c r="J183" s="172"/>
      <c r="L183" s="11"/>
      <c r="M183" s="5" t="s">
        <v>384</v>
      </c>
      <c r="N183" s="11"/>
      <c r="O183" s="11"/>
      <c r="P183" s="29"/>
      <c r="Q183" s="22"/>
      <c r="R183" s="23">
        <f t="shared" si="174"/>
        <v>0.8</v>
      </c>
      <c r="S183" s="75">
        <f t="shared" si="175"/>
        <v>0</v>
      </c>
      <c r="T183" s="172"/>
      <c r="V183" s="41" t="s">
        <v>355</v>
      </c>
      <c r="W183" s="5" t="s">
        <v>451</v>
      </c>
      <c r="X183" s="41"/>
      <c r="Y183" s="41"/>
      <c r="Z183" s="29"/>
      <c r="AA183" s="22"/>
      <c r="AB183" s="23">
        <f t="shared" si="176"/>
        <v>0.8</v>
      </c>
      <c r="AC183" s="75">
        <f t="shared" si="177"/>
        <v>0</v>
      </c>
      <c r="AD183" s="172"/>
    </row>
    <row r="184" spans="2:30" hidden="1" outlineLevel="1">
      <c r="B184" s="11"/>
      <c r="C184" s="5" t="s">
        <v>384</v>
      </c>
      <c r="D184" s="11"/>
      <c r="E184" s="11"/>
      <c r="F184" s="29"/>
      <c r="G184" s="22"/>
      <c r="H184" s="23">
        <f t="shared" si="172"/>
        <v>0.8</v>
      </c>
      <c r="I184" s="75">
        <f t="shared" si="173"/>
        <v>0</v>
      </c>
      <c r="J184" s="172"/>
      <c r="L184" s="11"/>
      <c r="M184" s="5" t="s">
        <v>384</v>
      </c>
      <c r="N184" s="11"/>
      <c r="O184" s="11"/>
      <c r="P184" s="29"/>
      <c r="Q184" s="22"/>
      <c r="R184" s="23">
        <f t="shared" si="174"/>
        <v>0.8</v>
      </c>
      <c r="S184" s="75">
        <f t="shared" si="175"/>
        <v>0</v>
      </c>
      <c r="T184" s="172"/>
      <c r="V184" s="41" t="s">
        <v>355</v>
      </c>
      <c r="W184" s="5" t="s">
        <v>451</v>
      </c>
      <c r="X184" s="41"/>
      <c r="Y184" s="41"/>
      <c r="Z184" s="29"/>
      <c r="AA184" s="22"/>
      <c r="AB184" s="23">
        <f t="shared" si="176"/>
        <v>0.8</v>
      </c>
      <c r="AC184" s="75">
        <f t="shared" si="177"/>
        <v>0</v>
      </c>
      <c r="AD184" s="172"/>
    </row>
    <row r="185" spans="2:30" s="24" customFormat="1" collapsed="1">
      <c r="B185" s="8" t="str">
        <f>"Total "&amp;B169</f>
        <v>Total Facility (Factoring)</v>
      </c>
      <c r="C185" s="25"/>
      <c r="D185" s="28">
        <f>SUM(D170:D184)</f>
        <v>2551000</v>
      </c>
      <c r="E185" s="28">
        <f>SUM(E170:E184)</f>
        <v>0</v>
      </c>
      <c r="F185" s="30"/>
      <c r="G185" s="25"/>
      <c r="H185" s="169">
        <v>0.8</v>
      </c>
      <c r="I185" s="28">
        <f>SUM(I170:I184)</f>
        <v>122448</v>
      </c>
      <c r="J185" s="171"/>
      <c r="L185" s="8" t="str">
        <f>"Total "&amp;L169</f>
        <v>Total Facility (Factoring)</v>
      </c>
      <c r="M185" s="25"/>
      <c r="N185" s="28">
        <f>SUM(N170:N184)</f>
        <v>0</v>
      </c>
      <c r="O185" s="28">
        <f>SUM(O170:O184)</f>
        <v>0</v>
      </c>
      <c r="P185" s="30"/>
      <c r="Q185" s="25"/>
      <c r="R185" s="169">
        <v>0.8</v>
      </c>
      <c r="S185" s="28">
        <f>SUM(S170:S184)</f>
        <v>0</v>
      </c>
      <c r="T185" s="171"/>
      <c r="V185" s="8" t="str">
        <f>"Total "&amp;V169</f>
        <v>Total Facility (Factoring)</v>
      </c>
      <c r="W185" s="25"/>
      <c r="X185" s="28">
        <f>SUM(X170:X184)</f>
        <v>0</v>
      </c>
      <c r="Y185" s="28">
        <f>SUM(Y170:Y184)</f>
        <v>0</v>
      </c>
      <c r="Z185" s="30"/>
      <c r="AA185" s="25"/>
      <c r="AB185" s="169">
        <v>0.8</v>
      </c>
      <c r="AC185" s="28">
        <f>SUM(AC170:AC184)</f>
        <v>0</v>
      </c>
      <c r="AD185" s="171"/>
    </row>
    <row r="187" spans="2:30" s="20" customFormat="1" ht="41.4">
      <c r="B187" s="27" t="s">
        <v>18</v>
      </c>
      <c r="C187" s="3" t="str">
        <f>C$61</f>
        <v>Source</v>
      </c>
      <c r="D187" s="3" t="str">
        <f t="shared" ref="D187:J187" si="178">D$61</f>
        <v>Limit (A)</v>
      </c>
      <c r="E187" s="3" t="str">
        <f t="shared" si="178"/>
        <v>Outstanding (A1)</v>
      </c>
      <c r="F187" s="3" t="str">
        <f t="shared" si="178"/>
        <v>Monthly Repayment (B)</v>
      </c>
      <c r="G187" s="3" t="str">
        <f t="shared" si="178"/>
        <v>Interest Rate (C)</v>
      </c>
      <c r="H187" s="3" t="str">
        <f t="shared" si="178"/>
        <v>Factor (D)</v>
      </c>
      <c r="I187" s="3" t="str">
        <f t="shared" si="178"/>
        <v>Interest (E) = (A or A1) * (C) * (D)</v>
      </c>
      <c r="J187" s="3" t="str">
        <f t="shared" si="178"/>
        <v>Code Of Conduct</v>
      </c>
      <c r="L187" s="176" t="str">
        <f>B187</f>
        <v>Facility (Credit Card)</v>
      </c>
      <c r="M187" s="177" t="str">
        <f t="shared" ref="M187" si="179">C187</f>
        <v>Source</v>
      </c>
      <c r="N187" s="177" t="str">
        <f t="shared" ref="N187" si="180">D187</f>
        <v>Limit (A)</v>
      </c>
      <c r="O187" s="177" t="str">
        <f t="shared" ref="O187" si="181">E187</f>
        <v>Outstanding (A1)</v>
      </c>
      <c r="P187" s="177" t="str">
        <f t="shared" ref="P187" si="182">F187</f>
        <v>Monthly Repayment (B)</v>
      </c>
      <c r="Q187" s="177" t="str">
        <f t="shared" ref="Q187" si="183">G187</f>
        <v>Interest Rate (C)</v>
      </c>
      <c r="R187" s="177" t="str">
        <f t="shared" ref="R187" si="184">H187</f>
        <v>Factor (D)</v>
      </c>
      <c r="S187" s="177" t="str">
        <f t="shared" ref="S187" si="185">I187</f>
        <v>Interest (E) = (A or A1) * (C) * (D)</v>
      </c>
      <c r="T187" s="177" t="str">
        <f t="shared" ref="T187" si="186">J187</f>
        <v>Code Of Conduct</v>
      </c>
      <c r="V187" s="176" t="str">
        <f>L187</f>
        <v>Facility (Credit Card)</v>
      </c>
      <c r="W187" s="177" t="str">
        <f t="shared" ref="W187" si="187">M187</f>
        <v>Source</v>
      </c>
      <c r="X187" s="177" t="str">
        <f t="shared" ref="X187" si="188">N187</f>
        <v>Limit (A)</v>
      </c>
      <c r="Y187" s="177" t="str">
        <f t="shared" ref="Y187" si="189">O187</f>
        <v>Outstanding (A1)</v>
      </c>
      <c r="Z187" s="177" t="str">
        <f t="shared" ref="Z187" si="190">P187</f>
        <v>Monthly Repayment (B)</v>
      </c>
      <c r="AA187" s="177" t="str">
        <f t="shared" ref="AA187" si="191">Q187</f>
        <v>Interest Rate (C)</v>
      </c>
      <c r="AB187" s="177" t="str">
        <f t="shared" ref="AB187" si="192">R187</f>
        <v>Factor (D)</v>
      </c>
      <c r="AC187" s="177" t="str">
        <f t="shared" ref="AC187" si="193">S187</f>
        <v>Interest (E) = (A or A1) * (C) * (D)</v>
      </c>
      <c r="AD187" s="177" t="str">
        <f t="shared" ref="AD187" si="194">T187</f>
        <v>Code Of Conduct</v>
      </c>
    </row>
    <row r="188" spans="2:30">
      <c r="B188" s="11" t="s">
        <v>1049</v>
      </c>
      <c r="C188" s="5" t="s">
        <v>451</v>
      </c>
      <c r="D188" s="11">
        <v>20000</v>
      </c>
      <c r="E188" s="97">
        <v>14999</v>
      </c>
      <c r="F188" s="29"/>
      <c r="G188" s="22">
        <v>0.18</v>
      </c>
      <c r="H188" s="23">
        <f>H$203</f>
        <v>0.05</v>
      </c>
      <c r="I188" s="75">
        <f>E188*H188</f>
        <v>749.95</v>
      </c>
      <c r="J188" s="172"/>
      <c r="L188" s="11"/>
      <c r="M188" s="5" t="s">
        <v>382</v>
      </c>
      <c r="N188" s="11"/>
      <c r="O188" s="97"/>
      <c r="P188" s="29"/>
      <c r="Q188" s="22"/>
      <c r="R188" s="23">
        <f>R$203</f>
        <v>0.05</v>
      </c>
      <c r="S188" s="75">
        <f>O188*R188</f>
        <v>0</v>
      </c>
      <c r="T188" s="172"/>
      <c r="V188" s="41" t="s">
        <v>355</v>
      </c>
      <c r="W188" s="5" t="s">
        <v>451</v>
      </c>
      <c r="X188" s="41"/>
      <c r="Y188" s="41"/>
      <c r="Z188" s="29"/>
      <c r="AA188" s="22"/>
      <c r="AB188" s="23">
        <f>AB$203</f>
        <v>0.05</v>
      </c>
      <c r="AC188" s="75">
        <f>Y188*AB188</f>
        <v>0</v>
      </c>
      <c r="AD188" s="172"/>
    </row>
    <row r="189" spans="2:30">
      <c r="B189" s="11"/>
      <c r="C189" s="5" t="s">
        <v>384</v>
      </c>
      <c r="D189" s="11"/>
      <c r="E189" s="11"/>
      <c r="F189" s="29"/>
      <c r="G189" s="22"/>
      <c r="H189" s="23">
        <f t="shared" ref="H189:H202" si="195">H$203</f>
        <v>0.05</v>
      </c>
      <c r="I189" s="75">
        <f t="shared" ref="I189:I202" si="196">E189*H189</f>
        <v>0</v>
      </c>
      <c r="J189" s="172"/>
      <c r="L189" s="11"/>
      <c r="M189" s="5" t="s">
        <v>384</v>
      </c>
      <c r="N189" s="11"/>
      <c r="O189" s="11"/>
      <c r="P189" s="29"/>
      <c r="Q189" s="22"/>
      <c r="R189" s="23">
        <f t="shared" ref="R189:R202" si="197">R$203</f>
        <v>0.05</v>
      </c>
      <c r="S189" s="75">
        <f t="shared" ref="S189:S202" si="198">O189*R189</f>
        <v>0</v>
      </c>
      <c r="T189" s="172"/>
      <c r="V189" s="41" t="s">
        <v>355</v>
      </c>
      <c r="W189" s="5" t="s">
        <v>451</v>
      </c>
      <c r="X189" s="41"/>
      <c r="Y189" s="41"/>
      <c r="Z189" s="29"/>
      <c r="AA189" s="22"/>
      <c r="AB189" s="23">
        <f t="shared" ref="AB189:AB202" si="199">AB$203</f>
        <v>0.05</v>
      </c>
      <c r="AC189" s="75">
        <f t="shared" ref="AC189:AC202" si="200">Y189*AB189</f>
        <v>0</v>
      </c>
      <c r="AD189" s="172"/>
    </row>
    <row r="190" spans="2:30">
      <c r="B190" s="11"/>
      <c r="C190" s="5" t="s">
        <v>384</v>
      </c>
      <c r="D190" s="11"/>
      <c r="E190" s="11"/>
      <c r="F190" s="29"/>
      <c r="G190" s="22"/>
      <c r="H190" s="23">
        <f t="shared" si="195"/>
        <v>0.05</v>
      </c>
      <c r="I190" s="75">
        <f t="shared" si="196"/>
        <v>0</v>
      </c>
      <c r="J190" s="172"/>
      <c r="L190" s="11"/>
      <c r="M190" s="5" t="s">
        <v>384</v>
      </c>
      <c r="N190" s="11"/>
      <c r="O190" s="11"/>
      <c r="P190" s="29"/>
      <c r="Q190" s="22"/>
      <c r="R190" s="23">
        <f t="shared" si="197"/>
        <v>0.05</v>
      </c>
      <c r="S190" s="75">
        <f t="shared" si="198"/>
        <v>0</v>
      </c>
      <c r="T190" s="172"/>
      <c r="V190" s="41" t="s">
        <v>355</v>
      </c>
      <c r="W190" s="5" t="s">
        <v>451</v>
      </c>
      <c r="X190" s="41"/>
      <c r="Y190" s="41"/>
      <c r="Z190" s="29"/>
      <c r="AA190" s="22"/>
      <c r="AB190" s="23">
        <f t="shared" si="199"/>
        <v>0.05</v>
      </c>
      <c r="AC190" s="75">
        <f t="shared" si="200"/>
        <v>0</v>
      </c>
      <c r="AD190" s="172"/>
    </row>
    <row r="191" spans="2:30">
      <c r="B191" s="11"/>
      <c r="C191" s="5" t="s">
        <v>384</v>
      </c>
      <c r="D191" s="11"/>
      <c r="E191" s="11"/>
      <c r="F191" s="29"/>
      <c r="G191" s="22"/>
      <c r="H191" s="23">
        <f t="shared" si="195"/>
        <v>0.05</v>
      </c>
      <c r="I191" s="75">
        <f t="shared" si="196"/>
        <v>0</v>
      </c>
      <c r="J191" s="172"/>
      <c r="L191" s="11"/>
      <c r="M191" s="5" t="s">
        <v>384</v>
      </c>
      <c r="N191" s="11"/>
      <c r="O191" s="11"/>
      <c r="P191" s="29"/>
      <c r="Q191" s="22"/>
      <c r="R191" s="23">
        <f t="shared" si="197"/>
        <v>0.05</v>
      </c>
      <c r="S191" s="75">
        <f t="shared" si="198"/>
        <v>0</v>
      </c>
      <c r="T191" s="172"/>
      <c r="V191" s="41" t="s">
        <v>355</v>
      </c>
      <c r="W191" s="5" t="s">
        <v>451</v>
      </c>
      <c r="X191" s="41"/>
      <c r="Y191" s="41"/>
      <c r="Z191" s="29"/>
      <c r="AA191" s="22"/>
      <c r="AB191" s="23">
        <f t="shared" si="199"/>
        <v>0.05</v>
      </c>
      <c r="AC191" s="75">
        <f t="shared" si="200"/>
        <v>0</v>
      </c>
      <c r="AD191" s="172"/>
    </row>
    <row r="192" spans="2:30">
      <c r="B192" s="11"/>
      <c r="C192" s="5" t="s">
        <v>384</v>
      </c>
      <c r="D192" s="11"/>
      <c r="E192" s="11"/>
      <c r="F192" s="29"/>
      <c r="G192" s="22"/>
      <c r="H192" s="23">
        <f t="shared" si="195"/>
        <v>0.05</v>
      </c>
      <c r="I192" s="75">
        <f t="shared" si="196"/>
        <v>0</v>
      </c>
      <c r="J192" s="172"/>
      <c r="L192" s="11"/>
      <c r="M192" s="5" t="s">
        <v>384</v>
      </c>
      <c r="N192" s="11"/>
      <c r="O192" s="11"/>
      <c r="P192" s="29"/>
      <c r="Q192" s="22"/>
      <c r="R192" s="23">
        <f t="shared" si="197"/>
        <v>0.05</v>
      </c>
      <c r="S192" s="75">
        <f t="shared" si="198"/>
        <v>0</v>
      </c>
      <c r="T192" s="172"/>
      <c r="V192" s="41" t="s">
        <v>355</v>
      </c>
      <c r="W192" s="5" t="s">
        <v>451</v>
      </c>
      <c r="X192" s="41"/>
      <c r="Y192" s="41"/>
      <c r="Z192" s="29"/>
      <c r="AA192" s="22"/>
      <c r="AB192" s="23">
        <f t="shared" si="199"/>
        <v>0.05</v>
      </c>
      <c r="AC192" s="75">
        <f t="shared" si="200"/>
        <v>0</v>
      </c>
      <c r="AD192" s="172"/>
    </row>
    <row r="193" spans="1:30">
      <c r="B193" s="11"/>
      <c r="C193" s="5" t="s">
        <v>384</v>
      </c>
      <c r="D193" s="11"/>
      <c r="E193" s="11"/>
      <c r="F193" s="29"/>
      <c r="G193" s="22"/>
      <c r="H193" s="23">
        <f t="shared" si="195"/>
        <v>0.05</v>
      </c>
      <c r="I193" s="75">
        <f t="shared" si="196"/>
        <v>0</v>
      </c>
      <c r="J193" s="172"/>
      <c r="L193" s="11"/>
      <c r="M193" s="5" t="s">
        <v>384</v>
      </c>
      <c r="N193" s="11"/>
      <c r="O193" s="11"/>
      <c r="P193" s="29"/>
      <c r="Q193" s="22"/>
      <c r="R193" s="23">
        <f t="shared" si="197"/>
        <v>0.05</v>
      </c>
      <c r="S193" s="75">
        <f t="shared" si="198"/>
        <v>0</v>
      </c>
      <c r="T193" s="172"/>
      <c r="V193" s="41" t="s">
        <v>355</v>
      </c>
      <c r="W193" s="5" t="s">
        <v>451</v>
      </c>
      <c r="X193" s="41"/>
      <c r="Y193" s="41"/>
      <c r="Z193" s="29"/>
      <c r="AA193" s="22"/>
      <c r="AB193" s="23">
        <f t="shared" si="199"/>
        <v>0.05</v>
      </c>
      <c r="AC193" s="75">
        <f t="shared" si="200"/>
        <v>0</v>
      </c>
      <c r="AD193" s="172"/>
    </row>
    <row r="194" spans="1:30" hidden="1" outlineLevel="1">
      <c r="B194" s="11"/>
      <c r="C194" s="5" t="s">
        <v>384</v>
      </c>
      <c r="D194" s="11"/>
      <c r="E194" s="11"/>
      <c r="F194" s="29"/>
      <c r="G194" s="22"/>
      <c r="H194" s="23">
        <f t="shared" si="195"/>
        <v>0.05</v>
      </c>
      <c r="I194" s="75">
        <f t="shared" si="196"/>
        <v>0</v>
      </c>
      <c r="J194" s="172"/>
      <c r="L194" s="11"/>
      <c r="M194" s="5" t="s">
        <v>384</v>
      </c>
      <c r="N194" s="11"/>
      <c r="O194" s="11"/>
      <c r="P194" s="29"/>
      <c r="Q194" s="22"/>
      <c r="R194" s="23">
        <f t="shared" si="197"/>
        <v>0.05</v>
      </c>
      <c r="S194" s="75">
        <f t="shared" si="198"/>
        <v>0</v>
      </c>
      <c r="T194" s="172"/>
      <c r="V194" s="41" t="s">
        <v>355</v>
      </c>
      <c r="W194" s="5" t="s">
        <v>451</v>
      </c>
      <c r="X194" s="41"/>
      <c r="Y194" s="41"/>
      <c r="Z194" s="29"/>
      <c r="AA194" s="22"/>
      <c r="AB194" s="23">
        <f t="shared" si="199"/>
        <v>0.05</v>
      </c>
      <c r="AC194" s="75">
        <f t="shared" si="200"/>
        <v>0</v>
      </c>
      <c r="AD194" s="172"/>
    </row>
    <row r="195" spans="1:30" hidden="1" outlineLevel="1">
      <c r="B195" s="11"/>
      <c r="C195" s="5" t="s">
        <v>384</v>
      </c>
      <c r="D195" s="11"/>
      <c r="E195" s="11"/>
      <c r="F195" s="29"/>
      <c r="G195" s="22"/>
      <c r="H195" s="23">
        <f t="shared" si="195"/>
        <v>0.05</v>
      </c>
      <c r="I195" s="75">
        <f t="shared" si="196"/>
        <v>0</v>
      </c>
      <c r="J195" s="172"/>
      <c r="L195" s="11"/>
      <c r="M195" s="5" t="s">
        <v>384</v>
      </c>
      <c r="N195" s="11"/>
      <c r="O195" s="11"/>
      <c r="P195" s="29"/>
      <c r="Q195" s="22"/>
      <c r="R195" s="23">
        <f t="shared" si="197"/>
        <v>0.05</v>
      </c>
      <c r="S195" s="75">
        <f t="shared" si="198"/>
        <v>0</v>
      </c>
      <c r="T195" s="172"/>
      <c r="V195" s="41" t="s">
        <v>355</v>
      </c>
      <c r="W195" s="5" t="s">
        <v>451</v>
      </c>
      <c r="X195" s="41"/>
      <c r="Y195" s="41"/>
      <c r="Z195" s="29"/>
      <c r="AA195" s="22"/>
      <c r="AB195" s="23">
        <f t="shared" si="199"/>
        <v>0.05</v>
      </c>
      <c r="AC195" s="75">
        <f t="shared" si="200"/>
        <v>0</v>
      </c>
      <c r="AD195" s="172"/>
    </row>
    <row r="196" spans="1:30" hidden="1" outlineLevel="1">
      <c r="B196" s="11"/>
      <c r="C196" s="5" t="s">
        <v>384</v>
      </c>
      <c r="D196" s="11"/>
      <c r="E196" s="11"/>
      <c r="F196" s="29"/>
      <c r="G196" s="22"/>
      <c r="H196" s="23">
        <f t="shared" si="195"/>
        <v>0.05</v>
      </c>
      <c r="I196" s="75">
        <f t="shared" si="196"/>
        <v>0</v>
      </c>
      <c r="J196" s="172"/>
      <c r="L196" s="11"/>
      <c r="M196" s="5" t="s">
        <v>384</v>
      </c>
      <c r="N196" s="11"/>
      <c r="O196" s="11"/>
      <c r="P196" s="29"/>
      <c r="Q196" s="22"/>
      <c r="R196" s="23">
        <f t="shared" si="197"/>
        <v>0.05</v>
      </c>
      <c r="S196" s="75">
        <f t="shared" si="198"/>
        <v>0</v>
      </c>
      <c r="T196" s="172"/>
      <c r="V196" s="41" t="s">
        <v>355</v>
      </c>
      <c r="W196" s="5" t="s">
        <v>451</v>
      </c>
      <c r="X196" s="41"/>
      <c r="Y196" s="41"/>
      <c r="Z196" s="29"/>
      <c r="AA196" s="22"/>
      <c r="AB196" s="23">
        <f t="shared" si="199"/>
        <v>0.05</v>
      </c>
      <c r="AC196" s="75">
        <f t="shared" si="200"/>
        <v>0</v>
      </c>
      <c r="AD196" s="172"/>
    </row>
    <row r="197" spans="1:30" hidden="1" outlineLevel="1">
      <c r="B197" s="11"/>
      <c r="C197" s="5" t="s">
        <v>384</v>
      </c>
      <c r="D197" s="11"/>
      <c r="E197" s="11"/>
      <c r="F197" s="29"/>
      <c r="G197" s="22"/>
      <c r="H197" s="23">
        <f t="shared" si="195"/>
        <v>0.05</v>
      </c>
      <c r="I197" s="75">
        <f t="shared" si="196"/>
        <v>0</v>
      </c>
      <c r="J197" s="172"/>
      <c r="L197" s="11"/>
      <c r="M197" s="5" t="s">
        <v>384</v>
      </c>
      <c r="N197" s="11"/>
      <c r="O197" s="11"/>
      <c r="P197" s="29"/>
      <c r="Q197" s="22"/>
      <c r="R197" s="23">
        <f t="shared" si="197"/>
        <v>0.05</v>
      </c>
      <c r="S197" s="75">
        <f t="shared" si="198"/>
        <v>0</v>
      </c>
      <c r="T197" s="172"/>
      <c r="V197" s="41" t="s">
        <v>355</v>
      </c>
      <c r="W197" s="5" t="s">
        <v>451</v>
      </c>
      <c r="X197" s="41"/>
      <c r="Y197" s="41"/>
      <c r="Z197" s="29"/>
      <c r="AA197" s="22"/>
      <c r="AB197" s="23">
        <f t="shared" si="199"/>
        <v>0.05</v>
      </c>
      <c r="AC197" s="75">
        <f t="shared" si="200"/>
        <v>0</v>
      </c>
      <c r="AD197" s="172"/>
    </row>
    <row r="198" spans="1:30" hidden="1" outlineLevel="1">
      <c r="B198" s="11"/>
      <c r="C198" s="5" t="s">
        <v>384</v>
      </c>
      <c r="D198" s="11"/>
      <c r="E198" s="11"/>
      <c r="F198" s="29"/>
      <c r="G198" s="22"/>
      <c r="H198" s="23">
        <f t="shared" si="195"/>
        <v>0.05</v>
      </c>
      <c r="I198" s="75">
        <f t="shared" si="196"/>
        <v>0</v>
      </c>
      <c r="J198" s="172"/>
      <c r="L198" s="11"/>
      <c r="M198" s="5" t="s">
        <v>384</v>
      </c>
      <c r="N198" s="11"/>
      <c r="O198" s="11"/>
      <c r="P198" s="29"/>
      <c r="Q198" s="22"/>
      <c r="R198" s="23">
        <f t="shared" si="197"/>
        <v>0.05</v>
      </c>
      <c r="S198" s="75">
        <f t="shared" si="198"/>
        <v>0</v>
      </c>
      <c r="T198" s="172"/>
      <c r="V198" s="41" t="s">
        <v>355</v>
      </c>
      <c r="W198" s="5" t="s">
        <v>451</v>
      </c>
      <c r="X198" s="41"/>
      <c r="Y198" s="41"/>
      <c r="Z198" s="29"/>
      <c r="AA198" s="22"/>
      <c r="AB198" s="23">
        <f t="shared" si="199"/>
        <v>0.05</v>
      </c>
      <c r="AC198" s="75">
        <f t="shared" si="200"/>
        <v>0</v>
      </c>
      <c r="AD198" s="172"/>
    </row>
    <row r="199" spans="1:30" hidden="1" outlineLevel="1">
      <c r="B199" s="11"/>
      <c r="C199" s="5" t="s">
        <v>384</v>
      </c>
      <c r="D199" s="11"/>
      <c r="E199" s="11"/>
      <c r="F199" s="29"/>
      <c r="G199" s="22"/>
      <c r="H199" s="23">
        <f t="shared" si="195"/>
        <v>0.05</v>
      </c>
      <c r="I199" s="75">
        <f t="shared" si="196"/>
        <v>0</v>
      </c>
      <c r="J199" s="172"/>
      <c r="L199" s="11"/>
      <c r="M199" s="5" t="s">
        <v>384</v>
      </c>
      <c r="N199" s="11"/>
      <c r="O199" s="11"/>
      <c r="P199" s="29"/>
      <c r="Q199" s="22"/>
      <c r="R199" s="23">
        <f t="shared" si="197"/>
        <v>0.05</v>
      </c>
      <c r="S199" s="75">
        <f t="shared" si="198"/>
        <v>0</v>
      </c>
      <c r="T199" s="172"/>
      <c r="V199" s="41" t="s">
        <v>355</v>
      </c>
      <c r="W199" s="5" t="s">
        <v>451</v>
      </c>
      <c r="X199" s="41"/>
      <c r="Y199" s="41"/>
      <c r="Z199" s="29"/>
      <c r="AA199" s="22"/>
      <c r="AB199" s="23">
        <f t="shared" si="199"/>
        <v>0.05</v>
      </c>
      <c r="AC199" s="75">
        <f t="shared" si="200"/>
        <v>0</v>
      </c>
      <c r="AD199" s="172"/>
    </row>
    <row r="200" spans="1:30" hidden="1" outlineLevel="1">
      <c r="B200" s="11"/>
      <c r="C200" s="5" t="s">
        <v>384</v>
      </c>
      <c r="D200" s="11"/>
      <c r="E200" s="11"/>
      <c r="F200" s="29"/>
      <c r="G200" s="22"/>
      <c r="H200" s="23">
        <f t="shared" si="195"/>
        <v>0.05</v>
      </c>
      <c r="I200" s="75">
        <f t="shared" si="196"/>
        <v>0</v>
      </c>
      <c r="J200" s="172"/>
      <c r="L200" s="11"/>
      <c r="M200" s="5" t="s">
        <v>384</v>
      </c>
      <c r="N200" s="11"/>
      <c r="O200" s="11"/>
      <c r="P200" s="29"/>
      <c r="Q200" s="22"/>
      <c r="R200" s="23">
        <f t="shared" si="197"/>
        <v>0.05</v>
      </c>
      <c r="S200" s="75">
        <f t="shared" si="198"/>
        <v>0</v>
      </c>
      <c r="T200" s="172"/>
      <c r="V200" s="41" t="s">
        <v>355</v>
      </c>
      <c r="W200" s="5" t="s">
        <v>451</v>
      </c>
      <c r="X200" s="41"/>
      <c r="Y200" s="41"/>
      <c r="Z200" s="29"/>
      <c r="AA200" s="22"/>
      <c r="AB200" s="23">
        <f t="shared" si="199"/>
        <v>0.05</v>
      </c>
      <c r="AC200" s="75">
        <f t="shared" si="200"/>
        <v>0</v>
      </c>
      <c r="AD200" s="172"/>
    </row>
    <row r="201" spans="1:30" hidden="1" outlineLevel="1">
      <c r="B201" s="11"/>
      <c r="C201" s="5" t="s">
        <v>384</v>
      </c>
      <c r="D201" s="11"/>
      <c r="E201" s="11"/>
      <c r="F201" s="29"/>
      <c r="G201" s="22"/>
      <c r="H201" s="23">
        <f t="shared" si="195"/>
        <v>0.05</v>
      </c>
      <c r="I201" s="75">
        <f t="shared" si="196"/>
        <v>0</v>
      </c>
      <c r="J201" s="172"/>
      <c r="L201" s="11"/>
      <c r="M201" s="5" t="s">
        <v>384</v>
      </c>
      <c r="N201" s="11"/>
      <c r="O201" s="11"/>
      <c r="P201" s="29"/>
      <c r="Q201" s="22"/>
      <c r="R201" s="23">
        <f t="shared" si="197"/>
        <v>0.05</v>
      </c>
      <c r="S201" s="75">
        <f t="shared" si="198"/>
        <v>0</v>
      </c>
      <c r="T201" s="172"/>
      <c r="V201" s="41" t="s">
        <v>355</v>
      </c>
      <c r="W201" s="5" t="s">
        <v>451</v>
      </c>
      <c r="X201" s="41"/>
      <c r="Y201" s="41"/>
      <c r="Z201" s="29"/>
      <c r="AA201" s="22"/>
      <c r="AB201" s="23">
        <f t="shared" si="199"/>
        <v>0.05</v>
      </c>
      <c r="AC201" s="75">
        <f t="shared" si="200"/>
        <v>0</v>
      </c>
      <c r="AD201" s="172"/>
    </row>
    <row r="202" spans="1:30" hidden="1" outlineLevel="1">
      <c r="B202" s="11"/>
      <c r="C202" s="5" t="s">
        <v>384</v>
      </c>
      <c r="D202" s="11"/>
      <c r="E202" s="11"/>
      <c r="F202" s="29"/>
      <c r="G202" s="22"/>
      <c r="H202" s="23">
        <f t="shared" si="195"/>
        <v>0.05</v>
      </c>
      <c r="I202" s="75">
        <f t="shared" si="196"/>
        <v>0</v>
      </c>
      <c r="J202" s="172"/>
      <c r="L202" s="11"/>
      <c r="M202" s="5" t="s">
        <v>384</v>
      </c>
      <c r="N202" s="11"/>
      <c r="O202" s="11"/>
      <c r="P202" s="29"/>
      <c r="Q202" s="22"/>
      <c r="R202" s="23">
        <f t="shared" si="197"/>
        <v>0.05</v>
      </c>
      <c r="S202" s="75">
        <f t="shared" si="198"/>
        <v>0</v>
      </c>
      <c r="T202" s="172"/>
      <c r="V202" s="41" t="s">
        <v>355</v>
      </c>
      <c r="W202" s="5" t="s">
        <v>451</v>
      </c>
      <c r="X202" s="41"/>
      <c r="Y202" s="41"/>
      <c r="Z202" s="29"/>
      <c r="AA202" s="22"/>
      <c r="AB202" s="23">
        <f t="shared" si="199"/>
        <v>0.05</v>
      </c>
      <c r="AC202" s="75">
        <f t="shared" si="200"/>
        <v>0</v>
      </c>
      <c r="AD202" s="172"/>
    </row>
    <row r="203" spans="1:30" s="24" customFormat="1" collapsed="1">
      <c r="B203" s="8" t="str">
        <f>"Total "&amp;B187</f>
        <v>Total Facility (Credit Card)</v>
      </c>
      <c r="C203" s="25"/>
      <c r="D203" s="28">
        <f>SUM(D188:D202)</f>
        <v>20000</v>
      </c>
      <c r="E203" s="28">
        <f>SUM(E188:E202)</f>
        <v>14999</v>
      </c>
      <c r="F203" s="30"/>
      <c r="G203" s="25"/>
      <c r="H203" s="169">
        <v>0.05</v>
      </c>
      <c r="I203" s="28">
        <f>SUM(I188:I202)</f>
        <v>749.95</v>
      </c>
      <c r="J203" s="171"/>
      <c r="L203" s="8" t="str">
        <f>"Total "&amp;L187</f>
        <v>Total Facility (Credit Card)</v>
      </c>
      <c r="M203" s="25"/>
      <c r="N203" s="28">
        <f>SUM(N188:N202)</f>
        <v>0</v>
      </c>
      <c r="O203" s="28">
        <f>SUM(O188:O202)</f>
        <v>0</v>
      </c>
      <c r="P203" s="30"/>
      <c r="Q203" s="25"/>
      <c r="R203" s="169">
        <v>0.05</v>
      </c>
      <c r="S203" s="28">
        <f>SUM(S188:S202)</f>
        <v>0</v>
      </c>
      <c r="T203" s="171"/>
      <c r="V203" s="8" t="str">
        <f>"Total "&amp;V187</f>
        <v>Total Facility (Credit Card)</v>
      </c>
      <c r="W203" s="25"/>
      <c r="X203" s="28">
        <f>SUM(X188:X202)</f>
        <v>0</v>
      </c>
      <c r="Y203" s="28">
        <f>SUM(Y188:Y202)</f>
        <v>0</v>
      </c>
      <c r="Z203" s="30"/>
      <c r="AA203" s="25"/>
      <c r="AB203" s="169">
        <v>0.05</v>
      </c>
      <c r="AC203" s="28">
        <f>SUM(AC188:AC202)</f>
        <v>0</v>
      </c>
      <c r="AD203" s="171"/>
    </row>
    <row r="205" spans="1:30" s="20" customFormat="1" ht="41.4">
      <c r="B205" s="27" t="s">
        <v>16</v>
      </c>
      <c r="C205" s="3" t="str">
        <f>C$61</f>
        <v>Source</v>
      </c>
      <c r="D205" s="3" t="str">
        <f t="shared" ref="D205:J205" si="201">D$61</f>
        <v>Limit (A)</v>
      </c>
      <c r="E205" s="3" t="str">
        <f t="shared" si="201"/>
        <v>Outstanding (A1)</v>
      </c>
      <c r="F205" s="3" t="str">
        <f t="shared" si="201"/>
        <v>Monthly Repayment (B)</v>
      </c>
      <c r="G205" s="3" t="str">
        <f t="shared" si="201"/>
        <v>Interest Rate (C)</v>
      </c>
      <c r="H205" s="3" t="str">
        <f t="shared" si="201"/>
        <v>Factor (D)</v>
      </c>
      <c r="I205" s="3" t="str">
        <f t="shared" si="201"/>
        <v>Interest (E) = (A or A1) * (C) * (D)</v>
      </c>
      <c r="J205" s="3" t="str">
        <f t="shared" si="201"/>
        <v>Code Of Conduct</v>
      </c>
      <c r="L205" s="176" t="str">
        <f>B205</f>
        <v>Facility (Term-loan)</v>
      </c>
      <c r="M205" s="177" t="str">
        <f t="shared" ref="M205" si="202">C205</f>
        <v>Source</v>
      </c>
      <c r="N205" s="177" t="str">
        <f t="shared" ref="N205" si="203">D205</f>
        <v>Limit (A)</v>
      </c>
      <c r="O205" s="177" t="str">
        <f t="shared" ref="O205" si="204">E205</f>
        <v>Outstanding (A1)</v>
      </c>
      <c r="P205" s="177" t="str">
        <f t="shared" ref="P205" si="205">F205</f>
        <v>Monthly Repayment (B)</v>
      </c>
      <c r="Q205" s="177" t="str">
        <f t="shared" ref="Q205" si="206">G205</f>
        <v>Interest Rate (C)</v>
      </c>
      <c r="R205" s="177" t="str">
        <f t="shared" ref="R205" si="207">H205</f>
        <v>Factor (D)</v>
      </c>
      <c r="S205" s="177" t="str">
        <f t="shared" ref="S205" si="208">I205</f>
        <v>Interest (E) = (A or A1) * (C) * (D)</v>
      </c>
      <c r="T205" s="177" t="str">
        <f t="shared" ref="T205" si="209">J205</f>
        <v>Code Of Conduct</v>
      </c>
      <c r="V205" s="176" t="str">
        <f>L205</f>
        <v>Facility (Term-loan)</v>
      </c>
      <c r="W205" s="177" t="str">
        <f t="shared" ref="W205" si="210">M205</f>
        <v>Source</v>
      </c>
      <c r="X205" s="177" t="str">
        <f t="shared" ref="X205" si="211">N205</f>
        <v>Limit (A)</v>
      </c>
      <c r="Y205" s="177" t="str">
        <f t="shared" ref="Y205" si="212">O205</f>
        <v>Outstanding (A1)</v>
      </c>
      <c r="Z205" s="177" t="str">
        <f t="shared" ref="Z205" si="213">P205</f>
        <v>Monthly Repayment (B)</v>
      </c>
      <c r="AA205" s="177" t="str">
        <f t="shared" ref="AA205" si="214">Q205</f>
        <v>Interest Rate (C)</v>
      </c>
      <c r="AB205" s="177" t="str">
        <f t="shared" ref="AB205" si="215">R205</f>
        <v>Factor (D)</v>
      </c>
      <c r="AC205" s="177" t="str">
        <f t="shared" ref="AC205" si="216">S205</f>
        <v>Interest (E) = (A or A1) * (C) * (D)</v>
      </c>
      <c r="AD205" s="177" t="str">
        <f t="shared" ref="AD205" si="217">T205</f>
        <v>Code Of Conduct</v>
      </c>
    </row>
    <row r="206" spans="1:30">
      <c r="A206" s="2" t="s">
        <v>1063</v>
      </c>
      <c r="B206" s="11" t="s">
        <v>1046</v>
      </c>
      <c r="C206" s="5" t="s">
        <v>451</v>
      </c>
      <c r="D206" s="97">
        <v>300000</v>
      </c>
      <c r="E206" s="97">
        <v>203860</v>
      </c>
      <c r="F206" s="97">
        <v>4382</v>
      </c>
      <c r="G206" s="22"/>
      <c r="H206" s="32"/>
      <c r="I206" s="29"/>
      <c r="J206" s="172"/>
      <c r="L206" s="11"/>
      <c r="M206" s="5" t="s">
        <v>382</v>
      </c>
      <c r="N206" s="97"/>
      <c r="O206" s="97"/>
      <c r="P206" s="97"/>
      <c r="Q206" s="22"/>
      <c r="R206" s="32"/>
      <c r="S206" s="29"/>
      <c r="T206" s="172"/>
      <c r="V206" s="41" t="s">
        <v>355</v>
      </c>
      <c r="W206" s="5" t="s">
        <v>451</v>
      </c>
      <c r="X206" s="40"/>
      <c r="Y206" s="40"/>
      <c r="Z206" s="40"/>
      <c r="AA206" s="22"/>
      <c r="AB206" s="32"/>
      <c r="AC206" s="29"/>
      <c r="AD206" s="172"/>
    </row>
    <row r="207" spans="1:30">
      <c r="A207" s="2" t="s">
        <v>1062</v>
      </c>
      <c r="B207" s="11" t="s">
        <v>1047</v>
      </c>
      <c r="C207" s="5" t="s">
        <v>451</v>
      </c>
      <c r="D207" s="97">
        <v>500000</v>
      </c>
      <c r="E207" s="97">
        <v>388955</v>
      </c>
      <c r="F207" s="97">
        <v>7711</v>
      </c>
      <c r="G207" s="22"/>
      <c r="H207" s="32"/>
      <c r="I207" s="29"/>
      <c r="J207" s="172" t="s">
        <v>1058</v>
      </c>
      <c r="L207" s="11"/>
      <c r="M207" s="5" t="s">
        <v>384</v>
      </c>
      <c r="N207" s="97"/>
      <c r="O207" s="97"/>
      <c r="P207" s="97"/>
      <c r="Q207" s="22"/>
      <c r="R207" s="32"/>
      <c r="S207" s="29"/>
      <c r="T207" s="172"/>
      <c r="V207" s="41" t="s">
        <v>355</v>
      </c>
      <c r="W207" s="5" t="s">
        <v>451</v>
      </c>
      <c r="X207" s="40"/>
      <c r="Y207" s="40"/>
      <c r="Z207" s="40"/>
      <c r="AA207" s="22"/>
      <c r="AB207" s="32"/>
      <c r="AC207" s="29"/>
      <c r="AD207" s="172"/>
    </row>
    <row r="208" spans="1:30">
      <c r="B208" s="11"/>
      <c r="C208" s="5" t="s">
        <v>384</v>
      </c>
      <c r="D208" s="97">
        <v>50000</v>
      </c>
      <c r="E208" s="97">
        <v>48661</v>
      </c>
      <c r="F208" s="97">
        <v>1000</v>
      </c>
      <c r="G208" s="22"/>
      <c r="H208" s="32"/>
      <c r="I208" s="29"/>
      <c r="J208" s="172"/>
      <c r="L208" s="11"/>
      <c r="M208" s="5" t="s">
        <v>384</v>
      </c>
      <c r="N208" s="97"/>
      <c r="O208" s="97"/>
      <c r="P208" s="97"/>
      <c r="Q208" s="22"/>
      <c r="R208" s="32"/>
      <c r="S208" s="29"/>
      <c r="T208" s="172"/>
      <c r="V208" s="41" t="s">
        <v>355</v>
      </c>
      <c r="W208" s="5" t="s">
        <v>451</v>
      </c>
      <c r="X208" s="40"/>
      <c r="Y208" s="40"/>
      <c r="Z208" s="40"/>
      <c r="AA208" s="22"/>
      <c r="AB208" s="32"/>
      <c r="AC208" s="29"/>
      <c r="AD208" s="172"/>
    </row>
    <row r="209" spans="2:30">
      <c r="B209" s="11"/>
      <c r="C209" s="5" t="s">
        <v>384</v>
      </c>
      <c r="D209" s="97"/>
      <c r="E209" s="97"/>
      <c r="F209" s="97"/>
      <c r="G209" s="22"/>
      <c r="H209" s="32"/>
      <c r="I209" s="29"/>
      <c r="J209" s="172"/>
      <c r="L209" s="11"/>
      <c r="M209" s="5" t="s">
        <v>384</v>
      </c>
      <c r="N209" s="97"/>
      <c r="O209" s="97"/>
      <c r="P209" s="97"/>
      <c r="Q209" s="22"/>
      <c r="R209" s="32"/>
      <c r="S209" s="29"/>
      <c r="T209" s="172"/>
      <c r="V209" s="41" t="s">
        <v>355</v>
      </c>
      <c r="W209" s="5" t="s">
        <v>451</v>
      </c>
      <c r="X209" s="40"/>
      <c r="Y209" s="40"/>
      <c r="Z209" s="40"/>
      <c r="AA209" s="22"/>
      <c r="AB209" s="32"/>
      <c r="AC209" s="29"/>
      <c r="AD209" s="172"/>
    </row>
    <row r="210" spans="2:30">
      <c r="B210" s="11"/>
      <c r="C210" s="5" t="s">
        <v>384</v>
      </c>
      <c r="D210" s="97"/>
      <c r="E210" s="97"/>
      <c r="F210" s="97"/>
      <c r="G210" s="22"/>
      <c r="H210" s="32"/>
      <c r="I210" s="29"/>
      <c r="J210" s="172"/>
      <c r="L210" s="11"/>
      <c r="M210" s="5" t="s">
        <v>384</v>
      </c>
      <c r="N210" s="11"/>
      <c r="O210" s="11"/>
      <c r="P210" s="11"/>
      <c r="Q210" s="22"/>
      <c r="R210" s="32"/>
      <c r="S210" s="29"/>
      <c r="T210" s="172"/>
      <c r="V210" s="41" t="s">
        <v>355</v>
      </c>
      <c r="W210" s="5" t="s">
        <v>451</v>
      </c>
      <c r="X210" s="40"/>
      <c r="Y210" s="40"/>
      <c r="Z210" s="40"/>
      <c r="AA210" s="22"/>
      <c r="AB210" s="32"/>
      <c r="AC210" s="29"/>
      <c r="AD210" s="172"/>
    </row>
    <row r="211" spans="2:30">
      <c r="B211" s="11"/>
      <c r="C211" s="5" t="s">
        <v>384</v>
      </c>
      <c r="D211" s="97"/>
      <c r="E211" s="97"/>
      <c r="F211" s="97"/>
      <c r="G211" s="22"/>
      <c r="H211" s="32"/>
      <c r="I211" s="29"/>
      <c r="J211" s="172"/>
      <c r="L211" s="11"/>
      <c r="M211" s="5" t="s">
        <v>384</v>
      </c>
      <c r="N211" s="11"/>
      <c r="O211" s="11"/>
      <c r="P211" s="11"/>
      <c r="Q211" s="22"/>
      <c r="R211" s="32"/>
      <c r="S211" s="29"/>
      <c r="T211" s="172"/>
      <c r="V211" s="41" t="s">
        <v>355</v>
      </c>
      <c r="W211" s="5" t="s">
        <v>451</v>
      </c>
      <c r="X211" s="40"/>
      <c r="Y211" s="40"/>
      <c r="Z211" s="40"/>
      <c r="AA211" s="22"/>
      <c r="AB211" s="32"/>
      <c r="AC211" s="29"/>
      <c r="AD211" s="172"/>
    </row>
    <row r="212" spans="2:30" hidden="1" outlineLevel="1">
      <c r="B212" s="11"/>
      <c r="C212" s="5" t="s">
        <v>451</v>
      </c>
      <c r="D212" s="97"/>
      <c r="E212" s="97"/>
      <c r="F212" s="97"/>
      <c r="G212" s="22"/>
      <c r="H212" s="32"/>
      <c r="I212" s="29"/>
      <c r="J212" s="172"/>
      <c r="L212" s="11"/>
      <c r="M212" s="5" t="s">
        <v>384</v>
      </c>
      <c r="N212" s="11"/>
      <c r="O212" s="11"/>
      <c r="P212" s="11"/>
      <c r="Q212" s="22"/>
      <c r="R212" s="32"/>
      <c r="S212" s="29"/>
      <c r="T212" s="172"/>
      <c r="V212" s="41" t="s">
        <v>355</v>
      </c>
      <c r="W212" s="5" t="s">
        <v>451</v>
      </c>
      <c r="X212" s="40"/>
      <c r="Y212" s="40"/>
      <c r="Z212" s="40"/>
      <c r="AA212" s="22"/>
      <c r="AB212" s="32"/>
      <c r="AC212" s="29"/>
      <c r="AD212" s="172"/>
    </row>
    <row r="213" spans="2:30" hidden="1" outlineLevel="1">
      <c r="B213" s="11"/>
      <c r="C213" s="5" t="s">
        <v>384</v>
      </c>
      <c r="D213" s="97"/>
      <c r="E213" s="97"/>
      <c r="F213" s="97"/>
      <c r="G213" s="22"/>
      <c r="H213" s="32"/>
      <c r="I213" s="29"/>
      <c r="J213" s="172"/>
      <c r="L213" s="11"/>
      <c r="M213" s="5" t="s">
        <v>384</v>
      </c>
      <c r="N213" s="11"/>
      <c r="O213" s="11"/>
      <c r="P213" s="11"/>
      <c r="Q213" s="22"/>
      <c r="R213" s="32"/>
      <c r="S213" s="29"/>
      <c r="T213" s="172"/>
      <c r="V213" s="41" t="s">
        <v>355</v>
      </c>
      <c r="W213" s="5" t="s">
        <v>451</v>
      </c>
      <c r="X213" s="41"/>
      <c r="Y213" s="41"/>
      <c r="Z213" s="41"/>
      <c r="AA213" s="22"/>
      <c r="AB213" s="32"/>
      <c r="AC213" s="29"/>
      <c r="AD213" s="172"/>
    </row>
    <row r="214" spans="2:30" hidden="1" outlineLevel="1">
      <c r="B214" s="11"/>
      <c r="C214" s="5" t="s">
        <v>384</v>
      </c>
      <c r="D214" s="11"/>
      <c r="E214" s="11"/>
      <c r="F214" s="11"/>
      <c r="G214" s="22"/>
      <c r="H214" s="32"/>
      <c r="I214" s="29"/>
      <c r="J214" s="172"/>
      <c r="L214" s="11"/>
      <c r="M214" s="5" t="s">
        <v>384</v>
      </c>
      <c r="N214" s="11"/>
      <c r="O214" s="11"/>
      <c r="P214" s="11"/>
      <c r="Q214" s="22"/>
      <c r="R214" s="32"/>
      <c r="S214" s="29"/>
      <c r="T214" s="172"/>
      <c r="V214" s="41" t="s">
        <v>355</v>
      </c>
      <c r="W214" s="5" t="s">
        <v>451</v>
      </c>
      <c r="X214" s="41"/>
      <c r="Y214" s="41"/>
      <c r="Z214" s="41"/>
      <c r="AA214" s="22"/>
      <c r="AB214" s="32"/>
      <c r="AC214" s="29"/>
      <c r="AD214" s="172"/>
    </row>
    <row r="215" spans="2:30" hidden="1" outlineLevel="1">
      <c r="B215" s="11"/>
      <c r="C215" s="5" t="s">
        <v>384</v>
      </c>
      <c r="D215" s="11"/>
      <c r="E215" s="11"/>
      <c r="F215" s="11"/>
      <c r="G215" s="22"/>
      <c r="H215" s="32"/>
      <c r="I215" s="29"/>
      <c r="J215" s="172"/>
      <c r="L215" s="11"/>
      <c r="M215" s="5" t="s">
        <v>384</v>
      </c>
      <c r="N215" s="11"/>
      <c r="O215" s="11"/>
      <c r="P215" s="11"/>
      <c r="Q215" s="22"/>
      <c r="R215" s="32"/>
      <c r="S215" s="29"/>
      <c r="T215" s="172"/>
      <c r="V215" s="41" t="s">
        <v>355</v>
      </c>
      <c r="W215" s="5" t="s">
        <v>451</v>
      </c>
      <c r="X215" s="41"/>
      <c r="Y215" s="41"/>
      <c r="Z215" s="41"/>
      <c r="AA215" s="22"/>
      <c r="AB215" s="32"/>
      <c r="AC215" s="29"/>
      <c r="AD215" s="172"/>
    </row>
    <row r="216" spans="2:30" hidden="1" outlineLevel="1">
      <c r="B216" s="11"/>
      <c r="C216" s="5" t="s">
        <v>384</v>
      </c>
      <c r="D216" s="11"/>
      <c r="E216" s="11"/>
      <c r="F216" s="11"/>
      <c r="G216" s="22"/>
      <c r="H216" s="32"/>
      <c r="I216" s="29"/>
      <c r="J216" s="172"/>
      <c r="L216" s="11"/>
      <c r="M216" s="5" t="s">
        <v>384</v>
      </c>
      <c r="N216" s="11"/>
      <c r="O216" s="11"/>
      <c r="P216" s="11"/>
      <c r="Q216" s="22"/>
      <c r="R216" s="32"/>
      <c r="S216" s="29"/>
      <c r="T216" s="172"/>
      <c r="V216" s="41" t="s">
        <v>355</v>
      </c>
      <c r="W216" s="5" t="s">
        <v>451</v>
      </c>
      <c r="X216" s="41"/>
      <c r="Y216" s="41"/>
      <c r="Z216" s="41"/>
      <c r="AA216" s="22"/>
      <c r="AB216" s="32"/>
      <c r="AC216" s="29"/>
      <c r="AD216" s="172"/>
    </row>
    <row r="217" spans="2:30" hidden="1" outlineLevel="1">
      <c r="B217" s="11"/>
      <c r="C217" s="5" t="s">
        <v>384</v>
      </c>
      <c r="D217" s="11"/>
      <c r="E217" s="11"/>
      <c r="F217" s="11"/>
      <c r="G217" s="22"/>
      <c r="H217" s="32"/>
      <c r="I217" s="29"/>
      <c r="J217" s="172"/>
      <c r="L217" s="11"/>
      <c r="M217" s="5" t="s">
        <v>384</v>
      </c>
      <c r="N217" s="11"/>
      <c r="O217" s="11"/>
      <c r="P217" s="11"/>
      <c r="Q217" s="22"/>
      <c r="R217" s="32"/>
      <c r="S217" s="29"/>
      <c r="T217" s="172"/>
      <c r="V217" s="41" t="s">
        <v>355</v>
      </c>
      <c r="W217" s="5" t="s">
        <v>451</v>
      </c>
      <c r="X217" s="41"/>
      <c r="Y217" s="41"/>
      <c r="Z217" s="41"/>
      <c r="AA217" s="22"/>
      <c r="AB217" s="32"/>
      <c r="AC217" s="29"/>
      <c r="AD217" s="172"/>
    </row>
    <row r="218" spans="2:30" hidden="1" outlineLevel="1">
      <c r="B218" s="11"/>
      <c r="C218" s="5" t="s">
        <v>384</v>
      </c>
      <c r="D218" s="11"/>
      <c r="E218" s="11"/>
      <c r="F218" s="11"/>
      <c r="G218" s="22"/>
      <c r="H218" s="32"/>
      <c r="I218" s="29"/>
      <c r="J218" s="172"/>
      <c r="L218" s="11"/>
      <c r="M218" s="5" t="s">
        <v>384</v>
      </c>
      <c r="N218" s="11"/>
      <c r="O218" s="11"/>
      <c r="P218" s="11"/>
      <c r="Q218" s="22"/>
      <c r="R218" s="32"/>
      <c r="S218" s="29"/>
      <c r="T218" s="172"/>
      <c r="V218" s="41" t="s">
        <v>355</v>
      </c>
      <c r="W218" s="5" t="s">
        <v>451</v>
      </c>
      <c r="X218" s="41"/>
      <c r="Y218" s="41"/>
      <c r="Z218" s="41"/>
      <c r="AA218" s="22"/>
      <c r="AB218" s="32"/>
      <c r="AC218" s="29"/>
      <c r="AD218" s="172"/>
    </row>
    <row r="219" spans="2:30" hidden="1" outlineLevel="1">
      <c r="B219" s="11"/>
      <c r="C219" s="5" t="s">
        <v>384</v>
      </c>
      <c r="D219" s="11"/>
      <c r="E219" s="11"/>
      <c r="F219" s="11"/>
      <c r="G219" s="22"/>
      <c r="H219" s="32"/>
      <c r="I219" s="29"/>
      <c r="J219" s="172"/>
      <c r="L219" s="11"/>
      <c r="M219" s="5" t="s">
        <v>384</v>
      </c>
      <c r="N219" s="11"/>
      <c r="O219" s="11"/>
      <c r="P219" s="11"/>
      <c r="Q219" s="22"/>
      <c r="R219" s="32"/>
      <c r="S219" s="29"/>
      <c r="T219" s="172"/>
      <c r="V219" s="41" t="s">
        <v>355</v>
      </c>
      <c r="W219" s="5" t="s">
        <v>451</v>
      </c>
      <c r="X219" s="41"/>
      <c r="Y219" s="41"/>
      <c r="Z219" s="41"/>
      <c r="AA219" s="22"/>
      <c r="AB219" s="32"/>
      <c r="AC219" s="29"/>
      <c r="AD219" s="172"/>
    </row>
    <row r="220" spans="2:30" hidden="1" outlineLevel="1">
      <c r="B220" s="11"/>
      <c r="C220" s="5" t="s">
        <v>384</v>
      </c>
      <c r="D220" s="11"/>
      <c r="E220" s="11"/>
      <c r="F220" s="11"/>
      <c r="G220" s="22"/>
      <c r="H220" s="32"/>
      <c r="I220" s="29"/>
      <c r="J220" s="172"/>
      <c r="L220" s="11"/>
      <c r="M220" s="5" t="s">
        <v>384</v>
      </c>
      <c r="N220" s="11"/>
      <c r="O220" s="11"/>
      <c r="P220" s="11"/>
      <c r="Q220" s="22"/>
      <c r="R220" s="32"/>
      <c r="S220" s="29"/>
      <c r="T220" s="172"/>
      <c r="V220" s="41" t="s">
        <v>355</v>
      </c>
      <c r="W220" s="5" t="s">
        <v>451</v>
      </c>
      <c r="X220" s="41"/>
      <c r="Y220" s="41"/>
      <c r="Z220" s="41"/>
      <c r="AA220" s="22"/>
      <c r="AB220" s="32"/>
      <c r="AC220" s="29"/>
      <c r="AD220" s="172"/>
    </row>
    <row r="221" spans="2:30" s="24" customFormat="1" collapsed="1">
      <c r="B221" s="8" t="str">
        <f>"Total "&amp;B205</f>
        <v>Total Facility (Term-loan)</v>
      </c>
      <c r="C221" s="25"/>
      <c r="D221" s="28">
        <f t="shared" ref="D221:F221" si="218">SUM(D206:D220)</f>
        <v>850000</v>
      </c>
      <c r="E221" s="28">
        <f t="shared" si="218"/>
        <v>641476</v>
      </c>
      <c r="F221" s="28">
        <f t="shared" si="218"/>
        <v>13093</v>
      </c>
      <c r="G221" s="25"/>
      <c r="H221" s="26"/>
      <c r="I221" s="30"/>
      <c r="J221" s="171"/>
      <c r="L221" s="8" t="str">
        <f>"Total "&amp;L205</f>
        <v>Total Facility (Term-loan)</v>
      </c>
      <c r="M221" s="25"/>
      <c r="N221" s="28">
        <f t="shared" ref="N221:P221" si="219">SUM(N206:N220)</f>
        <v>0</v>
      </c>
      <c r="O221" s="28">
        <f t="shared" si="219"/>
        <v>0</v>
      </c>
      <c r="P221" s="28">
        <f t="shared" si="219"/>
        <v>0</v>
      </c>
      <c r="Q221" s="25"/>
      <c r="R221" s="26"/>
      <c r="S221" s="30"/>
      <c r="T221" s="171"/>
      <c r="V221" s="8" t="str">
        <f>"Total "&amp;V205</f>
        <v>Total Facility (Term-loan)</v>
      </c>
      <c r="W221" s="25"/>
      <c r="X221" s="28">
        <f t="shared" ref="X221:Z221" si="220">SUM(X206:X220)</f>
        <v>0</v>
      </c>
      <c r="Y221" s="28">
        <f t="shared" si="220"/>
        <v>0</v>
      </c>
      <c r="Z221" s="28">
        <f t="shared" si="220"/>
        <v>0</v>
      </c>
      <c r="AA221" s="25"/>
      <c r="AB221" s="26"/>
      <c r="AC221" s="30"/>
      <c r="AD221" s="171"/>
    </row>
    <row r="223" spans="2:30" ht="41.4">
      <c r="B223" s="27" t="s">
        <v>17</v>
      </c>
      <c r="C223" s="3" t="str">
        <f>C$61</f>
        <v>Source</v>
      </c>
      <c r="D223" s="3" t="str">
        <f t="shared" ref="D223:J223" si="221">D$61</f>
        <v>Limit (A)</v>
      </c>
      <c r="E223" s="3" t="str">
        <f t="shared" si="221"/>
        <v>Outstanding (A1)</v>
      </c>
      <c r="F223" s="3" t="str">
        <f t="shared" si="221"/>
        <v>Monthly Repayment (B)</v>
      </c>
      <c r="G223" s="3" t="str">
        <f t="shared" si="221"/>
        <v>Interest Rate (C)</v>
      </c>
      <c r="H223" s="3" t="str">
        <f t="shared" si="221"/>
        <v>Factor (D)</v>
      </c>
      <c r="I223" s="3" t="str">
        <f t="shared" si="221"/>
        <v>Interest (E) = (A or A1) * (C) * (D)</v>
      </c>
      <c r="J223" s="3" t="str">
        <f t="shared" si="221"/>
        <v>Code Of Conduct</v>
      </c>
      <c r="L223" s="176" t="str">
        <f>B223</f>
        <v>Facility (Hire Purchase / Leasing)</v>
      </c>
      <c r="M223" s="177" t="str">
        <f t="shared" ref="M223" si="222">C223</f>
        <v>Source</v>
      </c>
      <c r="N223" s="177" t="str">
        <f t="shared" ref="N223" si="223">D223</f>
        <v>Limit (A)</v>
      </c>
      <c r="O223" s="177" t="str">
        <f t="shared" ref="O223" si="224">E223</f>
        <v>Outstanding (A1)</v>
      </c>
      <c r="P223" s="177" t="str">
        <f t="shared" ref="P223" si="225">F223</f>
        <v>Monthly Repayment (B)</v>
      </c>
      <c r="Q223" s="177" t="str">
        <f t="shared" ref="Q223" si="226">G223</f>
        <v>Interest Rate (C)</v>
      </c>
      <c r="R223" s="177" t="str">
        <f t="shared" ref="R223" si="227">H223</f>
        <v>Factor (D)</v>
      </c>
      <c r="S223" s="177" t="str">
        <f t="shared" ref="S223" si="228">I223</f>
        <v>Interest (E) = (A or A1) * (C) * (D)</v>
      </c>
      <c r="T223" s="177" t="str">
        <f t="shared" ref="T223" si="229">J223</f>
        <v>Code Of Conduct</v>
      </c>
      <c r="V223" s="176" t="str">
        <f>L223</f>
        <v>Facility (Hire Purchase / Leasing)</v>
      </c>
      <c r="W223" s="177" t="str">
        <f t="shared" ref="W223" si="230">M223</f>
        <v>Source</v>
      </c>
      <c r="X223" s="177" t="str">
        <f t="shared" ref="X223" si="231">N223</f>
        <v>Limit (A)</v>
      </c>
      <c r="Y223" s="177" t="str">
        <f t="shared" ref="Y223" si="232">O223</f>
        <v>Outstanding (A1)</v>
      </c>
      <c r="Z223" s="177" t="str">
        <f t="shared" ref="Z223" si="233">P223</f>
        <v>Monthly Repayment (B)</v>
      </c>
      <c r="AA223" s="177" t="str">
        <f t="shared" ref="AA223" si="234">Q223</f>
        <v>Interest Rate (C)</v>
      </c>
      <c r="AB223" s="177" t="str">
        <f t="shared" ref="AB223" si="235">R223</f>
        <v>Factor (D)</v>
      </c>
      <c r="AC223" s="177" t="str">
        <f t="shared" ref="AC223" si="236">S223</f>
        <v>Interest (E) = (A or A1) * (C) * (D)</v>
      </c>
      <c r="AD223" s="177" t="str">
        <f t="shared" ref="AD223" si="237">T223</f>
        <v>Code Of Conduct</v>
      </c>
    </row>
    <row r="224" spans="2:30">
      <c r="B224" s="11" t="s">
        <v>1048</v>
      </c>
      <c r="C224" s="5" t="s">
        <v>451</v>
      </c>
      <c r="D224" s="97">
        <v>117000</v>
      </c>
      <c r="E224" s="97">
        <v>102315</v>
      </c>
      <c r="F224" s="97">
        <v>1341</v>
      </c>
      <c r="G224" s="22"/>
      <c r="H224" s="32"/>
      <c r="I224" s="29"/>
      <c r="J224" s="172"/>
      <c r="L224" s="11"/>
      <c r="M224" s="5" t="s">
        <v>382</v>
      </c>
      <c r="N224" s="97"/>
      <c r="O224" s="97"/>
      <c r="P224" s="97"/>
      <c r="Q224" s="22"/>
      <c r="R224" s="32"/>
      <c r="S224" s="29"/>
      <c r="T224" s="172"/>
      <c r="V224" s="41" t="s">
        <v>355</v>
      </c>
      <c r="W224" s="5" t="s">
        <v>451</v>
      </c>
      <c r="X224" s="41"/>
      <c r="Y224" s="41"/>
      <c r="Z224" s="41"/>
      <c r="AA224" s="22"/>
      <c r="AB224" s="32"/>
      <c r="AC224" s="29"/>
      <c r="AD224" s="172"/>
    </row>
    <row r="225" spans="2:30">
      <c r="B225" s="11"/>
      <c r="C225" s="5" t="s">
        <v>384</v>
      </c>
      <c r="D225" s="97"/>
      <c r="E225" s="97"/>
      <c r="F225" s="97"/>
      <c r="G225" s="22"/>
      <c r="H225" s="32"/>
      <c r="I225" s="29"/>
      <c r="J225" s="172"/>
      <c r="L225" s="11"/>
      <c r="M225" s="5" t="s">
        <v>384</v>
      </c>
      <c r="N225" s="97"/>
      <c r="O225" s="97"/>
      <c r="P225" s="97"/>
      <c r="Q225" s="22"/>
      <c r="R225" s="32"/>
      <c r="S225" s="29"/>
      <c r="T225" s="172"/>
      <c r="V225" s="41" t="s">
        <v>355</v>
      </c>
      <c r="W225" s="5" t="s">
        <v>451</v>
      </c>
      <c r="X225" s="41"/>
      <c r="Y225" s="41"/>
      <c r="Z225" s="41"/>
      <c r="AA225" s="22"/>
      <c r="AB225" s="32"/>
      <c r="AC225" s="29"/>
      <c r="AD225" s="172"/>
    </row>
    <row r="226" spans="2:30">
      <c r="B226" s="11"/>
      <c r="C226" s="5" t="s">
        <v>384</v>
      </c>
      <c r="D226" s="97"/>
      <c r="E226" s="97"/>
      <c r="F226" s="97"/>
      <c r="G226" s="22"/>
      <c r="H226" s="32"/>
      <c r="I226" s="29"/>
      <c r="J226" s="172"/>
      <c r="L226" s="11"/>
      <c r="M226" s="5" t="s">
        <v>384</v>
      </c>
      <c r="N226" s="97"/>
      <c r="O226" s="97"/>
      <c r="P226" s="97"/>
      <c r="Q226" s="22"/>
      <c r="R226" s="32"/>
      <c r="S226" s="29"/>
      <c r="T226" s="172"/>
      <c r="V226" s="41" t="s">
        <v>355</v>
      </c>
      <c r="W226" s="5" t="s">
        <v>451</v>
      </c>
      <c r="X226" s="41"/>
      <c r="Y226" s="41"/>
      <c r="Z226" s="41"/>
      <c r="AA226" s="22"/>
      <c r="AB226" s="32"/>
      <c r="AC226" s="29"/>
      <c r="AD226" s="172"/>
    </row>
    <row r="227" spans="2:30">
      <c r="B227" s="11"/>
      <c r="C227" s="5" t="s">
        <v>384</v>
      </c>
      <c r="D227" s="97"/>
      <c r="E227" s="97"/>
      <c r="F227" s="97"/>
      <c r="G227" s="22"/>
      <c r="H227" s="32"/>
      <c r="I227" s="29"/>
      <c r="J227" s="172"/>
      <c r="L227" s="11"/>
      <c r="M227" s="5" t="s">
        <v>384</v>
      </c>
      <c r="N227" s="97"/>
      <c r="O227" s="97"/>
      <c r="P227" s="11"/>
      <c r="Q227" s="22"/>
      <c r="R227" s="32"/>
      <c r="S227" s="29"/>
      <c r="T227" s="172"/>
      <c r="V227" s="41" t="s">
        <v>355</v>
      </c>
      <c r="W227" s="5" t="s">
        <v>451</v>
      </c>
      <c r="X227" s="41"/>
      <c r="Y227" s="41"/>
      <c r="Z227" s="41"/>
      <c r="AA227" s="22"/>
      <c r="AB227" s="32"/>
      <c r="AC227" s="29"/>
      <c r="AD227" s="172"/>
    </row>
    <row r="228" spans="2:30">
      <c r="B228" s="11"/>
      <c r="C228" s="5" t="s">
        <v>384</v>
      </c>
      <c r="D228" s="11"/>
      <c r="E228" s="11"/>
      <c r="F228" s="11"/>
      <c r="G228" s="22"/>
      <c r="H228" s="32"/>
      <c r="I228" s="29"/>
      <c r="J228" s="172"/>
      <c r="L228" s="11"/>
      <c r="M228" s="5" t="s">
        <v>384</v>
      </c>
      <c r="N228" s="11"/>
      <c r="O228" s="11"/>
      <c r="P228" s="11"/>
      <c r="Q228" s="22"/>
      <c r="R228" s="32"/>
      <c r="S228" s="29"/>
      <c r="T228" s="172"/>
      <c r="V228" s="41" t="s">
        <v>355</v>
      </c>
      <c r="W228" s="5" t="s">
        <v>451</v>
      </c>
      <c r="X228" s="41"/>
      <c r="Y228" s="41"/>
      <c r="Z228" s="41"/>
      <c r="AA228" s="22"/>
      <c r="AB228" s="32"/>
      <c r="AC228" s="29"/>
      <c r="AD228" s="172"/>
    </row>
    <row r="229" spans="2:30">
      <c r="B229" s="11"/>
      <c r="C229" s="5" t="s">
        <v>384</v>
      </c>
      <c r="D229" s="11"/>
      <c r="E229" s="11"/>
      <c r="F229" s="11"/>
      <c r="G229" s="22"/>
      <c r="H229" s="32"/>
      <c r="I229" s="29"/>
      <c r="J229" s="172"/>
      <c r="L229" s="11"/>
      <c r="M229" s="5" t="s">
        <v>384</v>
      </c>
      <c r="N229" s="11"/>
      <c r="O229" s="11"/>
      <c r="P229" s="11"/>
      <c r="Q229" s="22"/>
      <c r="R229" s="32"/>
      <c r="S229" s="29"/>
      <c r="T229" s="172"/>
      <c r="V229" s="41" t="s">
        <v>355</v>
      </c>
      <c r="W229" s="5" t="s">
        <v>451</v>
      </c>
      <c r="X229" s="41"/>
      <c r="Y229" s="41"/>
      <c r="Z229" s="41"/>
      <c r="AA229" s="22"/>
      <c r="AB229" s="32"/>
      <c r="AC229" s="29"/>
      <c r="AD229" s="172"/>
    </row>
    <row r="230" spans="2:30" hidden="1" outlineLevel="1">
      <c r="B230" s="11"/>
      <c r="C230" s="5" t="s">
        <v>384</v>
      </c>
      <c r="D230" s="11"/>
      <c r="E230" s="11"/>
      <c r="F230" s="11"/>
      <c r="G230" s="22"/>
      <c r="H230" s="32"/>
      <c r="I230" s="29"/>
      <c r="J230" s="172"/>
      <c r="L230" s="11"/>
      <c r="M230" s="5" t="s">
        <v>384</v>
      </c>
      <c r="N230" s="11"/>
      <c r="O230" s="11"/>
      <c r="P230" s="11"/>
      <c r="Q230" s="22"/>
      <c r="R230" s="32"/>
      <c r="S230" s="29"/>
      <c r="T230" s="172"/>
      <c r="V230" s="41" t="s">
        <v>355</v>
      </c>
      <c r="W230" s="5" t="s">
        <v>451</v>
      </c>
      <c r="X230" s="41"/>
      <c r="Y230" s="41"/>
      <c r="Z230" s="41"/>
      <c r="AA230" s="22"/>
      <c r="AB230" s="32"/>
      <c r="AC230" s="29"/>
      <c r="AD230" s="172"/>
    </row>
    <row r="231" spans="2:30" hidden="1" outlineLevel="1">
      <c r="B231" s="11"/>
      <c r="C231" s="5" t="s">
        <v>384</v>
      </c>
      <c r="D231" s="11"/>
      <c r="E231" s="11"/>
      <c r="F231" s="11"/>
      <c r="G231" s="22"/>
      <c r="H231" s="32"/>
      <c r="I231" s="29"/>
      <c r="J231" s="172"/>
      <c r="L231" s="11"/>
      <c r="M231" s="5" t="s">
        <v>384</v>
      </c>
      <c r="N231" s="11"/>
      <c r="O231" s="11"/>
      <c r="P231" s="11"/>
      <c r="Q231" s="22"/>
      <c r="R231" s="32"/>
      <c r="S231" s="29"/>
      <c r="T231" s="172"/>
      <c r="V231" s="41" t="s">
        <v>355</v>
      </c>
      <c r="W231" s="5" t="s">
        <v>451</v>
      </c>
      <c r="X231" s="41"/>
      <c r="Y231" s="41"/>
      <c r="Z231" s="41"/>
      <c r="AA231" s="22"/>
      <c r="AB231" s="32"/>
      <c r="AC231" s="29"/>
      <c r="AD231" s="172"/>
    </row>
    <row r="232" spans="2:30" hidden="1" outlineLevel="1">
      <c r="B232" s="11"/>
      <c r="C232" s="5" t="s">
        <v>384</v>
      </c>
      <c r="D232" s="11"/>
      <c r="E232" s="11"/>
      <c r="F232" s="11"/>
      <c r="G232" s="22"/>
      <c r="H232" s="32"/>
      <c r="I232" s="29"/>
      <c r="J232" s="172"/>
      <c r="L232" s="11"/>
      <c r="M232" s="5" t="s">
        <v>384</v>
      </c>
      <c r="N232" s="11"/>
      <c r="O232" s="11"/>
      <c r="P232" s="11"/>
      <c r="Q232" s="22"/>
      <c r="R232" s="32"/>
      <c r="S232" s="29"/>
      <c r="T232" s="172"/>
      <c r="V232" s="41" t="s">
        <v>355</v>
      </c>
      <c r="W232" s="5" t="s">
        <v>451</v>
      </c>
      <c r="X232" s="41"/>
      <c r="Y232" s="41"/>
      <c r="Z232" s="41"/>
      <c r="AA232" s="22"/>
      <c r="AB232" s="32"/>
      <c r="AC232" s="29"/>
      <c r="AD232" s="172"/>
    </row>
    <row r="233" spans="2:30" hidden="1" outlineLevel="1">
      <c r="B233" s="11"/>
      <c r="C233" s="5" t="s">
        <v>384</v>
      </c>
      <c r="D233" s="11"/>
      <c r="E233" s="11"/>
      <c r="F233" s="11"/>
      <c r="G233" s="22"/>
      <c r="H233" s="32"/>
      <c r="I233" s="29"/>
      <c r="J233" s="172"/>
      <c r="L233" s="11"/>
      <c r="M233" s="5" t="s">
        <v>384</v>
      </c>
      <c r="N233" s="11"/>
      <c r="O233" s="11"/>
      <c r="P233" s="11"/>
      <c r="Q233" s="22"/>
      <c r="R233" s="32"/>
      <c r="S233" s="29"/>
      <c r="T233" s="172"/>
      <c r="V233" s="41" t="s">
        <v>355</v>
      </c>
      <c r="W233" s="5" t="s">
        <v>451</v>
      </c>
      <c r="X233" s="41"/>
      <c r="Y233" s="41"/>
      <c r="Z233" s="41"/>
      <c r="AA233" s="22"/>
      <c r="AB233" s="32"/>
      <c r="AC233" s="29"/>
      <c r="AD233" s="172"/>
    </row>
    <row r="234" spans="2:30" hidden="1" outlineLevel="1">
      <c r="B234" s="11"/>
      <c r="C234" s="5" t="s">
        <v>384</v>
      </c>
      <c r="D234" s="11"/>
      <c r="E234" s="11"/>
      <c r="F234" s="11"/>
      <c r="G234" s="22"/>
      <c r="H234" s="32"/>
      <c r="I234" s="29"/>
      <c r="J234" s="172"/>
      <c r="L234" s="11"/>
      <c r="M234" s="5" t="s">
        <v>384</v>
      </c>
      <c r="N234" s="11"/>
      <c r="O234" s="11"/>
      <c r="P234" s="11"/>
      <c r="Q234" s="22"/>
      <c r="R234" s="32"/>
      <c r="S234" s="29"/>
      <c r="T234" s="172"/>
      <c r="V234" s="41" t="s">
        <v>355</v>
      </c>
      <c r="W234" s="5" t="s">
        <v>451</v>
      </c>
      <c r="X234" s="41"/>
      <c r="Y234" s="41"/>
      <c r="Z234" s="41"/>
      <c r="AA234" s="22"/>
      <c r="AB234" s="32"/>
      <c r="AC234" s="29"/>
      <c r="AD234" s="172"/>
    </row>
    <row r="235" spans="2:30" hidden="1" outlineLevel="1">
      <c r="B235" s="11"/>
      <c r="C235" s="5" t="s">
        <v>384</v>
      </c>
      <c r="D235" s="11"/>
      <c r="E235" s="11"/>
      <c r="F235" s="11"/>
      <c r="G235" s="22"/>
      <c r="H235" s="32"/>
      <c r="I235" s="29"/>
      <c r="J235" s="172"/>
      <c r="L235" s="11"/>
      <c r="M235" s="5" t="s">
        <v>384</v>
      </c>
      <c r="N235" s="11"/>
      <c r="O235" s="11"/>
      <c r="P235" s="11"/>
      <c r="Q235" s="22"/>
      <c r="R235" s="32"/>
      <c r="S235" s="29"/>
      <c r="T235" s="172"/>
      <c r="V235" s="41" t="s">
        <v>355</v>
      </c>
      <c r="W235" s="5" t="s">
        <v>451</v>
      </c>
      <c r="X235" s="41"/>
      <c r="Y235" s="41"/>
      <c r="Z235" s="41"/>
      <c r="AA235" s="22"/>
      <c r="AB235" s="32"/>
      <c r="AC235" s="29"/>
      <c r="AD235" s="172"/>
    </row>
    <row r="236" spans="2:30" hidden="1" outlineLevel="1">
      <c r="B236" s="11"/>
      <c r="C236" s="5" t="s">
        <v>384</v>
      </c>
      <c r="D236" s="11"/>
      <c r="E236" s="11"/>
      <c r="F236" s="11"/>
      <c r="G236" s="22"/>
      <c r="H236" s="32"/>
      <c r="I236" s="29"/>
      <c r="J236" s="172"/>
      <c r="L236" s="11"/>
      <c r="M236" s="5" t="s">
        <v>384</v>
      </c>
      <c r="N236" s="11"/>
      <c r="O236" s="11"/>
      <c r="P236" s="11"/>
      <c r="Q236" s="22"/>
      <c r="R236" s="32"/>
      <c r="S236" s="29"/>
      <c r="T236" s="172"/>
      <c r="V236" s="41" t="s">
        <v>355</v>
      </c>
      <c r="W236" s="5" t="s">
        <v>451</v>
      </c>
      <c r="X236" s="41"/>
      <c r="Y236" s="41"/>
      <c r="Z236" s="41"/>
      <c r="AA236" s="22"/>
      <c r="AB236" s="32"/>
      <c r="AC236" s="29"/>
      <c r="AD236" s="172"/>
    </row>
    <row r="237" spans="2:30" hidden="1" outlineLevel="1">
      <c r="B237" s="11"/>
      <c r="C237" s="5" t="s">
        <v>384</v>
      </c>
      <c r="D237" s="11"/>
      <c r="E237" s="11"/>
      <c r="F237" s="11"/>
      <c r="G237" s="22"/>
      <c r="H237" s="32"/>
      <c r="I237" s="29"/>
      <c r="J237" s="172"/>
      <c r="L237" s="11"/>
      <c r="M237" s="5" t="s">
        <v>384</v>
      </c>
      <c r="N237" s="11"/>
      <c r="O237" s="11"/>
      <c r="P237" s="11"/>
      <c r="Q237" s="22"/>
      <c r="R237" s="32"/>
      <c r="S237" s="29"/>
      <c r="T237" s="172"/>
      <c r="V237" s="41" t="s">
        <v>355</v>
      </c>
      <c r="W237" s="5" t="s">
        <v>451</v>
      </c>
      <c r="X237" s="41"/>
      <c r="Y237" s="41"/>
      <c r="Z237" s="41"/>
      <c r="AA237" s="22"/>
      <c r="AB237" s="32"/>
      <c r="AC237" s="29"/>
      <c r="AD237" s="172"/>
    </row>
    <row r="238" spans="2:30" hidden="1" outlineLevel="1">
      <c r="B238" s="11"/>
      <c r="C238" s="5" t="s">
        <v>384</v>
      </c>
      <c r="D238" s="11"/>
      <c r="E238" s="11"/>
      <c r="F238" s="11"/>
      <c r="G238" s="22"/>
      <c r="H238" s="32"/>
      <c r="I238" s="29"/>
      <c r="J238" s="172"/>
      <c r="L238" s="11"/>
      <c r="M238" s="5" t="s">
        <v>384</v>
      </c>
      <c r="N238" s="11"/>
      <c r="O238" s="11"/>
      <c r="P238" s="11"/>
      <c r="Q238" s="22"/>
      <c r="R238" s="32"/>
      <c r="S238" s="29"/>
      <c r="T238" s="172"/>
      <c r="V238" s="41" t="s">
        <v>355</v>
      </c>
      <c r="W238" s="5" t="s">
        <v>451</v>
      </c>
      <c r="X238" s="41"/>
      <c r="Y238" s="41"/>
      <c r="Z238" s="41"/>
      <c r="AA238" s="22"/>
      <c r="AB238" s="32"/>
      <c r="AC238" s="29"/>
      <c r="AD238" s="172"/>
    </row>
    <row r="239" spans="2:30" collapsed="1">
      <c r="B239" s="8" t="str">
        <f>"Total "&amp;B223</f>
        <v>Total Facility (Hire Purchase / Leasing)</v>
      </c>
      <c r="C239" s="25"/>
      <c r="D239" s="28">
        <f t="shared" ref="D239:F239" si="238">SUM(D224:D238)</f>
        <v>117000</v>
      </c>
      <c r="E239" s="28">
        <f t="shared" si="238"/>
        <v>102315</v>
      </c>
      <c r="F239" s="28">
        <f t="shared" si="238"/>
        <v>1341</v>
      </c>
      <c r="G239" s="25"/>
      <c r="H239" s="26"/>
      <c r="I239" s="30"/>
      <c r="J239" s="171"/>
      <c r="L239" s="8" t="str">
        <f>"Total "&amp;L223</f>
        <v>Total Facility (Hire Purchase / Leasing)</v>
      </c>
      <c r="M239" s="25"/>
      <c r="N239" s="28">
        <f t="shared" ref="N239:P239" si="239">SUM(N224:N238)</f>
        <v>0</v>
      </c>
      <c r="O239" s="28">
        <f t="shared" si="239"/>
        <v>0</v>
      </c>
      <c r="P239" s="28">
        <f t="shared" si="239"/>
        <v>0</v>
      </c>
      <c r="Q239" s="25"/>
      <c r="R239" s="26"/>
      <c r="S239" s="30"/>
      <c r="T239" s="171"/>
      <c r="V239" s="8" t="str">
        <f>"Total "&amp;V223</f>
        <v>Total Facility (Hire Purchase / Leasing)</v>
      </c>
      <c r="W239" s="25"/>
      <c r="X239" s="28">
        <f t="shared" ref="X239:Z239" si="240">SUM(X224:X238)</f>
        <v>0</v>
      </c>
      <c r="Y239" s="28">
        <f t="shared" si="240"/>
        <v>0</v>
      </c>
      <c r="Z239" s="28">
        <f t="shared" si="240"/>
        <v>0</v>
      </c>
      <c r="AA239" s="25"/>
      <c r="AB239" s="26"/>
      <c r="AC239" s="30"/>
      <c r="AD239" s="171"/>
    </row>
    <row r="241" spans="2:30" s="20" customFormat="1" ht="41.4">
      <c r="B241" s="27" t="s">
        <v>458</v>
      </c>
      <c r="C241" s="3" t="str">
        <f>C$61</f>
        <v>Source</v>
      </c>
      <c r="D241" s="3" t="str">
        <f t="shared" ref="D241:J241" si="241">D$61</f>
        <v>Limit (A)</v>
      </c>
      <c r="E241" s="3" t="str">
        <f t="shared" si="241"/>
        <v>Outstanding (A1)</v>
      </c>
      <c r="F241" s="3" t="str">
        <f t="shared" si="241"/>
        <v>Monthly Repayment (B)</v>
      </c>
      <c r="G241" s="3" t="str">
        <f t="shared" si="241"/>
        <v>Interest Rate (C)</v>
      </c>
      <c r="H241" s="3" t="str">
        <f t="shared" si="241"/>
        <v>Factor (D)</v>
      </c>
      <c r="I241" s="3" t="str">
        <f t="shared" si="241"/>
        <v>Interest (E) = (A or A1) * (C) * (D)</v>
      </c>
      <c r="J241" s="3" t="str">
        <f t="shared" si="241"/>
        <v>Code Of Conduct</v>
      </c>
      <c r="L241" s="176" t="str">
        <f>B241</f>
        <v>P2P - Facility (Term-loan / Working Capital)</v>
      </c>
      <c r="M241" s="177" t="str">
        <f t="shared" ref="M241" si="242">C241</f>
        <v>Source</v>
      </c>
      <c r="N241" s="177" t="str">
        <f t="shared" ref="N241" si="243">D241</f>
        <v>Limit (A)</v>
      </c>
      <c r="O241" s="177" t="str">
        <f t="shared" ref="O241" si="244">E241</f>
        <v>Outstanding (A1)</v>
      </c>
      <c r="P241" s="177" t="str">
        <f t="shared" ref="P241" si="245">F241</f>
        <v>Monthly Repayment (B)</v>
      </c>
      <c r="Q241" s="177" t="str">
        <f t="shared" ref="Q241" si="246">G241</f>
        <v>Interest Rate (C)</v>
      </c>
      <c r="R241" s="177" t="str">
        <f t="shared" ref="R241" si="247">H241</f>
        <v>Factor (D)</v>
      </c>
      <c r="S241" s="177" t="str">
        <f t="shared" ref="S241" si="248">I241</f>
        <v>Interest (E) = (A or A1) * (C) * (D)</v>
      </c>
      <c r="T241" s="177" t="str">
        <f t="shared" ref="T241" si="249">J241</f>
        <v>Code Of Conduct</v>
      </c>
      <c r="V241" s="176" t="str">
        <f>L241</f>
        <v>P2P - Facility (Term-loan / Working Capital)</v>
      </c>
      <c r="W241" s="177" t="str">
        <f t="shared" ref="W241" si="250">M241</f>
        <v>Source</v>
      </c>
      <c r="X241" s="177" t="str">
        <f t="shared" ref="X241" si="251">N241</f>
        <v>Limit (A)</v>
      </c>
      <c r="Y241" s="177" t="str">
        <f t="shared" ref="Y241" si="252">O241</f>
        <v>Outstanding (A1)</v>
      </c>
      <c r="Z241" s="177" t="str">
        <f t="shared" ref="Z241" si="253">P241</f>
        <v>Monthly Repayment (B)</v>
      </c>
      <c r="AA241" s="177" t="str">
        <f t="shared" ref="AA241" si="254">Q241</f>
        <v>Interest Rate (C)</v>
      </c>
      <c r="AB241" s="177" t="str">
        <f t="shared" ref="AB241" si="255">R241</f>
        <v>Factor (D)</v>
      </c>
      <c r="AC241" s="177" t="str">
        <f t="shared" ref="AC241" si="256">S241</f>
        <v>Interest (E) = (A or A1) * (C) * (D)</v>
      </c>
      <c r="AD241" s="177" t="str">
        <f t="shared" ref="AD241" si="257">T241</f>
        <v>Code Of Conduct</v>
      </c>
    </row>
    <row r="242" spans="2:30">
      <c r="B242" s="11" t="s">
        <v>997</v>
      </c>
      <c r="C242" s="5" t="s">
        <v>382</v>
      </c>
      <c r="D242" s="11">
        <v>500000</v>
      </c>
      <c r="E242" s="97"/>
      <c r="F242" s="97"/>
      <c r="G242" s="22">
        <v>0.12</v>
      </c>
      <c r="H242" s="32"/>
      <c r="I242" s="29"/>
      <c r="J242" s="172"/>
      <c r="L242" s="11"/>
      <c r="M242" s="5" t="s">
        <v>382</v>
      </c>
      <c r="N242" s="97"/>
      <c r="O242" s="97"/>
      <c r="P242" s="97"/>
      <c r="Q242" s="22"/>
      <c r="R242" s="32"/>
      <c r="S242" s="29"/>
      <c r="T242" s="172"/>
      <c r="V242" s="41" t="s">
        <v>355</v>
      </c>
      <c r="W242" s="5" t="s">
        <v>451</v>
      </c>
      <c r="X242" s="41"/>
      <c r="Y242" s="41"/>
      <c r="Z242" s="41"/>
      <c r="AA242" s="22"/>
      <c r="AB242" s="32"/>
      <c r="AC242" s="29"/>
      <c r="AD242" s="172"/>
    </row>
    <row r="243" spans="2:30">
      <c r="B243" s="11"/>
      <c r="C243" s="5" t="s">
        <v>384</v>
      </c>
      <c r="D243" s="97"/>
      <c r="E243" s="97"/>
      <c r="F243" s="97"/>
      <c r="G243" s="22"/>
      <c r="H243" s="32"/>
      <c r="I243" s="29"/>
      <c r="J243" s="172"/>
      <c r="L243" s="11"/>
      <c r="M243" s="5" t="s">
        <v>384</v>
      </c>
      <c r="N243" s="97"/>
      <c r="O243" s="97"/>
      <c r="P243" s="97"/>
      <c r="Q243" s="22"/>
      <c r="R243" s="32"/>
      <c r="S243" s="29"/>
      <c r="T243" s="172"/>
      <c r="V243" s="41" t="s">
        <v>355</v>
      </c>
      <c r="W243" s="5" t="s">
        <v>451</v>
      </c>
      <c r="X243" s="41"/>
      <c r="Y243" s="41"/>
      <c r="Z243" s="41"/>
      <c r="AA243" s="22"/>
      <c r="AB243" s="32"/>
      <c r="AC243" s="29"/>
      <c r="AD243" s="172"/>
    </row>
    <row r="244" spans="2:30">
      <c r="B244" s="11"/>
      <c r="C244" s="5" t="s">
        <v>384</v>
      </c>
      <c r="D244" s="97"/>
      <c r="E244" s="97"/>
      <c r="F244" s="97"/>
      <c r="G244" s="22"/>
      <c r="H244" s="32"/>
      <c r="I244" s="29"/>
      <c r="J244" s="172"/>
      <c r="L244" s="11"/>
      <c r="M244" s="5" t="s">
        <v>384</v>
      </c>
      <c r="N244" s="97"/>
      <c r="O244" s="97"/>
      <c r="P244" s="97"/>
      <c r="Q244" s="22"/>
      <c r="R244" s="32"/>
      <c r="S244" s="29"/>
      <c r="T244" s="172"/>
      <c r="V244" s="41" t="s">
        <v>355</v>
      </c>
      <c r="W244" s="5" t="s">
        <v>451</v>
      </c>
      <c r="X244" s="41"/>
      <c r="Y244" s="41"/>
      <c r="Z244" s="41"/>
      <c r="AA244" s="22"/>
      <c r="AB244" s="32"/>
      <c r="AC244" s="29"/>
      <c r="AD244" s="172"/>
    </row>
    <row r="245" spans="2:30">
      <c r="B245" s="11"/>
      <c r="C245" s="5" t="s">
        <v>384</v>
      </c>
      <c r="D245" s="97"/>
      <c r="E245" s="97"/>
      <c r="F245" s="97"/>
      <c r="G245" s="22"/>
      <c r="H245" s="32"/>
      <c r="I245" s="29"/>
      <c r="J245" s="172"/>
      <c r="L245" s="11"/>
      <c r="M245" s="5" t="s">
        <v>384</v>
      </c>
      <c r="N245" s="97"/>
      <c r="O245" s="97"/>
      <c r="P245" s="11"/>
      <c r="Q245" s="22"/>
      <c r="R245" s="32"/>
      <c r="S245" s="29"/>
      <c r="T245" s="172"/>
      <c r="V245" s="41" t="s">
        <v>355</v>
      </c>
      <c r="W245" s="5" t="s">
        <v>451</v>
      </c>
      <c r="X245" s="41"/>
      <c r="Y245" s="41"/>
      <c r="Z245" s="41"/>
      <c r="AA245" s="22"/>
      <c r="AB245" s="32"/>
      <c r="AC245" s="29"/>
      <c r="AD245" s="172"/>
    </row>
    <row r="246" spans="2:30">
      <c r="B246" s="11"/>
      <c r="C246" s="5" t="s">
        <v>384</v>
      </c>
      <c r="D246" s="11"/>
      <c r="E246" s="11"/>
      <c r="F246" s="11"/>
      <c r="G246" s="22"/>
      <c r="H246" s="32"/>
      <c r="I246" s="29"/>
      <c r="J246" s="172"/>
      <c r="L246" s="11"/>
      <c r="M246" s="5" t="s">
        <v>384</v>
      </c>
      <c r="N246" s="11"/>
      <c r="O246" s="11"/>
      <c r="P246" s="11"/>
      <c r="Q246" s="22"/>
      <c r="R246" s="32"/>
      <c r="S246" s="29"/>
      <c r="T246" s="172"/>
      <c r="V246" s="41" t="s">
        <v>355</v>
      </c>
      <c r="W246" s="5" t="s">
        <v>451</v>
      </c>
      <c r="X246" s="41"/>
      <c r="Y246" s="41"/>
      <c r="Z246" s="41"/>
      <c r="AA246" s="22"/>
      <c r="AB246" s="32"/>
      <c r="AC246" s="29"/>
      <c r="AD246" s="172"/>
    </row>
    <row r="247" spans="2:30">
      <c r="B247" s="11"/>
      <c r="C247" s="5" t="s">
        <v>384</v>
      </c>
      <c r="D247" s="11"/>
      <c r="E247" s="11"/>
      <c r="F247" s="11"/>
      <c r="G247" s="22"/>
      <c r="H247" s="32"/>
      <c r="I247" s="29"/>
      <c r="J247" s="172"/>
      <c r="L247" s="11"/>
      <c r="M247" s="5" t="s">
        <v>384</v>
      </c>
      <c r="N247" s="11"/>
      <c r="O247" s="11"/>
      <c r="P247" s="11"/>
      <c r="Q247" s="22"/>
      <c r="R247" s="32"/>
      <c r="S247" s="29"/>
      <c r="T247" s="172"/>
      <c r="V247" s="41" t="s">
        <v>355</v>
      </c>
      <c r="W247" s="5" t="s">
        <v>451</v>
      </c>
      <c r="X247" s="41"/>
      <c r="Y247" s="41"/>
      <c r="Z247" s="41"/>
      <c r="AA247" s="22"/>
      <c r="AB247" s="32"/>
      <c r="AC247" s="29"/>
      <c r="AD247" s="172"/>
    </row>
    <row r="248" spans="2:30" hidden="1" outlineLevel="1">
      <c r="B248" s="11"/>
      <c r="C248" s="5" t="s">
        <v>384</v>
      </c>
      <c r="D248" s="11"/>
      <c r="E248" s="11"/>
      <c r="F248" s="11"/>
      <c r="G248" s="22"/>
      <c r="H248" s="32"/>
      <c r="I248" s="29"/>
      <c r="J248" s="172"/>
      <c r="L248" s="11"/>
      <c r="M248" s="5" t="s">
        <v>384</v>
      </c>
      <c r="N248" s="11"/>
      <c r="O248" s="11"/>
      <c r="P248" s="11"/>
      <c r="Q248" s="22"/>
      <c r="R248" s="32"/>
      <c r="S248" s="29"/>
      <c r="T248" s="172"/>
      <c r="V248" s="41" t="s">
        <v>355</v>
      </c>
      <c r="W248" s="5" t="s">
        <v>451</v>
      </c>
      <c r="X248" s="41"/>
      <c r="Y248" s="41"/>
      <c r="Z248" s="41"/>
      <c r="AA248" s="22"/>
      <c r="AB248" s="32"/>
      <c r="AC248" s="29"/>
      <c r="AD248" s="172"/>
    </row>
    <row r="249" spans="2:30" hidden="1" outlineLevel="1">
      <c r="B249" s="11"/>
      <c r="C249" s="5" t="s">
        <v>384</v>
      </c>
      <c r="D249" s="11"/>
      <c r="E249" s="11"/>
      <c r="F249" s="11"/>
      <c r="G249" s="22"/>
      <c r="H249" s="32"/>
      <c r="I249" s="29"/>
      <c r="J249" s="172"/>
      <c r="L249" s="11"/>
      <c r="M249" s="5" t="s">
        <v>384</v>
      </c>
      <c r="N249" s="11"/>
      <c r="O249" s="11"/>
      <c r="P249" s="11"/>
      <c r="Q249" s="22"/>
      <c r="R249" s="32"/>
      <c r="S249" s="29"/>
      <c r="T249" s="172"/>
      <c r="V249" s="41" t="s">
        <v>355</v>
      </c>
      <c r="W249" s="5" t="s">
        <v>451</v>
      </c>
      <c r="X249" s="41"/>
      <c r="Y249" s="41"/>
      <c r="Z249" s="41"/>
      <c r="AA249" s="22"/>
      <c r="AB249" s="32"/>
      <c r="AC249" s="29"/>
      <c r="AD249" s="172"/>
    </row>
    <row r="250" spans="2:30" hidden="1" outlineLevel="1">
      <c r="B250" s="11"/>
      <c r="C250" s="5" t="s">
        <v>384</v>
      </c>
      <c r="D250" s="11"/>
      <c r="E250" s="11"/>
      <c r="F250" s="11"/>
      <c r="G250" s="22"/>
      <c r="H250" s="32"/>
      <c r="I250" s="29"/>
      <c r="J250" s="172"/>
      <c r="L250" s="11"/>
      <c r="M250" s="5" t="s">
        <v>384</v>
      </c>
      <c r="N250" s="11"/>
      <c r="O250" s="11"/>
      <c r="P250" s="11"/>
      <c r="Q250" s="22"/>
      <c r="R250" s="32"/>
      <c r="S250" s="29"/>
      <c r="T250" s="172"/>
      <c r="V250" s="41" t="s">
        <v>355</v>
      </c>
      <c r="W250" s="5" t="s">
        <v>451</v>
      </c>
      <c r="X250" s="41"/>
      <c r="Y250" s="41"/>
      <c r="Z250" s="41"/>
      <c r="AA250" s="22"/>
      <c r="AB250" s="32"/>
      <c r="AC250" s="29"/>
      <c r="AD250" s="172"/>
    </row>
    <row r="251" spans="2:30" hidden="1" outlineLevel="1">
      <c r="B251" s="11"/>
      <c r="C251" s="5" t="s">
        <v>384</v>
      </c>
      <c r="D251" s="11"/>
      <c r="E251" s="11"/>
      <c r="F251" s="11"/>
      <c r="G251" s="22"/>
      <c r="H251" s="32"/>
      <c r="I251" s="29"/>
      <c r="J251" s="172"/>
      <c r="L251" s="11"/>
      <c r="M251" s="5" t="s">
        <v>384</v>
      </c>
      <c r="N251" s="11"/>
      <c r="O251" s="11"/>
      <c r="P251" s="11"/>
      <c r="Q251" s="22"/>
      <c r="R251" s="32"/>
      <c r="S251" s="29"/>
      <c r="T251" s="172"/>
      <c r="V251" s="41" t="s">
        <v>355</v>
      </c>
      <c r="W251" s="5" t="s">
        <v>451</v>
      </c>
      <c r="X251" s="41"/>
      <c r="Y251" s="41"/>
      <c r="Z251" s="41"/>
      <c r="AA251" s="22"/>
      <c r="AB251" s="32"/>
      <c r="AC251" s="29"/>
      <c r="AD251" s="172"/>
    </row>
    <row r="252" spans="2:30" hidden="1" outlineLevel="1">
      <c r="B252" s="11"/>
      <c r="C252" s="5" t="s">
        <v>384</v>
      </c>
      <c r="D252" s="11"/>
      <c r="E252" s="11"/>
      <c r="F252" s="11"/>
      <c r="G252" s="22"/>
      <c r="H252" s="32"/>
      <c r="I252" s="29"/>
      <c r="J252" s="172"/>
      <c r="L252" s="11"/>
      <c r="M252" s="5" t="s">
        <v>384</v>
      </c>
      <c r="N252" s="11"/>
      <c r="O252" s="11"/>
      <c r="P252" s="11"/>
      <c r="Q252" s="22"/>
      <c r="R252" s="32"/>
      <c r="S252" s="29"/>
      <c r="T252" s="172"/>
      <c r="V252" s="41" t="s">
        <v>355</v>
      </c>
      <c r="W252" s="5" t="s">
        <v>451</v>
      </c>
      <c r="X252" s="41"/>
      <c r="Y252" s="41"/>
      <c r="Z252" s="41"/>
      <c r="AA252" s="22"/>
      <c r="AB252" s="32"/>
      <c r="AC252" s="29"/>
      <c r="AD252" s="172"/>
    </row>
    <row r="253" spans="2:30" hidden="1" outlineLevel="1">
      <c r="B253" s="11"/>
      <c r="C253" s="5" t="s">
        <v>384</v>
      </c>
      <c r="D253" s="11"/>
      <c r="E253" s="11"/>
      <c r="F253" s="11"/>
      <c r="G253" s="22"/>
      <c r="H253" s="32"/>
      <c r="I253" s="29"/>
      <c r="J253" s="172"/>
      <c r="L253" s="11"/>
      <c r="M253" s="5" t="s">
        <v>384</v>
      </c>
      <c r="N253" s="11"/>
      <c r="O253" s="11"/>
      <c r="P253" s="11"/>
      <c r="Q253" s="22"/>
      <c r="R253" s="32"/>
      <c r="S253" s="29"/>
      <c r="T253" s="172"/>
      <c r="V253" s="41" t="s">
        <v>355</v>
      </c>
      <c r="W253" s="5" t="s">
        <v>451</v>
      </c>
      <c r="X253" s="41"/>
      <c r="Y253" s="41"/>
      <c r="Z253" s="41"/>
      <c r="AA253" s="22"/>
      <c r="AB253" s="32"/>
      <c r="AC253" s="29"/>
      <c r="AD253" s="172"/>
    </row>
    <row r="254" spans="2:30" hidden="1" outlineLevel="1">
      <c r="B254" s="11"/>
      <c r="C254" s="5" t="s">
        <v>384</v>
      </c>
      <c r="D254" s="11"/>
      <c r="E254" s="11"/>
      <c r="F254" s="11"/>
      <c r="G254" s="22"/>
      <c r="H254" s="32"/>
      <c r="I254" s="29"/>
      <c r="J254" s="172"/>
      <c r="L254" s="11"/>
      <c r="M254" s="5" t="s">
        <v>384</v>
      </c>
      <c r="N254" s="11"/>
      <c r="O254" s="11"/>
      <c r="P254" s="11"/>
      <c r="Q254" s="22"/>
      <c r="R254" s="32"/>
      <c r="S254" s="29"/>
      <c r="T254" s="172"/>
      <c r="V254" s="41" t="s">
        <v>355</v>
      </c>
      <c r="W254" s="5" t="s">
        <v>451</v>
      </c>
      <c r="X254" s="41"/>
      <c r="Y254" s="41"/>
      <c r="Z254" s="41"/>
      <c r="AA254" s="22"/>
      <c r="AB254" s="32"/>
      <c r="AC254" s="29"/>
      <c r="AD254" s="172"/>
    </row>
    <row r="255" spans="2:30" hidden="1" outlineLevel="1">
      <c r="B255" s="11"/>
      <c r="C255" s="5" t="s">
        <v>384</v>
      </c>
      <c r="D255" s="11"/>
      <c r="E255" s="11"/>
      <c r="F255" s="11"/>
      <c r="G255" s="22"/>
      <c r="H255" s="32"/>
      <c r="I255" s="29"/>
      <c r="J255" s="172"/>
      <c r="L255" s="11"/>
      <c r="M255" s="5" t="s">
        <v>384</v>
      </c>
      <c r="N255" s="11"/>
      <c r="O255" s="11"/>
      <c r="P255" s="11"/>
      <c r="Q255" s="22"/>
      <c r="R255" s="32"/>
      <c r="S255" s="29"/>
      <c r="T255" s="172"/>
      <c r="V255" s="41" t="s">
        <v>355</v>
      </c>
      <c r="W255" s="5" t="s">
        <v>451</v>
      </c>
      <c r="X255" s="41"/>
      <c r="Y255" s="41"/>
      <c r="Z255" s="41"/>
      <c r="AA255" s="22"/>
      <c r="AB255" s="32"/>
      <c r="AC255" s="29"/>
      <c r="AD255" s="172"/>
    </row>
    <row r="256" spans="2:30" hidden="1" outlineLevel="1">
      <c r="B256" s="11"/>
      <c r="C256" s="5" t="s">
        <v>384</v>
      </c>
      <c r="D256" s="11"/>
      <c r="E256" s="11"/>
      <c r="F256" s="11"/>
      <c r="G256" s="22"/>
      <c r="H256" s="32"/>
      <c r="I256" s="29"/>
      <c r="J256" s="172"/>
      <c r="L256" s="11"/>
      <c r="M256" s="5" t="s">
        <v>384</v>
      </c>
      <c r="N256" s="11"/>
      <c r="O256" s="11"/>
      <c r="P256" s="11"/>
      <c r="Q256" s="22"/>
      <c r="R256" s="32"/>
      <c r="S256" s="29"/>
      <c r="T256" s="172"/>
      <c r="V256" s="41" t="s">
        <v>355</v>
      </c>
      <c r="W256" s="5" t="s">
        <v>451</v>
      </c>
      <c r="X256" s="41"/>
      <c r="Y256" s="41"/>
      <c r="Z256" s="41"/>
      <c r="AA256" s="22"/>
      <c r="AB256" s="32"/>
      <c r="AC256" s="29"/>
      <c r="AD256" s="172"/>
    </row>
    <row r="257" spans="2:30" s="24" customFormat="1" collapsed="1">
      <c r="B257" s="8" t="str">
        <f>"Total "&amp;B241</f>
        <v>Total P2P - Facility (Term-loan / Working Capital)</v>
      </c>
      <c r="C257" s="25"/>
      <c r="D257" s="28">
        <f t="shared" ref="D257:F257" si="258">SUM(D242:D256)</f>
        <v>500000</v>
      </c>
      <c r="E257" s="28">
        <f t="shared" si="258"/>
        <v>0</v>
      </c>
      <c r="F257" s="28">
        <f t="shared" si="258"/>
        <v>0</v>
      </c>
      <c r="G257" s="25"/>
      <c r="H257" s="26"/>
      <c r="I257" s="30"/>
      <c r="J257" s="171"/>
      <c r="L257" s="8" t="str">
        <f>"Total "&amp;L241</f>
        <v>Total P2P - Facility (Term-loan / Working Capital)</v>
      </c>
      <c r="M257" s="25"/>
      <c r="N257" s="28">
        <f t="shared" ref="N257:P257" si="259">SUM(N242:N256)</f>
        <v>0</v>
      </c>
      <c r="O257" s="28">
        <f t="shared" si="259"/>
        <v>0</v>
      </c>
      <c r="P257" s="28">
        <f t="shared" si="259"/>
        <v>0</v>
      </c>
      <c r="Q257" s="25"/>
      <c r="R257" s="26"/>
      <c r="S257" s="30"/>
      <c r="T257" s="171"/>
      <c r="V257" s="8" t="str">
        <f>"Total "&amp;V241</f>
        <v>Total P2P - Facility (Term-loan / Working Capital)</v>
      </c>
      <c r="W257" s="25"/>
      <c r="X257" s="28">
        <f t="shared" ref="X257:Z257" si="260">SUM(X242:X256)</f>
        <v>0</v>
      </c>
      <c r="Y257" s="28">
        <f t="shared" si="260"/>
        <v>0</v>
      </c>
      <c r="Z257" s="28">
        <f t="shared" si="260"/>
        <v>0</v>
      </c>
      <c r="AA257" s="25"/>
      <c r="AB257" s="26"/>
      <c r="AC257" s="30"/>
      <c r="AD257" s="171"/>
    </row>
    <row r="259" spans="2:30" s="20" customFormat="1" ht="41.4">
      <c r="B259" s="27" t="s">
        <v>459</v>
      </c>
      <c r="C259" s="3" t="str">
        <f>C$61</f>
        <v>Source</v>
      </c>
      <c r="D259" s="3" t="str">
        <f t="shared" ref="D259:J259" si="261">D$61</f>
        <v>Limit (A)</v>
      </c>
      <c r="E259" s="3" t="str">
        <f t="shared" si="261"/>
        <v>Outstanding (A1)</v>
      </c>
      <c r="F259" s="3" t="str">
        <f t="shared" si="261"/>
        <v>Monthly Repayment (B)</v>
      </c>
      <c r="G259" s="3" t="str">
        <f t="shared" si="261"/>
        <v>Interest Rate (C)</v>
      </c>
      <c r="H259" s="3" t="str">
        <f t="shared" si="261"/>
        <v>Factor (D)</v>
      </c>
      <c r="I259" s="3" t="str">
        <f t="shared" si="261"/>
        <v>Interest (E) = (A or A1) * (C) * (D)</v>
      </c>
      <c r="J259" s="3" t="str">
        <f t="shared" si="261"/>
        <v>Code Of Conduct</v>
      </c>
      <c r="L259" s="176" t="str">
        <f>B259</f>
        <v>P2P - Facility (Trade Invoice Financing)</v>
      </c>
      <c r="M259" s="177" t="str">
        <f t="shared" ref="M259" si="262">C259</f>
        <v>Source</v>
      </c>
      <c r="N259" s="177" t="str">
        <f t="shared" ref="N259" si="263">D259</f>
        <v>Limit (A)</v>
      </c>
      <c r="O259" s="177" t="str">
        <f t="shared" ref="O259" si="264">E259</f>
        <v>Outstanding (A1)</v>
      </c>
      <c r="P259" s="177" t="str">
        <f t="shared" ref="P259" si="265">F259</f>
        <v>Monthly Repayment (B)</v>
      </c>
      <c r="Q259" s="177" t="str">
        <f t="shared" ref="Q259" si="266">G259</f>
        <v>Interest Rate (C)</v>
      </c>
      <c r="R259" s="177" t="str">
        <f t="shared" ref="R259" si="267">H259</f>
        <v>Factor (D)</v>
      </c>
      <c r="S259" s="177" t="str">
        <f t="shared" ref="S259" si="268">I259</f>
        <v>Interest (E) = (A or A1) * (C) * (D)</v>
      </c>
      <c r="T259" s="177" t="str">
        <f t="shared" ref="T259" si="269">J259</f>
        <v>Code Of Conduct</v>
      </c>
      <c r="V259" s="176" t="str">
        <f>L259</f>
        <v>P2P - Facility (Trade Invoice Financing)</v>
      </c>
      <c r="W259" s="177" t="str">
        <f t="shared" ref="W259" si="270">M259</f>
        <v>Source</v>
      </c>
      <c r="X259" s="177" t="str">
        <f t="shared" ref="X259" si="271">N259</f>
        <v>Limit (A)</v>
      </c>
      <c r="Y259" s="177" t="str">
        <f t="shared" ref="Y259" si="272">O259</f>
        <v>Outstanding (A1)</v>
      </c>
      <c r="Z259" s="177" t="str">
        <f t="shared" ref="Z259" si="273">P259</f>
        <v>Monthly Repayment (B)</v>
      </c>
      <c r="AA259" s="177" t="str">
        <f t="shared" ref="AA259" si="274">Q259</f>
        <v>Interest Rate (C)</v>
      </c>
      <c r="AB259" s="177" t="str">
        <f t="shared" ref="AB259" si="275">R259</f>
        <v>Factor (D)</v>
      </c>
      <c r="AC259" s="177" t="str">
        <f t="shared" ref="AC259" si="276">S259</f>
        <v>Interest (E) = (A or A1) * (C) * (D)</v>
      </c>
      <c r="AD259" s="177" t="str">
        <f t="shared" ref="AD259" si="277">T259</f>
        <v>Code Of Conduct</v>
      </c>
    </row>
    <row r="260" spans="2:30">
      <c r="B260" s="11"/>
      <c r="C260" s="5" t="s">
        <v>384</v>
      </c>
      <c r="D260" s="11"/>
      <c r="E260" s="11"/>
      <c r="F260" s="29"/>
      <c r="G260" s="22"/>
      <c r="H260" s="170">
        <v>0.8</v>
      </c>
      <c r="I260" s="75">
        <f>D260*G260*H260</f>
        <v>0</v>
      </c>
      <c r="J260" s="172"/>
      <c r="L260" s="11"/>
      <c r="M260" s="5" t="s">
        <v>382</v>
      </c>
      <c r="N260" s="97"/>
      <c r="O260" s="11"/>
      <c r="P260" s="29"/>
      <c r="Q260" s="22"/>
      <c r="R260" s="170">
        <v>0.8</v>
      </c>
      <c r="S260" s="75">
        <f>N260*Q260*R260</f>
        <v>0</v>
      </c>
      <c r="T260" s="172"/>
      <c r="V260" s="41" t="s">
        <v>355</v>
      </c>
      <c r="W260" s="5" t="s">
        <v>451</v>
      </c>
      <c r="X260" s="41"/>
      <c r="Y260" s="41"/>
      <c r="Z260" s="29"/>
      <c r="AA260" s="22"/>
      <c r="AB260" s="170">
        <f>AB$275</f>
        <v>1</v>
      </c>
      <c r="AC260" s="75">
        <f>X260*AA260*AB260</f>
        <v>0</v>
      </c>
      <c r="AD260" s="172"/>
    </row>
    <row r="261" spans="2:30">
      <c r="B261" s="11"/>
      <c r="C261" s="5" t="s">
        <v>384</v>
      </c>
      <c r="D261" s="11"/>
      <c r="E261" s="11"/>
      <c r="F261" s="29"/>
      <c r="G261" s="22"/>
      <c r="H261" s="170">
        <f t="shared" ref="H261:H274" si="278">H$275</f>
        <v>1</v>
      </c>
      <c r="I261" s="75">
        <f t="shared" ref="I261:I274" si="279">D261*G261*H261</f>
        <v>0</v>
      </c>
      <c r="J261" s="172"/>
      <c r="L261" s="11"/>
      <c r="M261" s="5" t="s">
        <v>384</v>
      </c>
      <c r="N261" s="11"/>
      <c r="O261" s="11"/>
      <c r="P261" s="29"/>
      <c r="Q261" s="22"/>
      <c r="R261" s="170">
        <f t="shared" ref="R261:R274" si="280">R$275</f>
        <v>1</v>
      </c>
      <c r="S261" s="75">
        <f t="shared" ref="S261:S274" si="281">N261*Q261*R261</f>
        <v>0</v>
      </c>
      <c r="T261" s="172"/>
      <c r="V261" s="41" t="s">
        <v>355</v>
      </c>
      <c r="W261" s="5" t="s">
        <v>451</v>
      </c>
      <c r="X261" s="41"/>
      <c r="Y261" s="41"/>
      <c r="Z261" s="29"/>
      <c r="AA261" s="22"/>
      <c r="AB261" s="170">
        <f t="shared" ref="AB261:AB274" si="282">AB$275</f>
        <v>1</v>
      </c>
      <c r="AC261" s="75">
        <f t="shared" ref="AC261:AC274" si="283">X261*AA261*AB261</f>
        <v>0</v>
      </c>
      <c r="AD261" s="172"/>
    </row>
    <row r="262" spans="2:30">
      <c r="B262" s="11"/>
      <c r="C262" s="5" t="s">
        <v>384</v>
      </c>
      <c r="D262" s="11"/>
      <c r="E262" s="11"/>
      <c r="F262" s="29"/>
      <c r="G262" s="22"/>
      <c r="H262" s="170">
        <f t="shared" si="278"/>
        <v>1</v>
      </c>
      <c r="I262" s="75">
        <f t="shared" si="279"/>
        <v>0</v>
      </c>
      <c r="J262" s="172"/>
      <c r="L262" s="11"/>
      <c r="M262" s="5" t="s">
        <v>384</v>
      </c>
      <c r="N262" s="11"/>
      <c r="O262" s="11"/>
      <c r="P262" s="29"/>
      <c r="Q262" s="22"/>
      <c r="R262" s="170">
        <f t="shared" si="280"/>
        <v>1</v>
      </c>
      <c r="S262" s="75">
        <f t="shared" si="281"/>
        <v>0</v>
      </c>
      <c r="T262" s="172"/>
      <c r="V262" s="41" t="s">
        <v>355</v>
      </c>
      <c r="W262" s="5" t="s">
        <v>451</v>
      </c>
      <c r="X262" s="41"/>
      <c r="Y262" s="41"/>
      <c r="Z262" s="29"/>
      <c r="AA262" s="22"/>
      <c r="AB262" s="170">
        <f t="shared" si="282"/>
        <v>1</v>
      </c>
      <c r="AC262" s="75">
        <f t="shared" si="283"/>
        <v>0</v>
      </c>
      <c r="AD262" s="172"/>
    </row>
    <row r="263" spans="2:30">
      <c r="B263" s="11"/>
      <c r="C263" s="5" t="s">
        <v>384</v>
      </c>
      <c r="D263" s="11"/>
      <c r="E263" s="11"/>
      <c r="F263" s="29"/>
      <c r="G263" s="22"/>
      <c r="H263" s="170">
        <f t="shared" si="278"/>
        <v>1</v>
      </c>
      <c r="I263" s="75">
        <f t="shared" si="279"/>
        <v>0</v>
      </c>
      <c r="J263" s="172"/>
      <c r="L263" s="11"/>
      <c r="M263" s="5" t="s">
        <v>384</v>
      </c>
      <c r="N263" s="11"/>
      <c r="O263" s="11"/>
      <c r="P263" s="29"/>
      <c r="Q263" s="22"/>
      <c r="R263" s="170">
        <f t="shared" si="280"/>
        <v>1</v>
      </c>
      <c r="S263" s="75">
        <f t="shared" si="281"/>
        <v>0</v>
      </c>
      <c r="T263" s="172"/>
      <c r="V263" s="41" t="s">
        <v>355</v>
      </c>
      <c r="W263" s="5" t="s">
        <v>451</v>
      </c>
      <c r="X263" s="41"/>
      <c r="Y263" s="41"/>
      <c r="Z263" s="29"/>
      <c r="AA263" s="22"/>
      <c r="AB263" s="170">
        <f t="shared" si="282"/>
        <v>1</v>
      </c>
      <c r="AC263" s="75">
        <f t="shared" si="283"/>
        <v>0</v>
      </c>
      <c r="AD263" s="172"/>
    </row>
    <row r="264" spans="2:30">
      <c r="B264" s="11"/>
      <c r="C264" s="5" t="s">
        <v>384</v>
      </c>
      <c r="D264" s="11"/>
      <c r="E264" s="11"/>
      <c r="F264" s="29"/>
      <c r="G264" s="22"/>
      <c r="H264" s="170">
        <f t="shared" si="278"/>
        <v>1</v>
      </c>
      <c r="I264" s="75">
        <f t="shared" si="279"/>
        <v>0</v>
      </c>
      <c r="J264" s="172"/>
      <c r="L264" s="11"/>
      <c r="M264" s="5" t="s">
        <v>384</v>
      </c>
      <c r="N264" s="11"/>
      <c r="O264" s="11"/>
      <c r="P264" s="29"/>
      <c r="Q264" s="22"/>
      <c r="R264" s="170">
        <f t="shared" si="280"/>
        <v>1</v>
      </c>
      <c r="S264" s="75">
        <f t="shared" si="281"/>
        <v>0</v>
      </c>
      <c r="T264" s="172"/>
      <c r="V264" s="41" t="s">
        <v>355</v>
      </c>
      <c r="W264" s="5" t="s">
        <v>451</v>
      </c>
      <c r="X264" s="41"/>
      <c r="Y264" s="41"/>
      <c r="Z264" s="29"/>
      <c r="AA264" s="22"/>
      <c r="AB264" s="170">
        <f t="shared" si="282"/>
        <v>1</v>
      </c>
      <c r="AC264" s="75">
        <f t="shared" si="283"/>
        <v>0</v>
      </c>
      <c r="AD264" s="172"/>
    </row>
    <row r="265" spans="2:30">
      <c r="B265" s="11"/>
      <c r="C265" s="5" t="s">
        <v>384</v>
      </c>
      <c r="D265" s="11"/>
      <c r="E265" s="11"/>
      <c r="F265" s="29"/>
      <c r="G265" s="22"/>
      <c r="H265" s="170">
        <f t="shared" si="278"/>
        <v>1</v>
      </c>
      <c r="I265" s="75">
        <f t="shared" si="279"/>
        <v>0</v>
      </c>
      <c r="J265" s="172"/>
      <c r="L265" s="11"/>
      <c r="M265" s="5" t="s">
        <v>384</v>
      </c>
      <c r="N265" s="11"/>
      <c r="O265" s="11"/>
      <c r="P265" s="29"/>
      <c r="Q265" s="22"/>
      <c r="R265" s="170">
        <f t="shared" si="280"/>
        <v>1</v>
      </c>
      <c r="S265" s="75">
        <f t="shared" si="281"/>
        <v>0</v>
      </c>
      <c r="T265" s="172"/>
      <c r="V265" s="41" t="s">
        <v>355</v>
      </c>
      <c r="W265" s="5" t="s">
        <v>451</v>
      </c>
      <c r="X265" s="41"/>
      <c r="Y265" s="41"/>
      <c r="Z265" s="29"/>
      <c r="AA265" s="22"/>
      <c r="AB265" s="170">
        <f t="shared" si="282"/>
        <v>1</v>
      </c>
      <c r="AC265" s="75">
        <f t="shared" si="283"/>
        <v>0</v>
      </c>
      <c r="AD265" s="172"/>
    </row>
    <row r="266" spans="2:30" hidden="1" outlineLevel="1">
      <c r="B266" s="11"/>
      <c r="C266" s="5" t="s">
        <v>384</v>
      </c>
      <c r="D266" s="11"/>
      <c r="E266" s="11"/>
      <c r="F266" s="29"/>
      <c r="G266" s="22"/>
      <c r="H266" s="170">
        <f t="shared" si="278"/>
        <v>1</v>
      </c>
      <c r="I266" s="75">
        <f t="shared" si="279"/>
        <v>0</v>
      </c>
      <c r="J266" s="172"/>
      <c r="L266" s="11"/>
      <c r="M266" s="5" t="s">
        <v>384</v>
      </c>
      <c r="N266" s="11"/>
      <c r="O266" s="11"/>
      <c r="P266" s="29"/>
      <c r="Q266" s="22"/>
      <c r="R266" s="170">
        <f t="shared" si="280"/>
        <v>1</v>
      </c>
      <c r="S266" s="75">
        <f t="shared" si="281"/>
        <v>0</v>
      </c>
      <c r="T266" s="172"/>
      <c r="V266" s="41" t="s">
        <v>355</v>
      </c>
      <c r="W266" s="5" t="s">
        <v>451</v>
      </c>
      <c r="X266" s="41"/>
      <c r="Y266" s="41"/>
      <c r="Z266" s="29"/>
      <c r="AA266" s="22"/>
      <c r="AB266" s="170">
        <f t="shared" si="282"/>
        <v>1</v>
      </c>
      <c r="AC266" s="75">
        <f t="shared" si="283"/>
        <v>0</v>
      </c>
      <c r="AD266" s="172"/>
    </row>
    <row r="267" spans="2:30" hidden="1" outlineLevel="1">
      <c r="B267" s="11"/>
      <c r="C267" s="5" t="s">
        <v>384</v>
      </c>
      <c r="D267" s="11"/>
      <c r="E267" s="11"/>
      <c r="F267" s="29"/>
      <c r="G267" s="22"/>
      <c r="H267" s="170">
        <f t="shared" si="278"/>
        <v>1</v>
      </c>
      <c r="I267" s="75">
        <f t="shared" si="279"/>
        <v>0</v>
      </c>
      <c r="J267" s="172"/>
      <c r="L267" s="11"/>
      <c r="M267" s="5" t="s">
        <v>384</v>
      </c>
      <c r="N267" s="11"/>
      <c r="O267" s="11"/>
      <c r="P267" s="29"/>
      <c r="Q267" s="22"/>
      <c r="R267" s="170">
        <f t="shared" si="280"/>
        <v>1</v>
      </c>
      <c r="S267" s="75">
        <f t="shared" si="281"/>
        <v>0</v>
      </c>
      <c r="T267" s="172"/>
      <c r="V267" s="41" t="s">
        <v>355</v>
      </c>
      <c r="W267" s="5" t="s">
        <v>451</v>
      </c>
      <c r="X267" s="41"/>
      <c r="Y267" s="41"/>
      <c r="Z267" s="29"/>
      <c r="AA267" s="22"/>
      <c r="AB267" s="170">
        <f t="shared" si="282"/>
        <v>1</v>
      </c>
      <c r="AC267" s="75">
        <f t="shared" si="283"/>
        <v>0</v>
      </c>
      <c r="AD267" s="172"/>
    </row>
    <row r="268" spans="2:30" hidden="1" outlineLevel="1">
      <c r="B268" s="11"/>
      <c r="C268" s="5" t="s">
        <v>384</v>
      </c>
      <c r="D268" s="11"/>
      <c r="E268" s="11"/>
      <c r="F268" s="29"/>
      <c r="G268" s="22"/>
      <c r="H268" s="170">
        <f t="shared" si="278"/>
        <v>1</v>
      </c>
      <c r="I268" s="75">
        <f t="shared" si="279"/>
        <v>0</v>
      </c>
      <c r="J268" s="172"/>
      <c r="L268" s="11"/>
      <c r="M268" s="5" t="s">
        <v>384</v>
      </c>
      <c r="N268" s="11"/>
      <c r="O268" s="11"/>
      <c r="P268" s="29"/>
      <c r="Q268" s="22"/>
      <c r="R268" s="170">
        <f t="shared" si="280"/>
        <v>1</v>
      </c>
      <c r="S268" s="75">
        <f t="shared" si="281"/>
        <v>0</v>
      </c>
      <c r="T268" s="172"/>
      <c r="V268" s="41" t="s">
        <v>355</v>
      </c>
      <c r="W268" s="5" t="s">
        <v>451</v>
      </c>
      <c r="X268" s="41"/>
      <c r="Y268" s="41"/>
      <c r="Z268" s="29"/>
      <c r="AA268" s="22"/>
      <c r="AB268" s="170">
        <f t="shared" si="282"/>
        <v>1</v>
      </c>
      <c r="AC268" s="75">
        <f t="shared" si="283"/>
        <v>0</v>
      </c>
      <c r="AD268" s="172"/>
    </row>
    <row r="269" spans="2:30" hidden="1" outlineLevel="1">
      <c r="B269" s="11"/>
      <c r="C269" s="5" t="s">
        <v>384</v>
      </c>
      <c r="D269" s="11"/>
      <c r="E269" s="11"/>
      <c r="F269" s="29"/>
      <c r="G269" s="22"/>
      <c r="H269" s="170">
        <f t="shared" si="278"/>
        <v>1</v>
      </c>
      <c r="I269" s="75">
        <f t="shared" si="279"/>
        <v>0</v>
      </c>
      <c r="J269" s="172"/>
      <c r="L269" s="11"/>
      <c r="M269" s="5" t="s">
        <v>384</v>
      </c>
      <c r="N269" s="11"/>
      <c r="O269" s="11"/>
      <c r="P269" s="29"/>
      <c r="Q269" s="22"/>
      <c r="R269" s="170">
        <f t="shared" si="280"/>
        <v>1</v>
      </c>
      <c r="S269" s="75">
        <f t="shared" si="281"/>
        <v>0</v>
      </c>
      <c r="T269" s="172"/>
      <c r="V269" s="41" t="s">
        <v>355</v>
      </c>
      <c r="W269" s="5" t="s">
        <v>451</v>
      </c>
      <c r="X269" s="41"/>
      <c r="Y269" s="41"/>
      <c r="Z269" s="29"/>
      <c r="AA269" s="22"/>
      <c r="AB269" s="170">
        <f t="shared" si="282"/>
        <v>1</v>
      </c>
      <c r="AC269" s="75">
        <f t="shared" si="283"/>
        <v>0</v>
      </c>
      <c r="AD269" s="172"/>
    </row>
    <row r="270" spans="2:30" hidden="1" outlineLevel="1">
      <c r="B270" s="11"/>
      <c r="C270" s="5" t="s">
        <v>384</v>
      </c>
      <c r="D270" s="11"/>
      <c r="E270" s="11"/>
      <c r="F270" s="29"/>
      <c r="G270" s="22"/>
      <c r="H270" s="170">
        <f t="shared" si="278"/>
        <v>1</v>
      </c>
      <c r="I270" s="75">
        <f t="shared" si="279"/>
        <v>0</v>
      </c>
      <c r="J270" s="172"/>
      <c r="L270" s="11"/>
      <c r="M270" s="5" t="s">
        <v>384</v>
      </c>
      <c r="N270" s="11"/>
      <c r="O270" s="11"/>
      <c r="P270" s="29"/>
      <c r="Q270" s="22"/>
      <c r="R270" s="170">
        <f t="shared" si="280"/>
        <v>1</v>
      </c>
      <c r="S270" s="75">
        <f t="shared" si="281"/>
        <v>0</v>
      </c>
      <c r="T270" s="172"/>
      <c r="V270" s="41" t="s">
        <v>355</v>
      </c>
      <c r="W270" s="5" t="s">
        <v>451</v>
      </c>
      <c r="X270" s="41"/>
      <c r="Y270" s="41"/>
      <c r="Z270" s="29"/>
      <c r="AA270" s="22"/>
      <c r="AB270" s="170">
        <f t="shared" si="282"/>
        <v>1</v>
      </c>
      <c r="AC270" s="75">
        <f t="shared" si="283"/>
        <v>0</v>
      </c>
      <c r="AD270" s="172"/>
    </row>
    <row r="271" spans="2:30" hidden="1" outlineLevel="1">
      <c r="B271" s="11"/>
      <c r="C271" s="5" t="s">
        <v>384</v>
      </c>
      <c r="D271" s="11"/>
      <c r="E271" s="11"/>
      <c r="F271" s="29"/>
      <c r="G271" s="22"/>
      <c r="H271" s="170">
        <f t="shared" si="278"/>
        <v>1</v>
      </c>
      <c r="I271" s="75">
        <f t="shared" si="279"/>
        <v>0</v>
      </c>
      <c r="J271" s="172"/>
      <c r="L271" s="11"/>
      <c r="M271" s="5" t="s">
        <v>384</v>
      </c>
      <c r="N271" s="11"/>
      <c r="O271" s="11"/>
      <c r="P271" s="29"/>
      <c r="Q271" s="22"/>
      <c r="R271" s="170">
        <f t="shared" si="280"/>
        <v>1</v>
      </c>
      <c r="S271" s="75">
        <f t="shared" si="281"/>
        <v>0</v>
      </c>
      <c r="T271" s="172"/>
      <c r="V271" s="41" t="s">
        <v>355</v>
      </c>
      <c r="W271" s="5" t="s">
        <v>451</v>
      </c>
      <c r="X271" s="41"/>
      <c r="Y271" s="41"/>
      <c r="Z271" s="29"/>
      <c r="AA271" s="22"/>
      <c r="AB271" s="170">
        <f t="shared" si="282"/>
        <v>1</v>
      </c>
      <c r="AC271" s="75">
        <f t="shared" si="283"/>
        <v>0</v>
      </c>
      <c r="AD271" s="172"/>
    </row>
    <row r="272" spans="2:30" hidden="1" outlineLevel="1">
      <c r="B272" s="11"/>
      <c r="C272" s="5" t="s">
        <v>384</v>
      </c>
      <c r="D272" s="11"/>
      <c r="E272" s="11"/>
      <c r="F272" s="29"/>
      <c r="G272" s="22"/>
      <c r="H272" s="170">
        <f t="shared" si="278"/>
        <v>1</v>
      </c>
      <c r="I272" s="75">
        <f t="shared" si="279"/>
        <v>0</v>
      </c>
      <c r="J272" s="172"/>
      <c r="L272" s="11"/>
      <c r="M272" s="5" t="s">
        <v>384</v>
      </c>
      <c r="N272" s="11"/>
      <c r="O272" s="11"/>
      <c r="P272" s="29"/>
      <c r="Q272" s="22"/>
      <c r="R272" s="170">
        <f t="shared" si="280"/>
        <v>1</v>
      </c>
      <c r="S272" s="75">
        <f t="shared" si="281"/>
        <v>0</v>
      </c>
      <c r="T272" s="172"/>
      <c r="V272" s="41" t="s">
        <v>355</v>
      </c>
      <c r="W272" s="5" t="s">
        <v>451</v>
      </c>
      <c r="X272" s="41"/>
      <c r="Y272" s="41"/>
      <c r="Z272" s="29"/>
      <c r="AA272" s="22"/>
      <c r="AB272" s="170">
        <f t="shared" si="282"/>
        <v>1</v>
      </c>
      <c r="AC272" s="75">
        <f t="shared" si="283"/>
        <v>0</v>
      </c>
      <c r="AD272" s="172"/>
    </row>
    <row r="273" spans="1:30" hidden="1" outlineLevel="1">
      <c r="B273" s="11"/>
      <c r="C273" s="5" t="s">
        <v>384</v>
      </c>
      <c r="D273" s="11"/>
      <c r="E273" s="11"/>
      <c r="F273" s="29"/>
      <c r="G273" s="22"/>
      <c r="H273" s="170">
        <f t="shared" si="278"/>
        <v>1</v>
      </c>
      <c r="I273" s="75">
        <f t="shared" si="279"/>
        <v>0</v>
      </c>
      <c r="J273" s="172"/>
      <c r="L273" s="11"/>
      <c r="M273" s="5" t="s">
        <v>384</v>
      </c>
      <c r="N273" s="11"/>
      <c r="O273" s="11"/>
      <c r="P273" s="29"/>
      <c r="Q273" s="22"/>
      <c r="R273" s="170">
        <f t="shared" si="280"/>
        <v>1</v>
      </c>
      <c r="S273" s="75">
        <f t="shared" si="281"/>
        <v>0</v>
      </c>
      <c r="T273" s="172"/>
      <c r="V273" s="41" t="s">
        <v>355</v>
      </c>
      <c r="W273" s="5" t="s">
        <v>451</v>
      </c>
      <c r="X273" s="41"/>
      <c r="Y273" s="41"/>
      <c r="Z273" s="29"/>
      <c r="AA273" s="22"/>
      <c r="AB273" s="170">
        <f t="shared" si="282"/>
        <v>1</v>
      </c>
      <c r="AC273" s="75">
        <f t="shared" si="283"/>
        <v>0</v>
      </c>
      <c r="AD273" s="172"/>
    </row>
    <row r="274" spans="1:30" hidden="1" outlineLevel="1">
      <c r="B274" s="11"/>
      <c r="C274" s="5" t="s">
        <v>384</v>
      </c>
      <c r="D274" s="11"/>
      <c r="E274" s="11"/>
      <c r="F274" s="29"/>
      <c r="G274" s="22"/>
      <c r="H274" s="170">
        <f t="shared" si="278"/>
        <v>1</v>
      </c>
      <c r="I274" s="75">
        <f t="shared" si="279"/>
        <v>0</v>
      </c>
      <c r="J274" s="172"/>
      <c r="L274" s="11"/>
      <c r="M274" s="5" t="s">
        <v>384</v>
      </c>
      <c r="N274" s="11"/>
      <c r="O274" s="11"/>
      <c r="P274" s="29"/>
      <c r="Q274" s="22"/>
      <c r="R274" s="170">
        <f t="shared" si="280"/>
        <v>1</v>
      </c>
      <c r="S274" s="75">
        <f t="shared" si="281"/>
        <v>0</v>
      </c>
      <c r="T274" s="172"/>
      <c r="V274" s="41" t="s">
        <v>355</v>
      </c>
      <c r="W274" s="5" t="s">
        <v>451</v>
      </c>
      <c r="X274" s="41"/>
      <c r="Y274" s="41"/>
      <c r="Z274" s="29"/>
      <c r="AA274" s="22"/>
      <c r="AB274" s="170">
        <f t="shared" si="282"/>
        <v>1</v>
      </c>
      <c r="AC274" s="75">
        <f t="shared" si="283"/>
        <v>0</v>
      </c>
      <c r="AD274" s="172"/>
    </row>
    <row r="275" spans="1:30" s="24" customFormat="1" collapsed="1">
      <c r="B275" s="8" t="str">
        <f>"Total "&amp;B259</f>
        <v>Total P2P - Facility (Trade Invoice Financing)</v>
      </c>
      <c r="C275" s="25"/>
      <c r="D275" s="28">
        <f>SUM(D260:D274)</f>
        <v>0</v>
      </c>
      <c r="E275" s="28">
        <f>SUM(E260:E274)</f>
        <v>0</v>
      </c>
      <c r="F275" s="30"/>
      <c r="G275" s="25"/>
      <c r="H275" s="169">
        <v>1</v>
      </c>
      <c r="I275" s="28">
        <f>SUM(I260:I274)</f>
        <v>0</v>
      </c>
      <c r="J275" s="171"/>
      <c r="L275" s="8" t="str">
        <f>"Total "&amp;L259</f>
        <v>Total P2P - Facility (Trade Invoice Financing)</v>
      </c>
      <c r="M275" s="25"/>
      <c r="N275" s="28">
        <f>SUM(N260:N274)</f>
        <v>0</v>
      </c>
      <c r="O275" s="28">
        <f>SUM(O260:O274)</f>
        <v>0</v>
      </c>
      <c r="P275" s="30"/>
      <c r="Q275" s="25"/>
      <c r="R275" s="169">
        <v>1</v>
      </c>
      <c r="S275" s="28">
        <f>SUM(S260:S274)</f>
        <v>0</v>
      </c>
      <c r="T275" s="171"/>
      <c r="V275" s="8" t="str">
        <f>"Total "&amp;V259</f>
        <v>Total P2P - Facility (Trade Invoice Financing)</v>
      </c>
      <c r="W275" s="25"/>
      <c r="X275" s="28">
        <f>SUM(X260:X274)</f>
        <v>0</v>
      </c>
      <c r="Y275" s="28">
        <f>SUM(Y260:Y274)</f>
        <v>0</v>
      </c>
      <c r="Z275" s="30"/>
      <c r="AA275" s="25"/>
      <c r="AB275" s="169">
        <v>1</v>
      </c>
      <c r="AC275" s="28">
        <f>SUM(AC260:AC274)</f>
        <v>0</v>
      </c>
      <c r="AD275" s="171"/>
    </row>
    <row r="277" spans="1:30" s="20" customFormat="1" ht="41.4">
      <c r="B277" s="27" t="s">
        <v>297</v>
      </c>
      <c r="C277" s="3" t="str">
        <f>C$61</f>
        <v>Source</v>
      </c>
      <c r="D277" s="3" t="str">
        <f t="shared" ref="D277:J277" si="284">D$61</f>
        <v>Limit (A)</v>
      </c>
      <c r="E277" s="3" t="str">
        <f t="shared" si="284"/>
        <v>Outstanding (A1)</v>
      </c>
      <c r="F277" s="3" t="str">
        <f t="shared" si="284"/>
        <v>Monthly Repayment (B)</v>
      </c>
      <c r="G277" s="3" t="str">
        <f t="shared" si="284"/>
        <v>Interest Rate (C)</v>
      </c>
      <c r="H277" s="3" t="str">
        <f t="shared" si="284"/>
        <v>Factor (D)</v>
      </c>
      <c r="I277" s="3" t="str">
        <f t="shared" si="284"/>
        <v>Interest (E) = (A or A1) * (C) * (D)</v>
      </c>
      <c r="J277" s="3" t="str">
        <f t="shared" si="284"/>
        <v>Code Of Conduct</v>
      </c>
      <c r="L277" s="176" t="str">
        <f>B277</f>
        <v>Others</v>
      </c>
      <c r="M277" s="177" t="str">
        <f t="shared" ref="M277" si="285">C277</f>
        <v>Source</v>
      </c>
      <c r="N277" s="177" t="str">
        <f t="shared" ref="N277" si="286">D277</f>
        <v>Limit (A)</v>
      </c>
      <c r="O277" s="177" t="str">
        <f t="shared" ref="O277" si="287">E277</f>
        <v>Outstanding (A1)</v>
      </c>
      <c r="P277" s="177" t="str">
        <f t="shared" ref="P277" si="288">F277</f>
        <v>Monthly Repayment (B)</v>
      </c>
      <c r="Q277" s="177" t="str">
        <f t="shared" ref="Q277" si="289">G277</f>
        <v>Interest Rate (C)</v>
      </c>
      <c r="R277" s="177" t="str">
        <f t="shared" ref="R277" si="290">H277</f>
        <v>Factor (D)</v>
      </c>
      <c r="S277" s="177" t="str">
        <f t="shared" ref="S277" si="291">I277</f>
        <v>Interest (E) = (A or A1) * (C) * (D)</v>
      </c>
      <c r="T277" s="177" t="str">
        <f t="shared" ref="T277" si="292">J277</f>
        <v>Code Of Conduct</v>
      </c>
      <c r="V277" s="176" t="str">
        <f>L277</f>
        <v>Others</v>
      </c>
      <c r="W277" s="177" t="str">
        <f t="shared" ref="W277" si="293">M277</f>
        <v>Source</v>
      </c>
      <c r="X277" s="177" t="str">
        <f t="shared" ref="X277" si="294">N277</f>
        <v>Limit (A)</v>
      </c>
      <c r="Y277" s="177" t="str">
        <f t="shared" ref="Y277" si="295">O277</f>
        <v>Outstanding (A1)</v>
      </c>
      <c r="Z277" s="177" t="str">
        <f t="shared" ref="Z277" si="296">P277</f>
        <v>Monthly Repayment (B)</v>
      </c>
      <c r="AA277" s="177" t="str">
        <f t="shared" ref="AA277" si="297">Q277</f>
        <v>Interest Rate (C)</v>
      </c>
      <c r="AB277" s="177" t="str">
        <f t="shared" ref="AB277" si="298">R277</f>
        <v>Factor (D)</v>
      </c>
      <c r="AC277" s="177" t="str">
        <f t="shared" ref="AC277" si="299">S277</f>
        <v>Interest (E) = (A or A1) * (C) * (D)</v>
      </c>
      <c r="AD277" s="177" t="str">
        <f t="shared" ref="AD277" si="300">T277</f>
        <v>Code Of Conduct</v>
      </c>
    </row>
    <row r="278" spans="1:30">
      <c r="A278" s="2" t="s">
        <v>1059</v>
      </c>
      <c r="B278" s="11" t="s">
        <v>1050</v>
      </c>
      <c r="C278" s="5" t="s">
        <v>451</v>
      </c>
      <c r="D278" s="97">
        <v>50000</v>
      </c>
      <c r="E278" s="97">
        <v>50021</v>
      </c>
      <c r="F278" s="97">
        <v>1000</v>
      </c>
      <c r="G278" s="22"/>
      <c r="H278" s="32"/>
      <c r="I278" s="29"/>
      <c r="J278" s="172"/>
      <c r="L278" s="11"/>
      <c r="M278" s="5" t="s">
        <v>382</v>
      </c>
      <c r="N278" s="97"/>
      <c r="O278" s="97"/>
      <c r="P278" s="97"/>
      <c r="Q278" s="22"/>
      <c r="R278" s="32"/>
      <c r="S278" s="29"/>
      <c r="T278" s="172"/>
      <c r="V278" s="41" t="s">
        <v>355</v>
      </c>
      <c r="W278" s="5" t="s">
        <v>451</v>
      </c>
      <c r="X278" s="41"/>
      <c r="Y278" s="41"/>
      <c r="Z278" s="41"/>
      <c r="AA278" s="41"/>
      <c r="AB278" s="32"/>
      <c r="AC278" s="29"/>
      <c r="AD278" s="172"/>
    </row>
    <row r="279" spans="1:30">
      <c r="B279" s="11"/>
      <c r="C279" s="5" t="s">
        <v>384</v>
      </c>
      <c r="D279" s="97"/>
      <c r="E279" s="97"/>
      <c r="F279" s="97"/>
      <c r="G279" s="22"/>
      <c r="H279" s="32"/>
      <c r="I279" s="29"/>
      <c r="J279" s="172"/>
      <c r="L279" s="11"/>
      <c r="M279" s="5" t="s">
        <v>384</v>
      </c>
      <c r="N279" s="97"/>
      <c r="O279" s="97"/>
      <c r="P279" s="97"/>
      <c r="Q279" s="22"/>
      <c r="R279" s="32"/>
      <c r="S279" s="29"/>
      <c r="T279" s="172"/>
      <c r="V279" s="41" t="s">
        <v>355</v>
      </c>
      <c r="W279" s="5" t="s">
        <v>451</v>
      </c>
      <c r="X279" s="41"/>
      <c r="Y279" s="41"/>
      <c r="Z279" s="41"/>
      <c r="AA279" s="41"/>
      <c r="AB279" s="32"/>
      <c r="AC279" s="29"/>
      <c r="AD279" s="172"/>
    </row>
    <row r="280" spans="1:30">
      <c r="B280" s="11"/>
      <c r="C280" s="5" t="s">
        <v>384</v>
      </c>
      <c r="D280" s="97"/>
      <c r="E280" s="97"/>
      <c r="F280" s="97"/>
      <c r="G280" s="22"/>
      <c r="H280" s="32"/>
      <c r="I280" s="29"/>
      <c r="J280" s="172"/>
      <c r="L280" s="11"/>
      <c r="M280" s="5" t="s">
        <v>384</v>
      </c>
      <c r="N280" s="97"/>
      <c r="O280" s="97"/>
      <c r="P280" s="97"/>
      <c r="Q280" s="22"/>
      <c r="R280" s="32"/>
      <c r="S280" s="29"/>
      <c r="T280" s="172"/>
      <c r="V280" s="41" t="s">
        <v>355</v>
      </c>
      <c r="W280" s="5" t="s">
        <v>451</v>
      </c>
      <c r="X280" s="41"/>
      <c r="Y280" s="41"/>
      <c r="Z280" s="41"/>
      <c r="AA280" s="41"/>
      <c r="AB280" s="32"/>
      <c r="AC280" s="29"/>
      <c r="AD280" s="172"/>
    </row>
    <row r="281" spans="1:30">
      <c r="B281" s="11"/>
      <c r="C281" s="5" t="s">
        <v>384</v>
      </c>
      <c r="D281" s="97"/>
      <c r="E281" s="97"/>
      <c r="F281" s="11"/>
      <c r="G281" s="22"/>
      <c r="H281" s="32"/>
      <c r="I281" s="29"/>
      <c r="J281" s="172"/>
      <c r="L281" s="11"/>
      <c r="M281" s="5" t="s">
        <v>384</v>
      </c>
      <c r="N281" s="97"/>
      <c r="O281" s="97"/>
      <c r="P281" s="11"/>
      <c r="Q281" s="22"/>
      <c r="R281" s="32"/>
      <c r="S281" s="29"/>
      <c r="T281" s="172"/>
      <c r="V281" s="41" t="s">
        <v>355</v>
      </c>
      <c r="W281" s="5" t="s">
        <v>451</v>
      </c>
      <c r="X281" s="41"/>
      <c r="Y281" s="41"/>
      <c r="Z281" s="41"/>
      <c r="AA281" s="41"/>
      <c r="AB281" s="32"/>
      <c r="AC281" s="29"/>
      <c r="AD281" s="172"/>
    </row>
    <row r="282" spans="1:30">
      <c r="B282" s="11"/>
      <c r="C282" s="5" t="s">
        <v>384</v>
      </c>
      <c r="D282" s="11"/>
      <c r="E282" s="11"/>
      <c r="F282" s="11"/>
      <c r="G282" s="22"/>
      <c r="H282" s="32"/>
      <c r="I282" s="29"/>
      <c r="J282" s="172"/>
      <c r="L282" s="11"/>
      <c r="M282" s="5" t="s">
        <v>384</v>
      </c>
      <c r="N282" s="11"/>
      <c r="O282" s="11"/>
      <c r="P282" s="11"/>
      <c r="Q282" s="22"/>
      <c r="R282" s="32"/>
      <c r="S282" s="29"/>
      <c r="T282" s="172"/>
      <c r="V282" s="41" t="s">
        <v>355</v>
      </c>
      <c r="W282" s="5" t="s">
        <v>451</v>
      </c>
      <c r="X282" s="41"/>
      <c r="Y282" s="41"/>
      <c r="Z282" s="41"/>
      <c r="AA282" s="41"/>
      <c r="AB282" s="32"/>
      <c r="AC282" s="29"/>
      <c r="AD282" s="172"/>
    </row>
    <row r="283" spans="1:30">
      <c r="B283" s="11"/>
      <c r="C283" s="5" t="s">
        <v>384</v>
      </c>
      <c r="D283" s="11"/>
      <c r="E283" s="11"/>
      <c r="F283" s="11"/>
      <c r="G283" s="22"/>
      <c r="H283" s="32"/>
      <c r="I283" s="29"/>
      <c r="J283" s="172"/>
      <c r="L283" s="11"/>
      <c r="M283" s="5" t="s">
        <v>384</v>
      </c>
      <c r="N283" s="11"/>
      <c r="O283" s="11"/>
      <c r="P283" s="11"/>
      <c r="Q283" s="22"/>
      <c r="R283" s="32"/>
      <c r="S283" s="29"/>
      <c r="T283" s="172"/>
      <c r="V283" s="41" t="s">
        <v>355</v>
      </c>
      <c r="W283" s="5" t="s">
        <v>451</v>
      </c>
      <c r="X283" s="41"/>
      <c r="Y283" s="41"/>
      <c r="Z283" s="41"/>
      <c r="AA283" s="41"/>
      <c r="AB283" s="32"/>
      <c r="AC283" s="29"/>
      <c r="AD283" s="172"/>
    </row>
    <row r="284" spans="1:30" hidden="1" outlineLevel="1">
      <c r="B284" s="11"/>
      <c r="C284" s="5" t="s">
        <v>384</v>
      </c>
      <c r="D284" s="11"/>
      <c r="E284" s="11"/>
      <c r="F284" s="11"/>
      <c r="G284" s="22"/>
      <c r="H284" s="32"/>
      <c r="I284" s="29"/>
      <c r="J284" s="172"/>
      <c r="L284" s="11"/>
      <c r="M284" s="5" t="s">
        <v>384</v>
      </c>
      <c r="N284" s="11"/>
      <c r="O284" s="11"/>
      <c r="P284" s="11"/>
      <c r="Q284" s="22"/>
      <c r="R284" s="32"/>
      <c r="S284" s="29"/>
      <c r="T284" s="172"/>
      <c r="V284" s="41" t="s">
        <v>355</v>
      </c>
      <c r="W284" s="5" t="s">
        <v>451</v>
      </c>
      <c r="X284" s="41"/>
      <c r="Y284" s="41"/>
      <c r="Z284" s="41"/>
      <c r="AA284" s="41"/>
      <c r="AB284" s="32"/>
      <c r="AC284" s="29"/>
      <c r="AD284" s="172"/>
    </row>
    <row r="285" spans="1:30" hidden="1" outlineLevel="1">
      <c r="B285" s="11"/>
      <c r="C285" s="5" t="s">
        <v>384</v>
      </c>
      <c r="D285" s="11"/>
      <c r="E285" s="11"/>
      <c r="F285" s="11"/>
      <c r="G285" s="22"/>
      <c r="H285" s="32"/>
      <c r="I285" s="29"/>
      <c r="J285" s="172"/>
      <c r="L285" s="11"/>
      <c r="M285" s="5" t="s">
        <v>384</v>
      </c>
      <c r="N285" s="11"/>
      <c r="O285" s="11"/>
      <c r="P285" s="11"/>
      <c r="Q285" s="22"/>
      <c r="R285" s="32"/>
      <c r="S285" s="29"/>
      <c r="T285" s="172"/>
      <c r="V285" s="41" t="s">
        <v>355</v>
      </c>
      <c r="W285" s="5" t="s">
        <v>451</v>
      </c>
      <c r="X285" s="41"/>
      <c r="Y285" s="41"/>
      <c r="Z285" s="41"/>
      <c r="AA285" s="41"/>
      <c r="AB285" s="32"/>
      <c r="AC285" s="29"/>
      <c r="AD285" s="172"/>
    </row>
    <row r="286" spans="1:30" hidden="1" outlineLevel="1">
      <c r="B286" s="11"/>
      <c r="C286" s="5" t="s">
        <v>384</v>
      </c>
      <c r="D286" s="11"/>
      <c r="E286" s="11"/>
      <c r="F286" s="11"/>
      <c r="G286" s="22"/>
      <c r="H286" s="32"/>
      <c r="I286" s="29"/>
      <c r="J286" s="172"/>
      <c r="L286" s="11"/>
      <c r="M286" s="5" t="s">
        <v>384</v>
      </c>
      <c r="N286" s="11"/>
      <c r="O286" s="11"/>
      <c r="P286" s="11"/>
      <c r="Q286" s="22"/>
      <c r="R286" s="32"/>
      <c r="S286" s="29"/>
      <c r="T286" s="172"/>
      <c r="V286" s="41" t="s">
        <v>355</v>
      </c>
      <c r="W286" s="5" t="s">
        <v>451</v>
      </c>
      <c r="X286" s="41"/>
      <c r="Y286" s="41"/>
      <c r="Z286" s="41"/>
      <c r="AA286" s="41"/>
      <c r="AB286" s="32"/>
      <c r="AC286" s="29"/>
      <c r="AD286" s="172"/>
    </row>
    <row r="287" spans="1:30" hidden="1" outlineLevel="1">
      <c r="B287" s="11"/>
      <c r="C287" s="5" t="s">
        <v>384</v>
      </c>
      <c r="D287" s="11"/>
      <c r="E287" s="11"/>
      <c r="F287" s="11"/>
      <c r="G287" s="22"/>
      <c r="H287" s="32"/>
      <c r="I287" s="29"/>
      <c r="J287" s="172"/>
      <c r="L287" s="11"/>
      <c r="M287" s="5" t="s">
        <v>384</v>
      </c>
      <c r="N287" s="11"/>
      <c r="O287" s="11"/>
      <c r="P287" s="11"/>
      <c r="Q287" s="22"/>
      <c r="R287" s="32"/>
      <c r="S287" s="29"/>
      <c r="T287" s="172"/>
      <c r="V287" s="41" t="s">
        <v>355</v>
      </c>
      <c r="W287" s="5" t="s">
        <v>451</v>
      </c>
      <c r="X287" s="41"/>
      <c r="Y287" s="41"/>
      <c r="Z287" s="41"/>
      <c r="AA287" s="41"/>
      <c r="AB287" s="32"/>
      <c r="AC287" s="29"/>
      <c r="AD287" s="172"/>
    </row>
    <row r="288" spans="1:30" hidden="1" outlineLevel="1">
      <c r="B288" s="11"/>
      <c r="C288" s="5" t="s">
        <v>384</v>
      </c>
      <c r="D288" s="11"/>
      <c r="E288" s="11"/>
      <c r="F288" s="11"/>
      <c r="G288" s="22"/>
      <c r="H288" s="32"/>
      <c r="I288" s="29"/>
      <c r="J288" s="172"/>
      <c r="L288" s="11"/>
      <c r="M288" s="5" t="s">
        <v>384</v>
      </c>
      <c r="N288" s="11"/>
      <c r="O288" s="11"/>
      <c r="P288" s="11"/>
      <c r="Q288" s="22"/>
      <c r="R288" s="32"/>
      <c r="S288" s="29"/>
      <c r="T288" s="172"/>
      <c r="V288" s="41" t="s">
        <v>355</v>
      </c>
      <c r="W288" s="5" t="s">
        <v>451</v>
      </c>
      <c r="X288" s="41"/>
      <c r="Y288" s="41"/>
      <c r="Z288" s="41"/>
      <c r="AA288" s="41"/>
      <c r="AB288" s="32"/>
      <c r="AC288" s="29"/>
      <c r="AD288" s="172"/>
    </row>
    <row r="289" spans="2:30" hidden="1" outlineLevel="1">
      <c r="B289" s="11"/>
      <c r="C289" s="5" t="s">
        <v>384</v>
      </c>
      <c r="D289" s="11"/>
      <c r="E289" s="11"/>
      <c r="F289" s="11"/>
      <c r="G289" s="22"/>
      <c r="H289" s="32"/>
      <c r="I289" s="29"/>
      <c r="J289" s="172"/>
      <c r="L289" s="11"/>
      <c r="M289" s="5" t="s">
        <v>384</v>
      </c>
      <c r="N289" s="11"/>
      <c r="O289" s="11"/>
      <c r="P289" s="11"/>
      <c r="Q289" s="22"/>
      <c r="R289" s="32"/>
      <c r="S289" s="29"/>
      <c r="T289" s="172"/>
      <c r="V289" s="41" t="s">
        <v>355</v>
      </c>
      <c r="W289" s="5" t="s">
        <v>451</v>
      </c>
      <c r="X289" s="41"/>
      <c r="Y289" s="41"/>
      <c r="Z289" s="41"/>
      <c r="AA289" s="41"/>
      <c r="AB289" s="32"/>
      <c r="AC289" s="29"/>
      <c r="AD289" s="172"/>
    </row>
    <row r="290" spans="2:30" hidden="1" outlineLevel="1">
      <c r="B290" s="11"/>
      <c r="C290" s="5" t="s">
        <v>384</v>
      </c>
      <c r="D290" s="11"/>
      <c r="E290" s="11"/>
      <c r="F290" s="11"/>
      <c r="G290" s="22"/>
      <c r="H290" s="32"/>
      <c r="I290" s="29"/>
      <c r="J290" s="172"/>
      <c r="L290" s="11"/>
      <c r="M290" s="5" t="s">
        <v>384</v>
      </c>
      <c r="N290" s="11"/>
      <c r="O290" s="11"/>
      <c r="P290" s="11"/>
      <c r="Q290" s="22"/>
      <c r="R290" s="32"/>
      <c r="S290" s="29"/>
      <c r="T290" s="172"/>
      <c r="V290" s="41" t="s">
        <v>355</v>
      </c>
      <c r="W290" s="5" t="s">
        <v>451</v>
      </c>
      <c r="X290" s="41"/>
      <c r="Y290" s="41"/>
      <c r="Z290" s="41"/>
      <c r="AA290" s="41"/>
      <c r="AB290" s="32"/>
      <c r="AC290" s="29"/>
      <c r="AD290" s="172"/>
    </row>
    <row r="291" spans="2:30" hidden="1" outlineLevel="1">
      <c r="B291" s="11"/>
      <c r="C291" s="5" t="s">
        <v>384</v>
      </c>
      <c r="D291" s="11"/>
      <c r="E291" s="11"/>
      <c r="F291" s="11"/>
      <c r="G291" s="22"/>
      <c r="H291" s="32"/>
      <c r="I291" s="29"/>
      <c r="J291" s="172"/>
      <c r="L291" s="11"/>
      <c r="M291" s="5" t="s">
        <v>384</v>
      </c>
      <c r="N291" s="11"/>
      <c r="O291" s="11"/>
      <c r="P291" s="11"/>
      <c r="Q291" s="22"/>
      <c r="R291" s="32"/>
      <c r="S291" s="29"/>
      <c r="T291" s="172"/>
      <c r="V291" s="41" t="s">
        <v>355</v>
      </c>
      <c r="W291" s="5" t="s">
        <v>451</v>
      </c>
      <c r="X291" s="41"/>
      <c r="Y291" s="41"/>
      <c r="Z291" s="41"/>
      <c r="AA291" s="41"/>
      <c r="AB291" s="32"/>
      <c r="AC291" s="29"/>
      <c r="AD291" s="172"/>
    </row>
    <row r="292" spans="2:30" hidden="1" outlineLevel="1">
      <c r="B292" s="11"/>
      <c r="C292" s="5" t="s">
        <v>384</v>
      </c>
      <c r="D292" s="11"/>
      <c r="E292" s="11"/>
      <c r="F292" s="11"/>
      <c r="G292" s="22"/>
      <c r="H292" s="32"/>
      <c r="I292" s="29"/>
      <c r="J292" s="172"/>
      <c r="L292" s="11"/>
      <c r="M292" s="5" t="s">
        <v>384</v>
      </c>
      <c r="N292" s="11"/>
      <c r="O292" s="11"/>
      <c r="P292" s="11"/>
      <c r="Q292" s="22"/>
      <c r="R292" s="32"/>
      <c r="S292" s="29"/>
      <c r="T292" s="172"/>
      <c r="V292" s="41" t="s">
        <v>355</v>
      </c>
      <c r="W292" s="5" t="s">
        <v>451</v>
      </c>
      <c r="X292" s="41"/>
      <c r="Y292" s="41"/>
      <c r="Z292" s="41"/>
      <c r="AA292" s="41"/>
      <c r="AB292" s="32"/>
      <c r="AC292" s="29"/>
      <c r="AD292" s="172"/>
    </row>
    <row r="293" spans="2:30" s="24" customFormat="1" collapsed="1">
      <c r="B293" s="8" t="str">
        <f>"Total "&amp;B277</f>
        <v>Total Others</v>
      </c>
      <c r="C293" s="25"/>
      <c r="D293" s="28">
        <f t="shared" ref="D293:F293" si="301">SUM(D278:D292)</f>
        <v>50000</v>
      </c>
      <c r="E293" s="28">
        <f t="shared" si="301"/>
        <v>50021</v>
      </c>
      <c r="F293" s="28">
        <f t="shared" si="301"/>
        <v>1000</v>
      </c>
      <c r="G293" s="25"/>
      <c r="H293" s="26"/>
      <c r="I293" s="30"/>
      <c r="J293" s="171"/>
      <c r="L293" s="8" t="str">
        <f>"Total "&amp;L277</f>
        <v>Total Others</v>
      </c>
      <c r="M293" s="25"/>
      <c r="N293" s="28">
        <f t="shared" ref="N293:P293" si="302">SUM(N278:N292)</f>
        <v>0</v>
      </c>
      <c r="O293" s="28">
        <f t="shared" si="302"/>
        <v>0</v>
      </c>
      <c r="P293" s="28">
        <f t="shared" si="302"/>
        <v>0</v>
      </c>
      <c r="Q293" s="25"/>
      <c r="R293" s="26"/>
      <c r="S293" s="30"/>
      <c r="T293" s="171"/>
      <c r="V293" s="8" t="str">
        <f>"Total "&amp;V277</f>
        <v>Total Others</v>
      </c>
      <c r="W293" s="25"/>
      <c r="X293" s="28">
        <f t="shared" ref="X293:Z293" si="303">SUM(X278:X292)</f>
        <v>0</v>
      </c>
      <c r="Y293" s="28">
        <f t="shared" si="303"/>
        <v>0</v>
      </c>
      <c r="Z293" s="28">
        <f t="shared" si="303"/>
        <v>0</v>
      </c>
      <c r="AA293" s="25"/>
      <c r="AB293" s="26"/>
      <c r="AC293" s="30"/>
      <c r="AD293" s="171"/>
    </row>
    <row r="302" spans="2:30" s="20" customFormat="1" ht="41.4">
      <c r="B302" s="227" t="s">
        <v>460</v>
      </c>
      <c r="C302" s="227" t="s">
        <v>461</v>
      </c>
      <c r="D302" s="227" t="s">
        <v>462</v>
      </c>
      <c r="E302" s="227" t="s">
        <v>463</v>
      </c>
      <c r="F302" s="227" t="s">
        <v>464</v>
      </c>
    </row>
    <row r="303" spans="2:30">
      <c r="B303" s="5" t="s">
        <v>465</v>
      </c>
      <c r="C303" s="6">
        <f>A54+A56</f>
        <v>4</v>
      </c>
      <c r="D303" s="6">
        <f>D54+D56</f>
        <v>1350000</v>
      </c>
      <c r="E303" s="6">
        <f>E54+E56</f>
        <v>641476</v>
      </c>
      <c r="F303" s="6"/>
    </row>
    <row r="304" spans="2:30">
      <c r="B304" s="5" t="s">
        <v>466</v>
      </c>
      <c r="C304" s="6">
        <f>A55</f>
        <v>1</v>
      </c>
      <c r="D304" s="6">
        <f>D55</f>
        <v>117000</v>
      </c>
      <c r="E304" s="6">
        <f>E55</f>
        <v>102315</v>
      </c>
      <c r="F304" s="6"/>
    </row>
    <row r="305" spans="2:6">
      <c r="B305" s="5" t="s">
        <v>467</v>
      </c>
      <c r="C305" s="6">
        <f>A53</f>
        <v>1</v>
      </c>
      <c r="D305" s="6">
        <f>D53</f>
        <v>20000</v>
      </c>
      <c r="E305" s="6">
        <f>E53</f>
        <v>14999</v>
      </c>
      <c r="F305" s="6"/>
    </row>
    <row r="306" spans="2:6">
      <c r="B306" s="5" t="s">
        <v>468</v>
      </c>
      <c r="C306" s="6">
        <f>SUM(A46:A47,A49:A52,A57)</f>
        <v>2</v>
      </c>
      <c r="D306" s="6">
        <f>SUM(D46:D47,D49:D52,D57)</f>
        <v>2738500</v>
      </c>
      <c r="E306" s="6">
        <f>SUM(E46:E47,E49:E52,E57)</f>
        <v>71318</v>
      </c>
      <c r="F306" s="6"/>
    </row>
    <row r="307" spans="2:6">
      <c r="B307" s="5" t="s">
        <v>297</v>
      </c>
      <c r="C307" s="6">
        <f>SUM(A48,A58)</f>
        <v>1</v>
      </c>
      <c r="D307" s="6">
        <f>SUM(D48,D58)</f>
        <v>50000</v>
      </c>
      <c r="E307" s="6">
        <f>SUM(E48,E58)</f>
        <v>50021</v>
      </c>
      <c r="F307" s="6"/>
    </row>
    <row r="308" spans="2:6">
      <c r="B308" s="82" t="s">
        <v>179</v>
      </c>
      <c r="C308" s="74">
        <f>SUM(C303:C307)</f>
        <v>9</v>
      </c>
      <c r="D308" s="74">
        <f>SUM(D303:D307)</f>
        <v>4275500</v>
      </c>
      <c r="E308" s="74">
        <f t="shared" ref="E308:F308" si="304">SUM(E303:E307)</f>
        <v>880129</v>
      </c>
      <c r="F308" s="74">
        <f t="shared" si="304"/>
        <v>0</v>
      </c>
    </row>
    <row r="312" spans="2:6">
      <c r="C312" s="225">
        <v>7</v>
      </c>
      <c r="D312" s="225">
        <v>9819766</v>
      </c>
      <c r="E312" s="225">
        <v>7968712</v>
      </c>
    </row>
    <row r="313" spans="2:6">
      <c r="C313" s="225">
        <v>0</v>
      </c>
      <c r="D313" s="225">
        <v>0</v>
      </c>
      <c r="E313" s="225">
        <v>0</v>
      </c>
    </row>
    <row r="314" spans="2:6">
      <c r="C314" s="225">
        <v>0</v>
      </c>
      <c r="D314" s="225">
        <v>0</v>
      </c>
      <c r="E314" s="225">
        <v>0</v>
      </c>
    </row>
    <row r="315" spans="2:6">
      <c r="C315" s="225">
        <v>1</v>
      </c>
      <c r="D315" s="225">
        <v>1000000</v>
      </c>
      <c r="E315" s="225">
        <v>996460</v>
      </c>
    </row>
    <row r="316" spans="2:6">
      <c r="C316" s="225">
        <v>0</v>
      </c>
      <c r="D316" s="225">
        <v>0</v>
      </c>
      <c r="E316" s="225">
        <v>0</v>
      </c>
    </row>
    <row r="317" spans="2:6">
      <c r="C317" s="225">
        <v>8</v>
      </c>
      <c r="D317" s="225">
        <v>10819766</v>
      </c>
      <c r="E317" s="225">
        <v>8965172</v>
      </c>
    </row>
  </sheetData>
  <mergeCells count="3">
    <mergeCell ref="V43:AD43"/>
    <mergeCell ref="B43:J43"/>
    <mergeCell ref="L43:T43"/>
  </mergeCells>
  <phoneticPr fontId="11" type="noConversion"/>
  <conditionalFormatting sqref="D116:D117">
    <cfRule type="iconSet" priority="2">
      <iconSet iconSet="3Arrows">
        <cfvo type="percent" val="0"/>
        <cfvo type="percent" val="33"/>
        <cfvo type="percent" val="67"/>
      </iconSet>
    </cfRule>
  </conditionalFormatting>
  <conditionalFormatting sqref="D134:D135">
    <cfRule type="iconSet" priority="1">
      <iconSet iconSet="3Arrows">
        <cfvo type="percent" val="0"/>
        <cfvo type="percent" val="33"/>
        <cfvo type="percent" val="67"/>
      </iconSet>
    </cfRule>
  </conditionalFormatting>
  <printOptions horizontalCentered="1"/>
  <pageMargins left="0.11811023622047245" right="0.11811023622047245" top="0.15748031496062992" bottom="0.15748031496062992" header="0.31496062992125984" footer="0.31496062992125984"/>
  <pageSetup paperSize="9" scale="23" orientation="portrait" horizontalDpi="300" verticalDpi="300" r:id="rId1"/>
  <drawing r:id="rId2"/>
  <extLst>
    <ext xmlns:x14="http://schemas.microsoft.com/office/spreadsheetml/2009/9/main" uri="{CCE6A557-97BC-4b89-ADB6-D9C93CAAB3DF}">
      <x14:dataValidations xmlns:xm="http://schemas.microsoft.com/office/excel/2006/main" count="3">
        <x14:dataValidation type="list" allowBlank="1" showInputMessage="1" showErrorMessage="1" xr:uid="{46C7A28C-E2BC-40F0-9957-EBCF4E425F5B}">
          <x14:formula1>
            <xm:f>'Mapping &amp; Selection'!$C$12:$C$19</xm:f>
          </x14:formula1>
          <xm:sqref>C8</xm:sqref>
        </x14:dataValidation>
        <x14:dataValidation type="list" allowBlank="1" showInputMessage="1" showErrorMessage="1" xr:uid="{A06F532E-5140-45CE-956F-7285A5562EE4}">
          <x14:formula1>
            <xm:f>'Mapping &amp; Selection'!$C$3:$C$9</xm:f>
          </x14:formula1>
          <xm:sqref>C80:C94 C206:C220 C188:C202 C116:C130 W278:W292 C224:C238 C243:C256 C62:C76 C260:C274 C134:C148 C170:C184 C278:C292 C152:C166 M62:M76 M134:M148 M170:M184 M116:M130 M206:M220 M224:M238 M188:M202 M242:M256 M260:M274 M98:M112 M152:M166 M278:M292 M80:M94 W62:W76 W116:W130 W152:W166 W98:W112 W188:W202 W206:W220 W170:W184 W224:W238 W242:W256 W80:W94 W134:W148 W260:W274 C98:C112</xm:sqref>
        </x14:dataValidation>
        <x14:dataValidation type="list" allowBlank="1" showInputMessage="1" showErrorMessage="1" xr:uid="{4BBCB8AB-93CD-4FEC-9FAE-80F1BC3AECA0}">
          <x14:formula1>
            <xm:f>'Mapping &amp; Selection'!$C$12:$C$20</xm:f>
          </x14:formula1>
          <xm:sqref>C9:C20</xm:sqref>
        </x14:dataValidation>
      </x14:dataValidations>
    </ext>
  </extLst>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66A00E-5040-4CAA-ADE8-141C2C674298}">
  <sheetPr codeName="Sheet5"/>
  <dimension ref="A2:BN221"/>
  <sheetViews>
    <sheetView zoomScale="85" zoomScaleNormal="85" workbookViewId="0">
      <selection activeCell="L9" sqref="L9"/>
    </sheetView>
  </sheetViews>
  <sheetFormatPr defaultColWidth="9.109375" defaultRowHeight="13.8" outlineLevelRow="1" outlineLevelCol="1"/>
  <cols>
    <col min="1" max="1" width="9.109375" style="2"/>
    <col min="2" max="2" width="40.33203125" style="2" bestFit="1" customWidth="1"/>
    <col min="3" max="3" width="11.6640625" style="2" bestFit="1" customWidth="1"/>
    <col min="4" max="5" width="13.109375" style="2" bestFit="1" customWidth="1"/>
    <col min="6" max="7" width="10.33203125" style="2" customWidth="1"/>
    <col min="8" max="8" width="12.109375" style="2" bestFit="1" customWidth="1"/>
    <col min="9" max="9" width="13.44140625" style="2" bestFit="1" customWidth="1"/>
    <col min="10" max="10" width="15.88671875" style="2" customWidth="1"/>
    <col min="11" max="11" width="10.33203125" style="2" bestFit="1" customWidth="1"/>
    <col min="12" max="12" width="40.33203125" style="2" bestFit="1" customWidth="1"/>
    <col min="13" max="13" width="11.6640625" style="2" bestFit="1" customWidth="1"/>
    <col min="14" max="19" width="10.33203125" style="2" customWidth="1"/>
    <col min="20" max="20" width="20.6640625" style="2" customWidth="1"/>
    <col min="21" max="21" width="9.6640625" style="2" customWidth="1"/>
    <col min="22" max="22" width="40.33203125" style="2" hidden="1" customWidth="1" outlineLevel="1"/>
    <col min="23" max="23" width="11.6640625" style="2" hidden="1" customWidth="1" outlineLevel="1"/>
    <col min="24" max="29" width="10.33203125" style="2" hidden="1" customWidth="1" outlineLevel="1"/>
    <col min="30" max="30" width="0" style="2" hidden="1" customWidth="1" outlineLevel="1"/>
    <col min="31" max="31" width="40.33203125" style="2" hidden="1" customWidth="1" outlineLevel="1"/>
    <col min="32" max="32" width="11.6640625" style="2" hidden="1" customWidth="1" outlineLevel="1"/>
    <col min="33" max="38" width="10.33203125" style="2" hidden="1" customWidth="1" outlineLevel="1"/>
    <col min="39" max="39" width="0" style="2" hidden="1" customWidth="1" outlineLevel="1"/>
    <col min="40" max="40" width="40.33203125" style="2" hidden="1" customWidth="1" outlineLevel="1"/>
    <col min="41" max="41" width="11.6640625" style="2" hidden="1" customWidth="1" outlineLevel="1"/>
    <col min="42" max="47" width="10.33203125" style="2" hidden="1" customWidth="1" outlineLevel="1"/>
    <col min="48" max="48" width="0" style="2" hidden="1" customWidth="1" outlineLevel="1"/>
    <col min="49" max="49" width="40.33203125" style="2" hidden="1" customWidth="1" outlineLevel="1"/>
    <col min="50" max="50" width="11.6640625" style="2" hidden="1" customWidth="1" outlineLevel="1"/>
    <col min="51" max="56" width="10.33203125" style="2" hidden="1" customWidth="1" outlineLevel="1"/>
    <col min="57" max="57" width="0" style="2" hidden="1" customWidth="1" outlineLevel="1"/>
    <col min="58" max="58" width="40.33203125" style="2" hidden="1" customWidth="1" outlineLevel="1"/>
    <col min="59" max="59" width="11.6640625" style="2" hidden="1" customWidth="1" outlineLevel="1"/>
    <col min="60" max="65" width="10.33203125" style="2" hidden="1" customWidth="1" outlineLevel="1"/>
    <col min="66" max="66" width="9.109375" style="2" collapsed="1"/>
    <col min="67" max="16384" width="9.109375" style="2"/>
  </cols>
  <sheetData>
    <row r="2" spans="2:19">
      <c r="B2" s="55" t="s">
        <v>469</v>
      </c>
      <c r="C2" s="1"/>
      <c r="D2" s="1"/>
      <c r="E2" s="1"/>
      <c r="F2" s="1"/>
      <c r="G2" s="1"/>
      <c r="H2" s="1"/>
      <c r="I2" s="1"/>
      <c r="J2" s="1"/>
      <c r="Q2" s="2" t="s">
        <v>470</v>
      </c>
      <c r="S2" s="1"/>
    </row>
    <row r="3" spans="2:19">
      <c r="B3" s="1"/>
      <c r="C3" s="1"/>
      <c r="E3" s="1"/>
      <c r="F3" s="1"/>
      <c r="G3" s="1"/>
      <c r="H3" s="1"/>
      <c r="I3" s="1"/>
      <c r="J3" s="1"/>
    </row>
    <row r="4" spans="2:19">
      <c r="B4" s="17" t="s">
        <v>471</v>
      </c>
      <c r="C4" s="17" t="s">
        <v>472</v>
      </c>
      <c r="D4" s="17" t="s">
        <v>473</v>
      </c>
      <c r="E4" s="17" t="s">
        <v>474</v>
      </c>
      <c r="F4" s="17" t="s">
        <v>475</v>
      </c>
      <c r="G4" s="17" t="s">
        <v>476</v>
      </c>
      <c r="H4" s="17" t="s">
        <v>477</v>
      </c>
      <c r="I4" s="17" t="s">
        <v>478</v>
      </c>
      <c r="J4" s="58" t="s">
        <v>179</v>
      </c>
    </row>
    <row r="5" spans="2:19">
      <c r="B5" s="18" t="s">
        <v>479</v>
      </c>
      <c r="C5" s="62">
        <f>C27</f>
        <v>0</v>
      </c>
      <c r="D5" s="62">
        <f t="shared" ref="D5:I5" si="0">D27</f>
        <v>0</v>
      </c>
      <c r="E5" s="62">
        <f t="shared" si="0"/>
        <v>0</v>
      </c>
      <c r="F5" s="62">
        <f t="shared" si="0"/>
        <v>0</v>
      </c>
      <c r="G5" s="62">
        <f t="shared" si="0"/>
        <v>0</v>
      </c>
      <c r="H5" s="62">
        <f t="shared" si="0"/>
        <v>0</v>
      </c>
      <c r="I5" s="62">
        <f t="shared" si="0"/>
        <v>0</v>
      </c>
      <c r="J5" s="57">
        <f>SUM(C5:I5)</f>
        <v>0</v>
      </c>
    </row>
    <row r="6" spans="2:19">
      <c r="B6" s="18" t="s">
        <v>480</v>
      </c>
      <c r="C6" s="85">
        <f>SUM(C7:C8)</f>
        <v>0</v>
      </c>
      <c r="D6" s="85">
        <f t="shared" ref="D6:I6" si="1">SUM(D7:D8)</f>
        <v>0</v>
      </c>
      <c r="E6" s="85">
        <f t="shared" si="1"/>
        <v>0</v>
      </c>
      <c r="F6" s="85">
        <f t="shared" si="1"/>
        <v>0</v>
      </c>
      <c r="G6" s="85">
        <f t="shared" si="1"/>
        <v>0</v>
      </c>
      <c r="H6" s="85">
        <f t="shared" si="1"/>
        <v>0</v>
      </c>
      <c r="I6" s="85">
        <f t="shared" si="1"/>
        <v>0</v>
      </c>
      <c r="J6" s="57">
        <f>SUM(C6:I6)</f>
        <v>0</v>
      </c>
    </row>
    <row r="7" spans="2:19">
      <c r="B7" s="59" t="s">
        <v>419</v>
      </c>
      <c r="C7" s="62">
        <f>H41</f>
        <v>0</v>
      </c>
      <c r="D7" s="62">
        <f>R41</f>
        <v>0</v>
      </c>
      <c r="E7" s="62">
        <f>AB41</f>
        <v>0</v>
      </c>
      <c r="F7" s="62">
        <f>AK41</f>
        <v>0</v>
      </c>
      <c r="G7" s="62">
        <f>AT41</f>
        <v>0</v>
      </c>
      <c r="H7" s="62">
        <f>BC41</f>
        <v>0</v>
      </c>
      <c r="I7" s="62">
        <f>BL41</f>
        <v>0</v>
      </c>
      <c r="J7" s="57">
        <f>SUM(C7:I7)</f>
        <v>0</v>
      </c>
    </row>
    <row r="8" spans="2:19">
      <c r="B8" s="59" t="s">
        <v>421</v>
      </c>
      <c r="C8" s="62">
        <f>G41</f>
        <v>0</v>
      </c>
      <c r="D8" s="62">
        <f>Q41</f>
        <v>0</v>
      </c>
      <c r="E8" s="62">
        <f>AA41</f>
        <v>0</v>
      </c>
      <c r="F8" s="62">
        <f>AJ41</f>
        <v>0</v>
      </c>
      <c r="G8" s="62">
        <f>AS41</f>
        <v>0</v>
      </c>
      <c r="H8" s="62">
        <f>BB41</f>
        <v>0</v>
      </c>
      <c r="I8" s="62">
        <f>BK41</f>
        <v>0</v>
      </c>
      <c r="J8" s="57">
        <f>SUM(C8:I8)</f>
        <v>0</v>
      </c>
    </row>
    <row r="9" spans="2:19">
      <c r="B9" s="18" t="s">
        <v>481</v>
      </c>
      <c r="C9" s="61" t="e">
        <f>C5/C6</f>
        <v>#DIV/0!</v>
      </c>
      <c r="D9" s="61" t="e">
        <f t="shared" ref="D9:J9" si="2">D5/D6</f>
        <v>#DIV/0!</v>
      </c>
      <c r="E9" s="61" t="e">
        <f t="shared" si="2"/>
        <v>#DIV/0!</v>
      </c>
      <c r="F9" s="61" t="e">
        <f t="shared" si="2"/>
        <v>#DIV/0!</v>
      </c>
      <c r="G9" s="61" t="e">
        <f t="shared" si="2"/>
        <v>#DIV/0!</v>
      </c>
      <c r="H9" s="61" t="e">
        <f t="shared" si="2"/>
        <v>#DIV/0!</v>
      </c>
      <c r="I9" s="61" t="e">
        <f t="shared" si="2"/>
        <v>#DIV/0!</v>
      </c>
      <c r="J9" s="61" t="e">
        <f t="shared" si="2"/>
        <v>#DIV/0!</v>
      </c>
    </row>
    <row r="10" spans="2:19">
      <c r="B10" s="1"/>
      <c r="C10" s="1"/>
      <c r="D10" s="1"/>
      <c r="E10" s="1"/>
      <c r="F10" s="1"/>
      <c r="G10" s="1"/>
      <c r="H10" s="1"/>
      <c r="I10" s="1"/>
      <c r="J10" s="1"/>
    </row>
    <row r="11" spans="2:19">
      <c r="B11" s="17" t="s">
        <v>471</v>
      </c>
      <c r="C11" s="17" t="s">
        <v>472</v>
      </c>
      <c r="D11" s="17" t="s">
        <v>473</v>
      </c>
      <c r="E11" s="17" t="s">
        <v>474</v>
      </c>
      <c r="F11" s="17" t="s">
        <v>475</v>
      </c>
      <c r="G11" s="17" t="s">
        <v>476</v>
      </c>
      <c r="H11" s="17" t="s">
        <v>477</v>
      </c>
      <c r="I11" s="17" t="s">
        <v>478</v>
      </c>
      <c r="J11" s="58" t="s">
        <v>179</v>
      </c>
    </row>
    <row r="12" spans="2:19">
      <c r="B12" s="18" t="s">
        <v>482</v>
      </c>
      <c r="C12" s="214"/>
      <c r="D12" s="214"/>
      <c r="E12" s="60"/>
      <c r="F12" s="60"/>
      <c r="G12" s="60"/>
      <c r="H12" s="60"/>
      <c r="I12" s="60"/>
      <c r="J12" s="57">
        <f t="shared" ref="J12:J26" si="3">SUM(C12:I12)</f>
        <v>0</v>
      </c>
      <c r="L12" s="2" t="s">
        <v>483</v>
      </c>
    </row>
    <row r="13" spans="2:19">
      <c r="B13" s="18" t="s">
        <v>484</v>
      </c>
      <c r="C13" s="60"/>
      <c r="D13" s="60"/>
      <c r="E13" s="60"/>
      <c r="F13" s="60"/>
      <c r="G13" s="60"/>
      <c r="H13" s="60"/>
      <c r="I13" s="60"/>
      <c r="J13" s="57">
        <f t="shared" si="3"/>
        <v>0</v>
      </c>
    </row>
    <row r="14" spans="2:19">
      <c r="B14" s="18" t="s">
        <v>485</v>
      </c>
      <c r="C14" s="60"/>
      <c r="D14" s="60"/>
      <c r="E14" s="60"/>
      <c r="F14" s="60"/>
      <c r="G14" s="60"/>
      <c r="H14" s="60"/>
      <c r="I14" s="60"/>
      <c r="J14" s="57">
        <f t="shared" si="3"/>
        <v>0</v>
      </c>
    </row>
    <row r="15" spans="2:19">
      <c r="B15" s="18" t="s">
        <v>486</v>
      </c>
      <c r="C15" s="60"/>
      <c r="D15" s="60"/>
      <c r="E15" s="60"/>
      <c r="F15" s="60"/>
      <c r="G15" s="60"/>
      <c r="H15" s="60"/>
      <c r="I15" s="60"/>
      <c r="J15" s="57">
        <f t="shared" si="3"/>
        <v>0</v>
      </c>
    </row>
    <row r="16" spans="2:19">
      <c r="B16" s="18" t="s">
        <v>487</v>
      </c>
      <c r="C16" s="60"/>
      <c r="D16" s="60"/>
      <c r="E16" s="60"/>
      <c r="F16" s="60"/>
      <c r="G16" s="60"/>
      <c r="H16" s="60"/>
      <c r="I16" s="60"/>
      <c r="J16" s="57">
        <f t="shared" si="3"/>
        <v>0</v>
      </c>
    </row>
    <row r="17" spans="1:65">
      <c r="B17" s="18" t="s">
        <v>488</v>
      </c>
      <c r="C17" s="60"/>
      <c r="D17" s="60"/>
      <c r="E17" s="60"/>
      <c r="F17" s="60"/>
      <c r="G17" s="60"/>
      <c r="H17" s="60"/>
      <c r="I17" s="60"/>
      <c r="J17" s="57">
        <f t="shared" si="3"/>
        <v>0</v>
      </c>
      <c r="M17" s="172" t="s">
        <v>489</v>
      </c>
      <c r="T17" s="2" t="s">
        <v>490</v>
      </c>
    </row>
    <row r="18" spans="1:65">
      <c r="B18" s="18" t="s">
        <v>491</v>
      </c>
      <c r="C18" s="60"/>
      <c r="D18" s="60"/>
      <c r="E18" s="60"/>
      <c r="F18" s="60"/>
      <c r="G18" s="60"/>
      <c r="H18" s="60"/>
      <c r="I18" s="60"/>
      <c r="J18" s="57">
        <f t="shared" si="3"/>
        <v>0</v>
      </c>
      <c r="M18" s="172" t="s">
        <v>492</v>
      </c>
      <c r="T18" s="2" t="s">
        <v>493</v>
      </c>
    </row>
    <row r="19" spans="1:65">
      <c r="B19" s="18" t="s">
        <v>494</v>
      </c>
      <c r="C19" s="60"/>
      <c r="D19" s="60"/>
      <c r="E19" s="60"/>
      <c r="F19" s="60"/>
      <c r="G19" s="60"/>
      <c r="H19" s="60"/>
      <c r="I19" s="60"/>
      <c r="J19" s="57">
        <f t="shared" si="3"/>
        <v>0</v>
      </c>
      <c r="T19" s="2" t="s">
        <v>495</v>
      </c>
    </row>
    <row r="20" spans="1:65">
      <c r="B20" s="18" t="s">
        <v>496</v>
      </c>
      <c r="C20" s="60"/>
      <c r="D20" s="60"/>
      <c r="E20" s="60"/>
      <c r="F20" s="60"/>
      <c r="G20" s="60"/>
      <c r="H20" s="60"/>
      <c r="I20" s="60"/>
      <c r="J20" s="57">
        <f t="shared" si="3"/>
        <v>0</v>
      </c>
      <c r="T20" s="2" t="s">
        <v>490</v>
      </c>
    </row>
    <row r="21" spans="1:65">
      <c r="B21" s="18" t="s">
        <v>497</v>
      </c>
      <c r="C21" s="60"/>
      <c r="D21" s="60"/>
      <c r="E21" s="60"/>
      <c r="F21" s="60"/>
      <c r="G21" s="60"/>
      <c r="H21" s="60"/>
      <c r="I21" s="60"/>
      <c r="J21" s="57">
        <f t="shared" si="3"/>
        <v>0</v>
      </c>
    </row>
    <row r="22" spans="1:65">
      <c r="B22" s="18" t="s">
        <v>498</v>
      </c>
      <c r="C22" s="60"/>
      <c r="D22" s="60"/>
      <c r="E22" s="60"/>
      <c r="F22" s="60"/>
      <c r="G22" s="60"/>
      <c r="H22" s="60"/>
      <c r="I22" s="60"/>
      <c r="J22" s="57">
        <f t="shared" si="3"/>
        <v>0</v>
      </c>
    </row>
    <row r="23" spans="1:65">
      <c r="B23" s="18" t="s">
        <v>499</v>
      </c>
      <c r="C23" s="60"/>
      <c r="D23" s="60"/>
      <c r="E23" s="60"/>
      <c r="F23" s="60"/>
      <c r="G23" s="60"/>
      <c r="H23" s="60"/>
      <c r="I23" s="60"/>
      <c r="J23" s="57">
        <f t="shared" si="3"/>
        <v>0</v>
      </c>
    </row>
    <row r="24" spans="1:65">
      <c r="B24" s="18" t="s">
        <v>500</v>
      </c>
      <c r="C24" s="60"/>
      <c r="D24" s="60"/>
      <c r="E24" s="60"/>
      <c r="F24" s="60"/>
      <c r="G24" s="60"/>
      <c r="H24" s="60"/>
      <c r="I24" s="60"/>
      <c r="J24" s="57">
        <f t="shared" si="3"/>
        <v>0</v>
      </c>
    </row>
    <row r="25" spans="1:65">
      <c r="B25" s="18" t="s">
        <v>501</v>
      </c>
      <c r="C25" s="60"/>
      <c r="D25" s="60"/>
      <c r="E25" s="60"/>
      <c r="F25" s="60"/>
      <c r="G25" s="60"/>
      <c r="H25" s="60"/>
      <c r="I25" s="60"/>
      <c r="J25" s="57">
        <f t="shared" si="3"/>
        <v>0</v>
      </c>
    </row>
    <row r="26" spans="1:65">
      <c r="B26" s="18" t="s">
        <v>502</v>
      </c>
      <c r="C26" s="60"/>
      <c r="D26" s="60"/>
      <c r="E26" s="60"/>
      <c r="F26" s="60"/>
      <c r="G26" s="60"/>
      <c r="H26" s="60"/>
      <c r="I26" s="60"/>
      <c r="J26" s="57">
        <f t="shared" si="3"/>
        <v>0</v>
      </c>
    </row>
    <row r="27" spans="1:65">
      <c r="B27" s="54" t="s">
        <v>179</v>
      </c>
      <c r="C27" s="56">
        <f>SUM(C12:C26)</f>
        <v>0</v>
      </c>
      <c r="D27" s="56">
        <f t="shared" ref="D27:J27" si="4">SUM(D12:D26)</f>
        <v>0</v>
      </c>
      <c r="E27" s="56">
        <f t="shared" si="4"/>
        <v>0</v>
      </c>
      <c r="F27" s="56">
        <f t="shared" si="4"/>
        <v>0</v>
      </c>
      <c r="G27" s="56">
        <f t="shared" si="4"/>
        <v>0</v>
      </c>
      <c r="H27" s="56">
        <f t="shared" si="4"/>
        <v>0</v>
      </c>
      <c r="I27" s="56">
        <f t="shared" si="4"/>
        <v>0</v>
      </c>
      <c r="J27" s="56">
        <f t="shared" si="4"/>
        <v>0</v>
      </c>
    </row>
    <row r="29" spans="1:65">
      <c r="B29" s="1012" t="s">
        <v>503</v>
      </c>
      <c r="C29" s="1012"/>
      <c r="D29" s="1012"/>
      <c r="E29" s="1012"/>
      <c r="F29" s="1012"/>
      <c r="G29" s="1012"/>
      <c r="H29" s="1012"/>
      <c r="I29" s="1012"/>
      <c r="J29" s="1012"/>
      <c r="L29" s="1012" t="s">
        <v>504</v>
      </c>
      <c r="M29" s="1012"/>
      <c r="N29" s="1012"/>
      <c r="O29" s="1012"/>
      <c r="P29" s="1012"/>
      <c r="Q29" s="1012"/>
      <c r="R29" s="1012"/>
      <c r="S29" s="1012"/>
      <c r="T29" s="1012"/>
      <c r="V29" s="1012" t="s">
        <v>505</v>
      </c>
      <c r="W29" s="1012"/>
      <c r="X29" s="1012"/>
      <c r="Y29" s="1012"/>
      <c r="Z29" s="1012"/>
      <c r="AA29" s="1012"/>
      <c r="AB29" s="1012"/>
      <c r="AC29" s="1012"/>
      <c r="AE29" s="1012" t="s">
        <v>506</v>
      </c>
      <c r="AF29" s="1012"/>
      <c r="AG29" s="1012"/>
      <c r="AH29" s="1012"/>
      <c r="AI29" s="1012"/>
      <c r="AJ29" s="1012"/>
      <c r="AK29" s="1012"/>
      <c r="AL29" s="1012"/>
      <c r="AN29" s="1012" t="s">
        <v>507</v>
      </c>
      <c r="AO29" s="1012"/>
      <c r="AP29" s="1012"/>
      <c r="AQ29" s="1012"/>
      <c r="AR29" s="1012"/>
      <c r="AS29" s="1012"/>
      <c r="AT29" s="1012"/>
      <c r="AU29" s="1012"/>
      <c r="AW29" s="1012" t="s">
        <v>508</v>
      </c>
      <c r="AX29" s="1012"/>
      <c r="AY29" s="1012"/>
      <c r="AZ29" s="1012"/>
      <c r="BA29" s="1012"/>
      <c r="BB29" s="1012"/>
      <c r="BC29" s="1012"/>
      <c r="BD29" s="1012"/>
      <c r="BF29" s="1012" t="s">
        <v>509</v>
      </c>
      <c r="BG29" s="1012"/>
      <c r="BH29" s="1012"/>
      <c r="BI29" s="1012"/>
      <c r="BJ29" s="1012"/>
      <c r="BK29" s="1012"/>
      <c r="BL29" s="1012"/>
      <c r="BM29" s="1012"/>
    </row>
    <row r="31" spans="1:65" s="20" customFormat="1" ht="54" customHeight="1">
      <c r="B31" s="3" t="s">
        <v>6</v>
      </c>
      <c r="C31" s="3" t="s">
        <v>365</v>
      </c>
      <c r="D31" s="36" t="s">
        <v>368</v>
      </c>
      <c r="E31" s="36" t="s">
        <v>372</v>
      </c>
      <c r="F31" s="37" t="s">
        <v>437</v>
      </c>
      <c r="G31" s="3" t="s">
        <v>438</v>
      </c>
      <c r="H31" s="3" t="s">
        <v>439</v>
      </c>
      <c r="I31" s="38" t="s">
        <v>440</v>
      </c>
      <c r="J31" s="173" t="s">
        <v>450</v>
      </c>
      <c r="L31" s="3" t="s">
        <v>6</v>
      </c>
      <c r="M31" s="3" t="s">
        <v>365</v>
      </c>
      <c r="N31" s="36" t="s">
        <v>368</v>
      </c>
      <c r="O31" s="36" t="s">
        <v>372</v>
      </c>
      <c r="P31" s="37" t="s">
        <v>437</v>
      </c>
      <c r="Q31" s="3" t="s">
        <v>438</v>
      </c>
      <c r="R31" s="3" t="s">
        <v>439</v>
      </c>
      <c r="S31" s="38" t="s">
        <v>440</v>
      </c>
      <c r="T31" s="173" t="s">
        <v>450</v>
      </c>
      <c r="V31" s="3" t="s">
        <v>6</v>
      </c>
      <c r="W31" s="3" t="s">
        <v>365</v>
      </c>
      <c r="X31" s="36" t="s">
        <v>368</v>
      </c>
      <c r="Y31" s="36" t="s">
        <v>372</v>
      </c>
      <c r="Z31" s="37" t="s">
        <v>437</v>
      </c>
      <c r="AA31" s="3" t="s">
        <v>438</v>
      </c>
      <c r="AB31" s="3" t="s">
        <v>439</v>
      </c>
      <c r="AC31" s="38" t="s">
        <v>440</v>
      </c>
      <c r="AE31" s="3" t="s">
        <v>6</v>
      </c>
      <c r="AF31" s="3" t="s">
        <v>365</v>
      </c>
      <c r="AG31" s="36" t="s">
        <v>368</v>
      </c>
      <c r="AH31" s="36" t="s">
        <v>372</v>
      </c>
      <c r="AI31" s="37" t="s">
        <v>437</v>
      </c>
      <c r="AJ31" s="3" t="s">
        <v>438</v>
      </c>
      <c r="AK31" s="3" t="s">
        <v>439</v>
      </c>
      <c r="AL31" s="38" t="s">
        <v>440</v>
      </c>
      <c r="AN31" s="3" t="s">
        <v>6</v>
      </c>
      <c r="AO31" s="3" t="s">
        <v>365</v>
      </c>
      <c r="AP31" s="36" t="s">
        <v>368</v>
      </c>
      <c r="AQ31" s="36" t="s">
        <v>372</v>
      </c>
      <c r="AR31" s="37" t="s">
        <v>437</v>
      </c>
      <c r="AS31" s="3" t="s">
        <v>438</v>
      </c>
      <c r="AT31" s="3" t="s">
        <v>439</v>
      </c>
      <c r="AU31" s="38" t="s">
        <v>440</v>
      </c>
      <c r="AW31" s="3" t="s">
        <v>6</v>
      </c>
      <c r="AX31" s="3" t="s">
        <v>365</v>
      </c>
      <c r="AY31" s="36" t="s">
        <v>368</v>
      </c>
      <c r="AZ31" s="36" t="s">
        <v>372</v>
      </c>
      <c r="BA31" s="37" t="s">
        <v>437</v>
      </c>
      <c r="BB31" s="3" t="s">
        <v>438</v>
      </c>
      <c r="BC31" s="3" t="s">
        <v>439</v>
      </c>
      <c r="BD31" s="38" t="s">
        <v>440</v>
      </c>
      <c r="BF31" s="3" t="s">
        <v>6</v>
      </c>
      <c r="BG31" s="3" t="s">
        <v>365</v>
      </c>
      <c r="BH31" s="36" t="s">
        <v>368</v>
      </c>
      <c r="BI31" s="36" t="s">
        <v>372</v>
      </c>
      <c r="BJ31" s="37" t="s">
        <v>437</v>
      </c>
      <c r="BK31" s="3" t="s">
        <v>438</v>
      </c>
      <c r="BL31" s="3" t="s">
        <v>439</v>
      </c>
      <c r="BM31" s="38" t="s">
        <v>440</v>
      </c>
    </row>
    <row r="32" spans="1:65" ht="25.5" customHeight="1">
      <c r="A32" s="2">
        <f>COUNT(D44:D58)</f>
        <v>0</v>
      </c>
      <c r="B32" s="5" t="str">
        <f>B43</f>
        <v>Facility (Overdraft)</v>
      </c>
      <c r="C32" s="7" t="s">
        <v>368</v>
      </c>
      <c r="D32" s="79">
        <f>D59</f>
        <v>0</v>
      </c>
      <c r="E32" s="79">
        <f>E59</f>
        <v>0</v>
      </c>
      <c r="F32" s="79">
        <f>F59</f>
        <v>0</v>
      </c>
      <c r="G32" s="79">
        <f>I59</f>
        <v>0</v>
      </c>
      <c r="H32" s="79">
        <f>F32*12</f>
        <v>0</v>
      </c>
      <c r="I32" s="34">
        <f>SUM(G32:H32)</f>
        <v>0</v>
      </c>
      <c r="J32" s="172"/>
      <c r="L32" s="5" t="str">
        <f>L43</f>
        <v>Facility (Overdraft)</v>
      </c>
      <c r="M32" s="7" t="s">
        <v>368</v>
      </c>
      <c r="N32" s="79">
        <f>N59</f>
        <v>0</v>
      </c>
      <c r="O32" s="79">
        <f>O59</f>
        <v>0</v>
      </c>
      <c r="P32" s="79">
        <f>P59</f>
        <v>0</v>
      </c>
      <c r="Q32" s="79">
        <f>S59</f>
        <v>0</v>
      </c>
      <c r="R32" s="79">
        <f>P32*12</f>
        <v>0</v>
      </c>
      <c r="S32" s="34">
        <f>SUM(Q32:R32)</f>
        <v>0</v>
      </c>
      <c r="T32" s="172"/>
      <c r="V32" s="5" t="str">
        <f>V43</f>
        <v>Facility (Overdraft)</v>
      </c>
      <c r="W32" s="7" t="s">
        <v>368</v>
      </c>
      <c r="X32" s="79">
        <f>X59</f>
        <v>0</v>
      </c>
      <c r="Y32" s="79">
        <f>Y59</f>
        <v>0</v>
      </c>
      <c r="Z32" s="79">
        <f>Z59</f>
        <v>0</v>
      </c>
      <c r="AA32" s="79">
        <f>AC59</f>
        <v>0</v>
      </c>
      <c r="AB32" s="79">
        <f>Z32*12</f>
        <v>0</v>
      </c>
      <c r="AC32" s="34">
        <f>SUM(AA32:AB32)</f>
        <v>0</v>
      </c>
      <c r="AE32" s="5" t="str">
        <f>AE43</f>
        <v>Facility (Overdraft)</v>
      </c>
      <c r="AF32" s="7" t="s">
        <v>368</v>
      </c>
      <c r="AG32" s="79">
        <f>AG59</f>
        <v>0</v>
      </c>
      <c r="AH32" s="79">
        <f>AH59</f>
        <v>0</v>
      </c>
      <c r="AI32" s="79">
        <f>AI59</f>
        <v>0</v>
      </c>
      <c r="AJ32" s="79">
        <f>AL59</f>
        <v>0</v>
      </c>
      <c r="AK32" s="79">
        <f>AI32*12</f>
        <v>0</v>
      </c>
      <c r="AL32" s="34">
        <f>SUM(AJ32:AK32)</f>
        <v>0</v>
      </c>
      <c r="AN32" s="5" t="str">
        <f>AN43</f>
        <v>Facility (Overdraft)</v>
      </c>
      <c r="AO32" s="7" t="s">
        <v>368</v>
      </c>
      <c r="AP32" s="79">
        <f>AP59</f>
        <v>0</v>
      </c>
      <c r="AQ32" s="79">
        <f>AQ59</f>
        <v>0</v>
      </c>
      <c r="AR32" s="79">
        <f>AR59</f>
        <v>0</v>
      </c>
      <c r="AS32" s="79">
        <f>AU59</f>
        <v>0</v>
      </c>
      <c r="AT32" s="79">
        <f>AR32*12</f>
        <v>0</v>
      </c>
      <c r="AU32" s="34">
        <f>SUM(AS32:AT32)</f>
        <v>0</v>
      </c>
      <c r="AW32" s="5" t="str">
        <f>AW43</f>
        <v>Facility (Overdraft)</v>
      </c>
      <c r="AX32" s="7" t="s">
        <v>368</v>
      </c>
      <c r="AY32" s="79">
        <f>AY59</f>
        <v>0</v>
      </c>
      <c r="AZ32" s="79">
        <f>AZ59</f>
        <v>0</v>
      </c>
      <c r="BA32" s="79">
        <f>BA59</f>
        <v>0</v>
      </c>
      <c r="BB32" s="79">
        <f>BD59</f>
        <v>0</v>
      </c>
      <c r="BC32" s="79">
        <f>BA32*12</f>
        <v>0</v>
      </c>
      <c r="BD32" s="34">
        <f>SUM(BB32:BC32)</f>
        <v>0</v>
      </c>
      <c r="BF32" s="5" t="str">
        <f>BF43</f>
        <v>Facility (Overdraft)</v>
      </c>
      <c r="BG32" s="7" t="s">
        <v>368</v>
      </c>
      <c r="BH32" s="79">
        <f>BH59</f>
        <v>0</v>
      </c>
      <c r="BI32" s="79">
        <f>BI59</f>
        <v>0</v>
      </c>
      <c r="BJ32" s="79">
        <f>BJ59</f>
        <v>0</v>
      </c>
      <c r="BK32" s="79">
        <f>BM59</f>
        <v>0</v>
      </c>
      <c r="BL32" s="79">
        <f>BJ32*12</f>
        <v>0</v>
      </c>
      <c r="BM32" s="34">
        <f>SUM(BK32:BL32)</f>
        <v>0</v>
      </c>
    </row>
    <row r="33" spans="1:65" ht="25.5" customHeight="1">
      <c r="A33" s="2">
        <f>COUNT(D62:D76)</f>
        <v>0</v>
      </c>
      <c r="B33" s="5" t="str">
        <f>B61</f>
        <v>Facility (Overdraft with Reduction/ Sinking Fund)</v>
      </c>
      <c r="C33" s="7" t="s">
        <v>510</v>
      </c>
      <c r="D33" s="79">
        <f>D77</f>
        <v>0</v>
      </c>
      <c r="E33" s="79">
        <f>E77</f>
        <v>0</v>
      </c>
      <c r="F33" s="79">
        <f>F77</f>
        <v>0</v>
      </c>
      <c r="G33" s="79">
        <f>I77</f>
        <v>0</v>
      </c>
      <c r="H33" s="79">
        <f t="shared" ref="H33:H40" si="5">F33*12</f>
        <v>0</v>
      </c>
      <c r="I33" s="34">
        <f t="shared" ref="I33:I40" si="6">SUM(G33:H33)</f>
        <v>0</v>
      </c>
      <c r="J33" s="172"/>
      <c r="L33" s="5" t="str">
        <f>L61</f>
        <v>Facility (Overdraft with Reduction/ Sinking Fund)</v>
      </c>
      <c r="M33" s="7" t="s">
        <v>510</v>
      </c>
      <c r="N33" s="79">
        <f>N77</f>
        <v>0</v>
      </c>
      <c r="O33" s="79">
        <f>O77</f>
        <v>0</v>
      </c>
      <c r="P33" s="79">
        <f>P77</f>
        <v>0</v>
      </c>
      <c r="Q33" s="79">
        <f>S77</f>
        <v>0</v>
      </c>
      <c r="R33" s="79">
        <f t="shared" ref="R33:R40" si="7">P33*12</f>
        <v>0</v>
      </c>
      <c r="S33" s="34">
        <f t="shared" ref="S33:S40" si="8">SUM(Q33:R33)</f>
        <v>0</v>
      </c>
      <c r="T33" s="172"/>
      <c r="V33" s="5" t="str">
        <f>V61</f>
        <v>Facility (Overdraft with Reduction/ Sinking Fund)</v>
      </c>
      <c r="W33" s="7" t="s">
        <v>510</v>
      </c>
      <c r="X33" s="79">
        <f>X77</f>
        <v>0</v>
      </c>
      <c r="Y33" s="79">
        <f>Y77</f>
        <v>0</v>
      </c>
      <c r="Z33" s="79">
        <f>Z77</f>
        <v>0</v>
      </c>
      <c r="AA33" s="79">
        <f>AC77</f>
        <v>0</v>
      </c>
      <c r="AB33" s="79">
        <f t="shared" ref="AB33:AB40" si="9">Z33*12</f>
        <v>0</v>
      </c>
      <c r="AC33" s="34">
        <f t="shared" ref="AC33:AC40" si="10">SUM(AA33:AB33)</f>
        <v>0</v>
      </c>
      <c r="AE33" s="5" t="str">
        <f>AE61</f>
        <v>Facility (Overdraft with Reduction/ Sinking Fund)</v>
      </c>
      <c r="AF33" s="7" t="s">
        <v>510</v>
      </c>
      <c r="AG33" s="79">
        <f>AG77</f>
        <v>0</v>
      </c>
      <c r="AH33" s="79">
        <f>AH77</f>
        <v>0</v>
      </c>
      <c r="AI33" s="79">
        <f>AI77</f>
        <v>0</v>
      </c>
      <c r="AJ33" s="79">
        <f>AL77</f>
        <v>0</v>
      </c>
      <c r="AK33" s="79">
        <f t="shared" ref="AK33:AK40" si="11">AI33*12</f>
        <v>0</v>
      </c>
      <c r="AL33" s="34">
        <f t="shared" ref="AL33:AL40" si="12">SUM(AJ33:AK33)</f>
        <v>0</v>
      </c>
      <c r="AN33" s="5" t="str">
        <f>AN61</f>
        <v>Facility (Overdraft with Reduction/ Sinking Fund)</v>
      </c>
      <c r="AO33" s="7" t="s">
        <v>510</v>
      </c>
      <c r="AP33" s="79">
        <f>AP77</f>
        <v>0</v>
      </c>
      <c r="AQ33" s="79">
        <f>AQ77</f>
        <v>0</v>
      </c>
      <c r="AR33" s="79">
        <f>AR77</f>
        <v>0</v>
      </c>
      <c r="AS33" s="79">
        <f>AU77</f>
        <v>0</v>
      </c>
      <c r="AT33" s="79">
        <f t="shared" ref="AT33:AT40" si="13">AR33*12</f>
        <v>0</v>
      </c>
      <c r="AU33" s="34">
        <f t="shared" ref="AU33:AU40" si="14">SUM(AS33:AT33)</f>
        <v>0</v>
      </c>
      <c r="AW33" s="5" t="str">
        <f>AW61</f>
        <v>Facility (Overdraft with Reduction/ Sinking Fund)</v>
      </c>
      <c r="AX33" s="7" t="s">
        <v>510</v>
      </c>
      <c r="AY33" s="79">
        <f>AY77</f>
        <v>0</v>
      </c>
      <c r="AZ33" s="79">
        <f>AZ77</f>
        <v>0</v>
      </c>
      <c r="BA33" s="79">
        <f>BA77</f>
        <v>0</v>
      </c>
      <c r="BB33" s="79">
        <f>BD77</f>
        <v>0</v>
      </c>
      <c r="BC33" s="79">
        <f t="shared" ref="BC33:BC40" si="15">BA33*12</f>
        <v>0</v>
      </c>
      <c r="BD33" s="34">
        <f t="shared" ref="BD33:BD40" si="16">SUM(BB33:BC33)</f>
        <v>0</v>
      </c>
      <c r="BF33" s="5" t="str">
        <f>BF61</f>
        <v>Facility (Overdraft with Reduction/ Sinking Fund)</v>
      </c>
      <c r="BG33" s="7" t="s">
        <v>510</v>
      </c>
      <c r="BH33" s="79">
        <f>BH77</f>
        <v>0</v>
      </c>
      <c r="BI33" s="79">
        <f>BI77</f>
        <v>0</v>
      </c>
      <c r="BJ33" s="79">
        <f>BJ77</f>
        <v>0</v>
      </c>
      <c r="BK33" s="79">
        <f>BM77</f>
        <v>0</v>
      </c>
      <c r="BL33" s="79">
        <f t="shared" ref="BL33:BL40" si="17">BJ33*12</f>
        <v>0</v>
      </c>
      <c r="BM33" s="34">
        <f t="shared" ref="BM33:BM40" si="18">SUM(BK33:BL33)</f>
        <v>0</v>
      </c>
    </row>
    <row r="34" spans="1:65" ht="25.5" customHeight="1">
      <c r="A34" s="2">
        <f>COUNT(D80:D94)</f>
        <v>0</v>
      </c>
      <c r="B34" s="5" t="str">
        <f>B79</f>
        <v>Facility (Trade Receivable)</v>
      </c>
      <c r="C34" s="7" t="s">
        <v>368</v>
      </c>
      <c r="D34" s="79">
        <f>D95</f>
        <v>0</v>
      </c>
      <c r="E34" s="79">
        <f>E95</f>
        <v>0</v>
      </c>
      <c r="F34" s="79">
        <f>F95</f>
        <v>0</v>
      </c>
      <c r="G34" s="79">
        <f>I95</f>
        <v>0</v>
      </c>
      <c r="H34" s="79">
        <f t="shared" si="5"/>
        <v>0</v>
      </c>
      <c r="I34" s="34">
        <f t="shared" si="6"/>
        <v>0</v>
      </c>
      <c r="J34" s="172"/>
      <c r="L34" s="5" t="str">
        <f>L79</f>
        <v>Facility (Trade Receivable)</v>
      </c>
      <c r="M34" s="7" t="s">
        <v>368</v>
      </c>
      <c r="N34" s="79">
        <f>N95</f>
        <v>0</v>
      </c>
      <c r="O34" s="79">
        <f>O95</f>
        <v>0</v>
      </c>
      <c r="P34" s="79">
        <f>P95</f>
        <v>0</v>
      </c>
      <c r="Q34" s="79">
        <f>S95</f>
        <v>0</v>
      </c>
      <c r="R34" s="79">
        <f t="shared" si="7"/>
        <v>0</v>
      </c>
      <c r="S34" s="34">
        <f t="shared" si="8"/>
        <v>0</v>
      </c>
      <c r="T34" s="172"/>
      <c r="V34" s="5" t="str">
        <f>V79</f>
        <v>Facility (Trade Receivable)</v>
      </c>
      <c r="W34" s="7" t="s">
        <v>368</v>
      </c>
      <c r="X34" s="79">
        <f>X95</f>
        <v>0</v>
      </c>
      <c r="Y34" s="79">
        <f>Y95</f>
        <v>0</v>
      </c>
      <c r="Z34" s="79">
        <f>Z95</f>
        <v>0</v>
      </c>
      <c r="AA34" s="79">
        <f>AC95</f>
        <v>0</v>
      </c>
      <c r="AB34" s="79">
        <f t="shared" si="9"/>
        <v>0</v>
      </c>
      <c r="AC34" s="34">
        <f t="shared" si="10"/>
        <v>0</v>
      </c>
      <c r="AE34" s="5" t="str">
        <f>AE79</f>
        <v>Facility (Trade Receivable)</v>
      </c>
      <c r="AF34" s="7" t="s">
        <v>368</v>
      </c>
      <c r="AG34" s="79">
        <f>AG95</f>
        <v>0</v>
      </c>
      <c r="AH34" s="79">
        <f>AH95</f>
        <v>0</v>
      </c>
      <c r="AI34" s="79">
        <f>AI95</f>
        <v>0</v>
      </c>
      <c r="AJ34" s="79">
        <f>AL95</f>
        <v>0</v>
      </c>
      <c r="AK34" s="79">
        <f t="shared" si="11"/>
        <v>0</v>
      </c>
      <c r="AL34" s="34">
        <f t="shared" si="12"/>
        <v>0</v>
      </c>
      <c r="AN34" s="5" t="str">
        <f>AN79</f>
        <v>Facility (Trade Receivable)</v>
      </c>
      <c r="AO34" s="7" t="s">
        <v>368</v>
      </c>
      <c r="AP34" s="79">
        <f>AP95</f>
        <v>0</v>
      </c>
      <c r="AQ34" s="79">
        <f>AQ95</f>
        <v>0</v>
      </c>
      <c r="AR34" s="79">
        <f>AR95</f>
        <v>0</v>
      </c>
      <c r="AS34" s="79">
        <f>AU95</f>
        <v>0</v>
      </c>
      <c r="AT34" s="79">
        <f t="shared" si="13"/>
        <v>0</v>
      </c>
      <c r="AU34" s="34">
        <f t="shared" si="14"/>
        <v>0</v>
      </c>
      <c r="AW34" s="5" t="str">
        <f>AW79</f>
        <v>Facility (Trade Receivable)</v>
      </c>
      <c r="AX34" s="7" t="s">
        <v>368</v>
      </c>
      <c r="AY34" s="79">
        <f>AY95</f>
        <v>0</v>
      </c>
      <c r="AZ34" s="79">
        <f>AZ95</f>
        <v>0</v>
      </c>
      <c r="BA34" s="79">
        <f>BA95</f>
        <v>0</v>
      </c>
      <c r="BB34" s="79">
        <f>BD95</f>
        <v>0</v>
      </c>
      <c r="BC34" s="79">
        <f t="shared" si="15"/>
        <v>0</v>
      </c>
      <c r="BD34" s="34">
        <f t="shared" si="16"/>
        <v>0</v>
      </c>
      <c r="BF34" s="5" t="str">
        <f>BF79</f>
        <v>Facility (Trade Receivable)</v>
      </c>
      <c r="BG34" s="7" t="s">
        <v>368</v>
      </c>
      <c r="BH34" s="79">
        <f>BH95</f>
        <v>0</v>
      </c>
      <c r="BI34" s="79">
        <f>BI95</f>
        <v>0</v>
      </c>
      <c r="BJ34" s="79">
        <f>BJ95</f>
        <v>0</v>
      </c>
      <c r="BK34" s="79">
        <f>BM95</f>
        <v>0</v>
      </c>
      <c r="BL34" s="79">
        <f t="shared" si="17"/>
        <v>0</v>
      </c>
      <c r="BM34" s="34">
        <f t="shared" si="18"/>
        <v>0</v>
      </c>
    </row>
    <row r="35" spans="1:65" ht="25.5" customHeight="1">
      <c r="A35" s="2">
        <f>COUNT(D98:D112)</f>
        <v>0</v>
      </c>
      <c r="B35" s="5" t="str">
        <f>B97</f>
        <v>Facility (BA)</v>
      </c>
      <c r="C35" s="7" t="s">
        <v>368</v>
      </c>
      <c r="D35" s="79">
        <f>D113</f>
        <v>0</v>
      </c>
      <c r="E35" s="79">
        <f>E113</f>
        <v>0</v>
      </c>
      <c r="F35" s="79">
        <f>F113</f>
        <v>0</v>
      </c>
      <c r="G35" s="79">
        <f>I113</f>
        <v>0</v>
      </c>
      <c r="H35" s="79">
        <f t="shared" si="5"/>
        <v>0</v>
      </c>
      <c r="I35" s="34">
        <f t="shared" si="6"/>
        <v>0</v>
      </c>
      <c r="J35" s="172"/>
      <c r="L35" s="5" t="str">
        <f>L97</f>
        <v>Facility (BA)</v>
      </c>
      <c r="M35" s="7" t="s">
        <v>368</v>
      </c>
      <c r="N35" s="79">
        <f>N113</f>
        <v>0</v>
      </c>
      <c r="O35" s="79">
        <f>O113</f>
        <v>0</v>
      </c>
      <c r="P35" s="79">
        <f>P113</f>
        <v>0</v>
      </c>
      <c r="Q35" s="79">
        <f>S113</f>
        <v>0</v>
      </c>
      <c r="R35" s="79">
        <f t="shared" si="7"/>
        <v>0</v>
      </c>
      <c r="S35" s="34">
        <f t="shared" si="8"/>
        <v>0</v>
      </c>
      <c r="T35" s="172"/>
      <c r="V35" s="5" t="str">
        <f>V97</f>
        <v>Facility (BA)</v>
      </c>
      <c r="W35" s="7" t="s">
        <v>368</v>
      </c>
      <c r="X35" s="79">
        <f>X113</f>
        <v>0</v>
      </c>
      <c r="Y35" s="79">
        <f>Y113</f>
        <v>0</v>
      </c>
      <c r="Z35" s="79">
        <f>Z113</f>
        <v>0</v>
      </c>
      <c r="AA35" s="79">
        <f>AC113</f>
        <v>0</v>
      </c>
      <c r="AB35" s="79">
        <f t="shared" si="9"/>
        <v>0</v>
      </c>
      <c r="AC35" s="34">
        <f t="shared" si="10"/>
        <v>0</v>
      </c>
      <c r="AE35" s="5" t="str">
        <f>AE97</f>
        <v>Facility (BA)</v>
      </c>
      <c r="AF35" s="7" t="s">
        <v>368</v>
      </c>
      <c r="AG35" s="79">
        <f>AG113</f>
        <v>0</v>
      </c>
      <c r="AH35" s="79">
        <f>AH113</f>
        <v>0</v>
      </c>
      <c r="AI35" s="79">
        <f>AI113</f>
        <v>0</v>
      </c>
      <c r="AJ35" s="79">
        <f>AL113</f>
        <v>0</v>
      </c>
      <c r="AK35" s="79">
        <f t="shared" si="11"/>
        <v>0</v>
      </c>
      <c r="AL35" s="34">
        <f t="shared" si="12"/>
        <v>0</v>
      </c>
      <c r="AN35" s="5" t="str">
        <f>AN97</f>
        <v>Facility (BA)</v>
      </c>
      <c r="AO35" s="7" t="s">
        <v>368</v>
      </c>
      <c r="AP35" s="79">
        <f>AP113</f>
        <v>0</v>
      </c>
      <c r="AQ35" s="79">
        <f>AQ113</f>
        <v>0</v>
      </c>
      <c r="AR35" s="79">
        <f>AR113</f>
        <v>0</v>
      </c>
      <c r="AS35" s="79">
        <f>AU113</f>
        <v>0</v>
      </c>
      <c r="AT35" s="79">
        <f t="shared" si="13"/>
        <v>0</v>
      </c>
      <c r="AU35" s="34">
        <f t="shared" si="14"/>
        <v>0</v>
      </c>
      <c r="AW35" s="5" t="str">
        <f>AW97</f>
        <v>Facility (BA)</v>
      </c>
      <c r="AX35" s="7" t="s">
        <v>368</v>
      </c>
      <c r="AY35" s="79">
        <f>AY113</f>
        <v>0</v>
      </c>
      <c r="AZ35" s="79">
        <f>AZ113</f>
        <v>0</v>
      </c>
      <c r="BA35" s="79">
        <f>BA113</f>
        <v>0</v>
      </c>
      <c r="BB35" s="79">
        <f>BD113</f>
        <v>0</v>
      </c>
      <c r="BC35" s="79">
        <f t="shared" si="15"/>
        <v>0</v>
      </c>
      <c r="BD35" s="34">
        <f t="shared" si="16"/>
        <v>0</v>
      </c>
      <c r="BF35" s="5" t="str">
        <f>BF97</f>
        <v>Facility (BA)</v>
      </c>
      <c r="BG35" s="7" t="s">
        <v>368</v>
      </c>
      <c r="BH35" s="79">
        <f>BH113</f>
        <v>0</v>
      </c>
      <c r="BI35" s="79">
        <f>BI113</f>
        <v>0</v>
      </c>
      <c r="BJ35" s="79">
        <f>BJ113</f>
        <v>0</v>
      </c>
      <c r="BK35" s="79">
        <f>BM113</f>
        <v>0</v>
      </c>
      <c r="BL35" s="79">
        <f t="shared" si="17"/>
        <v>0</v>
      </c>
      <c r="BM35" s="34">
        <f t="shared" si="18"/>
        <v>0</v>
      </c>
    </row>
    <row r="36" spans="1:65" ht="27.6">
      <c r="A36" s="2">
        <f>COUNT(D116:D130)</f>
        <v>0</v>
      </c>
      <c r="B36" s="5" t="str">
        <f>B115</f>
        <v>Facility (Term-loan)</v>
      </c>
      <c r="C36" s="7" t="s">
        <v>510</v>
      </c>
      <c r="D36" s="79">
        <f>D131</f>
        <v>0</v>
      </c>
      <c r="E36" s="79">
        <f>E131</f>
        <v>0</v>
      </c>
      <c r="F36" s="79">
        <f>F131</f>
        <v>0</v>
      </c>
      <c r="G36" s="79">
        <f>I131</f>
        <v>0</v>
      </c>
      <c r="H36" s="79">
        <f t="shared" si="5"/>
        <v>0</v>
      </c>
      <c r="I36" s="34">
        <f t="shared" si="6"/>
        <v>0</v>
      </c>
      <c r="J36" s="172"/>
      <c r="L36" s="5" t="str">
        <f>L115</f>
        <v>Facility (Term-loan)</v>
      </c>
      <c r="M36" s="7" t="s">
        <v>510</v>
      </c>
      <c r="N36" s="79">
        <f>N131</f>
        <v>0</v>
      </c>
      <c r="O36" s="79">
        <f>O131</f>
        <v>0</v>
      </c>
      <c r="P36" s="79">
        <f>P131</f>
        <v>0</v>
      </c>
      <c r="Q36" s="79">
        <f>S131</f>
        <v>0</v>
      </c>
      <c r="R36" s="79">
        <f t="shared" si="7"/>
        <v>0</v>
      </c>
      <c r="S36" s="34">
        <f t="shared" si="8"/>
        <v>0</v>
      </c>
      <c r="T36" s="224"/>
      <c r="V36" s="5" t="str">
        <f>V115</f>
        <v>Facility (Term-loan)</v>
      </c>
      <c r="W36" s="7" t="s">
        <v>510</v>
      </c>
      <c r="X36" s="79">
        <f>X131</f>
        <v>0</v>
      </c>
      <c r="Y36" s="79">
        <f>Y131</f>
        <v>0</v>
      </c>
      <c r="Z36" s="79">
        <f>Z131</f>
        <v>0</v>
      </c>
      <c r="AA36" s="79">
        <f>AC131</f>
        <v>0</v>
      </c>
      <c r="AB36" s="79">
        <f t="shared" si="9"/>
        <v>0</v>
      </c>
      <c r="AC36" s="34">
        <f t="shared" si="10"/>
        <v>0</v>
      </c>
      <c r="AE36" s="5" t="str">
        <f>AE115</f>
        <v>Facility (Term-loan)</v>
      </c>
      <c r="AF36" s="7" t="s">
        <v>510</v>
      </c>
      <c r="AG36" s="79">
        <f>AG131</f>
        <v>0</v>
      </c>
      <c r="AH36" s="79">
        <f>AH131</f>
        <v>0</v>
      </c>
      <c r="AI36" s="79">
        <f>AI131</f>
        <v>0</v>
      </c>
      <c r="AJ36" s="79">
        <f>AL131</f>
        <v>0</v>
      </c>
      <c r="AK36" s="79">
        <f t="shared" si="11"/>
        <v>0</v>
      </c>
      <c r="AL36" s="34">
        <f t="shared" si="12"/>
        <v>0</v>
      </c>
      <c r="AN36" s="5" t="str">
        <f>AN115</f>
        <v>Facility (Term-loan)</v>
      </c>
      <c r="AO36" s="7" t="s">
        <v>510</v>
      </c>
      <c r="AP36" s="79">
        <f>AP131</f>
        <v>0</v>
      </c>
      <c r="AQ36" s="79">
        <f>AQ131</f>
        <v>0</v>
      </c>
      <c r="AR36" s="79">
        <f>AR131</f>
        <v>0</v>
      </c>
      <c r="AS36" s="79">
        <f>AU131</f>
        <v>0</v>
      </c>
      <c r="AT36" s="79">
        <f t="shared" si="13"/>
        <v>0</v>
      </c>
      <c r="AU36" s="34">
        <f t="shared" si="14"/>
        <v>0</v>
      </c>
      <c r="AW36" s="5" t="str">
        <f>AW115</f>
        <v>Facility (Term-loan)</v>
      </c>
      <c r="AX36" s="7" t="s">
        <v>510</v>
      </c>
      <c r="AY36" s="79">
        <f>AY131</f>
        <v>0</v>
      </c>
      <c r="AZ36" s="79">
        <f>AZ131</f>
        <v>0</v>
      </c>
      <c r="BA36" s="79">
        <f>BA131</f>
        <v>0</v>
      </c>
      <c r="BB36" s="79">
        <f>BD131</f>
        <v>0</v>
      </c>
      <c r="BC36" s="79">
        <f t="shared" si="15"/>
        <v>0</v>
      </c>
      <c r="BD36" s="34">
        <f t="shared" si="16"/>
        <v>0</v>
      </c>
      <c r="BF36" s="5" t="str">
        <f>BF115</f>
        <v>Facility (Term-loan)</v>
      </c>
      <c r="BG36" s="7" t="s">
        <v>510</v>
      </c>
      <c r="BH36" s="79">
        <f>BH131</f>
        <v>0</v>
      </c>
      <c r="BI36" s="79">
        <f>BI131</f>
        <v>0</v>
      </c>
      <c r="BJ36" s="79">
        <f>BJ131</f>
        <v>0</v>
      </c>
      <c r="BK36" s="79">
        <f>BM131</f>
        <v>0</v>
      </c>
      <c r="BL36" s="79">
        <f t="shared" si="17"/>
        <v>0</v>
      </c>
      <c r="BM36" s="34">
        <f t="shared" si="18"/>
        <v>0</v>
      </c>
    </row>
    <row r="37" spans="1:65" ht="25.5" customHeight="1">
      <c r="A37" s="2">
        <f>COUNT(D134:D148)</f>
        <v>0</v>
      </c>
      <c r="B37" s="5" t="str">
        <f>B133</f>
        <v>Facility (Hire Purchase / Leasing)</v>
      </c>
      <c r="C37" s="7" t="s">
        <v>510</v>
      </c>
      <c r="D37" s="79">
        <f>D149</f>
        <v>0</v>
      </c>
      <c r="E37" s="79">
        <f>E149</f>
        <v>0</v>
      </c>
      <c r="F37" s="79">
        <f>F149</f>
        <v>0</v>
      </c>
      <c r="G37" s="79">
        <f>I149</f>
        <v>0</v>
      </c>
      <c r="H37" s="79">
        <f t="shared" si="5"/>
        <v>0</v>
      </c>
      <c r="I37" s="34">
        <f t="shared" si="6"/>
        <v>0</v>
      </c>
      <c r="J37" s="172"/>
      <c r="L37" s="5" t="str">
        <f>L133</f>
        <v>Facility (Hire Purchase / Leasing)</v>
      </c>
      <c r="M37" s="7" t="s">
        <v>510</v>
      </c>
      <c r="N37" s="79">
        <f>N149</f>
        <v>0</v>
      </c>
      <c r="O37" s="79">
        <f>O149</f>
        <v>0</v>
      </c>
      <c r="P37" s="79">
        <f>P149</f>
        <v>0</v>
      </c>
      <c r="Q37" s="79">
        <f>S149</f>
        <v>0</v>
      </c>
      <c r="R37" s="79">
        <f t="shared" si="7"/>
        <v>0</v>
      </c>
      <c r="S37" s="34">
        <f t="shared" si="8"/>
        <v>0</v>
      </c>
      <c r="T37" s="172"/>
      <c r="V37" s="5" t="str">
        <f>V133</f>
        <v>Facility (Hire Purchase / Leasing)</v>
      </c>
      <c r="W37" s="7" t="s">
        <v>510</v>
      </c>
      <c r="X37" s="79">
        <f>X149</f>
        <v>0</v>
      </c>
      <c r="Y37" s="79">
        <f>Y149</f>
        <v>0</v>
      </c>
      <c r="Z37" s="79">
        <f>Z149</f>
        <v>0</v>
      </c>
      <c r="AA37" s="79">
        <f>AC149</f>
        <v>0</v>
      </c>
      <c r="AB37" s="79">
        <f t="shared" si="9"/>
        <v>0</v>
      </c>
      <c r="AC37" s="34">
        <f t="shared" si="10"/>
        <v>0</v>
      </c>
      <c r="AE37" s="5" t="str">
        <f>AE133</f>
        <v>Facility (Hire Purchase / Leasing)</v>
      </c>
      <c r="AF37" s="7" t="s">
        <v>510</v>
      </c>
      <c r="AG37" s="79">
        <f>AG149</f>
        <v>0</v>
      </c>
      <c r="AH37" s="79">
        <f>AH149</f>
        <v>0</v>
      </c>
      <c r="AI37" s="79">
        <f>AI149</f>
        <v>0</v>
      </c>
      <c r="AJ37" s="79">
        <f>AL149</f>
        <v>0</v>
      </c>
      <c r="AK37" s="79">
        <f t="shared" si="11"/>
        <v>0</v>
      </c>
      <c r="AL37" s="34">
        <f t="shared" si="12"/>
        <v>0</v>
      </c>
      <c r="AN37" s="5" t="str">
        <f>AN133</f>
        <v>Facility (Hire Purchase / Leasing)</v>
      </c>
      <c r="AO37" s="7" t="s">
        <v>510</v>
      </c>
      <c r="AP37" s="79">
        <f>AP149</f>
        <v>0</v>
      </c>
      <c r="AQ37" s="79">
        <f>AQ149</f>
        <v>0</v>
      </c>
      <c r="AR37" s="79">
        <f>AR149</f>
        <v>0</v>
      </c>
      <c r="AS37" s="79">
        <f>AU149</f>
        <v>0</v>
      </c>
      <c r="AT37" s="79">
        <f t="shared" si="13"/>
        <v>0</v>
      </c>
      <c r="AU37" s="34">
        <f t="shared" si="14"/>
        <v>0</v>
      </c>
      <c r="AW37" s="5" t="str">
        <f>AW133</f>
        <v>Facility (Hire Purchase / Leasing)</v>
      </c>
      <c r="AX37" s="7" t="s">
        <v>510</v>
      </c>
      <c r="AY37" s="79">
        <f>AY149</f>
        <v>0</v>
      </c>
      <c r="AZ37" s="79">
        <f>AZ149</f>
        <v>0</v>
      </c>
      <c r="BA37" s="79">
        <f>BA149</f>
        <v>0</v>
      </c>
      <c r="BB37" s="79">
        <f>BD149</f>
        <v>0</v>
      </c>
      <c r="BC37" s="79">
        <f t="shared" si="15"/>
        <v>0</v>
      </c>
      <c r="BD37" s="34">
        <f t="shared" si="16"/>
        <v>0</v>
      </c>
      <c r="BF37" s="5" t="str">
        <f>BF133</f>
        <v>Facility (Hire Purchase / Leasing)</v>
      </c>
      <c r="BG37" s="7" t="s">
        <v>510</v>
      </c>
      <c r="BH37" s="79">
        <f>BH149</f>
        <v>0</v>
      </c>
      <c r="BI37" s="79">
        <f>BI149</f>
        <v>0</v>
      </c>
      <c r="BJ37" s="79">
        <f>BJ149</f>
        <v>0</v>
      </c>
      <c r="BK37" s="79">
        <f>BM149</f>
        <v>0</v>
      </c>
      <c r="BL37" s="79">
        <f t="shared" si="17"/>
        <v>0</v>
      </c>
      <c r="BM37" s="34">
        <f t="shared" si="18"/>
        <v>0</v>
      </c>
    </row>
    <row r="38" spans="1:65" ht="25.5" customHeight="1">
      <c r="A38" s="2">
        <f>COUNT(D152:D166)</f>
        <v>0</v>
      </c>
      <c r="B38" s="5" t="str">
        <f>B151</f>
        <v>Facility (Credit Card)</v>
      </c>
      <c r="C38" s="7" t="s">
        <v>372</v>
      </c>
      <c r="D38" s="79">
        <f>D167</f>
        <v>0</v>
      </c>
      <c r="E38" s="79">
        <f>E167</f>
        <v>0</v>
      </c>
      <c r="F38" s="79">
        <f>F167</f>
        <v>0</v>
      </c>
      <c r="G38" s="213">
        <f>I167*12</f>
        <v>0</v>
      </c>
      <c r="H38" s="79">
        <f t="shared" si="5"/>
        <v>0</v>
      </c>
      <c r="I38" s="34">
        <f t="shared" si="6"/>
        <v>0</v>
      </c>
      <c r="J38" s="172"/>
      <c r="L38" s="5" t="str">
        <f>L151</f>
        <v>Facility (Credit Card)</v>
      </c>
      <c r="M38" s="7" t="s">
        <v>372</v>
      </c>
      <c r="N38" s="79">
        <f>N167</f>
        <v>0</v>
      </c>
      <c r="O38" s="79">
        <f>O167</f>
        <v>0</v>
      </c>
      <c r="P38" s="79">
        <f>P167</f>
        <v>0</v>
      </c>
      <c r="Q38" s="213">
        <f>S167*12</f>
        <v>0</v>
      </c>
      <c r="R38" s="79">
        <f t="shared" si="7"/>
        <v>0</v>
      </c>
      <c r="S38" s="34">
        <f t="shared" si="8"/>
        <v>0</v>
      </c>
      <c r="T38" s="172"/>
      <c r="V38" s="5" t="str">
        <f>V151</f>
        <v>Facility (Credit Card)</v>
      </c>
      <c r="W38" s="7" t="s">
        <v>372</v>
      </c>
      <c r="X38" s="79">
        <f>X167</f>
        <v>0</v>
      </c>
      <c r="Y38" s="79">
        <f>Y167</f>
        <v>0</v>
      </c>
      <c r="Z38" s="79">
        <f>Z167</f>
        <v>0</v>
      </c>
      <c r="AA38" s="79">
        <f>AC167</f>
        <v>0</v>
      </c>
      <c r="AB38" s="79">
        <f t="shared" si="9"/>
        <v>0</v>
      </c>
      <c r="AC38" s="34">
        <f t="shared" si="10"/>
        <v>0</v>
      </c>
      <c r="AE38" s="5" t="str">
        <f>AE151</f>
        <v>Facility (Credit Card)</v>
      </c>
      <c r="AF38" s="7" t="s">
        <v>372</v>
      </c>
      <c r="AG38" s="79">
        <f>AG167</f>
        <v>0</v>
      </c>
      <c r="AH38" s="79">
        <f>AH167</f>
        <v>0</v>
      </c>
      <c r="AI38" s="79">
        <f>AI167</f>
        <v>0</v>
      </c>
      <c r="AJ38" s="79">
        <f>AL167</f>
        <v>0</v>
      </c>
      <c r="AK38" s="79">
        <f t="shared" si="11"/>
        <v>0</v>
      </c>
      <c r="AL38" s="34">
        <f t="shared" si="12"/>
        <v>0</v>
      </c>
      <c r="AN38" s="5" t="str">
        <f>AN151</f>
        <v>Facility (Credit Card)</v>
      </c>
      <c r="AO38" s="7" t="s">
        <v>372</v>
      </c>
      <c r="AP38" s="79">
        <f>AP167</f>
        <v>0</v>
      </c>
      <c r="AQ38" s="79">
        <f>AQ167</f>
        <v>0</v>
      </c>
      <c r="AR38" s="79">
        <f>AR167</f>
        <v>0</v>
      </c>
      <c r="AS38" s="79">
        <f>AU167</f>
        <v>0</v>
      </c>
      <c r="AT38" s="79">
        <f t="shared" si="13"/>
        <v>0</v>
      </c>
      <c r="AU38" s="34">
        <f t="shared" si="14"/>
        <v>0</v>
      </c>
      <c r="AW38" s="5" t="str">
        <f>AW151</f>
        <v>Facility (Credit Card)</v>
      </c>
      <c r="AX38" s="7" t="s">
        <v>372</v>
      </c>
      <c r="AY38" s="79">
        <f>AY167</f>
        <v>0</v>
      </c>
      <c r="AZ38" s="79">
        <f>AZ167</f>
        <v>0</v>
      </c>
      <c r="BA38" s="79">
        <f>BA167</f>
        <v>0</v>
      </c>
      <c r="BB38" s="79">
        <f>BD167</f>
        <v>0</v>
      </c>
      <c r="BC38" s="79">
        <f t="shared" si="15"/>
        <v>0</v>
      </c>
      <c r="BD38" s="34">
        <f t="shared" si="16"/>
        <v>0</v>
      </c>
      <c r="BF38" s="5" t="str">
        <f>BF151</f>
        <v>Facility (Credit Card)</v>
      </c>
      <c r="BG38" s="7" t="s">
        <v>372</v>
      </c>
      <c r="BH38" s="79">
        <f>BH167</f>
        <v>0</v>
      </c>
      <c r="BI38" s="79">
        <f>BI167</f>
        <v>0</v>
      </c>
      <c r="BJ38" s="79">
        <f>BJ167</f>
        <v>0</v>
      </c>
      <c r="BK38" s="79">
        <f>BM167</f>
        <v>0</v>
      </c>
      <c r="BL38" s="79">
        <f t="shared" si="17"/>
        <v>0</v>
      </c>
      <c r="BM38" s="34">
        <f t="shared" si="18"/>
        <v>0</v>
      </c>
    </row>
    <row r="39" spans="1:65" ht="25.5" customHeight="1">
      <c r="A39" s="2">
        <f>COUNT(D170:D184)</f>
        <v>0</v>
      </c>
      <c r="B39" s="5" t="str">
        <f>B169</f>
        <v>P2P (Term-loan)</v>
      </c>
      <c r="C39" s="7" t="s">
        <v>511</v>
      </c>
      <c r="D39" s="79">
        <f>D185</f>
        <v>0</v>
      </c>
      <c r="E39" s="79">
        <f>E185</f>
        <v>0</v>
      </c>
      <c r="F39" s="79">
        <f t="shared" ref="F39" si="19">F185</f>
        <v>0</v>
      </c>
      <c r="G39" s="79">
        <f>I185</f>
        <v>0</v>
      </c>
      <c r="H39" s="79">
        <f t="shared" si="5"/>
        <v>0</v>
      </c>
      <c r="I39" s="34">
        <f t="shared" si="6"/>
        <v>0</v>
      </c>
      <c r="J39" s="172"/>
      <c r="L39" s="5" t="s">
        <v>512</v>
      </c>
      <c r="M39" s="7" t="s">
        <v>511</v>
      </c>
      <c r="N39" s="79">
        <f>N185</f>
        <v>0</v>
      </c>
      <c r="O39" s="79">
        <f t="shared" ref="O39:P39" si="20">O185</f>
        <v>0</v>
      </c>
      <c r="P39" s="79">
        <f t="shared" si="20"/>
        <v>0</v>
      </c>
      <c r="Q39" s="79">
        <f>S185</f>
        <v>0</v>
      </c>
      <c r="R39" s="79">
        <f t="shared" si="7"/>
        <v>0</v>
      </c>
      <c r="S39" s="34">
        <f t="shared" si="8"/>
        <v>0</v>
      </c>
      <c r="T39" s="172"/>
      <c r="V39" s="5" t="s">
        <v>512</v>
      </c>
      <c r="W39" s="7" t="s">
        <v>511</v>
      </c>
      <c r="X39" s="79">
        <f>X185</f>
        <v>0</v>
      </c>
      <c r="Y39" s="79">
        <f t="shared" ref="Y39:Z39" si="21">Y185</f>
        <v>0</v>
      </c>
      <c r="Z39" s="79">
        <f t="shared" si="21"/>
        <v>0</v>
      </c>
      <c r="AA39" s="79">
        <f>AC185</f>
        <v>0</v>
      </c>
      <c r="AB39" s="79">
        <f t="shared" si="9"/>
        <v>0</v>
      </c>
      <c r="AC39" s="34">
        <f t="shared" si="10"/>
        <v>0</v>
      </c>
      <c r="AE39" s="5" t="s">
        <v>512</v>
      </c>
      <c r="AF39" s="7" t="s">
        <v>511</v>
      </c>
      <c r="AG39" s="79">
        <f>AG185</f>
        <v>0</v>
      </c>
      <c r="AH39" s="79">
        <f t="shared" ref="AH39:AI39" si="22">AH185</f>
        <v>0</v>
      </c>
      <c r="AI39" s="79">
        <f t="shared" si="22"/>
        <v>0</v>
      </c>
      <c r="AJ39" s="79">
        <f>AL185</f>
        <v>0</v>
      </c>
      <c r="AK39" s="79">
        <f t="shared" si="11"/>
        <v>0</v>
      </c>
      <c r="AL39" s="34">
        <f t="shared" si="12"/>
        <v>0</v>
      </c>
      <c r="AN39" s="5" t="s">
        <v>512</v>
      </c>
      <c r="AO39" s="7" t="s">
        <v>511</v>
      </c>
      <c r="AP39" s="79">
        <f>AP185</f>
        <v>0</v>
      </c>
      <c r="AQ39" s="79">
        <f t="shared" ref="AQ39:AR39" si="23">AQ185</f>
        <v>0</v>
      </c>
      <c r="AR39" s="79">
        <f t="shared" si="23"/>
        <v>0</v>
      </c>
      <c r="AS39" s="79">
        <f>AU185</f>
        <v>0</v>
      </c>
      <c r="AT39" s="79">
        <f t="shared" si="13"/>
        <v>0</v>
      </c>
      <c r="AU39" s="34">
        <f t="shared" si="14"/>
        <v>0</v>
      </c>
      <c r="AW39" s="5" t="s">
        <v>512</v>
      </c>
      <c r="AX39" s="7" t="s">
        <v>511</v>
      </c>
      <c r="AY39" s="79">
        <f>AY185</f>
        <v>0</v>
      </c>
      <c r="AZ39" s="79">
        <f t="shared" ref="AZ39:BA39" si="24">AZ185</f>
        <v>0</v>
      </c>
      <c r="BA39" s="79">
        <f t="shared" si="24"/>
        <v>0</v>
      </c>
      <c r="BB39" s="79">
        <f>BD185</f>
        <v>0</v>
      </c>
      <c r="BC39" s="79">
        <f t="shared" si="15"/>
        <v>0</v>
      </c>
      <c r="BD39" s="34">
        <f t="shared" si="16"/>
        <v>0</v>
      </c>
      <c r="BF39" s="5" t="s">
        <v>512</v>
      </c>
      <c r="BG39" s="7" t="s">
        <v>511</v>
      </c>
      <c r="BH39" s="79">
        <f>BH185</f>
        <v>0</v>
      </c>
      <c r="BI39" s="79">
        <f t="shared" ref="BI39:BJ39" si="25">BI185</f>
        <v>0</v>
      </c>
      <c r="BJ39" s="79">
        <f t="shared" si="25"/>
        <v>0</v>
      </c>
      <c r="BK39" s="79">
        <f>BM185</f>
        <v>0</v>
      </c>
      <c r="BL39" s="79">
        <f t="shared" si="17"/>
        <v>0</v>
      </c>
      <c r="BM39" s="34">
        <f t="shared" si="18"/>
        <v>0</v>
      </c>
    </row>
    <row r="40" spans="1:65" ht="25.5" customHeight="1">
      <c r="A40" s="2">
        <f>COUNT(D188:D202)</f>
        <v>0</v>
      </c>
      <c r="B40" s="5" t="str">
        <f>B187</f>
        <v>P2P (Trade Receivable)</v>
      </c>
      <c r="C40" s="7" t="s">
        <v>368</v>
      </c>
      <c r="D40" s="79">
        <f>D203</f>
        <v>0</v>
      </c>
      <c r="E40" s="79">
        <f t="shared" ref="E40:F40" si="26">E203</f>
        <v>0</v>
      </c>
      <c r="F40" s="79">
        <f t="shared" si="26"/>
        <v>0</v>
      </c>
      <c r="G40" s="79">
        <f>I203</f>
        <v>0</v>
      </c>
      <c r="H40" s="79">
        <f t="shared" si="5"/>
        <v>0</v>
      </c>
      <c r="I40" s="34">
        <f t="shared" si="6"/>
        <v>0</v>
      </c>
      <c r="J40" s="172"/>
      <c r="L40" s="5" t="s">
        <v>512</v>
      </c>
      <c r="M40" s="7" t="s">
        <v>368</v>
      </c>
      <c r="N40" s="79">
        <f>N203</f>
        <v>0</v>
      </c>
      <c r="O40" s="79">
        <f t="shared" ref="O40:P40" si="27">O203</f>
        <v>0</v>
      </c>
      <c r="P40" s="79">
        <f t="shared" si="27"/>
        <v>0</v>
      </c>
      <c r="Q40" s="79">
        <f>S203</f>
        <v>0</v>
      </c>
      <c r="R40" s="79">
        <f t="shared" si="7"/>
        <v>0</v>
      </c>
      <c r="S40" s="34">
        <f t="shared" si="8"/>
        <v>0</v>
      </c>
      <c r="T40" s="172"/>
      <c r="V40" s="5" t="s">
        <v>512</v>
      </c>
      <c r="W40" s="7" t="s">
        <v>368</v>
      </c>
      <c r="X40" s="79">
        <f>X203</f>
        <v>0</v>
      </c>
      <c r="Y40" s="79">
        <f t="shared" ref="Y40:Z40" si="28">Y203</f>
        <v>0</v>
      </c>
      <c r="Z40" s="79">
        <f t="shared" si="28"/>
        <v>0</v>
      </c>
      <c r="AA40" s="79">
        <f>AC203</f>
        <v>0</v>
      </c>
      <c r="AB40" s="79">
        <f t="shared" si="9"/>
        <v>0</v>
      </c>
      <c r="AC40" s="34">
        <f t="shared" si="10"/>
        <v>0</v>
      </c>
      <c r="AE40" s="5" t="s">
        <v>512</v>
      </c>
      <c r="AF40" s="7" t="s">
        <v>368</v>
      </c>
      <c r="AG40" s="79">
        <f>AG203</f>
        <v>0</v>
      </c>
      <c r="AH40" s="79">
        <f t="shared" ref="AH40:AI40" si="29">AH203</f>
        <v>0</v>
      </c>
      <c r="AI40" s="79">
        <f t="shared" si="29"/>
        <v>0</v>
      </c>
      <c r="AJ40" s="79">
        <f>AL203</f>
        <v>0</v>
      </c>
      <c r="AK40" s="79">
        <f t="shared" si="11"/>
        <v>0</v>
      </c>
      <c r="AL40" s="34">
        <f t="shared" si="12"/>
        <v>0</v>
      </c>
      <c r="AN40" s="5" t="s">
        <v>512</v>
      </c>
      <c r="AO40" s="7" t="s">
        <v>368</v>
      </c>
      <c r="AP40" s="79">
        <f>AP203</f>
        <v>0</v>
      </c>
      <c r="AQ40" s="79">
        <f t="shared" ref="AQ40:AR40" si="30">AQ203</f>
        <v>0</v>
      </c>
      <c r="AR40" s="79">
        <f t="shared" si="30"/>
        <v>0</v>
      </c>
      <c r="AS40" s="79">
        <f>AU203</f>
        <v>0</v>
      </c>
      <c r="AT40" s="79">
        <f t="shared" si="13"/>
        <v>0</v>
      </c>
      <c r="AU40" s="34">
        <f t="shared" si="14"/>
        <v>0</v>
      </c>
      <c r="AW40" s="5" t="s">
        <v>512</v>
      </c>
      <c r="AX40" s="7" t="s">
        <v>368</v>
      </c>
      <c r="AY40" s="79">
        <f>AY203</f>
        <v>0</v>
      </c>
      <c r="AZ40" s="79">
        <f t="shared" ref="AZ40:BA40" si="31">AZ203</f>
        <v>0</v>
      </c>
      <c r="BA40" s="79">
        <f t="shared" si="31"/>
        <v>0</v>
      </c>
      <c r="BB40" s="79">
        <f>BD203</f>
        <v>0</v>
      </c>
      <c r="BC40" s="79">
        <f t="shared" si="15"/>
        <v>0</v>
      </c>
      <c r="BD40" s="34">
        <f t="shared" si="16"/>
        <v>0</v>
      </c>
      <c r="BF40" s="5" t="s">
        <v>512</v>
      </c>
      <c r="BG40" s="7" t="s">
        <v>368</v>
      </c>
      <c r="BH40" s="79">
        <f>BH203</f>
        <v>0</v>
      </c>
      <c r="BI40" s="79">
        <f t="shared" ref="BI40:BJ40" si="32">BI203</f>
        <v>0</v>
      </c>
      <c r="BJ40" s="79">
        <f t="shared" si="32"/>
        <v>0</v>
      </c>
      <c r="BK40" s="79">
        <f>BM203</f>
        <v>0</v>
      </c>
      <c r="BL40" s="79">
        <f t="shared" si="17"/>
        <v>0</v>
      </c>
      <c r="BM40" s="34">
        <f t="shared" si="18"/>
        <v>0</v>
      </c>
    </row>
    <row r="41" spans="1:65" ht="25.5" customHeight="1">
      <c r="B41" s="39" t="s">
        <v>513</v>
      </c>
      <c r="C41" s="33"/>
      <c r="D41" s="35">
        <f>SUM(D32:D40)</f>
        <v>0</v>
      </c>
      <c r="E41" s="35">
        <f t="shared" ref="E41:I41" si="33">SUM(E32:E40)</f>
        <v>0</v>
      </c>
      <c r="F41" s="35">
        <f t="shared" si="33"/>
        <v>0</v>
      </c>
      <c r="G41" s="35">
        <f t="shared" si="33"/>
        <v>0</v>
      </c>
      <c r="H41" s="35">
        <f t="shared" si="33"/>
        <v>0</v>
      </c>
      <c r="I41" s="35">
        <f t="shared" si="33"/>
        <v>0</v>
      </c>
      <c r="J41" s="212"/>
      <c r="L41" s="39" t="s">
        <v>513</v>
      </c>
      <c r="M41" s="33"/>
      <c r="N41" s="35">
        <f>SUM(N32:N40)</f>
        <v>0</v>
      </c>
      <c r="O41" s="35">
        <f t="shared" ref="O41" si="34">SUM(O32:O40)</f>
        <v>0</v>
      </c>
      <c r="P41" s="35">
        <f t="shared" ref="P41" si="35">SUM(P32:P40)</f>
        <v>0</v>
      </c>
      <c r="Q41" s="35">
        <f t="shared" ref="Q41" si="36">SUM(Q32:Q40)</f>
        <v>0</v>
      </c>
      <c r="R41" s="35">
        <f t="shared" ref="R41" si="37">SUM(R32:R40)</f>
        <v>0</v>
      </c>
      <c r="S41" s="35">
        <f t="shared" ref="S41" si="38">SUM(S32:S40)</f>
        <v>0</v>
      </c>
      <c r="T41" s="212"/>
      <c r="V41" s="39" t="s">
        <v>513</v>
      </c>
      <c r="W41" s="33"/>
      <c r="X41" s="35">
        <f>SUM(X32:X40)</f>
        <v>0</v>
      </c>
      <c r="Y41" s="35">
        <f t="shared" ref="Y41" si="39">SUM(Y32:Y40)</f>
        <v>0</v>
      </c>
      <c r="Z41" s="35">
        <f t="shared" ref="Z41" si="40">SUM(Z32:Z40)</f>
        <v>0</v>
      </c>
      <c r="AA41" s="35">
        <f t="shared" ref="AA41" si="41">SUM(AA32:AA40)</f>
        <v>0</v>
      </c>
      <c r="AB41" s="35">
        <f t="shared" ref="AB41" si="42">SUM(AB32:AB40)</f>
        <v>0</v>
      </c>
      <c r="AC41" s="35">
        <f t="shared" ref="AC41" si="43">SUM(AC32:AC40)</f>
        <v>0</v>
      </c>
      <c r="AE41" s="39" t="s">
        <v>513</v>
      </c>
      <c r="AF41" s="33"/>
      <c r="AG41" s="35">
        <f>SUM(AG32:AG40)</f>
        <v>0</v>
      </c>
      <c r="AH41" s="35">
        <f t="shared" ref="AH41" si="44">SUM(AH32:AH40)</f>
        <v>0</v>
      </c>
      <c r="AI41" s="35">
        <f t="shared" ref="AI41" si="45">SUM(AI32:AI40)</f>
        <v>0</v>
      </c>
      <c r="AJ41" s="35">
        <f t="shared" ref="AJ41" si="46">SUM(AJ32:AJ40)</f>
        <v>0</v>
      </c>
      <c r="AK41" s="35">
        <f t="shared" ref="AK41" si="47">SUM(AK32:AK40)</f>
        <v>0</v>
      </c>
      <c r="AL41" s="35">
        <f t="shared" ref="AL41" si="48">SUM(AL32:AL40)</f>
        <v>0</v>
      </c>
      <c r="AN41" s="39" t="s">
        <v>513</v>
      </c>
      <c r="AO41" s="33"/>
      <c r="AP41" s="35">
        <f>SUM(AP32:AP40)</f>
        <v>0</v>
      </c>
      <c r="AQ41" s="35">
        <f t="shared" ref="AQ41" si="49">SUM(AQ32:AQ40)</f>
        <v>0</v>
      </c>
      <c r="AR41" s="35">
        <f t="shared" ref="AR41" si="50">SUM(AR32:AR40)</f>
        <v>0</v>
      </c>
      <c r="AS41" s="35">
        <f t="shared" ref="AS41" si="51">SUM(AS32:AS40)</f>
        <v>0</v>
      </c>
      <c r="AT41" s="35">
        <f t="shared" ref="AT41" si="52">SUM(AT32:AT40)</f>
        <v>0</v>
      </c>
      <c r="AU41" s="35">
        <f t="shared" ref="AU41" si="53">SUM(AU32:AU40)</f>
        <v>0</v>
      </c>
      <c r="AW41" s="39" t="s">
        <v>513</v>
      </c>
      <c r="AX41" s="33"/>
      <c r="AY41" s="35">
        <f>SUM(AY32:AY40)</f>
        <v>0</v>
      </c>
      <c r="AZ41" s="35">
        <f t="shared" ref="AZ41" si="54">SUM(AZ32:AZ40)</f>
        <v>0</v>
      </c>
      <c r="BA41" s="35">
        <f t="shared" ref="BA41" si="55">SUM(BA32:BA40)</f>
        <v>0</v>
      </c>
      <c r="BB41" s="35">
        <f t="shared" ref="BB41" si="56">SUM(BB32:BB40)</f>
        <v>0</v>
      </c>
      <c r="BC41" s="35">
        <f t="shared" ref="BC41" si="57">SUM(BC32:BC40)</f>
        <v>0</v>
      </c>
      <c r="BD41" s="35">
        <f t="shared" ref="BD41" si="58">SUM(BD32:BD40)</f>
        <v>0</v>
      </c>
      <c r="BF41" s="39" t="s">
        <v>513</v>
      </c>
      <c r="BG41" s="33"/>
      <c r="BH41" s="35">
        <f>SUM(BH32:BH40)</f>
        <v>0</v>
      </c>
      <c r="BI41" s="35">
        <f t="shared" ref="BI41" si="59">SUM(BI32:BI40)</f>
        <v>0</v>
      </c>
      <c r="BJ41" s="35">
        <f t="shared" ref="BJ41" si="60">SUM(BJ32:BJ40)</f>
        <v>0</v>
      </c>
      <c r="BK41" s="35">
        <f t="shared" ref="BK41" si="61">SUM(BK32:BK40)</f>
        <v>0</v>
      </c>
      <c r="BL41" s="35">
        <f t="shared" ref="BL41" si="62">SUM(BL32:BL40)</f>
        <v>0</v>
      </c>
      <c r="BM41" s="35">
        <f t="shared" ref="BM41" si="63">SUM(BM32:BM40)</f>
        <v>0</v>
      </c>
    </row>
    <row r="43" spans="1:65" s="20" customFormat="1" ht="41.4">
      <c r="B43" s="27" t="s">
        <v>9</v>
      </c>
      <c r="C43" s="3" t="s">
        <v>149</v>
      </c>
      <c r="D43" s="3" t="s">
        <v>444</v>
      </c>
      <c r="E43" s="3" t="s">
        <v>445</v>
      </c>
      <c r="F43" s="3" t="s">
        <v>446</v>
      </c>
      <c r="G43" s="3" t="s">
        <v>447</v>
      </c>
      <c r="H43" s="3" t="s">
        <v>448</v>
      </c>
      <c r="I43" s="3" t="s">
        <v>449</v>
      </c>
      <c r="J43" s="173" t="s">
        <v>450</v>
      </c>
      <c r="L43" s="27" t="s">
        <v>9</v>
      </c>
      <c r="M43" s="3" t="s">
        <v>149</v>
      </c>
      <c r="N43" s="3" t="s">
        <v>444</v>
      </c>
      <c r="O43" s="3" t="s">
        <v>445</v>
      </c>
      <c r="P43" s="3" t="s">
        <v>446</v>
      </c>
      <c r="Q43" s="3" t="s">
        <v>447</v>
      </c>
      <c r="R43" s="3" t="s">
        <v>448</v>
      </c>
      <c r="S43" s="3" t="s">
        <v>449</v>
      </c>
      <c r="T43" s="173" t="s">
        <v>450</v>
      </c>
      <c r="V43" s="27" t="s">
        <v>9</v>
      </c>
      <c r="W43" s="3" t="s">
        <v>149</v>
      </c>
      <c r="X43" s="3" t="s">
        <v>444</v>
      </c>
      <c r="Y43" s="3" t="s">
        <v>445</v>
      </c>
      <c r="Z43" s="3" t="s">
        <v>446</v>
      </c>
      <c r="AA43" s="3" t="s">
        <v>447</v>
      </c>
      <c r="AB43" s="3" t="s">
        <v>448</v>
      </c>
      <c r="AC43" s="3" t="s">
        <v>449</v>
      </c>
      <c r="AE43" s="27" t="s">
        <v>9</v>
      </c>
      <c r="AF43" s="3" t="s">
        <v>149</v>
      </c>
      <c r="AG43" s="3" t="s">
        <v>444</v>
      </c>
      <c r="AH43" s="3" t="s">
        <v>445</v>
      </c>
      <c r="AI43" s="3" t="s">
        <v>446</v>
      </c>
      <c r="AJ43" s="3" t="s">
        <v>447</v>
      </c>
      <c r="AK43" s="3" t="s">
        <v>448</v>
      </c>
      <c r="AL43" s="3" t="s">
        <v>449</v>
      </c>
      <c r="AN43" s="27" t="s">
        <v>9</v>
      </c>
      <c r="AO43" s="3" t="s">
        <v>149</v>
      </c>
      <c r="AP43" s="3" t="s">
        <v>444</v>
      </c>
      <c r="AQ43" s="3" t="s">
        <v>445</v>
      </c>
      <c r="AR43" s="3" t="s">
        <v>446</v>
      </c>
      <c r="AS43" s="3" t="s">
        <v>447</v>
      </c>
      <c r="AT43" s="3" t="s">
        <v>448</v>
      </c>
      <c r="AU43" s="3" t="s">
        <v>449</v>
      </c>
      <c r="AW43" s="27" t="s">
        <v>9</v>
      </c>
      <c r="AX43" s="3" t="s">
        <v>149</v>
      </c>
      <c r="AY43" s="3" t="s">
        <v>444</v>
      </c>
      <c r="AZ43" s="3" t="s">
        <v>445</v>
      </c>
      <c r="BA43" s="3" t="s">
        <v>446</v>
      </c>
      <c r="BB43" s="3" t="s">
        <v>447</v>
      </c>
      <c r="BC43" s="3" t="s">
        <v>448</v>
      </c>
      <c r="BD43" s="3" t="s">
        <v>449</v>
      </c>
      <c r="BF43" s="27" t="s">
        <v>9</v>
      </c>
      <c r="BG43" s="3" t="s">
        <v>149</v>
      </c>
      <c r="BH43" s="3" t="s">
        <v>444</v>
      </c>
      <c r="BI43" s="3" t="s">
        <v>445</v>
      </c>
      <c r="BJ43" s="3" t="s">
        <v>446</v>
      </c>
      <c r="BK43" s="3" t="s">
        <v>447</v>
      </c>
      <c r="BL43" s="3" t="s">
        <v>448</v>
      </c>
      <c r="BM43" s="3" t="s">
        <v>449</v>
      </c>
    </row>
    <row r="44" spans="1:65">
      <c r="B44" s="41" t="s">
        <v>514</v>
      </c>
      <c r="C44" s="41" t="s">
        <v>355</v>
      </c>
      <c r="D44" s="40"/>
      <c r="E44" s="40"/>
      <c r="F44" s="29"/>
      <c r="G44" s="22">
        <v>0.08</v>
      </c>
      <c r="H44" s="23">
        <v>0.75</v>
      </c>
      <c r="I44" s="75">
        <f>D44*G44*H44</f>
        <v>0</v>
      </c>
      <c r="J44" s="172"/>
      <c r="L44" s="41" t="s">
        <v>514</v>
      </c>
      <c r="M44" s="41" t="s">
        <v>355</v>
      </c>
      <c r="N44" s="40"/>
      <c r="O44" s="40"/>
      <c r="P44" s="29"/>
      <c r="Q44" s="22">
        <v>0.08</v>
      </c>
      <c r="R44" s="23">
        <v>0.75</v>
      </c>
      <c r="S44" s="6">
        <f>N44*Q44*R44</f>
        <v>0</v>
      </c>
      <c r="T44" s="172"/>
      <c r="V44" s="41" t="s">
        <v>514</v>
      </c>
      <c r="W44" s="41" t="s">
        <v>355</v>
      </c>
      <c r="X44" s="40"/>
      <c r="Y44" s="40"/>
      <c r="Z44" s="29"/>
      <c r="AA44" s="22">
        <v>0.08</v>
      </c>
      <c r="AB44" s="23">
        <v>0.75</v>
      </c>
      <c r="AC44" s="6">
        <f>X44*AA44*AB44</f>
        <v>0</v>
      </c>
      <c r="AE44" s="41" t="s">
        <v>514</v>
      </c>
      <c r="AF44" s="41" t="s">
        <v>355</v>
      </c>
      <c r="AG44" s="40"/>
      <c r="AH44" s="40"/>
      <c r="AI44" s="29"/>
      <c r="AJ44" s="22">
        <v>0.08</v>
      </c>
      <c r="AK44" s="23">
        <v>0.75</v>
      </c>
      <c r="AL44" s="6">
        <f>AG44*AJ44*AK44</f>
        <v>0</v>
      </c>
      <c r="AN44" s="41" t="s">
        <v>514</v>
      </c>
      <c r="AO44" s="41" t="s">
        <v>355</v>
      </c>
      <c r="AP44" s="40"/>
      <c r="AQ44" s="40"/>
      <c r="AR44" s="29"/>
      <c r="AS44" s="22">
        <v>0.08</v>
      </c>
      <c r="AT44" s="23">
        <v>0.75</v>
      </c>
      <c r="AU44" s="6">
        <f>AP44*AS44*AT44</f>
        <v>0</v>
      </c>
      <c r="AW44" s="41" t="s">
        <v>514</v>
      </c>
      <c r="AX44" s="41" t="s">
        <v>355</v>
      </c>
      <c r="AY44" s="40"/>
      <c r="AZ44" s="40"/>
      <c r="BA44" s="29"/>
      <c r="BB44" s="22">
        <v>0.08</v>
      </c>
      <c r="BC44" s="23">
        <v>0.75</v>
      </c>
      <c r="BD44" s="6">
        <f>AY44*BB44*BC44</f>
        <v>0</v>
      </c>
      <c r="BF44" s="41" t="s">
        <v>514</v>
      </c>
      <c r="BG44" s="41" t="s">
        <v>355</v>
      </c>
      <c r="BH44" s="40"/>
      <c r="BI44" s="40"/>
      <c r="BJ44" s="29"/>
      <c r="BK44" s="22">
        <v>0.08</v>
      </c>
      <c r="BL44" s="23">
        <v>0.75</v>
      </c>
      <c r="BM44" s="6">
        <f>BH44*BK44*BL44</f>
        <v>0</v>
      </c>
    </row>
    <row r="45" spans="1:65">
      <c r="B45" s="41" t="s">
        <v>514</v>
      </c>
      <c r="C45" s="41" t="s">
        <v>355</v>
      </c>
      <c r="D45" s="40"/>
      <c r="E45" s="40"/>
      <c r="F45" s="29"/>
      <c r="G45" s="22"/>
      <c r="H45" s="23">
        <v>0.75</v>
      </c>
      <c r="I45" s="75">
        <f t="shared" ref="I45:I58" si="64">D45*G45*H45</f>
        <v>0</v>
      </c>
      <c r="J45" s="172"/>
      <c r="L45" s="41" t="s">
        <v>514</v>
      </c>
      <c r="M45" s="41" t="s">
        <v>355</v>
      </c>
      <c r="N45" s="40"/>
      <c r="O45" s="40"/>
      <c r="P45" s="29"/>
      <c r="Q45" s="22">
        <v>0.08</v>
      </c>
      <c r="R45" s="23">
        <v>0.75</v>
      </c>
      <c r="S45" s="6">
        <f t="shared" ref="S45:S58" si="65">N45*Q45*R45</f>
        <v>0</v>
      </c>
      <c r="T45" s="172"/>
      <c r="V45" s="41" t="s">
        <v>514</v>
      </c>
      <c r="W45" s="41" t="s">
        <v>355</v>
      </c>
      <c r="X45" s="40"/>
      <c r="Y45" s="40"/>
      <c r="Z45" s="29"/>
      <c r="AA45" s="22"/>
      <c r="AB45" s="23">
        <v>0.75</v>
      </c>
      <c r="AC45" s="6">
        <f t="shared" ref="AC45:AC58" si="66">X45*AA45*AB45</f>
        <v>0</v>
      </c>
      <c r="AE45" s="41" t="s">
        <v>514</v>
      </c>
      <c r="AF45" s="41" t="s">
        <v>355</v>
      </c>
      <c r="AG45" s="40"/>
      <c r="AH45" s="40"/>
      <c r="AI45" s="29"/>
      <c r="AJ45" s="22"/>
      <c r="AK45" s="23">
        <v>0.75</v>
      </c>
      <c r="AL45" s="6">
        <f t="shared" ref="AL45:AL58" si="67">AG45*AJ45*AK45</f>
        <v>0</v>
      </c>
      <c r="AN45" s="41" t="s">
        <v>514</v>
      </c>
      <c r="AO45" s="41" t="s">
        <v>355</v>
      </c>
      <c r="AP45" s="40"/>
      <c r="AQ45" s="40"/>
      <c r="AR45" s="29"/>
      <c r="AS45" s="22"/>
      <c r="AT45" s="23">
        <v>0.75</v>
      </c>
      <c r="AU45" s="6">
        <f t="shared" ref="AU45:AU58" si="68">AP45*AS45*AT45</f>
        <v>0</v>
      </c>
      <c r="AW45" s="41" t="s">
        <v>514</v>
      </c>
      <c r="AX45" s="41" t="s">
        <v>355</v>
      </c>
      <c r="AY45" s="40"/>
      <c r="AZ45" s="40"/>
      <c r="BA45" s="29"/>
      <c r="BB45" s="22"/>
      <c r="BC45" s="23">
        <v>0.75</v>
      </c>
      <c r="BD45" s="6">
        <f t="shared" ref="BD45:BD58" si="69">AY45*BB45*BC45</f>
        <v>0</v>
      </c>
      <c r="BF45" s="41" t="s">
        <v>514</v>
      </c>
      <c r="BG45" s="41" t="s">
        <v>355</v>
      </c>
      <c r="BH45" s="40"/>
      <c r="BI45" s="40"/>
      <c r="BJ45" s="29"/>
      <c r="BK45" s="22"/>
      <c r="BL45" s="23">
        <v>0.75</v>
      </c>
      <c r="BM45" s="6">
        <f t="shared" ref="BM45:BM58" si="70">BH45*BK45*BL45</f>
        <v>0</v>
      </c>
    </row>
    <row r="46" spans="1:65">
      <c r="B46" s="41" t="s">
        <v>514</v>
      </c>
      <c r="C46" s="41" t="s">
        <v>355</v>
      </c>
      <c r="D46" s="40"/>
      <c r="E46" s="40"/>
      <c r="F46" s="29"/>
      <c r="G46" s="22"/>
      <c r="H46" s="23">
        <v>0.75</v>
      </c>
      <c r="I46" s="75">
        <f t="shared" si="64"/>
        <v>0</v>
      </c>
      <c r="J46" s="172"/>
      <c r="L46" s="41" t="s">
        <v>514</v>
      </c>
      <c r="M46" s="41" t="s">
        <v>355</v>
      </c>
      <c r="N46" s="40"/>
      <c r="O46" s="40"/>
      <c r="P46" s="29"/>
      <c r="Q46" s="22"/>
      <c r="R46" s="23">
        <v>0.75</v>
      </c>
      <c r="S46" s="6">
        <f t="shared" si="65"/>
        <v>0</v>
      </c>
      <c r="T46" s="172"/>
      <c r="V46" s="41" t="s">
        <v>514</v>
      </c>
      <c r="W46" s="41" t="s">
        <v>355</v>
      </c>
      <c r="X46" s="40"/>
      <c r="Y46" s="40"/>
      <c r="Z46" s="29"/>
      <c r="AA46" s="22"/>
      <c r="AB46" s="23">
        <v>0.75</v>
      </c>
      <c r="AC46" s="6">
        <f t="shared" si="66"/>
        <v>0</v>
      </c>
      <c r="AE46" s="41" t="s">
        <v>514</v>
      </c>
      <c r="AF46" s="41" t="s">
        <v>355</v>
      </c>
      <c r="AG46" s="40"/>
      <c r="AH46" s="40"/>
      <c r="AI46" s="29"/>
      <c r="AJ46" s="22"/>
      <c r="AK46" s="23">
        <v>0.75</v>
      </c>
      <c r="AL46" s="6">
        <f t="shared" si="67"/>
        <v>0</v>
      </c>
      <c r="AN46" s="41" t="s">
        <v>514</v>
      </c>
      <c r="AO46" s="41" t="s">
        <v>355</v>
      </c>
      <c r="AP46" s="40"/>
      <c r="AQ46" s="40"/>
      <c r="AR46" s="29"/>
      <c r="AS46" s="22"/>
      <c r="AT46" s="23">
        <v>0.75</v>
      </c>
      <c r="AU46" s="6">
        <f t="shared" si="68"/>
        <v>0</v>
      </c>
      <c r="AW46" s="41" t="s">
        <v>514</v>
      </c>
      <c r="AX46" s="41" t="s">
        <v>355</v>
      </c>
      <c r="AY46" s="40"/>
      <c r="AZ46" s="40"/>
      <c r="BA46" s="29"/>
      <c r="BB46" s="22"/>
      <c r="BC46" s="23">
        <v>0.75</v>
      </c>
      <c r="BD46" s="6">
        <f t="shared" si="69"/>
        <v>0</v>
      </c>
      <c r="BF46" s="41" t="s">
        <v>514</v>
      </c>
      <c r="BG46" s="41" t="s">
        <v>355</v>
      </c>
      <c r="BH46" s="40"/>
      <c r="BI46" s="40"/>
      <c r="BJ46" s="29"/>
      <c r="BK46" s="22"/>
      <c r="BL46" s="23">
        <v>0.75</v>
      </c>
      <c r="BM46" s="6">
        <f t="shared" si="70"/>
        <v>0</v>
      </c>
    </row>
    <row r="47" spans="1:65">
      <c r="B47" s="41" t="s">
        <v>514</v>
      </c>
      <c r="C47" s="41" t="s">
        <v>355</v>
      </c>
      <c r="D47" s="40"/>
      <c r="E47" s="40"/>
      <c r="F47" s="29"/>
      <c r="G47" s="22"/>
      <c r="H47" s="23">
        <v>0.75</v>
      </c>
      <c r="I47" s="75">
        <f t="shared" si="64"/>
        <v>0</v>
      </c>
      <c r="J47" s="172"/>
      <c r="L47" s="41" t="s">
        <v>514</v>
      </c>
      <c r="M47" s="41" t="s">
        <v>355</v>
      </c>
      <c r="N47" s="40"/>
      <c r="O47" s="40"/>
      <c r="P47" s="29"/>
      <c r="Q47" s="22"/>
      <c r="R47" s="23">
        <v>0.75</v>
      </c>
      <c r="S47" s="6">
        <f t="shared" si="65"/>
        <v>0</v>
      </c>
      <c r="T47" s="172"/>
      <c r="V47" s="41" t="s">
        <v>514</v>
      </c>
      <c r="W47" s="41" t="s">
        <v>355</v>
      </c>
      <c r="X47" s="40"/>
      <c r="Y47" s="40"/>
      <c r="Z47" s="29"/>
      <c r="AA47" s="22"/>
      <c r="AB47" s="23">
        <v>0.75</v>
      </c>
      <c r="AC47" s="6">
        <f t="shared" si="66"/>
        <v>0</v>
      </c>
      <c r="AE47" s="41" t="s">
        <v>514</v>
      </c>
      <c r="AF47" s="41" t="s">
        <v>355</v>
      </c>
      <c r="AG47" s="40"/>
      <c r="AH47" s="40"/>
      <c r="AI47" s="29"/>
      <c r="AJ47" s="22"/>
      <c r="AK47" s="23">
        <v>0.75</v>
      </c>
      <c r="AL47" s="6">
        <f t="shared" si="67"/>
        <v>0</v>
      </c>
      <c r="AN47" s="41" t="s">
        <v>514</v>
      </c>
      <c r="AO47" s="41" t="s">
        <v>355</v>
      </c>
      <c r="AP47" s="40"/>
      <c r="AQ47" s="40"/>
      <c r="AR47" s="29"/>
      <c r="AS47" s="22"/>
      <c r="AT47" s="23">
        <v>0.75</v>
      </c>
      <c r="AU47" s="6">
        <f t="shared" si="68"/>
        <v>0</v>
      </c>
      <c r="AW47" s="41" t="s">
        <v>514</v>
      </c>
      <c r="AX47" s="41" t="s">
        <v>355</v>
      </c>
      <c r="AY47" s="40"/>
      <c r="AZ47" s="40"/>
      <c r="BA47" s="29"/>
      <c r="BB47" s="22"/>
      <c r="BC47" s="23">
        <v>0.75</v>
      </c>
      <c r="BD47" s="6">
        <f t="shared" si="69"/>
        <v>0</v>
      </c>
      <c r="BF47" s="41" t="s">
        <v>514</v>
      </c>
      <c r="BG47" s="41" t="s">
        <v>355</v>
      </c>
      <c r="BH47" s="40"/>
      <c r="BI47" s="40"/>
      <c r="BJ47" s="29"/>
      <c r="BK47" s="22"/>
      <c r="BL47" s="23">
        <v>0.75</v>
      </c>
      <c r="BM47" s="6">
        <f t="shared" si="70"/>
        <v>0</v>
      </c>
    </row>
    <row r="48" spans="1:65">
      <c r="B48" s="41" t="s">
        <v>514</v>
      </c>
      <c r="C48" s="41" t="s">
        <v>355</v>
      </c>
      <c r="D48" s="40"/>
      <c r="E48" s="40"/>
      <c r="F48" s="29"/>
      <c r="G48" s="22"/>
      <c r="H48" s="23">
        <v>0.75</v>
      </c>
      <c r="I48" s="75">
        <f t="shared" si="64"/>
        <v>0</v>
      </c>
      <c r="J48" s="172"/>
      <c r="L48" s="41" t="s">
        <v>514</v>
      </c>
      <c r="M48" s="41" t="s">
        <v>355</v>
      </c>
      <c r="N48" s="40"/>
      <c r="O48" s="40"/>
      <c r="P48" s="29"/>
      <c r="Q48" s="22"/>
      <c r="R48" s="23">
        <v>0.75</v>
      </c>
      <c r="S48" s="6">
        <f t="shared" si="65"/>
        <v>0</v>
      </c>
      <c r="T48" s="172"/>
      <c r="V48" s="41" t="s">
        <v>514</v>
      </c>
      <c r="W48" s="41" t="s">
        <v>355</v>
      </c>
      <c r="X48" s="40"/>
      <c r="Y48" s="40"/>
      <c r="Z48" s="29"/>
      <c r="AA48" s="22"/>
      <c r="AB48" s="23">
        <v>0.75</v>
      </c>
      <c r="AC48" s="6">
        <f t="shared" si="66"/>
        <v>0</v>
      </c>
      <c r="AE48" s="41" t="s">
        <v>514</v>
      </c>
      <c r="AF48" s="41" t="s">
        <v>355</v>
      </c>
      <c r="AG48" s="40"/>
      <c r="AH48" s="40"/>
      <c r="AI48" s="29"/>
      <c r="AJ48" s="22"/>
      <c r="AK48" s="23">
        <v>0.75</v>
      </c>
      <c r="AL48" s="6">
        <f t="shared" si="67"/>
        <v>0</v>
      </c>
      <c r="AN48" s="41" t="s">
        <v>514</v>
      </c>
      <c r="AO48" s="41" t="s">
        <v>355</v>
      </c>
      <c r="AP48" s="40"/>
      <c r="AQ48" s="40"/>
      <c r="AR48" s="29"/>
      <c r="AS48" s="22"/>
      <c r="AT48" s="23">
        <v>0.75</v>
      </c>
      <c r="AU48" s="6">
        <f t="shared" si="68"/>
        <v>0</v>
      </c>
      <c r="AW48" s="41" t="s">
        <v>514</v>
      </c>
      <c r="AX48" s="41" t="s">
        <v>355</v>
      </c>
      <c r="AY48" s="40"/>
      <c r="AZ48" s="40"/>
      <c r="BA48" s="29"/>
      <c r="BB48" s="22"/>
      <c r="BC48" s="23">
        <v>0.75</v>
      </c>
      <c r="BD48" s="6">
        <f t="shared" si="69"/>
        <v>0</v>
      </c>
      <c r="BF48" s="41" t="s">
        <v>514</v>
      </c>
      <c r="BG48" s="41" t="s">
        <v>355</v>
      </c>
      <c r="BH48" s="40"/>
      <c r="BI48" s="40"/>
      <c r="BJ48" s="29"/>
      <c r="BK48" s="22"/>
      <c r="BL48" s="23">
        <v>0.75</v>
      </c>
      <c r="BM48" s="6">
        <f t="shared" si="70"/>
        <v>0</v>
      </c>
    </row>
    <row r="49" spans="2:65">
      <c r="B49" s="41" t="s">
        <v>514</v>
      </c>
      <c r="C49" s="41" t="s">
        <v>355</v>
      </c>
      <c r="D49" s="40"/>
      <c r="E49" s="40"/>
      <c r="F49" s="29"/>
      <c r="G49" s="22"/>
      <c r="H49" s="23">
        <v>0.75</v>
      </c>
      <c r="I49" s="75">
        <f t="shared" si="64"/>
        <v>0</v>
      </c>
      <c r="J49" s="172"/>
      <c r="L49" s="41" t="s">
        <v>514</v>
      </c>
      <c r="M49" s="41" t="s">
        <v>355</v>
      </c>
      <c r="N49" s="40"/>
      <c r="O49" s="40"/>
      <c r="P49" s="29"/>
      <c r="Q49" s="22"/>
      <c r="R49" s="23">
        <v>0.75</v>
      </c>
      <c r="S49" s="6">
        <f t="shared" si="65"/>
        <v>0</v>
      </c>
      <c r="T49" s="172"/>
      <c r="V49" s="41" t="s">
        <v>514</v>
      </c>
      <c r="W49" s="41" t="s">
        <v>355</v>
      </c>
      <c r="X49" s="40"/>
      <c r="Y49" s="40"/>
      <c r="Z49" s="29"/>
      <c r="AA49" s="22"/>
      <c r="AB49" s="23">
        <v>0.75</v>
      </c>
      <c r="AC49" s="6">
        <f t="shared" si="66"/>
        <v>0</v>
      </c>
      <c r="AE49" s="41" t="s">
        <v>514</v>
      </c>
      <c r="AF49" s="41" t="s">
        <v>355</v>
      </c>
      <c r="AG49" s="40"/>
      <c r="AH49" s="40"/>
      <c r="AI49" s="29"/>
      <c r="AJ49" s="22"/>
      <c r="AK49" s="23">
        <v>0.75</v>
      </c>
      <c r="AL49" s="6">
        <f t="shared" si="67"/>
        <v>0</v>
      </c>
      <c r="AN49" s="41" t="s">
        <v>514</v>
      </c>
      <c r="AO49" s="41" t="s">
        <v>355</v>
      </c>
      <c r="AP49" s="40"/>
      <c r="AQ49" s="40"/>
      <c r="AR49" s="29"/>
      <c r="AS49" s="22"/>
      <c r="AT49" s="23">
        <v>0.75</v>
      </c>
      <c r="AU49" s="6">
        <f t="shared" si="68"/>
        <v>0</v>
      </c>
      <c r="AW49" s="41" t="s">
        <v>514</v>
      </c>
      <c r="AX49" s="41" t="s">
        <v>355</v>
      </c>
      <c r="AY49" s="40"/>
      <c r="AZ49" s="40"/>
      <c r="BA49" s="29"/>
      <c r="BB49" s="22"/>
      <c r="BC49" s="23">
        <v>0.75</v>
      </c>
      <c r="BD49" s="6">
        <f t="shared" si="69"/>
        <v>0</v>
      </c>
      <c r="BF49" s="41" t="s">
        <v>514</v>
      </c>
      <c r="BG49" s="41" t="s">
        <v>355</v>
      </c>
      <c r="BH49" s="40"/>
      <c r="BI49" s="40"/>
      <c r="BJ49" s="29"/>
      <c r="BK49" s="22"/>
      <c r="BL49" s="23">
        <v>0.75</v>
      </c>
      <c r="BM49" s="6">
        <f t="shared" si="70"/>
        <v>0</v>
      </c>
    </row>
    <row r="50" spans="2:65">
      <c r="B50" s="41" t="s">
        <v>514</v>
      </c>
      <c r="C50" s="41" t="s">
        <v>355</v>
      </c>
      <c r="D50" s="40"/>
      <c r="E50" s="40"/>
      <c r="F50" s="29"/>
      <c r="G50" s="22"/>
      <c r="H50" s="23">
        <v>0.75</v>
      </c>
      <c r="I50" s="75">
        <f t="shared" si="64"/>
        <v>0</v>
      </c>
      <c r="J50" s="172"/>
      <c r="L50" s="41" t="s">
        <v>514</v>
      </c>
      <c r="M50" s="41" t="s">
        <v>355</v>
      </c>
      <c r="N50" s="40"/>
      <c r="O50" s="40"/>
      <c r="P50" s="29"/>
      <c r="Q50" s="22"/>
      <c r="R50" s="23">
        <v>0.75</v>
      </c>
      <c r="S50" s="6">
        <f t="shared" si="65"/>
        <v>0</v>
      </c>
      <c r="T50" s="172"/>
      <c r="V50" s="41" t="s">
        <v>514</v>
      </c>
      <c r="W50" s="41" t="s">
        <v>355</v>
      </c>
      <c r="X50" s="40"/>
      <c r="Y50" s="40"/>
      <c r="Z50" s="29"/>
      <c r="AA50" s="22"/>
      <c r="AB50" s="23">
        <v>0.75</v>
      </c>
      <c r="AC50" s="6">
        <f t="shared" si="66"/>
        <v>0</v>
      </c>
      <c r="AE50" s="41" t="s">
        <v>514</v>
      </c>
      <c r="AF50" s="41" t="s">
        <v>355</v>
      </c>
      <c r="AG50" s="40"/>
      <c r="AH50" s="40"/>
      <c r="AI50" s="29"/>
      <c r="AJ50" s="22"/>
      <c r="AK50" s="23">
        <v>0.75</v>
      </c>
      <c r="AL50" s="6">
        <f t="shared" si="67"/>
        <v>0</v>
      </c>
      <c r="AN50" s="41" t="s">
        <v>514</v>
      </c>
      <c r="AO50" s="41" t="s">
        <v>355</v>
      </c>
      <c r="AP50" s="40"/>
      <c r="AQ50" s="40"/>
      <c r="AR50" s="29"/>
      <c r="AS50" s="22"/>
      <c r="AT50" s="23">
        <v>0.75</v>
      </c>
      <c r="AU50" s="6">
        <f t="shared" si="68"/>
        <v>0</v>
      </c>
      <c r="AW50" s="41" t="s">
        <v>514</v>
      </c>
      <c r="AX50" s="41" t="s">
        <v>355</v>
      </c>
      <c r="AY50" s="40"/>
      <c r="AZ50" s="40"/>
      <c r="BA50" s="29"/>
      <c r="BB50" s="22"/>
      <c r="BC50" s="23">
        <v>0.75</v>
      </c>
      <c r="BD50" s="6">
        <f t="shared" si="69"/>
        <v>0</v>
      </c>
      <c r="BF50" s="41" t="s">
        <v>514</v>
      </c>
      <c r="BG50" s="41" t="s">
        <v>355</v>
      </c>
      <c r="BH50" s="40"/>
      <c r="BI50" s="40"/>
      <c r="BJ50" s="29"/>
      <c r="BK50" s="22"/>
      <c r="BL50" s="23">
        <v>0.75</v>
      </c>
      <c r="BM50" s="6">
        <f t="shared" si="70"/>
        <v>0</v>
      </c>
    </row>
    <row r="51" spans="2:65" outlineLevel="1">
      <c r="B51" s="41" t="s">
        <v>514</v>
      </c>
      <c r="C51" s="41" t="s">
        <v>355</v>
      </c>
      <c r="D51" s="40"/>
      <c r="E51" s="40"/>
      <c r="F51" s="29"/>
      <c r="G51" s="22"/>
      <c r="H51" s="23">
        <v>0.75</v>
      </c>
      <c r="I51" s="75">
        <f t="shared" si="64"/>
        <v>0</v>
      </c>
      <c r="J51" s="172"/>
      <c r="L51" s="41" t="s">
        <v>514</v>
      </c>
      <c r="M51" s="41" t="s">
        <v>355</v>
      </c>
      <c r="N51" s="40"/>
      <c r="O51" s="40"/>
      <c r="P51" s="29"/>
      <c r="Q51" s="22"/>
      <c r="R51" s="23">
        <v>0.75</v>
      </c>
      <c r="S51" s="6">
        <f t="shared" si="65"/>
        <v>0</v>
      </c>
      <c r="T51" s="172"/>
      <c r="V51" s="41" t="s">
        <v>514</v>
      </c>
      <c r="W51" s="41" t="s">
        <v>355</v>
      </c>
      <c r="X51" s="40"/>
      <c r="Y51" s="40"/>
      <c r="Z51" s="29"/>
      <c r="AA51" s="22"/>
      <c r="AB51" s="23">
        <v>0.75</v>
      </c>
      <c r="AC51" s="6">
        <f t="shared" si="66"/>
        <v>0</v>
      </c>
      <c r="AE51" s="41" t="s">
        <v>514</v>
      </c>
      <c r="AF51" s="41" t="s">
        <v>355</v>
      </c>
      <c r="AG51" s="40"/>
      <c r="AH51" s="40"/>
      <c r="AI51" s="29"/>
      <c r="AJ51" s="22"/>
      <c r="AK51" s="23">
        <v>0.75</v>
      </c>
      <c r="AL51" s="6">
        <f t="shared" si="67"/>
        <v>0</v>
      </c>
      <c r="AN51" s="41" t="s">
        <v>514</v>
      </c>
      <c r="AO51" s="41" t="s">
        <v>355</v>
      </c>
      <c r="AP51" s="40"/>
      <c r="AQ51" s="40"/>
      <c r="AR51" s="29"/>
      <c r="AS51" s="22"/>
      <c r="AT51" s="23">
        <v>0.75</v>
      </c>
      <c r="AU51" s="6">
        <f t="shared" si="68"/>
        <v>0</v>
      </c>
      <c r="AW51" s="41" t="s">
        <v>514</v>
      </c>
      <c r="AX51" s="41" t="s">
        <v>355</v>
      </c>
      <c r="AY51" s="40"/>
      <c r="AZ51" s="40"/>
      <c r="BA51" s="29"/>
      <c r="BB51" s="22"/>
      <c r="BC51" s="23">
        <v>0.75</v>
      </c>
      <c r="BD51" s="6">
        <f t="shared" si="69"/>
        <v>0</v>
      </c>
      <c r="BF51" s="41" t="s">
        <v>514</v>
      </c>
      <c r="BG51" s="41" t="s">
        <v>355</v>
      </c>
      <c r="BH51" s="40"/>
      <c r="BI51" s="40"/>
      <c r="BJ51" s="29"/>
      <c r="BK51" s="22"/>
      <c r="BL51" s="23">
        <v>0.75</v>
      </c>
      <c r="BM51" s="6">
        <f t="shared" si="70"/>
        <v>0</v>
      </c>
    </row>
    <row r="52" spans="2:65" outlineLevel="1">
      <c r="B52" s="41" t="s">
        <v>514</v>
      </c>
      <c r="C52" s="41" t="s">
        <v>355</v>
      </c>
      <c r="D52" s="40"/>
      <c r="E52" s="40"/>
      <c r="F52" s="29"/>
      <c r="G52" s="22"/>
      <c r="H52" s="23">
        <v>0.75</v>
      </c>
      <c r="I52" s="75">
        <f t="shared" si="64"/>
        <v>0</v>
      </c>
      <c r="J52" s="172"/>
      <c r="L52" s="41" t="s">
        <v>514</v>
      </c>
      <c r="M52" s="41" t="s">
        <v>355</v>
      </c>
      <c r="N52" s="40"/>
      <c r="O52" s="40"/>
      <c r="P52" s="29"/>
      <c r="Q52" s="22"/>
      <c r="R52" s="23">
        <v>0.75</v>
      </c>
      <c r="S52" s="6">
        <f t="shared" si="65"/>
        <v>0</v>
      </c>
      <c r="T52" s="172"/>
      <c r="V52" s="41" t="s">
        <v>514</v>
      </c>
      <c r="W52" s="41" t="s">
        <v>355</v>
      </c>
      <c r="X52" s="40"/>
      <c r="Y52" s="40"/>
      <c r="Z52" s="29"/>
      <c r="AA52" s="22"/>
      <c r="AB52" s="23">
        <v>0.75</v>
      </c>
      <c r="AC52" s="6">
        <f t="shared" si="66"/>
        <v>0</v>
      </c>
      <c r="AE52" s="41" t="s">
        <v>514</v>
      </c>
      <c r="AF52" s="41" t="s">
        <v>355</v>
      </c>
      <c r="AG52" s="40"/>
      <c r="AH52" s="40"/>
      <c r="AI52" s="29"/>
      <c r="AJ52" s="22"/>
      <c r="AK52" s="23">
        <v>0.75</v>
      </c>
      <c r="AL52" s="6">
        <f t="shared" si="67"/>
        <v>0</v>
      </c>
      <c r="AN52" s="41" t="s">
        <v>514</v>
      </c>
      <c r="AO52" s="41" t="s">
        <v>355</v>
      </c>
      <c r="AP52" s="40"/>
      <c r="AQ52" s="40"/>
      <c r="AR52" s="29"/>
      <c r="AS52" s="22"/>
      <c r="AT52" s="23">
        <v>0.75</v>
      </c>
      <c r="AU52" s="6">
        <f t="shared" si="68"/>
        <v>0</v>
      </c>
      <c r="AW52" s="41" t="s">
        <v>514</v>
      </c>
      <c r="AX52" s="41" t="s">
        <v>355</v>
      </c>
      <c r="AY52" s="40"/>
      <c r="AZ52" s="40"/>
      <c r="BA52" s="29"/>
      <c r="BB52" s="22"/>
      <c r="BC52" s="23">
        <v>0.75</v>
      </c>
      <c r="BD52" s="6">
        <f t="shared" si="69"/>
        <v>0</v>
      </c>
      <c r="BF52" s="41" t="s">
        <v>514</v>
      </c>
      <c r="BG52" s="41" t="s">
        <v>355</v>
      </c>
      <c r="BH52" s="40"/>
      <c r="BI52" s="40"/>
      <c r="BJ52" s="29"/>
      <c r="BK52" s="22"/>
      <c r="BL52" s="23">
        <v>0.75</v>
      </c>
      <c r="BM52" s="6">
        <f t="shared" si="70"/>
        <v>0</v>
      </c>
    </row>
    <row r="53" spans="2:65" outlineLevel="1">
      <c r="B53" s="41" t="s">
        <v>514</v>
      </c>
      <c r="C53" s="41" t="s">
        <v>355</v>
      </c>
      <c r="D53" s="40"/>
      <c r="E53" s="40"/>
      <c r="F53" s="29"/>
      <c r="G53" s="22"/>
      <c r="H53" s="23">
        <v>0.75</v>
      </c>
      <c r="I53" s="75">
        <f t="shared" si="64"/>
        <v>0</v>
      </c>
      <c r="J53" s="172"/>
      <c r="L53" s="41" t="s">
        <v>514</v>
      </c>
      <c r="M53" s="41" t="s">
        <v>355</v>
      </c>
      <c r="N53" s="40"/>
      <c r="O53" s="40"/>
      <c r="P53" s="29"/>
      <c r="Q53" s="22"/>
      <c r="R53" s="23">
        <v>0.75</v>
      </c>
      <c r="S53" s="6">
        <f t="shared" si="65"/>
        <v>0</v>
      </c>
      <c r="T53" s="172"/>
      <c r="V53" s="41" t="s">
        <v>514</v>
      </c>
      <c r="W53" s="41" t="s">
        <v>355</v>
      </c>
      <c r="X53" s="40"/>
      <c r="Y53" s="40"/>
      <c r="Z53" s="29"/>
      <c r="AA53" s="22"/>
      <c r="AB53" s="23">
        <v>0.75</v>
      </c>
      <c r="AC53" s="6">
        <f t="shared" si="66"/>
        <v>0</v>
      </c>
      <c r="AE53" s="41" t="s">
        <v>514</v>
      </c>
      <c r="AF53" s="41" t="s">
        <v>355</v>
      </c>
      <c r="AG53" s="40"/>
      <c r="AH53" s="40"/>
      <c r="AI53" s="29"/>
      <c r="AJ53" s="22"/>
      <c r="AK53" s="23">
        <v>0.75</v>
      </c>
      <c r="AL53" s="6">
        <f t="shared" si="67"/>
        <v>0</v>
      </c>
      <c r="AN53" s="41" t="s">
        <v>514</v>
      </c>
      <c r="AO53" s="41" t="s">
        <v>355</v>
      </c>
      <c r="AP53" s="40"/>
      <c r="AQ53" s="40"/>
      <c r="AR53" s="29"/>
      <c r="AS53" s="22"/>
      <c r="AT53" s="23">
        <v>0.75</v>
      </c>
      <c r="AU53" s="6">
        <f t="shared" si="68"/>
        <v>0</v>
      </c>
      <c r="AW53" s="41" t="s">
        <v>514</v>
      </c>
      <c r="AX53" s="41" t="s">
        <v>355</v>
      </c>
      <c r="AY53" s="40"/>
      <c r="AZ53" s="40"/>
      <c r="BA53" s="29"/>
      <c r="BB53" s="22"/>
      <c r="BC53" s="23">
        <v>0.75</v>
      </c>
      <c r="BD53" s="6">
        <f t="shared" si="69"/>
        <v>0</v>
      </c>
      <c r="BF53" s="41" t="s">
        <v>514</v>
      </c>
      <c r="BG53" s="41" t="s">
        <v>355</v>
      </c>
      <c r="BH53" s="40"/>
      <c r="BI53" s="40"/>
      <c r="BJ53" s="29"/>
      <c r="BK53" s="22"/>
      <c r="BL53" s="23">
        <v>0.75</v>
      </c>
      <c r="BM53" s="6">
        <f t="shared" si="70"/>
        <v>0</v>
      </c>
    </row>
    <row r="54" spans="2:65" outlineLevel="1">
      <c r="B54" s="41" t="s">
        <v>514</v>
      </c>
      <c r="C54" s="41" t="s">
        <v>355</v>
      </c>
      <c r="D54" s="40"/>
      <c r="E54" s="40"/>
      <c r="F54" s="29"/>
      <c r="G54" s="22"/>
      <c r="H54" s="23">
        <v>0.75</v>
      </c>
      <c r="I54" s="75">
        <f t="shared" si="64"/>
        <v>0</v>
      </c>
      <c r="J54" s="172"/>
      <c r="L54" s="41" t="s">
        <v>514</v>
      </c>
      <c r="M54" s="41" t="s">
        <v>355</v>
      </c>
      <c r="N54" s="40"/>
      <c r="O54" s="40"/>
      <c r="P54" s="29"/>
      <c r="Q54" s="22"/>
      <c r="R54" s="23">
        <v>0.75</v>
      </c>
      <c r="S54" s="6">
        <f t="shared" si="65"/>
        <v>0</v>
      </c>
      <c r="T54" s="172"/>
      <c r="V54" s="41" t="s">
        <v>514</v>
      </c>
      <c r="W54" s="41" t="s">
        <v>355</v>
      </c>
      <c r="X54" s="40"/>
      <c r="Y54" s="40"/>
      <c r="Z54" s="29"/>
      <c r="AA54" s="22"/>
      <c r="AB54" s="23">
        <v>0.75</v>
      </c>
      <c r="AC54" s="6">
        <f t="shared" si="66"/>
        <v>0</v>
      </c>
      <c r="AE54" s="41" t="s">
        <v>514</v>
      </c>
      <c r="AF54" s="41" t="s">
        <v>355</v>
      </c>
      <c r="AG54" s="40"/>
      <c r="AH54" s="40"/>
      <c r="AI54" s="29"/>
      <c r="AJ54" s="22"/>
      <c r="AK54" s="23">
        <v>0.75</v>
      </c>
      <c r="AL54" s="6">
        <f t="shared" si="67"/>
        <v>0</v>
      </c>
      <c r="AN54" s="41" t="s">
        <v>514</v>
      </c>
      <c r="AO54" s="41" t="s">
        <v>355</v>
      </c>
      <c r="AP54" s="40"/>
      <c r="AQ54" s="40"/>
      <c r="AR54" s="29"/>
      <c r="AS54" s="22"/>
      <c r="AT54" s="23">
        <v>0.75</v>
      </c>
      <c r="AU54" s="6">
        <f t="shared" si="68"/>
        <v>0</v>
      </c>
      <c r="AW54" s="41" t="s">
        <v>514</v>
      </c>
      <c r="AX54" s="41" t="s">
        <v>355</v>
      </c>
      <c r="AY54" s="40"/>
      <c r="AZ54" s="40"/>
      <c r="BA54" s="29"/>
      <c r="BB54" s="22"/>
      <c r="BC54" s="23">
        <v>0.75</v>
      </c>
      <c r="BD54" s="6">
        <f t="shared" si="69"/>
        <v>0</v>
      </c>
      <c r="BF54" s="41" t="s">
        <v>514</v>
      </c>
      <c r="BG54" s="41" t="s">
        <v>355</v>
      </c>
      <c r="BH54" s="40"/>
      <c r="BI54" s="40"/>
      <c r="BJ54" s="29"/>
      <c r="BK54" s="22"/>
      <c r="BL54" s="23">
        <v>0.75</v>
      </c>
      <c r="BM54" s="6">
        <f t="shared" si="70"/>
        <v>0</v>
      </c>
    </row>
    <row r="55" spans="2:65" outlineLevel="1">
      <c r="B55" s="41" t="s">
        <v>514</v>
      </c>
      <c r="C55" s="41" t="s">
        <v>355</v>
      </c>
      <c r="D55" s="40"/>
      <c r="E55" s="40"/>
      <c r="F55" s="29"/>
      <c r="G55" s="22"/>
      <c r="H55" s="23">
        <v>0.75</v>
      </c>
      <c r="I55" s="75">
        <f t="shared" si="64"/>
        <v>0</v>
      </c>
      <c r="J55" s="172"/>
      <c r="L55" s="41" t="s">
        <v>514</v>
      </c>
      <c r="M55" s="41" t="s">
        <v>355</v>
      </c>
      <c r="N55" s="40"/>
      <c r="O55" s="40"/>
      <c r="P55" s="29"/>
      <c r="Q55" s="22"/>
      <c r="R55" s="23">
        <v>0.75</v>
      </c>
      <c r="S55" s="6">
        <f t="shared" si="65"/>
        <v>0</v>
      </c>
      <c r="T55" s="172"/>
      <c r="V55" s="41" t="s">
        <v>514</v>
      </c>
      <c r="W55" s="41" t="s">
        <v>355</v>
      </c>
      <c r="X55" s="40"/>
      <c r="Y55" s="40"/>
      <c r="Z55" s="29"/>
      <c r="AA55" s="22"/>
      <c r="AB55" s="23">
        <v>0.75</v>
      </c>
      <c r="AC55" s="6">
        <f t="shared" si="66"/>
        <v>0</v>
      </c>
      <c r="AE55" s="41" t="s">
        <v>514</v>
      </c>
      <c r="AF55" s="41" t="s">
        <v>355</v>
      </c>
      <c r="AG55" s="40"/>
      <c r="AH55" s="40"/>
      <c r="AI55" s="29"/>
      <c r="AJ55" s="22"/>
      <c r="AK55" s="23">
        <v>0.75</v>
      </c>
      <c r="AL55" s="6">
        <f t="shared" si="67"/>
        <v>0</v>
      </c>
      <c r="AN55" s="41" t="s">
        <v>514</v>
      </c>
      <c r="AO55" s="41" t="s">
        <v>355</v>
      </c>
      <c r="AP55" s="40"/>
      <c r="AQ55" s="40"/>
      <c r="AR55" s="29"/>
      <c r="AS55" s="22"/>
      <c r="AT55" s="23">
        <v>0.75</v>
      </c>
      <c r="AU55" s="6">
        <f t="shared" si="68"/>
        <v>0</v>
      </c>
      <c r="AW55" s="41" t="s">
        <v>514</v>
      </c>
      <c r="AX55" s="41" t="s">
        <v>355</v>
      </c>
      <c r="AY55" s="40"/>
      <c r="AZ55" s="40"/>
      <c r="BA55" s="29"/>
      <c r="BB55" s="22"/>
      <c r="BC55" s="23">
        <v>0.75</v>
      </c>
      <c r="BD55" s="6">
        <f t="shared" si="69"/>
        <v>0</v>
      </c>
      <c r="BF55" s="41" t="s">
        <v>514</v>
      </c>
      <c r="BG55" s="41" t="s">
        <v>355</v>
      </c>
      <c r="BH55" s="40"/>
      <c r="BI55" s="40"/>
      <c r="BJ55" s="29"/>
      <c r="BK55" s="22"/>
      <c r="BL55" s="23">
        <v>0.75</v>
      </c>
      <c r="BM55" s="6">
        <f t="shared" si="70"/>
        <v>0</v>
      </c>
    </row>
    <row r="56" spans="2:65" outlineLevel="1">
      <c r="B56" s="41" t="s">
        <v>514</v>
      </c>
      <c r="C56" s="41" t="s">
        <v>355</v>
      </c>
      <c r="D56" s="40"/>
      <c r="E56" s="40"/>
      <c r="F56" s="29"/>
      <c r="G56" s="22"/>
      <c r="H56" s="23">
        <v>0.75</v>
      </c>
      <c r="I56" s="75">
        <f t="shared" si="64"/>
        <v>0</v>
      </c>
      <c r="J56" s="172"/>
      <c r="L56" s="41" t="s">
        <v>514</v>
      </c>
      <c r="M56" s="41" t="s">
        <v>355</v>
      </c>
      <c r="N56" s="40"/>
      <c r="O56" s="40"/>
      <c r="P56" s="29"/>
      <c r="Q56" s="22"/>
      <c r="R56" s="23">
        <v>0.75</v>
      </c>
      <c r="S56" s="6">
        <f t="shared" si="65"/>
        <v>0</v>
      </c>
      <c r="T56" s="172"/>
      <c r="V56" s="41" t="s">
        <v>514</v>
      </c>
      <c r="W56" s="41" t="s">
        <v>355</v>
      </c>
      <c r="X56" s="40"/>
      <c r="Y56" s="40"/>
      <c r="Z56" s="29"/>
      <c r="AA56" s="22"/>
      <c r="AB56" s="23">
        <v>0.75</v>
      </c>
      <c r="AC56" s="6">
        <f t="shared" si="66"/>
        <v>0</v>
      </c>
      <c r="AE56" s="41" t="s">
        <v>514</v>
      </c>
      <c r="AF56" s="41" t="s">
        <v>355</v>
      </c>
      <c r="AG56" s="40"/>
      <c r="AH56" s="40"/>
      <c r="AI56" s="29"/>
      <c r="AJ56" s="22"/>
      <c r="AK56" s="23">
        <v>0.75</v>
      </c>
      <c r="AL56" s="6">
        <f t="shared" si="67"/>
        <v>0</v>
      </c>
      <c r="AN56" s="41" t="s">
        <v>514</v>
      </c>
      <c r="AO56" s="41" t="s">
        <v>355</v>
      </c>
      <c r="AP56" s="40"/>
      <c r="AQ56" s="40"/>
      <c r="AR56" s="29"/>
      <c r="AS56" s="22"/>
      <c r="AT56" s="23">
        <v>0.75</v>
      </c>
      <c r="AU56" s="6">
        <f t="shared" si="68"/>
        <v>0</v>
      </c>
      <c r="AW56" s="41" t="s">
        <v>514</v>
      </c>
      <c r="AX56" s="41" t="s">
        <v>355</v>
      </c>
      <c r="AY56" s="40"/>
      <c r="AZ56" s="40"/>
      <c r="BA56" s="29"/>
      <c r="BB56" s="22"/>
      <c r="BC56" s="23">
        <v>0.75</v>
      </c>
      <c r="BD56" s="6">
        <f t="shared" si="69"/>
        <v>0</v>
      </c>
      <c r="BF56" s="41" t="s">
        <v>514</v>
      </c>
      <c r="BG56" s="41" t="s">
        <v>355</v>
      </c>
      <c r="BH56" s="40"/>
      <c r="BI56" s="40"/>
      <c r="BJ56" s="29"/>
      <c r="BK56" s="22"/>
      <c r="BL56" s="23">
        <v>0.75</v>
      </c>
      <c r="BM56" s="6">
        <f t="shared" si="70"/>
        <v>0</v>
      </c>
    </row>
    <row r="57" spans="2:65" outlineLevel="1">
      <c r="B57" s="41" t="s">
        <v>514</v>
      </c>
      <c r="C57" s="41" t="s">
        <v>355</v>
      </c>
      <c r="D57" s="40"/>
      <c r="E57" s="40"/>
      <c r="F57" s="29"/>
      <c r="G57" s="22"/>
      <c r="H57" s="23">
        <v>0.75</v>
      </c>
      <c r="I57" s="75">
        <f t="shared" si="64"/>
        <v>0</v>
      </c>
      <c r="J57" s="172"/>
      <c r="L57" s="41" t="s">
        <v>514</v>
      </c>
      <c r="M57" s="41" t="s">
        <v>355</v>
      </c>
      <c r="N57" s="40"/>
      <c r="O57" s="40"/>
      <c r="P57" s="29"/>
      <c r="Q57" s="22"/>
      <c r="R57" s="23">
        <v>0.75</v>
      </c>
      <c r="S57" s="6">
        <f t="shared" si="65"/>
        <v>0</v>
      </c>
      <c r="T57" s="172"/>
      <c r="V57" s="41" t="s">
        <v>514</v>
      </c>
      <c r="W57" s="41" t="s">
        <v>355</v>
      </c>
      <c r="X57" s="40"/>
      <c r="Y57" s="40"/>
      <c r="Z57" s="29"/>
      <c r="AA57" s="22"/>
      <c r="AB57" s="23">
        <v>0.75</v>
      </c>
      <c r="AC57" s="6">
        <f t="shared" si="66"/>
        <v>0</v>
      </c>
      <c r="AE57" s="41" t="s">
        <v>514</v>
      </c>
      <c r="AF57" s="41" t="s">
        <v>355</v>
      </c>
      <c r="AG57" s="40"/>
      <c r="AH57" s="40"/>
      <c r="AI57" s="29"/>
      <c r="AJ57" s="22"/>
      <c r="AK57" s="23">
        <v>0.75</v>
      </c>
      <c r="AL57" s="6">
        <f t="shared" si="67"/>
        <v>0</v>
      </c>
      <c r="AN57" s="41" t="s">
        <v>514</v>
      </c>
      <c r="AO57" s="41" t="s">
        <v>355</v>
      </c>
      <c r="AP57" s="40"/>
      <c r="AQ57" s="40"/>
      <c r="AR57" s="29"/>
      <c r="AS57" s="22"/>
      <c r="AT57" s="23">
        <v>0.75</v>
      </c>
      <c r="AU57" s="6">
        <f t="shared" si="68"/>
        <v>0</v>
      </c>
      <c r="AW57" s="41" t="s">
        <v>514</v>
      </c>
      <c r="AX57" s="41" t="s">
        <v>355</v>
      </c>
      <c r="AY57" s="40"/>
      <c r="AZ57" s="40"/>
      <c r="BA57" s="29"/>
      <c r="BB57" s="22"/>
      <c r="BC57" s="23">
        <v>0.75</v>
      </c>
      <c r="BD57" s="6">
        <f t="shared" si="69"/>
        <v>0</v>
      </c>
      <c r="BF57" s="41" t="s">
        <v>514</v>
      </c>
      <c r="BG57" s="41" t="s">
        <v>355</v>
      </c>
      <c r="BH57" s="40"/>
      <c r="BI57" s="40"/>
      <c r="BJ57" s="29"/>
      <c r="BK57" s="22"/>
      <c r="BL57" s="23">
        <v>0.75</v>
      </c>
      <c r="BM57" s="6">
        <f t="shared" si="70"/>
        <v>0</v>
      </c>
    </row>
    <row r="58" spans="2:65" outlineLevel="1">
      <c r="B58" s="41" t="s">
        <v>514</v>
      </c>
      <c r="C58" s="41" t="s">
        <v>355</v>
      </c>
      <c r="D58" s="40"/>
      <c r="E58" s="40"/>
      <c r="F58" s="29"/>
      <c r="G58" s="22"/>
      <c r="H58" s="23">
        <v>0.75</v>
      </c>
      <c r="I58" s="75">
        <f t="shared" si="64"/>
        <v>0</v>
      </c>
      <c r="J58" s="172"/>
      <c r="L58" s="41" t="s">
        <v>514</v>
      </c>
      <c r="M58" s="41" t="s">
        <v>355</v>
      </c>
      <c r="N58" s="40"/>
      <c r="O58" s="40"/>
      <c r="P58" s="29"/>
      <c r="Q58" s="22"/>
      <c r="R58" s="23">
        <v>0.75</v>
      </c>
      <c r="S58" s="6">
        <f t="shared" si="65"/>
        <v>0</v>
      </c>
      <c r="T58" s="172"/>
      <c r="V58" s="41" t="s">
        <v>514</v>
      </c>
      <c r="W58" s="41" t="s">
        <v>355</v>
      </c>
      <c r="X58" s="40"/>
      <c r="Y58" s="40"/>
      <c r="Z58" s="29"/>
      <c r="AA58" s="22"/>
      <c r="AB58" s="23">
        <v>0.75</v>
      </c>
      <c r="AC58" s="6">
        <f t="shared" si="66"/>
        <v>0</v>
      </c>
      <c r="AE58" s="41" t="s">
        <v>514</v>
      </c>
      <c r="AF58" s="41" t="s">
        <v>355</v>
      </c>
      <c r="AG58" s="40"/>
      <c r="AH58" s="40"/>
      <c r="AI58" s="29"/>
      <c r="AJ58" s="22"/>
      <c r="AK58" s="23">
        <v>0.75</v>
      </c>
      <c r="AL58" s="6">
        <f t="shared" si="67"/>
        <v>0</v>
      </c>
      <c r="AN58" s="41" t="s">
        <v>514</v>
      </c>
      <c r="AO58" s="41" t="s">
        <v>355</v>
      </c>
      <c r="AP58" s="40"/>
      <c r="AQ58" s="40"/>
      <c r="AR58" s="29"/>
      <c r="AS58" s="22"/>
      <c r="AT58" s="23">
        <v>0.75</v>
      </c>
      <c r="AU58" s="6">
        <f t="shared" si="68"/>
        <v>0</v>
      </c>
      <c r="AW58" s="41" t="s">
        <v>514</v>
      </c>
      <c r="AX58" s="41" t="s">
        <v>355</v>
      </c>
      <c r="AY58" s="40"/>
      <c r="AZ58" s="40"/>
      <c r="BA58" s="29"/>
      <c r="BB58" s="22"/>
      <c r="BC58" s="23">
        <v>0.75</v>
      </c>
      <c r="BD58" s="6">
        <f t="shared" si="69"/>
        <v>0</v>
      </c>
      <c r="BF58" s="41" t="s">
        <v>514</v>
      </c>
      <c r="BG58" s="41" t="s">
        <v>355</v>
      </c>
      <c r="BH58" s="40"/>
      <c r="BI58" s="40"/>
      <c r="BJ58" s="29"/>
      <c r="BK58" s="22"/>
      <c r="BL58" s="23">
        <v>0.75</v>
      </c>
      <c r="BM58" s="6">
        <f t="shared" si="70"/>
        <v>0</v>
      </c>
    </row>
    <row r="59" spans="2:65" s="24" customFormat="1">
      <c r="B59" s="8" t="s">
        <v>386</v>
      </c>
      <c r="C59" s="25"/>
      <c r="D59" s="28">
        <f>SUM(D44:D58)</f>
        <v>0</v>
      </c>
      <c r="E59" s="28">
        <f>SUM(E44:E58)</f>
        <v>0</v>
      </c>
      <c r="F59" s="30"/>
      <c r="G59" s="25"/>
      <c r="H59" s="26"/>
      <c r="I59" s="28">
        <f>SUM(I44:I58)</f>
        <v>0</v>
      </c>
      <c r="J59" s="171"/>
      <c r="L59" s="8" t="s">
        <v>386</v>
      </c>
      <c r="M59" s="25"/>
      <c r="N59" s="28">
        <f>SUM(N44:N58)</f>
        <v>0</v>
      </c>
      <c r="O59" s="28">
        <f>SUM(O44:O58)</f>
        <v>0</v>
      </c>
      <c r="P59" s="30"/>
      <c r="Q59" s="25"/>
      <c r="R59" s="26"/>
      <c r="S59" s="28">
        <f>SUM(S44:S58)</f>
        <v>0</v>
      </c>
      <c r="T59" s="171"/>
      <c r="V59" s="8" t="s">
        <v>386</v>
      </c>
      <c r="W59" s="25"/>
      <c r="X59" s="28">
        <f>SUM(X44:X58)</f>
        <v>0</v>
      </c>
      <c r="Y59" s="28">
        <f>SUM(Y44:Y58)</f>
        <v>0</v>
      </c>
      <c r="Z59" s="30"/>
      <c r="AA59" s="25"/>
      <c r="AB59" s="26"/>
      <c r="AC59" s="28">
        <f>SUM(AC44:AC58)</f>
        <v>0</v>
      </c>
      <c r="AE59" s="8" t="s">
        <v>386</v>
      </c>
      <c r="AF59" s="25"/>
      <c r="AG59" s="28">
        <f>SUM(AG44:AG58)</f>
        <v>0</v>
      </c>
      <c r="AH59" s="28">
        <f>SUM(AH44:AH58)</f>
        <v>0</v>
      </c>
      <c r="AI59" s="30"/>
      <c r="AJ59" s="25"/>
      <c r="AK59" s="26"/>
      <c r="AL59" s="28">
        <f>SUM(AL44:AL58)</f>
        <v>0</v>
      </c>
      <c r="AN59" s="8" t="s">
        <v>386</v>
      </c>
      <c r="AO59" s="25"/>
      <c r="AP59" s="28">
        <f>SUM(AP44:AP58)</f>
        <v>0</v>
      </c>
      <c r="AQ59" s="28">
        <f>SUM(AQ44:AQ58)</f>
        <v>0</v>
      </c>
      <c r="AR59" s="30"/>
      <c r="AS59" s="25"/>
      <c r="AT59" s="26"/>
      <c r="AU59" s="28">
        <f>SUM(AU44:AU58)</f>
        <v>0</v>
      </c>
      <c r="AW59" s="8" t="s">
        <v>386</v>
      </c>
      <c r="AX59" s="25"/>
      <c r="AY59" s="28">
        <f>SUM(AY44:AY58)</f>
        <v>0</v>
      </c>
      <c r="AZ59" s="28">
        <f>SUM(AZ44:AZ58)</f>
        <v>0</v>
      </c>
      <c r="BA59" s="30"/>
      <c r="BB59" s="25"/>
      <c r="BC59" s="26"/>
      <c r="BD59" s="28">
        <f>SUM(BD44:BD58)</f>
        <v>0</v>
      </c>
      <c r="BF59" s="8" t="s">
        <v>386</v>
      </c>
      <c r="BG59" s="25"/>
      <c r="BH59" s="28">
        <f>SUM(BH44:BH58)</f>
        <v>0</v>
      </c>
      <c r="BI59" s="28">
        <f>SUM(BI44:BI58)</f>
        <v>0</v>
      </c>
      <c r="BJ59" s="30"/>
      <c r="BK59" s="25"/>
      <c r="BL59" s="26"/>
      <c r="BM59" s="28">
        <f>SUM(BM44:BM58)</f>
        <v>0</v>
      </c>
    </row>
    <row r="61" spans="2:65" s="20" customFormat="1" ht="41.4">
      <c r="B61" s="27" t="s">
        <v>11</v>
      </c>
      <c r="C61" s="3" t="str">
        <f>C$43</f>
        <v>Source</v>
      </c>
      <c r="D61" s="3" t="str">
        <f t="shared" ref="D61:I61" si="71">D$43</f>
        <v>Limit (A)</v>
      </c>
      <c r="E61" s="3" t="str">
        <f t="shared" si="71"/>
        <v>Outstanding (A1)</v>
      </c>
      <c r="F61" s="3" t="str">
        <f t="shared" si="71"/>
        <v>Monthly Repayment (B)</v>
      </c>
      <c r="G61" s="3" t="str">
        <f t="shared" si="71"/>
        <v>Interest Rate (C)</v>
      </c>
      <c r="H61" s="3" t="str">
        <f t="shared" si="71"/>
        <v>Factor (D)</v>
      </c>
      <c r="I61" s="3" t="str">
        <f t="shared" si="71"/>
        <v>Interest (E) = (A or A1) * (C) * (D)</v>
      </c>
      <c r="J61" s="173" t="s">
        <v>450</v>
      </c>
      <c r="L61" s="27" t="s">
        <v>11</v>
      </c>
      <c r="M61" s="3" t="str">
        <f>M$43</f>
        <v>Source</v>
      </c>
      <c r="N61" s="3" t="str">
        <f t="shared" ref="N61:S61" si="72">N$43</f>
        <v>Limit (A)</v>
      </c>
      <c r="O61" s="3" t="str">
        <f t="shared" si="72"/>
        <v>Outstanding (A1)</v>
      </c>
      <c r="P61" s="3" t="str">
        <f t="shared" si="72"/>
        <v>Monthly Repayment (B)</v>
      </c>
      <c r="Q61" s="3" t="str">
        <f t="shared" si="72"/>
        <v>Interest Rate (C)</v>
      </c>
      <c r="R61" s="3" t="str">
        <f t="shared" si="72"/>
        <v>Factor (D)</v>
      </c>
      <c r="S61" s="3" t="str">
        <f t="shared" si="72"/>
        <v>Interest (E) = (A or A1) * (C) * (D)</v>
      </c>
      <c r="T61" s="173" t="s">
        <v>450</v>
      </c>
      <c r="V61" s="27" t="s">
        <v>11</v>
      </c>
      <c r="W61" s="3" t="str">
        <f>W$43</f>
        <v>Source</v>
      </c>
      <c r="X61" s="3" t="str">
        <f t="shared" ref="X61:AC61" si="73">X$43</f>
        <v>Limit (A)</v>
      </c>
      <c r="Y61" s="3" t="str">
        <f t="shared" si="73"/>
        <v>Outstanding (A1)</v>
      </c>
      <c r="Z61" s="3" t="str">
        <f t="shared" si="73"/>
        <v>Monthly Repayment (B)</v>
      </c>
      <c r="AA61" s="3" t="str">
        <f t="shared" si="73"/>
        <v>Interest Rate (C)</v>
      </c>
      <c r="AB61" s="3" t="str">
        <f t="shared" si="73"/>
        <v>Factor (D)</v>
      </c>
      <c r="AC61" s="3" t="str">
        <f t="shared" si="73"/>
        <v>Interest (E) = (A or A1) * (C) * (D)</v>
      </c>
      <c r="AE61" s="27" t="s">
        <v>11</v>
      </c>
      <c r="AF61" s="3" t="str">
        <f>AF$43</f>
        <v>Source</v>
      </c>
      <c r="AG61" s="3" t="str">
        <f t="shared" ref="AG61:AL61" si="74">AG$43</f>
        <v>Limit (A)</v>
      </c>
      <c r="AH61" s="3" t="str">
        <f t="shared" si="74"/>
        <v>Outstanding (A1)</v>
      </c>
      <c r="AI61" s="3" t="str">
        <f t="shared" si="74"/>
        <v>Monthly Repayment (B)</v>
      </c>
      <c r="AJ61" s="3" t="str">
        <f t="shared" si="74"/>
        <v>Interest Rate (C)</v>
      </c>
      <c r="AK61" s="3" t="str">
        <f t="shared" si="74"/>
        <v>Factor (D)</v>
      </c>
      <c r="AL61" s="3" t="str">
        <f t="shared" si="74"/>
        <v>Interest (E) = (A or A1) * (C) * (D)</v>
      </c>
      <c r="AN61" s="27" t="s">
        <v>11</v>
      </c>
      <c r="AO61" s="3" t="str">
        <f>AO$43</f>
        <v>Source</v>
      </c>
      <c r="AP61" s="3" t="str">
        <f t="shared" ref="AP61:AU61" si="75">AP$43</f>
        <v>Limit (A)</v>
      </c>
      <c r="AQ61" s="3" t="str">
        <f t="shared" si="75"/>
        <v>Outstanding (A1)</v>
      </c>
      <c r="AR61" s="3" t="str">
        <f t="shared" si="75"/>
        <v>Monthly Repayment (B)</v>
      </c>
      <c r="AS61" s="3" t="str">
        <f t="shared" si="75"/>
        <v>Interest Rate (C)</v>
      </c>
      <c r="AT61" s="3" t="str">
        <f t="shared" si="75"/>
        <v>Factor (D)</v>
      </c>
      <c r="AU61" s="3" t="str">
        <f t="shared" si="75"/>
        <v>Interest (E) = (A or A1) * (C) * (D)</v>
      </c>
      <c r="AW61" s="27" t="s">
        <v>11</v>
      </c>
      <c r="AX61" s="3" t="str">
        <f>AX$43</f>
        <v>Source</v>
      </c>
      <c r="AY61" s="3" t="str">
        <f t="shared" ref="AY61:BD61" si="76">AY$43</f>
        <v>Limit (A)</v>
      </c>
      <c r="AZ61" s="3" t="str">
        <f t="shared" si="76"/>
        <v>Outstanding (A1)</v>
      </c>
      <c r="BA61" s="3" t="str">
        <f t="shared" si="76"/>
        <v>Monthly Repayment (B)</v>
      </c>
      <c r="BB61" s="3" t="str">
        <f t="shared" si="76"/>
        <v>Interest Rate (C)</v>
      </c>
      <c r="BC61" s="3" t="str">
        <f t="shared" si="76"/>
        <v>Factor (D)</v>
      </c>
      <c r="BD61" s="3" t="str">
        <f t="shared" si="76"/>
        <v>Interest (E) = (A or A1) * (C) * (D)</v>
      </c>
      <c r="BF61" s="27" t="s">
        <v>11</v>
      </c>
      <c r="BG61" s="3" t="str">
        <f>BG$43</f>
        <v>Source</v>
      </c>
      <c r="BH61" s="3" t="str">
        <f t="shared" ref="BH61:BM61" si="77">BH$43</f>
        <v>Limit (A)</v>
      </c>
      <c r="BI61" s="3" t="str">
        <f t="shared" si="77"/>
        <v>Outstanding (A1)</v>
      </c>
      <c r="BJ61" s="3" t="str">
        <f t="shared" si="77"/>
        <v>Monthly Repayment (B)</v>
      </c>
      <c r="BK61" s="3" t="str">
        <f t="shared" si="77"/>
        <v>Interest Rate (C)</v>
      </c>
      <c r="BL61" s="3" t="str">
        <f t="shared" si="77"/>
        <v>Factor (D)</v>
      </c>
      <c r="BM61" s="3" t="str">
        <f t="shared" si="77"/>
        <v>Interest (E) = (A or A1) * (C) * (D)</v>
      </c>
    </row>
    <row r="62" spans="2:65">
      <c r="B62" s="41" t="s">
        <v>514</v>
      </c>
      <c r="C62" s="41" t="s">
        <v>355</v>
      </c>
      <c r="D62" s="40"/>
      <c r="E62" s="40"/>
      <c r="F62" s="40"/>
      <c r="G62" s="31"/>
      <c r="H62" s="32"/>
      <c r="I62" s="29"/>
      <c r="J62" s="172"/>
      <c r="L62" s="41" t="s">
        <v>514</v>
      </c>
      <c r="M62" s="41" t="s">
        <v>355</v>
      </c>
      <c r="N62" s="40"/>
      <c r="O62" s="40"/>
      <c r="P62" s="40"/>
      <c r="Q62" s="31"/>
      <c r="R62" s="32"/>
      <c r="S62" s="29"/>
      <c r="T62" s="172"/>
      <c r="V62" s="41" t="s">
        <v>514</v>
      </c>
      <c r="W62" s="41" t="s">
        <v>355</v>
      </c>
      <c r="X62" s="40"/>
      <c r="Y62" s="40"/>
      <c r="Z62" s="40"/>
      <c r="AA62" s="31"/>
      <c r="AB62" s="32"/>
      <c r="AC62" s="29"/>
      <c r="AE62" s="41" t="s">
        <v>514</v>
      </c>
      <c r="AF62" s="41" t="s">
        <v>355</v>
      </c>
      <c r="AG62" s="40"/>
      <c r="AH62" s="40"/>
      <c r="AI62" s="40"/>
      <c r="AJ62" s="31"/>
      <c r="AK62" s="32"/>
      <c r="AL62" s="29"/>
      <c r="AN62" s="41" t="s">
        <v>514</v>
      </c>
      <c r="AO62" s="41" t="s">
        <v>355</v>
      </c>
      <c r="AP62" s="40"/>
      <c r="AQ62" s="40"/>
      <c r="AR62" s="40"/>
      <c r="AS62" s="31"/>
      <c r="AT62" s="32"/>
      <c r="AU62" s="29"/>
      <c r="AW62" s="41" t="s">
        <v>514</v>
      </c>
      <c r="AX62" s="41" t="s">
        <v>355</v>
      </c>
      <c r="AY62" s="40"/>
      <c r="AZ62" s="40"/>
      <c r="BA62" s="40"/>
      <c r="BB62" s="31"/>
      <c r="BC62" s="32"/>
      <c r="BD62" s="29"/>
      <c r="BF62" s="41" t="s">
        <v>514</v>
      </c>
      <c r="BG62" s="41" t="s">
        <v>355</v>
      </c>
      <c r="BH62" s="40"/>
      <c r="BI62" s="40"/>
      <c r="BJ62" s="40"/>
      <c r="BK62" s="31"/>
      <c r="BL62" s="32"/>
      <c r="BM62" s="29"/>
    </row>
    <row r="63" spans="2:65">
      <c r="B63" s="41" t="s">
        <v>514</v>
      </c>
      <c r="C63" s="41" t="s">
        <v>355</v>
      </c>
      <c r="D63" s="40"/>
      <c r="E63" s="40"/>
      <c r="F63" s="40"/>
      <c r="G63" s="31"/>
      <c r="H63" s="32"/>
      <c r="I63" s="29"/>
      <c r="J63" s="172"/>
      <c r="L63" s="41" t="s">
        <v>514</v>
      </c>
      <c r="M63" s="41" t="s">
        <v>355</v>
      </c>
      <c r="N63" s="40"/>
      <c r="O63" s="40"/>
      <c r="P63" s="40"/>
      <c r="Q63" s="31"/>
      <c r="R63" s="32"/>
      <c r="S63" s="29"/>
      <c r="T63" s="172"/>
      <c r="V63" s="41" t="s">
        <v>514</v>
      </c>
      <c r="W63" s="41" t="s">
        <v>355</v>
      </c>
      <c r="X63" s="40"/>
      <c r="Y63" s="40"/>
      <c r="Z63" s="40"/>
      <c r="AA63" s="31"/>
      <c r="AB63" s="32"/>
      <c r="AC63" s="29"/>
      <c r="AE63" s="41" t="s">
        <v>514</v>
      </c>
      <c r="AF63" s="41" t="s">
        <v>355</v>
      </c>
      <c r="AG63" s="40"/>
      <c r="AH63" s="40"/>
      <c r="AI63" s="40"/>
      <c r="AJ63" s="31"/>
      <c r="AK63" s="32"/>
      <c r="AL63" s="29"/>
      <c r="AN63" s="41" t="s">
        <v>514</v>
      </c>
      <c r="AO63" s="41" t="s">
        <v>355</v>
      </c>
      <c r="AP63" s="40"/>
      <c r="AQ63" s="40"/>
      <c r="AR63" s="40"/>
      <c r="AS63" s="31"/>
      <c r="AT63" s="32"/>
      <c r="AU63" s="29"/>
      <c r="AW63" s="41" t="s">
        <v>514</v>
      </c>
      <c r="AX63" s="41" t="s">
        <v>355</v>
      </c>
      <c r="AY63" s="40"/>
      <c r="AZ63" s="40"/>
      <c r="BA63" s="40"/>
      <c r="BB63" s="31"/>
      <c r="BC63" s="32"/>
      <c r="BD63" s="29"/>
      <c r="BF63" s="41" t="s">
        <v>514</v>
      </c>
      <c r="BG63" s="41" t="s">
        <v>355</v>
      </c>
      <c r="BH63" s="40"/>
      <c r="BI63" s="40"/>
      <c r="BJ63" s="40"/>
      <c r="BK63" s="31"/>
      <c r="BL63" s="32"/>
      <c r="BM63" s="29"/>
    </row>
    <row r="64" spans="2:65">
      <c r="B64" s="41" t="s">
        <v>514</v>
      </c>
      <c r="C64" s="41" t="s">
        <v>355</v>
      </c>
      <c r="D64" s="40"/>
      <c r="E64" s="40"/>
      <c r="F64" s="40"/>
      <c r="G64" s="31"/>
      <c r="H64" s="32"/>
      <c r="I64" s="29"/>
      <c r="J64" s="172"/>
      <c r="L64" s="41" t="s">
        <v>514</v>
      </c>
      <c r="M64" s="41" t="s">
        <v>355</v>
      </c>
      <c r="N64" s="40"/>
      <c r="O64" s="40"/>
      <c r="P64" s="40"/>
      <c r="Q64" s="31"/>
      <c r="R64" s="32"/>
      <c r="S64" s="29"/>
      <c r="T64" s="172"/>
      <c r="V64" s="41" t="s">
        <v>514</v>
      </c>
      <c r="W64" s="41" t="s">
        <v>355</v>
      </c>
      <c r="X64" s="40"/>
      <c r="Y64" s="40"/>
      <c r="Z64" s="40"/>
      <c r="AA64" s="31"/>
      <c r="AB64" s="32"/>
      <c r="AC64" s="29"/>
      <c r="AE64" s="41" t="s">
        <v>514</v>
      </c>
      <c r="AF64" s="41" t="s">
        <v>355</v>
      </c>
      <c r="AG64" s="40"/>
      <c r="AH64" s="40"/>
      <c r="AI64" s="40"/>
      <c r="AJ64" s="31"/>
      <c r="AK64" s="32"/>
      <c r="AL64" s="29"/>
      <c r="AN64" s="41" t="s">
        <v>514</v>
      </c>
      <c r="AO64" s="41" t="s">
        <v>355</v>
      </c>
      <c r="AP64" s="40"/>
      <c r="AQ64" s="40"/>
      <c r="AR64" s="40"/>
      <c r="AS64" s="31"/>
      <c r="AT64" s="32"/>
      <c r="AU64" s="29"/>
      <c r="AW64" s="41" t="s">
        <v>514</v>
      </c>
      <c r="AX64" s="41" t="s">
        <v>355</v>
      </c>
      <c r="AY64" s="40"/>
      <c r="AZ64" s="40"/>
      <c r="BA64" s="40"/>
      <c r="BB64" s="31"/>
      <c r="BC64" s="32"/>
      <c r="BD64" s="29"/>
      <c r="BF64" s="41" t="s">
        <v>514</v>
      </c>
      <c r="BG64" s="41" t="s">
        <v>355</v>
      </c>
      <c r="BH64" s="40"/>
      <c r="BI64" s="40"/>
      <c r="BJ64" s="40"/>
      <c r="BK64" s="31"/>
      <c r="BL64" s="32"/>
      <c r="BM64" s="29"/>
    </row>
    <row r="65" spans="2:65">
      <c r="B65" s="41" t="s">
        <v>514</v>
      </c>
      <c r="C65" s="41" t="s">
        <v>355</v>
      </c>
      <c r="D65" s="40"/>
      <c r="E65" s="40"/>
      <c r="F65" s="40"/>
      <c r="G65" s="31"/>
      <c r="H65" s="32"/>
      <c r="I65" s="29"/>
      <c r="J65" s="172"/>
      <c r="L65" s="41" t="s">
        <v>514</v>
      </c>
      <c r="M65" s="41" t="s">
        <v>355</v>
      </c>
      <c r="N65" s="40"/>
      <c r="O65" s="40"/>
      <c r="P65" s="40"/>
      <c r="Q65" s="31"/>
      <c r="R65" s="32"/>
      <c r="S65" s="29"/>
      <c r="T65" s="172"/>
      <c r="V65" s="41" t="s">
        <v>514</v>
      </c>
      <c r="W65" s="41" t="s">
        <v>355</v>
      </c>
      <c r="X65" s="40"/>
      <c r="Y65" s="40"/>
      <c r="Z65" s="40"/>
      <c r="AA65" s="31"/>
      <c r="AB65" s="32"/>
      <c r="AC65" s="29"/>
      <c r="AE65" s="41" t="s">
        <v>514</v>
      </c>
      <c r="AF65" s="41" t="s">
        <v>355</v>
      </c>
      <c r="AG65" s="40"/>
      <c r="AH65" s="40"/>
      <c r="AI65" s="40"/>
      <c r="AJ65" s="31"/>
      <c r="AK65" s="32"/>
      <c r="AL65" s="29"/>
      <c r="AN65" s="41" t="s">
        <v>514</v>
      </c>
      <c r="AO65" s="41" t="s">
        <v>355</v>
      </c>
      <c r="AP65" s="40"/>
      <c r="AQ65" s="40"/>
      <c r="AR65" s="40"/>
      <c r="AS65" s="31"/>
      <c r="AT65" s="32"/>
      <c r="AU65" s="29"/>
      <c r="AW65" s="41" t="s">
        <v>514</v>
      </c>
      <c r="AX65" s="41" t="s">
        <v>355</v>
      </c>
      <c r="AY65" s="40"/>
      <c r="AZ65" s="40"/>
      <c r="BA65" s="40"/>
      <c r="BB65" s="31"/>
      <c r="BC65" s="32"/>
      <c r="BD65" s="29"/>
      <c r="BF65" s="41" t="s">
        <v>514</v>
      </c>
      <c r="BG65" s="41" t="s">
        <v>355</v>
      </c>
      <c r="BH65" s="40"/>
      <c r="BI65" s="40"/>
      <c r="BJ65" s="40"/>
      <c r="BK65" s="31"/>
      <c r="BL65" s="32"/>
      <c r="BM65" s="29"/>
    </row>
    <row r="66" spans="2:65">
      <c r="B66" s="41" t="s">
        <v>514</v>
      </c>
      <c r="C66" s="41" t="s">
        <v>355</v>
      </c>
      <c r="D66" s="40"/>
      <c r="E66" s="40"/>
      <c r="F66" s="40"/>
      <c r="G66" s="31"/>
      <c r="H66" s="32"/>
      <c r="I66" s="29"/>
      <c r="J66" s="172"/>
      <c r="L66" s="41" t="s">
        <v>514</v>
      </c>
      <c r="M66" s="41" t="s">
        <v>355</v>
      </c>
      <c r="N66" s="40"/>
      <c r="O66" s="40"/>
      <c r="P66" s="40"/>
      <c r="Q66" s="31"/>
      <c r="R66" s="32"/>
      <c r="S66" s="29"/>
      <c r="T66" s="172"/>
      <c r="V66" s="41" t="s">
        <v>514</v>
      </c>
      <c r="W66" s="41" t="s">
        <v>355</v>
      </c>
      <c r="X66" s="40"/>
      <c r="Y66" s="40"/>
      <c r="Z66" s="40"/>
      <c r="AA66" s="31"/>
      <c r="AB66" s="32"/>
      <c r="AC66" s="29"/>
      <c r="AE66" s="41" t="s">
        <v>514</v>
      </c>
      <c r="AF66" s="41" t="s">
        <v>355</v>
      </c>
      <c r="AG66" s="40"/>
      <c r="AH66" s="40"/>
      <c r="AI66" s="40"/>
      <c r="AJ66" s="31"/>
      <c r="AK66" s="32"/>
      <c r="AL66" s="29"/>
      <c r="AN66" s="41" t="s">
        <v>514</v>
      </c>
      <c r="AO66" s="41" t="s">
        <v>355</v>
      </c>
      <c r="AP66" s="40"/>
      <c r="AQ66" s="40"/>
      <c r="AR66" s="40"/>
      <c r="AS66" s="31"/>
      <c r="AT66" s="32"/>
      <c r="AU66" s="29"/>
      <c r="AW66" s="41" t="s">
        <v>514</v>
      </c>
      <c r="AX66" s="41" t="s">
        <v>355</v>
      </c>
      <c r="AY66" s="40"/>
      <c r="AZ66" s="40"/>
      <c r="BA66" s="40"/>
      <c r="BB66" s="31"/>
      <c r="BC66" s="32"/>
      <c r="BD66" s="29"/>
      <c r="BF66" s="41" t="s">
        <v>514</v>
      </c>
      <c r="BG66" s="41" t="s">
        <v>355</v>
      </c>
      <c r="BH66" s="40"/>
      <c r="BI66" s="40"/>
      <c r="BJ66" s="40"/>
      <c r="BK66" s="31"/>
      <c r="BL66" s="32"/>
      <c r="BM66" s="29"/>
    </row>
    <row r="67" spans="2:65">
      <c r="B67" s="41" t="s">
        <v>514</v>
      </c>
      <c r="C67" s="41" t="s">
        <v>355</v>
      </c>
      <c r="D67" s="40"/>
      <c r="E67" s="40"/>
      <c r="F67" s="40"/>
      <c r="G67" s="31"/>
      <c r="H67" s="32"/>
      <c r="I67" s="29"/>
      <c r="J67" s="172"/>
      <c r="L67" s="41" t="s">
        <v>514</v>
      </c>
      <c r="M67" s="41" t="s">
        <v>355</v>
      </c>
      <c r="N67" s="40"/>
      <c r="O67" s="40"/>
      <c r="P67" s="40"/>
      <c r="Q67" s="31"/>
      <c r="R67" s="32"/>
      <c r="S67" s="29"/>
      <c r="T67" s="172"/>
      <c r="V67" s="41" t="s">
        <v>514</v>
      </c>
      <c r="W67" s="41" t="s">
        <v>355</v>
      </c>
      <c r="X67" s="40"/>
      <c r="Y67" s="40"/>
      <c r="Z67" s="40"/>
      <c r="AA67" s="31"/>
      <c r="AB67" s="32"/>
      <c r="AC67" s="29"/>
      <c r="AE67" s="41" t="s">
        <v>514</v>
      </c>
      <c r="AF67" s="41" t="s">
        <v>355</v>
      </c>
      <c r="AG67" s="40"/>
      <c r="AH67" s="40"/>
      <c r="AI67" s="40"/>
      <c r="AJ67" s="31"/>
      <c r="AK67" s="32"/>
      <c r="AL67" s="29"/>
      <c r="AN67" s="41" t="s">
        <v>514</v>
      </c>
      <c r="AO67" s="41" t="s">
        <v>355</v>
      </c>
      <c r="AP67" s="40"/>
      <c r="AQ67" s="40"/>
      <c r="AR67" s="40"/>
      <c r="AS67" s="31"/>
      <c r="AT67" s="32"/>
      <c r="AU67" s="29"/>
      <c r="AW67" s="41" t="s">
        <v>514</v>
      </c>
      <c r="AX67" s="41" t="s">
        <v>355</v>
      </c>
      <c r="AY67" s="40"/>
      <c r="AZ67" s="40"/>
      <c r="BA67" s="40"/>
      <c r="BB67" s="31"/>
      <c r="BC67" s="32"/>
      <c r="BD67" s="29"/>
      <c r="BF67" s="41" t="s">
        <v>514</v>
      </c>
      <c r="BG67" s="41" t="s">
        <v>355</v>
      </c>
      <c r="BH67" s="40"/>
      <c r="BI67" s="40"/>
      <c r="BJ67" s="40"/>
      <c r="BK67" s="31"/>
      <c r="BL67" s="32"/>
      <c r="BM67" s="29"/>
    </row>
    <row r="68" spans="2:65">
      <c r="B68" s="41" t="s">
        <v>514</v>
      </c>
      <c r="C68" s="41" t="s">
        <v>355</v>
      </c>
      <c r="D68" s="40"/>
      <c r="E68" s="40"/>
      <c r="F68" s="40"/>
      <c r="G68" s="31"/>
      <c r="H68" s="32"/>
      <c r="I68" s="29"/>
      <c r="J68" s="172"/>
      <c r="L68" s="41" t="s">
        <v>514</v>
      </c>
      <c r="M68" s="41" t="s">
        <v>355</v>
      </c>
      <c r="N68" s="40"/>
      <c r="O68" s="40"/>
      <c r="P68" s="40"/>
      <c r="Q68" s="31"/>
      <c r="R68" s="32"/>
      <c r="S68" s="29"/>
      <c r="T68" s="172"/>
      <c r="V68" s="41" t="s">
        <v>514</v>
      </c>
      <c r="W68" s="41" t="s">
        <v>355</v>
      </c>
      <c r="X68" s="40"/>
      <c r="Y68" s="40"/>
      <c r="Z68" s="40"/>
      <c r="AA68" s="31"/>
      <c r="AB68" s="32"/>
      <c r="AC68" s="29"/>
      <c r="AE68" s="41" t="s">
        <v>514</v>
      </c>
      <c r="AF68" s="41" t="s">
        <v>355</v>
      </c>
      <c r="AG68" s="40"/>
      <c r="AH68" s="40"/>
      <c r="AI68" s="40"/>
      <c r="AJ68" s="31"/>
      <c r="AK68" s="32"/>
      <c r="AL68" s="29"/>
      <c r="AN68" s="41" t="s">
        <v>514</v>
      </c>
      <c r="AO68" s="41" t="s">
        <v>355</v>
      </c>
      <c r="AP68" s="40"/>
      <c r="AQ68" s="40"/>
      <c r="AR68" s="40"/>
      <c r="AS68" s="31"/>
      <c r="AT68" s="32"/>
      <c r="AU68" s="29"/>
      <c r="AW68" s="41" t="s">
        <v>514</v>
      </c>
      <c r="AX68" s="41" t="s">
        <v>355</v>
      </c>
      <c r="AY68" s="40"/>
      <c r="AZ68" s="40"/>
      <c r="BA68" s="40"/>
      <c r="BB68" s="31"/>
      <c r="BC68" s="32"/>
      <c r="BD68" s="29"/>
      <c r="BF68" s="41" t="s">
        <v>514</v>
      </c>
      <c r="BG68" s="41" t="s">
        <v>355</v>
      </c>
      <c r="BH68" s="40"/>
      <c r="BI68" s="40"/>
      <c r="BJ68" s="40"/>
      <c r="BK68" s="31"/>
      <c r="BL68" s="32"/>
      <c r="BM68" s="29"/>
    </row>
    <row r="69" spans="2:65" outlineLevel="1">
      <c r="B69" s="41" t="s">
        <v>514</v>
      </c>
      <c r="C69" s="41" t="s">
        <v>355</v>
      </c>
      <c r="D69" s="40"/>
      <c r="E69" s="40"/>
      <c r="F69" s="40"/>
      <c r="G69" s="31"/>
      <c r="H69" s="32"/>
      <c r="I69" s="29"/>
      <c r="J69" s="172"/>
      <c r="L69" s="41" t="s">
        <v>514</v>
      </c>
      <c r="M69" s="41" t="s">
        <v>355</v>
      </c>
      <c r="N69" s="40"/>
      <c r="O69" s="40"/>
      <c r="P69" s="40"/>
      <c r="Q69" s="31"/>
      <c r="R69" s="32"/>
      <c r="S69" s="29"/>
      <c r="T69" s="172"/>
      <c r="V69" s="41" t="s">
        <v>514</v>
      </c>
      <c r="W69" s="41" t="s">
        <v>355</v>
      </c>
      <c r="X69" s="40"/>
      <c r="Y69" s="40"/>
      <c r="Z69" s="40"/>
      <c r="AA69" s="31"/>
      <c r="AB69" s="32"/>
      <c r="AC69" s="29"/>
      <c r="AE69" s="41" t="s">
        <v>514</v>
      </c>
      <c r="AF69" s="41" t="s">
        <v>355</v>
      </c>
      <c r="AG69" s="40"/>
      <c r="AH69" s="40"/>
      <c r="AI69" s="40"/>
      <c r="AJ69" s="31"/>
      <c r="AK69" s="32"/>
      <c r="AL69" s="29"/>
      <c r="AN69" s="41" t="s">
        <v>514</v>
      </c>
      <c r="AO69" s="41" t="s">
        <v>355</v>
      </c>
      <c r="AP69" s="40"/>
      <c r="AQ69" s="40"/>
      <c r="AR69" s="40"/>
      <c r="AS69" s="31"/>
      <c r="AT69" s="32"/>
      <c r="AU69" s="29"/>
      <c r="AW69" s="41" t="s">
        <v>514</v>
      </c>
      <c r="AX69" s="41" t="s">
        <v>355</v>
      </c>
      <c r="AY69" s="40"/>
      <c r="AZ69" s="40"/>
      <c r="BA69" s="40"/>
      <c r="BB69" s="31"/>
      <c r="BC69" s="32"/>
      <c r="BD69" s="29"/>
      <c r="BF69" s="41" t="s">
        <v>514</v>
      </c>
      <c r="BG69" s="41" t="s">
        <v>355</v>
      </c>
      <c r="BH69" s="40"/>
      <c r="BI69" s="40"/>
      <c r="BJ69" s="40"/>
      <c r="BK69" s="31"/>
      <c r="BL69" s="32"/>
      <c r="BM69" s="29"/>
    </row>
    <row r="70" spans="2:65" outlineLevel="1">
      <c r="B70" s="41" t="s">
        <v>514</v>
      </c>
      <c r="C70" s="41" t="s">
        <v>355</v>
      </c>
      <c r="D70" s="40"/>
      <c r="E70" s="40"/>
      <c r="F70" s="40"/>
      <c r="G70" s="31"/>
      <c r="H70" s="32"/>
      <c r="I70" s="29"/>
      <c r="J70" s="172"/>
      <c r="L70" s="41" t="s">
        <v>514</v>
      </c>
      <c r="M70" s="41" t="s">
        <v>355</v>
      </c>
      <c r="N70" s="40"/>
      <c r="O70" s="40"/>
      <c r="P70" s="40"/>
      <c r="Q70" s="31"/>
      <c r="R70" s="32"/>
      <c r="S70" s="29"/>
      <c r="T70" s="172"/>
      <c r="V70" s="41" t="s">
        <v>514</v>
      </c>
      <c r="W70" s="41" t="s">
        <v>355</v>
      </c>
      <c r="X70" s="40"/>
      <c r="Y70" s="40"/>
      <c r="Z70" s="40"/>
      <c r="AA70" s="31"/>
      <c r="AB70" s="32"/>
      <c r="AC70" s="29"/>
      <c r="AE70" s="41" t="s">
        <v>514</v>
      </c>
      <c r="AF70" s="41" t="s">
        <v>355</v>
      </c>
      <c r="AG70" s="40"/>
      <c r="AH70" s="40"/>
      <c r="AI70" s="40"/>
      <c r="AJ70" s="31"/>
      <c r="AK70" s="32"/>
      <c r="AL70" s="29"/>
      <c r="AN70" s="41" t="s">
        <v>514</v>
      </c>
      <c r="AO70" s="41" t="s">
        <v>355</v>
      </c>
      <c r="AP70" s="40"/>
      <c r="AQ70" s="40"/>
      <c r="AR70" s="40"/>
      <c r="AS70" s="31"/>
      <c r="AT70" s="32"/>
      <c r="AU70" s="29"/>
      <c r="AW70" s="41" t="s">
        <v>514</v>
      </c>
      <c r="AX70" s="41" t="s">
        <v>355</v>
      </c>
      <c r="AY70" s="40"/>
      <c r="AZ70" s="40"/>
      <c r="BA70" s="40"/>
      <c r="BB70" s="31"/>
      <c r="BC70" s="32"/>
      <c r="BD70" s="29"/>
      <c r="BF70" s="41" t="s">
        <v>514</v>
      </c>
      <c r="BG70" s="41" t="s">
        <v>355</v>
      </c>
      <c r="BH70" s="40"/>
      <c r="BI70" s="40"/>
      <c r="BJ70" s="40"/>
      <c r="BK70" s="31"/>
      <c r="BL70" s="32"/>
      <c r="BM70" s="29"/>
    </row>
    <row r="71" spans="2:65" outlineLevel="1">
      <c r="B71" s="41" t="s">
        <v>514</v>
      </c>
      <c r="C71" s="41" t="s">
        <v>355</v>
      </c>
      <c r="D71" s="40"/>
      <c r="E71" s="40"/>
      <c r="F71" s="40"/>
      <c r="G71" s="31"/>
      <c r="H71" s="32"/>
      <c r="I71" s="29"/>
      <c r="J71" s="172"/>
      <c r="L71" s="41" t="s">
        <v>514</v>
      </c>
      <c r="M71" s="41" t="s">
        <v>355</v>
      </c>
      <c r="N71" s="40"/>
      <c r="O71" s="40"/>
      <c r="P71" s="40"/>
      <c r="Q71" s="31"/>
      <c r="R71" s="32"/>
      <c r="S71" s="29"/>
      <c r="T71" s="172"/>
      <c r="V71" s="41" t="s">
        <v>514</v>
      </c>
      <c r="W71" s="41" t="s">
        <v>355</v>
      </c>
      <c r="X71" s="40"/>
      <c r="Y71" s="40"/>
      <c r="Z71" s="40"/>
      <c r="AA71" s="31"/>
      <c r="AB71" s="32"/>
      <c r="AC71" s="29"/>
      <c r="AE71" s="41" t="s">
        <v>514</v>
      </c>
      <c r="AF71" s="41" t="s">
        <v>355</v>
      </c>
      <c r="AG71" s="40"/>
      <c r="AH71" s="40"/>
      <c r="AI71" s="40"/>
      <c r="AJ71" s="31"/>
      <c r="AK71" s="32"/>
      <c r="AL71" s="29"/>
      <c r="AN71" s="41" t="s">
        <v>514</v>
      </c>
      <c r="AO71" s="41" t="s">
        <v>355</v>
      </c>
      <c r="AP71" s="40"/>
      <c r="AQ71" s="40"/>
      <c r="AR71" s="40"/>
      <c r="AS71" s="31"/>
      <c r="AT71" s="32"/>
      <c r="AU71" s="29"/>
      <c r="AW71" s="41" t="s">
        <v>514</v>
      </c>
      <c r="AX71" s="41" t="s">
        <v>355</v>
      </c>
      <c r="AY71" s="40"/>
      <c r="AZ71" s="40"/>
      <c r="BA71" s="40"/>
      <c r="BB71" s="31"/>
      <c r="BC71" s="32"/>
      <c r="BD71" s="29"/>
      <c r="BF71" s="41" t="s">
        <v>514</v>
      </c>
      <c r="BG71" s="41" t="s">
        <v>355</v>
      </c>
      <c r="BH71" s="40"/>
      <c r="BI71" s="40"/>
      <c r="BJ71" s="40"/>
      <c r="BK71" s="31"/>
      <c r="BL71" s="32"/>
      <c r="BM71" s="29"/>
    </row>
    <row r="72" spans="2:65" outlineLevel="1">
      <c r="B72" s="41" t="s">
        <v>514</v>
      </c>
      <c r="C72" s="41" t="s">
        <v>355</v>
      </c>
      <c r="D72" s="40"/>
      <c r="E72" s="40"/>
      <c r="F72" s="40"/>
      <c r="G72" s="31"/>
      <c r="H72" s="32"/>
      <c r="I72" s="29"/>
      <c r="J72" s="172"/>
      <c r="L72" s="41" t="s">
        <v>514</v>
      </c>
      <c r="M72" s="41" t="s">
        <v>355</v>
      </c>
      <c r="N72" s="40"/>
      <c r="O72" s="40"/>
      <c r="P72" s="40"/>
      <c r="Q72" s="31"/>
      <c r="R72" s="32"/>
      <c r="S72" s="29"/>
      <c r="T72" s="172"/>
      <c r="V72" s="41" t="s">
        <v>514</v>
      </c>
      <c r="W72" s="41" t="s">
        <v>355</v>
      </c>
      <c r="X72" s="40"/>
      <c r="Y72" s="40"/>
      <c r="Z72" s="40"/>
      <c r="AA72" s="31"/>
      <c r="AB72" s="32"/>
      <c r="AC72" s="29"/>
      <c r="AE72" s="41" t="s">
        <v>514</v>
      </c>
      <c r="AF72" s="41" t="s">
        <v>355</v>
      </c>
      <c r="AG72" s="40"/>
      <c r="AH72" s="40"/>
      <c r="AI72" s="40"/>
      <c r="AJ72" s="31"/>
      <c r="AK72" s="32"/>
      <c r="AL72" s="29"/>
      <c r="AN72" s="41" t="s">
        <v>514</v>
      </c>
      <c r="AO72" s="41" t="s">
        <v>355</v>
      </c>
      <c r="AP72" s="40"/>
      <c r="AQ72" s="40"/>
      <c r="AR72" s="40"/>
      <c r="AS72" s="31"/>
      <c r="AT72" s="32"/>
      <c r="AU72" s="29"/>
      <c r="AW72" s="41" t="s">
        <v>514</v>
      </c>
      <c r="AX72" s="41" t="s">
        <v>355</v>
      </c>
      <c r="AY72" s="40"/>
      <c r="AZ72" s="40"/>
      <c r="BA72" s="40"/>
      <c r="BB72" s="31"/>
      <c r="BC72" s="32"/>
      <c r="BD72" s="29"/>
      <c r="BF72" s="41" t="s">
        <v>514</v>
      </c>
      <c r="BG72" s="41" t="s">
        <v>355</v>
      </c>
      <c r="BH72" s="40"/>
      <c r="BI72" s="40"/>
      <c r="BJ72" s="40"/>
      <c r="BK72" s="31"/>
      <c r="BL72" s="32"/>
      <c r="BM72" s="29"/>
    </row>
    <row r="73" spans="2:65" outlineLevel="1">
      <c r="B73" s="41" t="s">
        <v>514</v>
      </c>
      <c r="C73" s="41" t="s">
        <v>355</v>
      </c>
      <c r="D73" s="40"/>
      <c r="E73" s="40"/>
      <c r="F73" s="40"/>
      <c r="G73" s="31"/>
      <c r="H73" s="32"/>
      <c r="I73" s="29"/>
      <c r="J73" s="172"/>
      <c r="L73" s="41" t="s">
        <v>514</v>
      </c>
      <c r="M73" s="41" t="s">
        <v>355</v>
      </c>
      <c r="N73" s="40"/>
      <c r="O73" s="40"/>
      <c r="P73" s="40"/>
      <c r="Q73" s="31"/>
      <c r="R73" s="32"/>
      <c r="S73" s="29"/>
      <c r="T73" s="172"/>
      <c r="V73" s="41" t="s">
        <v>514</v>
      </c>
      <c r="W73" s="41" t="s">
        <v>355</v>
      </c>
      <c r="X73" s="40"/>
      <c r="Y73" s="40"/>
      <c r="Z73" s="40"/>
      <c r="AA73" s="31"/>
      <c r="AB73" s="32"/>
      <c r="AC73" s="29"/>
      <c r="AE73" s="41" t="s">
        <v>514</v>
      </c>
      <c r="AF73" s="41" t="s">
        <v>355</v>
      </c>
      <c r="AG73" s="40"/>
      <c r="AH73" s="40"/>
      <c r="AI73" s="40"/>
      <c r="AJ73" s="31"/>
      <c r="AK73" s="32"/>
      <c r="AL73" s="29"/>
      <c r="AN73" s="41" t="s">
        <v>514</v>
      </c>
      <c r="AO73" s="41" t="s">
        <v>355</v>
      </c>
      <c r="AP73" s="40"/>
      <c r="AQ73" s="40"/>
      <c r="AR73" s="40"/>
      <c r="AS73" s="31"/>
      <c r="AT73" s="32"/>
      <c r="AU73" s="29"/>
      <c r="AW73" s="41" t="s">
        <v>514</v>
      </c>
      <c r="AX73" s="41" t="s">
        <v>355</v>
      </c>
      <c r="AY73" s="40"/>
      <c r="AZ73" s="40"/>
      <c r="BA73" s="40"/>
      <c r="BB73" s="31"/>
      <c r="BC73" s="32"/>
      <c r="BD73" s="29"/>
      <c r="BF73" s="41" t="s">
        <v>514</v>
      </c>
      <c r="BG73" s="41" t="s">
        <v>355</v>
      </c>
      <c r="BH73" s="40"/>
      <c r="BI73" s="40"/>
      <c r="BJ73" s="40"/>
      <c r="BK73" s="31"/>
      <c r="BL73" s="32"/>
      <c r="BM73" s="29"/>
    </row>
    <row r="74" spans="2:65" outlineLevel="1">
      <c r="B74" s="41" t="s">
        <v>514</v>
      </c>
      <c r="C74" s="41" t="s">
        <v>355</v>
      </c>
      <c r="D74" s="40"/>
      <c r="E74" s="40"/>
      <c r="F74" s="40"/>
      <c r="G74" s="31"/>
      <c r="H74" s="32"/>
      <c r="I74" s="29"/>
      <c r="J74" s="172"/>
      <c r="L74" s="41" t="s">
        <v>514</v>
      </c>
      <c r="M74" s="41" t="s">
        <v>355</v>
      </c>
      <c r="N74" s="40"/>
      <c r="O74" s="40"/>
      <c r="P74" s="40"/>
      <c r="Q74" s="31"/>
      <c r="R74" s="32"/>
      <c r="S74" s="29"/>
      <c r="T74" s="172"/>
      <c r="V74" s="41" t="s">
        <v>514</v>
      </c>
      <c r="W74" s="41" t="s">
        <v>355</v>
      </c>
      <c r="X74" s="40"/>
      <c r="Y74" s="40"/>
      <c r="Z74" s="40"/>
      <c r="AA74" s="31"/>
      <c r="AB74" s="32"/>
      <c r="AC74" s="29"/>
      <c r="AE74" s="41" t="s">
        <v>514</v>
      </c>
      <c r="AF74" s="41" t="s">
        <v>355</v>
      </c>
      <c r="AG74" s="40"/>
      <c r="AH74" s="40"/>
      <c r="AI74" s="40"/>
      <c r="AJ74" s="31"/>
      <c r="AK74" s="32"/>
      <c r="AL74" s="29"/>
      <c r="AN74" s="41" t="s">
        <v>514</v>
      </c>
      <c r="AO74" s="41" t="s">
        <v>355</v>
      </c>
      <c r="AP74" s="40"/>
      <c r="AQ74" s="40"/>
      <c r="AR74" s="40"/>
      <c r="AS74" s="31"/>
      <c r="AT74" s="32"/>
      <c r="AU74" s="29"/>
      <c r="AW74" s="41" t="s">
        <v>514</v>
      </c>
      <c r="AX74" s="41" t="s">
        <v>355</v>
      </c>
      <c r="AY74" s="40"/>
      <c r="AZ74" s="40"/>
      <c r="BA74" s="40"/>
      <c r="BB74" s="31"/>
      <c r="BC74" s="32"/>
      <c r="BD74" s="29"/>
      <c r="BF74" s="41" t="s">
        <v>514</v>
      </c>
      <c r="BG74" s="41" t="s">
        <v>355</v>
      </c>
      <c r="BH74" s="40"/>
      <c r="BI74" s="40"/>
      <c r="BJ74" s="40"/>
      <c r="BK74" s="31"/>
      <c r="BL74" s="32"/>
      <c r="BM74" s="29"/>
    </row>
    <row r="75" spans="2:65" outlineLevel="1">
      <c r="B75" s="41" t="s">
        <v>514</v>
      </c>
      <c r="C75" s="41" t="s">
        <v>355</v>
      </c>
      <c r="D75" s="40"/>
      <c r="E75" s="40"/>
      <c r="F75" s="40"/>
      <c r="G75" s="31"/>
      <c r="H75" s="32"/>
      <c r="I75" s="29"/>
      <c r="J75" s="172"/>
      <c r="L75" s="41" t="s">
        <v>514</v>
      </c>
      <c r="M75" s="41" t="s">
        <v>355</v>
      </c>
      <c r="N75" s="40"/>
      <c r="O75" s="40"/>
      <c r="P75" s="40"/>
      <c r="Q75" s="31"/>
      <c r="R75" s="32"/>
      <c r="S75" s="29"/>
      <c r="T75" s="172"/>
      <c r="V75" s="41" t="s">
        <v>514</v>
      </c>
      <c r="W75" s="41" t="s">
        <v>355</v>
      </c>
      <c r="X75" s="40"/>
      <c r="Y75" s="40"/>
      <c r="Z75" s="40"/>
      <c r="AA75" s="31"/>
      <c r="AB75" s="32"/>
      <c r="AC75" s="29"/>
      <c r="AE75" s="41" t="s">
        <v>514</v>
      </c>
      <c r="AF75" s="41" t="s">
        <v>355</v>
      </c>
      <c r="AG75" s="40"/>
      <c r="AH75" s="40"/>
      <c r="AI75" s="40"/>
      <c r="AJ75" s="31"/>
      <c r="AK75" s="32"/>
      <c r="AL75" s="29"/>
      <c r="AN75" s="41" t="s">
        <v>514</v>
      </c>
      <c r="AO75" s="41" t="s">
        <v>355</v>
      </c>
      <c r="AP75" s="40"/>
      <c r="AQ75" s="40"/>
      <c r="AR75" s="40"/>
      <c r="AS75" s="31"/>
      <c r="AT75" s="32"/>
      <c r="AU75" s="29"/>
      <c r="AW75" s="41" t="s">
        <v>514</v>
      </c>
      <c r="AX75" s="41" t="s">
        <v>355</v>
      </c>
      <c r="AY75" s="40"/>
      <c r="AZ75" s="40"/>
      <c r="BA75" s="40"/>
      <c r="BB75" s="31"/>
      <c r="BC75" s="32"/>
      <c r="BD75" s="29"/>
      <c r="BF75" s="41" t="s">
        <v>514</v>
      </c>
      <c r="BG75" s="41" t="s">
        <v>355</v>
      </c>
      <c r="BH75" s="40"/>
      <c r="BI75" s="40"/>
      <c r="BJ75" s="40"/>
      <c r="BK75" s="31"/>
      <c r="BL75" s="32"/>
      <c r="BM75" s="29"/>
    </row>
    <row r="76" spans="2:65" outlineLevel="1">
      <c r="B76" s="41" t="s">
        <v>514</v>
      </c>
      <c r="C76" s="41" t="s">
        <v>355</v>
      </c>
      <c r="D76" s="40"/>
      <c r="E76" s="40"/>
      <c r="F76" s="40"/>
      <c r="G76" s="31"/>
      <c r="H76" s="32"/>
      <c r="I76" s="29"/>
      <c r="J76" s="172"/>
      <c r="L76" s="41" t="s">
        <v>514</v>
      </c>
      <c r="M76" s="41" t="s">
        <v>355</v>
      </c>
      <c r="N76" s="40"/>
      <c r="O76" s="40"/>
      <c r="P76" s="40"/>
      <c r="Q76" s="31"/>
      <c r="R76" s="32"/>
      <c r="S76" s="29"/>
      <c r="T76" s="172"/>
      <c r="V76" s="41" t="s">
        <v>514</v>
      </c>
      <c r="W76" s="41" t="s">
        <v>355</v>
      </c>
      <c r="X76" s="40"/>
      <c r="Y76" s="40"/>
      <c r="Z76" s="40"/>
      <c r="AA76" s="31"/>
      <c r="AB76" s="32"/>
      <c r="AC76" s="29"/>
      <c r="AE76" s="41" t="s">
        <v>514</v>
      </c>
      <c r="AF76" s="41" t="s">
        <v>355</v>
      </c>
      <c r="AG76" s="40"/>
      <c r="AH76" s="40"/>
      <c r="AI76" s="40"/>
      <c r="AJ76" s="31"/>
      <c r="AK76" s="32"/>
      <c r="AL76" s="29"/>
      <c r="AN76" s="41" t="s">
        <v>514</v>
      </c>
      <c r="AO76" s="41" t="s">
        <v>355</v>
      </c>
      <c r="AP76" s="40"/>
      <c r="AQ76" s="40"/>
      <c r="AR76" s="40"/>
      <c r="AS76" s="31"/>
      <c r="AT76" s="32"/>
      <c r="AU76" s="29"/>
      <c r="AW76" s="41" t="s">
        <v>514</v>
      </c>
      <c r="AX76" s="41" t="s">
        <v>355</v>
      </c>
      <c r="AY76" s="40"/>
      <c r="AZ76" s="40"/>
      <c r="BA76" s="40"/>
      <c r="BB76" s="31"/>
      <c r="BC76" s="32"/>
      <c r="BD76" s="29"/>
      <c r="BF76" s="41" t="s">
        <v>514</v>
      </c>
      <c r="BG76" s="41" t="s">
        <v>355</v>
      </c>
      <c r="BH76" s="40"/>
      <c r="BI76" s="40"/>
      <c r="BJ76" s="40"/>
      <c r="BK76" s="31"/>
      <c r="BL76" s="32"/>
      <c r="BM76" s="29"/>
    </row>
    <row r="77" spans="2:65" s="24" customFormat="1">
      <c r="B77" s="8" t="s">
        <v>515</v>
      </c>
      <c r="C77" s="25"/>
      <c r="D77" s="28">
        <f t="shared" ref="D77:F77" si="78">SUM(D62:D76)</f>
        <v>0</v>
      </c>
      <c r="E77" s="28">
        <f t="shared" si="78"/>
        <v>0</v>
      </c>
      <c r="F77" s="28">
        <f t="shared" si="78"/>
        <v>0</v>
      </c>
      <c r="G77" s="25"/>
      <c r="H77" s="26"/>
      <c r="I77" s="30"/>
      <c r="J77" s="171"/>
      <c r="L77" s="8" t="s">
        <v>515</v>
      </c>
      <c r="M77" s="25"/>
      <c r="N77" s="28">
        <f t="shared" ref="N77" si="79">SUM(N62:N76)</f>
        <v>0</v>
      </c>
      <c r="O77" s="28">
        <f t="shared" ref="O77" si="80">SUM(O62:O76)</f>
        <v>0</v>
      </c>
      <c r="P77" s="28">
        <f t="shared" ref="P77" si="81">SUM(P62:P76)</f>
        <v>0</v>
      </c>
      <c r="Q77" s="25"/>
      <c r="R77" s="26"/>
      <c r="S77" s="30"/>
      <c r="T77" s="171"/>
      <c r="V77" s="8" t="s">
        <v>515</v>
      </c>
      <c r="W77" s="25"/>
      <c r="X77" s="28">
        <f t="shared" ref="X77" si="82">SUM(X62:X76)</f>
        <v>0</v>
      </c>
      <c r="Y77" s="28">
        <f t="shared" ref="Y77" si="83">SUM(Y62:Y76)</f>
        <v>0</v>
      </c>
      <c r="Z77" s="28">
        <f t="shared" ref="Z77" si="84">SUM(Z62:Z76)</f>
        <v>0</v>
      </c>
      <c r="AA77" s="25"/>
      <c r="AB77" s="26"/>
      <c r="AC77" s="30"/>
      <c r="AE77" s="8" t="s">
        <v>515</v>
      </c>
      <c r="AF77" s="25"/>
      <c r="AG77" s="28">
        <f t="shared" ref="AG77" si="85">SUM(AG62:AG76)</f>
        <v>0</v>
      </c>
      <c r="AH77" s="28">
        <f t="shared" ref="AH77" si="86">SUM(AH62:AH76)</f>
        <v>0</v>
      </c>
      <c r="AI77" s="28">
        <f t="shared" ref="AI77" si="87">SUM(AI62:AI76)</f>
        <v>0</v>
      </c>
      <c r="AJ77" s="25"/>
      <c r="AK77" s="26"/>
      <c r="AL77" s="30"/>
      <c r="AN77" s="8" t="s">
        <v>515</v>
      </c>
      <c r="AO77" s="25"/>
      <c r="AP77" s="28">
        <f t="shared" ref="AP77" si="88">SUM(AP62:AP76)</f>
        <v>0</v>
      </c>
      <c r="AQ77" s="28">
        <f t="shared" ref="AQ77" si="89">SUM(AQ62:AQ76)</f>
        <v>0</v>
      </c>
      <c r="AR77" s="28">
        <f t="shared" ref="AR77" si="90">SUM(AR62:AR76)</f>
        <v>0</v>
      </c>
      <c r="AS77" s="25"/>
      <c r="AT77" s="26"/>
      <c r="AU77" s="30"/>
      <c r="AW77" s="8" t="s">
        <v>515</v>
      </c>
      <c r="AX77" s="25"/>
      <c r="AY77" s="28">
        <f t="shared" ref="AY77" si="91">SUM(AY62:AY76)</f>
        <v>0</v>
      </c>
      <c r="AZ77" s="28">
        <f t="shared" ref="AZ77" si="92">SUM(AZ62:AZ76)</f>
        <v>0</v>
      </c>
      <c r="BA77" s="28">
        <f t="shared" ref="BA77" si="93">SUM(BA62:BA76)</f>
        <v>0</v>
      </c>
      <c r="BB77" s="25"/>
      <c r="BC77" s="26"/>
      <c r="BD77" s="30"/>
      <c r="BF77" s="8" t="s">
        <v>515</v>
      </c>
      <c r="BG77" s="25"/>
      <c r="BH77" s="28">
        <f t="shared" ref="BH77" si="94">SUM(BH62:BH76)</f>
        <v>0</v>
      </c>
      <c r="BI77" s="28">
        <f t="shared" ref="BI77" si="95">SUM(BI62:BI76)</f>
        <v>0</v>
      </c>
      <c r="BJ77" s="28">
        <f t="shared" ref="BJ77" si="96">SUM(BJ62:BJ76)</f>
        <v>0</v>
      </c>
      <c r="BK77" s="25"/>
      <c r="BL77" s="26"/>
      <c r="BM77" s="30"/>
    </row>
    <row r="79" spans="2:65" s="20" customFormat="1" ht="41.4">
      <c r="B79" s="27" t="s">
        <v>14</v>
      </c>
      <c r="C79" s="3" t="str">
        <f>C$43</f>
        <v>Source</v>
      </c>
      <c r="D79" s="3" t="str">
        <f t="shared" ref="D79:I79" si="97">D$43</f>
        <v>Limit (A)</v>
      </c>
      <c r="E79" s="3" t="str">
        <f t="shared" si="97"/>
        <v>Outstanding (A1)</v>
      </c>
      <c r="F79" s="3" t="str">
        <f t="shared" si="97"/>
        <v>Monthly Repayment (B)</v>
      </c>
      <c r="G79" s="3" t="str">
        <f t="shared" si="97"/>
        <v>Interest Rate (C)</v>
      </c>
      <c r="H79" s="3" t="str">
        <f t="shared" si="97"/>
        <v>Factor (D)</v>
      </c>
      <c r="I79" s="3" t="str">
        <f t="shared" si="97"/>
        <v>Interest (E) = (A or A1) * (C) * (D)</v>
      </c>
      <c r="J79" s="173" t="s">
        <v>450</v>
      </c>
      <c r="L79" s="27" t="s">
        <v>14</v>
      </c>
      <c r="M79" s="3" t="str">
        <f>M$43</f>
        <v>Source</v>
      </c>
      <c r="N79" s="3" t="str">
        <f t="shared" ref="N79:S79" si="98">N$43</f>
        <v>Limit (A)</v>
      </c>
      <c r="O79" s="3" t="str">
        <f t="shared" si="98"/>
        <v>Outstanding (A1)</v>
      </c>
      <c r="P79" s="3" t="str">
        <f t="shared" si="98"/>
        <v>Monthly Repayment (B)</v>
      </c>
      <c r="Q79" s="3" t="str">
        <f t="shared" si="98"/>
        <v>Interest Rate (C)</v>
      </c>
      <c r="R79" s="3" t="str">
        <f t="shared" si="98"/>
        <v>Factor (D)</v>
      </c>
      <c r="S79" s="3" t="str">
        <f t="shared" si="98"/>
        <v>Interest (E) = (A or A1) * (C) * (D)</v>
      </c>
      <c r="T79" s="173" t="s">
        <v>450</v>
      </c>
      <c r="V79" s="27" t="s">
        <v>14</v>
      </c>
      <c r="W79" s="3" t="str">
        <f>W$43</f>
        <v>Source</v>
      </c>
      <c r="X79" s="3" t="str">
        <f t="shared" ref="X79:AC79" si="99">X$43</f>
        <v>Limit (A)</v>
      </c>
      <c r="Y79" s="3" t="str">
        <f t="shared" si="99"/>
        <v>Outstanding (A1)</v>
      </c>
      <c r="Z79" s="3" t="str">
        <f t="shared" si="99"/>
        <v>Monthly Repayment (B)</v>
      </c>
      <c r="AA79" s="3" t="str">
        <f t="shared" si="99"/>
        <v>Interest Rate (C)</v>
      </c>
      <c r="AB79" s="3" t="str">
        <f t="shared" si="99"/>
        <v>Factor (D)</v>
      </c>
      <c r="AC79" s="3" t="str">
        <f t="shared" si="99"/>
        <v>Interest (E) = (A or A1) * (C) * (D)</v>
      </c>
      <c r="AE79" s="27" t="s">
        <v>14</v>
      </c>
      <c r="AF79" s="3" t="str">
        <f>AF$43</f>
        <v>Source</v>
      </c>
      <c r="AG79" s="3" t="str">
        <f t="shared" ref="AG79:AL79" si="100">AG$43</f>
        <v>Limit (A)</v>
      </c>
      <c r="AH79" s="3" t="str">
        <f t="shared" si="100"/>
        <v>Outstanding (A1)</v>
      </c>
      <c r="AI79" s="3" t="str">
        <f t="shared" si="100"/>
        <v>Monthly Repayment (B)</v>
      </c>
      <c r="AJ79" s="3" t="str">
        <f t="shared" si="100"/>
        <v>Interest Rate (C)</v>
      </c>
      <c r="AK79" s="3" t="str">
        <f t="shared" si="100"/>
        <v>Factor (D)</v>
      </c>
      <c r="AL79" s="3" t="str">
        <f t="shared" si="100"/>
        <v>Interest (E) = (A or A1) * (C) * (D)</v>
      </c>
      <c r="AN79" s="27" t="s">
        <v>14</v>
      </c>
      <c r="AO79" s="3" t="str">
        <f>AO$43</f>
        <v>Source</v>
      </c>
      <c r="AP79" s="3" t="str">
        <f t="shared" ref="AP79:AU79" si="101">AP$43</f>
        <v>Limit (A)</v>
      </c>
      <c r="AQ79" s="3" t="str">
        <f t="shared" si="101"/>
        <v>Outstanding (A1)</v>
      </c>
      <c r="AR79" s="3" t="str">
        <f t="shared" si="101"/>
        <v>Monthly Repayment (B)</v>
      </c>
      <c r="AS79" s="3" t="str">
        <f t="shared" si="101"/>
        <v>Interest Rate (C)</v>
      </c>
      <c r="AT79" s="3" t="str">
        <f t="shared" si="101"/>
        <v>Factor (D)</v>
      </c>
      <c r="AU79" s="3" t="str">
        <f t="shared" si="101"/>
        <v>Interest (E) = (A or A1) * (C) * (D)</v>
      </c>
      <c r="AW79" s="27" t="s">
        <v>14</v>
      </c>
      <c r="AX79" s="3" t="str">
        <f>AX$43</f>
        <v>Source</v>
      </c>
      <c r="AY79" s="3" t="str">
        <f t="shared" ref="AY79:BD79" si="102">AY$43</f>
        <v>Limit (A)</v>
      </c>
      <c r="AZ79" s="3" t="str">
        <f t="shared" si="102"/>
        <v>Outstanding (A1)</v>
      </c>
      <c r="BA79" s="3" t="str">
        <f t="shared" si="102"/>
        <v>Monthly Repayment (B)</v>
      </c>
      <c r="BB79" s="3" t="str">
        <f t="shared" si="102"/>
        <v>Interest Rate (C)</v>
      </c>
      <c r="BC79" s="3" t="str">
        <f t="shared" si="102"/>
        <v>Factor (D)</v>
      </c>
      <c r="BD79" s="3" t="str">
        <f t="shared" si="102"/>
        <v>Interest (E) = (A or A1) * (C) * (D)</v>
      </c>
      <c r="BF79" s="27" t="s">
        <v>14</v>
      </c>
      <c r="BG79" s="3" t="str">
        <f>BG$43</f>
        <v>Source</v>
      </c>
      <c r="BH79" s="3" t="str">
        <f t="shared" ref="BH79:BM79" si="103">BH$43</f>
        <v>Limit (A)</v>
      </c>
      <c r="BI79" s="3" t="str">
        <f t="shared" si="103"/>
        <v>Outstanding (A1)</v>
      </c>
      <c r="BJ79" s="3" t="str">
        <f t="shared" si="103"/>
        <v>Monthly Repayment (B)</v>
      </c>
      <c r="BK79" s="3" t="str">
        <f t="shared" si="103"/>
        <v>Interest Rate (C)</v>
      </c>
      <c r="BL79" s="3" t="str">
        <f t="shared" si="103"/>
        <v>Factor (D)</v>
      </c>
      <c r="BM79" s="3" t="str">
        <f t="shared" si="103"/>
        <v>Interest (E) = (A or A1) * (C) * (D)</v>
      </c>
    </row>
    <row r="80" spans="2:65">
      <c r="B80" s="41" t="s">
        <v>514</v>
      </c>
      <c r="C80" s="41" t="s">
        <v>355</v>
      </c>
      <c r="D80" s="40"/>
      <c r="E80" s="40"/>
      <c r="F80" s="29"/>
      <c r="G80" s="22"/>
      <c r="H80" s="23">
        <v>0.82</v>
      </c>
      <c r="I80" s="75">
        <f>D80*G80*H80</f>
        <v>0</v>
      </c>
      <c r="J80" s="172"/>
      <c r="L80" s="41" t="s">
        <v>514</v>
      </c>
      <c r="M80" s="41" t="s">
        <v>355</v>
      </c>
      <c r="N80" s="40"/>
      <c r="O80" s="40"/>
      <c r="P80" s="29"/>
      <c r="Q80" s="22">
        <v>0.08</v>
      </c>
      <c r="R80" s="23">
        <v>0.82</v>
      </c>
      <c r="S80" s="75">
        <f>N80*Q80*R80</f>
        <v>0</v>
      </c>
      <c r="T80" s="172"/>
      <c r="V80" s="41" t="s">
        <v>514</v>
      </c>
      <c r="W80" s="41" t="s">
        <v>355</v>
      </c>
      <c r="X80" s="40"/>
      <c r="Y80" s="40"/>
      <c r="Z80" s="29"/>
      <c r="AA80" s="22">
        <v>0.08</v>
      </c>
      <c r="AB80" s="23">
        <v>0.82</v>
      </c>
      <c r="AC80" s="75">
        <f>X80*AA80*AB80</f>
        <v>0</v>
      </c>
      <c r="AE80" s="41" t="s">
        <v>514</v>
      </c>
      <c r="AF80" s="41" t="s">
        <v>355</v>
      </c>
      <c r="AG80" s="40"/>
      <c r="AH80" s="40"/>
      <c r="AI80" s="29"/>
      <c r="AJ80" s="22">
        <v>0.08</v>
      </c>
      <c r="AK80" s="23">
        <v>0.82</v>
      </c>
      <c r="AL80" s="75">
        <f>AG80*AJ80*AK80</f>
        <v>0</v>
      </c>
      <c r="AN80" s="41" t="s">
        <v>514</v>
      </c>
      <c r="AO80" s="41" t="s">
        <v>355</v>
      </c>
      <c r="AP80" s="40"/>
      <c r="AQ80" s="40"/>
      <c r="AR80" s="29"/>
      <c r="AS80" s="22">
        <v>0.08</v>
      </c>
      <c r="AT80" s="23">
        <v>0.82</v>
      </c>
      <c r="AU80" s="75">
        <f>AP80*AS80*AT80</f>
        <v>0</v>
      </c>
      <c r="AW80" s="41" t="s">
        <v>514</v>
      </c>
      <c r="AX80" s="41" t="s">
        <v>355</v>
      </c>
      <c r="AY80" s="40"/>
      <c r="AZ80" s="40"/>
      <c r="BA80" s="29"/>
      <c r="BB80" s="22">
        <v>0.08</v>
      </c>
      <c r="BC80" s="23">
        <v>0.82</v>
      </c>
      <c r="BD80" s="75">
        <f>AY80*BB80*BC80</f>
        <v>0</v>
      </c>
      <c r="BF80" s="41" t="s">
        <v>514</v>
      </c>
      <c r="BG80" s="41" t="s">
        <v>355</v>
      </c>
      <c r="BH80" s="40"/>
      <c r="BI80" s="40"/>
      <c r="BJ80" s="29"/>
      <c r="BK80" s="22">
        <v>0.08</v>
      </c>
      <c r="BL80" s="23">
        <v>0.82</v>
      </c>
      <c r="BM80" s="75">
        <f>BH80*BK80*BL80</f>
        <v>0</v>
      </c>
    </row>
    <row r="81" spans="2:65">
      <c r="B81" s="41" t="s">
        <v>514</v>
      </c>
      <c r="C81" s="41" t="s">
        <v>355</v>
      </c>
      <c r="D81" s="40"/>
      <c r="E81" s="40"/>
      <c r="F81" s="29"/>
      <c r="G81" s="22"/>
      <c r="H81" s="23">
        <v>0.82</v>
      </c>
      <c r="I81" s="75">
        <f t="shared" ref="I81:I94" si="104">D81*G81*H81</f>
        <v>0</v>
      </c>
      <c r="J81" s="172"/>
      <c r="L81" s="41" t="s">
        <v>514</v>
      </c>
      <c r="M81" s="41" t="s">
        <v>355</v>
      </c>
      <c r="N81" s="40"/>
      <c r="O81" s="40"/>
      <c r="P81" s="29"/>
      <c r="Q81" s="22"/>
      <c r="R81" s="23">
        <v>0.82</v>
      </c>
      <c r="S81" s="75">
        <f t="shared" ref="S81:S94" si="105">N81*Q81*R81</f>
        <v>0</v>
      </c>
      <c r="T81" s="172"/>
      <c r="V81" s="41" t="s">
        <v>514</v>
      </c>
      <c r="W81" s="41" t="s">
        <v>355</v>
      </c>
      <c r="X81" s="40"/>
      <c r="Y81" s="40"/>
      <c r="Z81" s="29"/>
      <c r="AA81" s="22"/>
      <c r="AB81" s="23">
        <v>0.82</v>
      </c>
      <c r="AC81" s="75">
        <f t="shared" ref="AC81:AC94" si="106">X81*AA81*AB81</f>
        <v>0</v>
      </c>
      <c r="AE81" s="41" t="s">
        <v>514</v>
      </c>
      <c r="AF81" s="41" t="s">
        <v>355</v>
      </c>
      <c r="AG81" s="40"/>
      <c r="AH81" s="40"/>
      <c r="AI81" s="29"/>
      <c r="AJ81" s="22"/>
      <c r="AK81" s="23">
        <v>0.82</v>
      </c>
      <c r="AL81" s="75">
        <f t="shared" ref="AL81:AL94" si="107">AG81*AJ81*AK81</f>
        <v>0</v>
      </c>
      <c r="AN81" s="41" t="s">
        <v>514</v>
      </c>
      <c r="AO81" s="41" t="s">
        <v>355</v>
      </c>
      <c r="AP81" s="40"/>
      <c r="AQ81" s="40"/>
      <c r="AR81" s="29"/>
      <c r="AS81" s="22"/>
      <c r="AT81" s="23">
        <v>0.82</v>
      </c>
      <c r="AU81" s="75">
        <f t="shared" ref="AU81:AU94" si="108">AP81*AS81*AT81</f>
        <v>0</v>
      </c>
      <c r="AW81" s="41" t="s">
        <v>514</v>
      </c>
      <c r="AX81" s="41" t="s">
        <v>355</v>
      </c>
      <c r="AY81" s="40"/>
      <c r="AZ81" s="40"/>
      <c r="BA81" s="29"/>
      <c r="BB81" s="22"/>
      <c r="BC81" s="23">
        <v>0.82</v>
      </c>
      <c r="BD81" s="75">
        <f t="shared" ref="BD81:BD94" si="109">AY81*BB81*BC81</f>
        <v>0</v>
      </c>
      <c r="BF81" s="41" t="s">
        <v>514</v>
      </c>
      <c r="BG81" s="41" t="s">
        <v>355</v>
      </c>
      <c r="BH81" s="40"/>
      <c r="BI81" s="40"/>
      <c r="BJ81" s="29"/>
      <c r="BK81" s="22"/>
      <c r="BL81" s="23">
        <v>0.82</v>
      </c>
      <c r="BM81" s="75">
        <f t="shared" ref="BM81:BM94" si="110">BH81*BK81*BL81</f>
        <v>0</v>
      </c>
    </row>
    <row r="82" spans="2:65">
      <c r="B82" s="41" t="s">
        <v>514</v>
      </c>
      <c r="C82" s="41" t="s">
        <v>355</v>
      </c>
      <c r="D82" s="40"/>
      <c r="E82" s="40"/>
      <c r="F82" s="29"/>
      <c r="G82" s="22"/>
      <c r="H82" s="23">
        <v>0.82</v>
      </c>
      <c r="I82" s="75">
        <f t="shared" si="104"/>
        <v>0</v>
      </c>
      <c r="J82" s="172"/>
      <c r="L82" s="41" t="s">
        <v>514</v>
      </c>
      <c r="M82" s="41" t="s">
        <v>355</v>
      </c>
      <c r="N82" s="40"/>
      <c r="O82" s="40"/>
      <c r="P82" s="29"/>
      <c r="Q82" s="22"/>
      <c r="R82" s="23">
        <v>0.82</v>
      </c>
      <c r="S82" s="75">
        <f t="shared" si="105"/>
        <v>0</v>
      </c>
      <c r="T82" s="172"/>
      <c r="V82" s="41" t="s">
        <v>514</v>
      </c>
      <c r="W82" s="41" t="s">
        <v>355</v>
      </c>
      <c r="X82" s="40"/>
      <c r="Y82" s="40"/>
      <c r="Z82" s="29"/>
      <c r="AA82" s="22"/>
      <c r="AB82" s="23">
        <v>0.82</v>
      </c>
      <c r="AC82" s="75">
        <f t="shared" si="106"/>
        <v>0</v>
      </c>
      <c r="AE82" s="41" t="s">
        <v>514</v>
      </c>
      <c r="AF82" s="41" t="s">
        <v>355</v>
      </c>
      <c r="AG82" s="40"/>
      <c r="AH82" s="40"/>
      <c r="AI82" s="29"/>
      <c r="AJ82" s="22"/>
      <c r="AK82" s="23">
        <v>0.82</v>
      </c>
      <c r="AL82" s="75">
        <f t="shared" si="107"/>
        <v>0</v>
      </c>
      <c r="AN82" s="41" t="s">
        <v>514</v>
      </c>
      <c r="AO82" s="41" t="s">
        <v>355</v>
      </c>
      <c r="AP82" s="40"/>
      <c r="AQ82" s="40"/>
      <c r="AR82" s="29"/>
      <c r="AS82" s="22"/>
      <c r="AT82" s="23">
        <v>0.82</v>
      </c>
      <c r="AU82" s="75">
        <f t="shared" si="108"/>
        <v>0</v>
      </c>
      <c r="AW82" s="41" t="s">
        <v>514</v>
      </c>
      <c r="AX82" s="41" t="s">
        <v>355</v>
      </c>
      <c r="AY82" s="40"/>
      <c r="AZ82" s="40"/>
      <c r="BA82" s="29"/>
      <c r="BB82" s="22"/>
      <c r="BC82" s="23">
        <v>0.82</v>
      </c>
      <c r="BD82" s="75">
        <f t="shared" si="109"/>
        <v>0</v>
      </c>
      <c r="BF82" s="41" t="s">
        <v>514</v>
      </c>
      <c r="BG82" s="41" t="s">
        <v>355</v>
      </c>
      <c r="BH82" s="40"/>
      <c r="BI82" s="40"/>
      <c r="BJ82" s="29"/>
      <c r="BK82" s="22"/>
      <c r="BL82" s="23">
        <v>0.82</v>
      </c>
      <c r="BM82" s="75">
        <f t="shared" si="110"/>
        <v>0</v>
      </c>
    </row>
    <row r="83" spans="2:65">
      <c r="B83" s="41" t="s">
        <v>514</v>
      </c>
      <c r="C83" s="41" t="s">
        <v>355</v>
      </c>
      <c r="D83" s="40"/>
      <c r="E83" s="40"/>
      <c r="F83" s="29"/>
      <c r="G83" s="22"/>
      <c r="H83" s="23">
        <v>0.82</v>
      </c>
      <c r="I83" s="75">
        <f t="shared" si="104"/>
        <v>0</v>
      </c>
      <c r="J83" s="172"/>
      <c r="L83" s="41" t="s">
        <v>514</v>
      </c>
      <c r="M83" s="41" t="s">
        <v>355</v>
      </c>
      <c r="N83" s="40"/>
      <c r="O83" s="40"/>
      <c r="P83" s="29"/>
      <c r="Q83" s="22"/>
      <c r="R83" s="23">
        <v>0.82</v>
      </c>
      <c r="S83" s="75">
        <f t="shared" si="105"/>
        <v>0</v>
      </c>
      <c r="T83" s="172"/>
      <c r="V83" s="41" t="s">
        <v>514</v>
      </c>
      <c r="W83" s="41" t="s">
        <v>355</v>
      </c>
      <c r="X83" s="40"/>
      <c r="Y83" s="40"/>
      <c r="Z83" s="29"/>
      <c r="AA83" s="22"/>
      <c r="AB83" s="23">
        <v>0.82</v>
      </c>
      <c r="AC83" s="75">
        <f t="shared" si="106"/>
        <v>0</v>
      </c>
      <c r="AE83" s="41" t="s">
        <v>514</v>
      </c>
      <c r="AF83" s="41" t="s">
        <v>355</v>
      </c>
      <c r="AG83" s="40"/>
      <c r="AH83" s="40"/>
      <c r="AI83" s="29"/>
      <c r="AJ83" s="22"/>
      <c r="AK83" s="23">
        <v>0.82</v>
      </c>
      <c r="AL83" s="75">
        <f t="shared" si="107"/>
        <v>0</v>
      </c>
      <c r="AN83" s="41" t="s">
        <v>514</v>
      </c>
      <c r="AO83" s="41" t="s">
        <v>355</v>
      </c>
      <c r="AP83" s="40"/>
      <c r="AQ83" s="40"/>
      <c r="AR83" s="29"/>
      <c r="AS83" s="22"/>
      <c r="AT83" s="23">
        <v>0.82</v>
      </c>
      <c r="AU83" s="75">
        <f t="shared" si="108"/>
        <v>0</v>
      </c>
      <c r="AW83" s="41" t="s">
        <v>514</v>
      </c>
      <c r="AX83" s="41" t="s">
        <v>355</v>
      </c>
      <c r="AY83" s="40"/>
      <c r="AZ83" s="40"/>
      <c r="BA83" s="29"/>
      <c r="BB83" s="22"/>
      <c r="BC83" s="23">
        <v>0.82</v>
      </c>
      <c r="BD83" s="75">
        <f t="shared" si="109"/>
        <v>0</v>
      </c>
      <c r="BF83" s="41" t="s">
        <v>514</v>
      </c>
      <c r="BG83" s="41" t="s">
        <v>355</v>
      </c>
      <c r="BH83" s="40"/>
      <c r="BI83" s="40"/>
      <c r="BJ83" s="29"/>
      <c r="BK83" s="22"/>
      <c r="BL83" s="23">
        <v>0.82</v>
      </c>
      <c r="BM83" s="75">
        <f t="shared" si="110"/>
        <v>0</v>
      </c>
    </row>
    <row r="84" spans="2:65">
      <c r="B84" s="41" t="s">
        <v>514</v>
      </c>
      <c r="C84" s="41" t="s">
        <v>355</v>
      </c>
      <c r="D84" s="40"/>
      <c r="E84" s="40"/>
      <c r="F84" s="29"/>
      <c r="G84" s="22"/>
      <c r="H84" s="23">
        <v>0.82</v>
      </c>
      <c r="I84" s="75">
        <f t="shared" si="104"/>
        <v>0</v>
      </c>
      <c r="J84" s="172"/>
      <c r="L84" s="41" t="s">
        <v>514</v>
      </c>
      <c r="M84" s="41" t="s">
        <v>355</v>
      </c>
      <c r="N84" s="40"/>
      <c r="O84" s="40"/>
      <c r="P84" s="29"/>
      <c r="Q84" s="22"/>
      <c r="R84" s="23">
        <v>0.82</v>
      </c>
      <c r="S84" s="75">
        <f t="shared" si="105"/>
        <v>0</v>
      </c>
      <c r="T84" s="172"/>
      <c r="V84" s="41" t="s">
        <v>514</v>
      </c>
      <c r="W84" s="41" t="s">
        <v>355</v>
      </c>
      <c r="X84" s="40"/>
      <c r="Y84" s="40"/>
      <c r="Z84" s="29"/>
      <c r="AA84" s="22"/>
      <c r="AB84" s="23">
        <v>0.82</v>
      </c>
      <c r="AC84" s="75">
        <f t="shared" si="106"/>
        <v>0</v>
      </c>
      <c r="AE84" s="41" t="s">
        <v>514</v>
      </c>
      <c r="AF84" s="41" t="s">
        <v>355</v>
      </c>
      <c r="AG84" s="40"/>
      <c r="AH84" s="40"/>
      <c r="AI84" s="29"/>
      <c r="AJ84" s="22"/>
      <c r="AK84" s="23">
        <v>0.82</v>
      </c>
      <c r="AL84" s="75">
        <f t="shared" si="107"/>
        <v>0</v>
      </c>
      <c r="AN84" s="41" t="s">
        <v>514</v>
      </c>
      <c r="AO84" s="41" t="s">
        <v>355</v>
      </c>
      <c r="AP84" s="40"/>
      <c r="AQ84" s="40"/>
      <c r="AR84" s="29"/>
      <c r="AS84" s="22"/>
      <c r="AT84" s="23">
        <v>0.82</v>
      </c>
      <c r="AU84" s="75">
        <f t="shared" si="108"/>
        <v>0</v>
      </c>
      <c r="AW84" s="41" t="s">
        <v>514</v>
      </c>
      <c r="AX84" s="41" t="s">
        <v>355</v>
      </c>
      <c r="AY84" s="40"/>
      <c r="AZ84" s="40"/>
      <c r="BA84" s="29"/>
      <c r="BB84" s="22"/>
      <c r="BC84" s="23">
        <v>0.82</v>
      </c>
      <c r="BD84" s="75">
        <f t="shared" si="109"/>
        <v>0</v>
      </c>
      <c r="BF84" s="41" t="s">
        <v>514</v>
      </c>
      <c r="BG84" s="41" t="s">
        <v>355</v>
      </c>
      <c r="BH84" s="40"/>
      <c r="BI84" s="40"/>
      <c r="BJ84" s="29"/>
      <c r="BK84" s="22"/>
      <c r="BL84" s="23">
        <v>0.82</v>
      </c>
      <c r="BM84" s="75">
        <f t="shared" si="110"/>
        <v>0</v>
      </c>
    </row>
    <row r="85" spans="2:65">
      <c r="B85" s="41" t="s">
        <v>514</v>
      </c>
      <c r="C85" s="41" t="s">
        <v>355</v>
      </c>
      <c r="D85" s="40"/>
      <c r="E85" s="40"/>
      <c r="F85" s="29"/>
      <c r="G85" s="22"/>
      <c r="H85" s="23">
        <v>0.82</v>
      </c>
      <c r="I85" s="75">
        <f t="shared" si="104"/>
        <v>0</v>
      </c>
      <c r="J85" s="172"/>
      <c r="L85" s="41" t="s">
        <v>514</v>
      </c>
      <c r="M85" s="41" t="s">
        <v>355</v>
      </c>
      <c r="N85" s="40"/>
      <c r="O85" s="40"/>
      <c r="P85" s="29"/>
      <c r="Q85" s="22"/>
      <c r="R85" s="23">
        <v>0.82</v>
      </c>
      <c r="S85" s="75">
        <f t="shared" si="105"/>
        <v>0</v>
      </c>
      <c r="T85" s="172"/>
      <c r="V85" s="41" t="s">
        <v>514</v>
      </c>
      <c r="W85" s="41" t="s">
        <v>355</v>
      </c>
      <c r="X85" s="40"/>
      <c r="Y85" s="40"/>
      <c r="Z85" s="29"/>
      <c r="AA85" s="22"/>
      <c r="AB85" s="23">
        <v>0.82</v>
      </c>
      <c r="AC85" s="75">
        <f t="shared" si="106"/>
        <v>0</v>
      </c>
      <c r="AE85" s="41" t="s">
        <v>514</v>
      </c>
      <c r="AF85" s="41" t="s">
        <v>355</v>
      </c>
      <c r="AG85" s="40"/>
      <c r="AH85" s="40"/>
      <c r="AI85" s="29"/>
      <c r="AJ85" s="22"/>
      <c r="AK85" s="23">
        <v>0.82</v>
      </c>
      <c r="AL85" s="75">
        <f t="shared" si="107"/>
        <v>0</v>
      </c>
      <c r="AN85" s="41" t="s">
        <v>514</v>
      </c>
      <c r="AO85" s="41" t="s">
        <v>355</v>
      </c>
      <c r="AP85" s="40"/>
      <c r="AQ85" s="40"/>
      <c r="AR85" s="29"/>
      <c r="AS85" s="22"/>
      <c r="AT85" s="23">
        <v>0.82</v>
      </c>
      <c r="AU85" s="75">
        <f t="shared" si="108"/>
        <v>0</v>
      </c>
      <c r="AW85" s="41" t="s">
        <v>514</v>
      </c>
      <c r="AX85" s="41" t="s">
        <v>355</v>
      </c>
      <c r="AY85" s="40"/>
      <c r="AZ85" s="40"/>
      <c r="BA85" s="29"/>
      <c r="BB85" s="22"/>
      <c r="BC85" s="23">
        <v>0.82</v>
      </c>
      <c r="BD85" s="75">
        <f t="shared" si="109"/>
        <v>0</v>
      </c>
      <c r="BF85" s="41" t="s">
        <v>514</v>
      </c>
      <c r="BG85" s="41" t="s">
        <v>355</v>
      </c>
      <c r="BH85" s="40"/>
      <c r="BI85" s="40"/>
      <c r="BJ85" s="29"/>
      <c r="BK85" s="22"/>
      <c r="BL85" s="23">
        <v>0.82</v>
      </c>
      <c r="BM85" s="75">
        <f t="shared" si="110"/>
        <v>0</v>
      </c>
    </row>
    <row r="86" spans="2:65">
      <c r="B86" s="41" t="s">
        <v>514</v>
      </c>
      <c r="C86" s="41" t="s">
        <v>355</v>
      </c>
      <c r="D86" s="40"/>
      <c r="E86" s="40"/>
      <c r="F86" s="29"/>
      <c r="G86" s="22"/>
      <c r="H86" s="23">
        <v>0.82</v>
      </c>
      <c r="I86" s="75">
        <f t="shared" si="104"/>
        <v>0</v>
      </c>
      <c r="J86" s="172"/>
      <c r="L86" s="41" t="s">
        <v>514</v>
      </c>
      <c r="M86" s="41" t="s">
        <v>355</v>
      </c>
      <c r="N86" s="40"/>
      <c r="O86" s="40"/>
      <c r="P86" s="29"/>
      <c r="Q86" s="22"/>
      <c r="R86" s="23">
        <v>0.82</v>
      </c>
      <c r="S86" s="75">
        <f t="shared" si="105"/>
        <v>0</v>
      </c>
      <c r="T86" s="172"/>
      <c r="V86" s="41" t="s">
        <v>514</v>
      </c>
      <c r="W86" s="41" t="s">
        <v>355</v>
      </c>
      <c r="X86" s="40"/>
      <c r="Y86" s="40"/>
      <c r="Z86" s="29"/>
      <c r="AA86" s="22"/>
      <c r="AB86" s="23">
        <v>0.82</v>
      </c>
      <c r="AC86" s="75">
        <f t="shared" si="106"/>
        <v>0</v>
      </c>
      <c r="AE86" s="41" t="s">
        <v>514</v>
      </c>
      <c r="AF86" s="41" t="s">
        <v>355</v>
      </c>
      <c r="AG86" s="40"/>
      <c r="AH86" s="40"/>
      <c r="AI86" s="29"/>
      <c r="AJ86" s="22"/>
      <c r="AK86" s="23">
        <v>0.82</v>
      </c>
      <c r="AL86" s="75">
        <f t="shared" si="107"/>
        <v>0</v>
      </c>
      <c r="AN86" s="41" t="s">
        <v>514</v>
      </c>
      <c r="AO86" s="41" t="s">
        <v>355</v>
      </c>
      <c r="AP86" s="40"/>
      <c r="AQ86" s="40"/>
      <c r="AR86" s="29"/>
      <c r="AS86" s="22"/>
      <c r="AT86" s="23">
        <v>0.82</v>
      </c>
      <c r="AU86" s="75">
        <f t="shared" si="108"/>
        <v>0</v>
      </c>
      <c r="AW86" s="41" t="s">
        <v>514</v>
      </c>
      <c r="AX86" s="41" t="s">
        <v>355</v>
      </c>
      <c r="AY86" s="40"/>
      <c r="AZ86" s="40"/>
      <c r="BA86" s="29"/>
      <c r="BB86" s="22"/>
      <c r="BC86" s="23">
        <v>0.82</v>
      </c>
      <c r="BD86" s="75">
        <f t="shared" si="109"/>
        <v>0</v>
      </c>
      <c r="BF86" s="41" t="s">
        <v>514</v>
      </c>
      <c r="BG86" s="41" t="s">
        <v>355</v>
      </c>
      <c r="BH86" s="40"/>
      <c r="BI86" s="40"/>
      <c r="BJ86" s="29"/>
      <c r="BK86" s="22"/>
      <c r="BL86" s="23">
        <v>0.82</v>
      </c>
      <c r="BM86" s="75">
        <f t="shared" si="110"/>
        <v>0</v>
      </c>
    </row>
    <row r="87" spans="2:65" outlineLevel="1">
      <c r="B87" s="41" t="s">
        <v>514</v>
      </c>
      <c r="C87" s="41" t="s">
        <v>355</v>
      </c>
      <c r="D87" s="40"/>
      <c r="E87" s="40"/>
      <c r="F87" s="29"/>
      <c r="G87" s="22"/>
      <c r="H87" s="23">
        <v>0.82</v>
      </c>
      <c r="I87" s="75">
        <f t="shared" si="104"/>
        <v>0</v>
      </c>
      <c r="J87" s="172"/>
      <c r="L87" s="41" t="s">
        <v>514</v>
      </c>
      <c r="M87" s="41" t="s">
        <v>355</v>
      </c>
      <c r="N87" s="40"/>
      <c r="O87" s="40"/>
      <c r="P87" s="29"/>
      <c r="Q87" s="22"/>
      <c r="R87" s="23">
        <v>0.82</v>
      </c>
      <c r="S87" s="75">
        <f t="shared" si="105"/>
        <v>0</v>
      </c>
      <c r="T87" s="172"/>
      <c r="V87" s="41" t="s">
        <v>514</v>
      </c>
      <c r="W87" s="41" t="s">
        <v>355</v>
      </c>
      <c r="X87" s="40"/>
      <c r="Y87" s="40"/>
      <c r="Z87" s="29"/>
      <c r="AA87" s="22"/>
      <c r="AB87" s="23">
        <v>0.82</v>
      </c>
      <c r="AC87" s="75">
        <f t="shared" si="106"/>
        <v>0</v>
      </c>
      <c r="AE87" s="41" t="s">
        <v>514</v>
      </c>
      <c r="AF87" s="41" t="s">
        <v>355</v>
      </c>
      <c r="AG87" s="40"/>
      <c r="AH87" s="40"/>
      <c r="AI87" s="29"/>
      <c r="AJ87" s="22"/>
      <c r="AK87" s="23">
        <v>0.82</v>
      </c>
      <c r="AL87" s="75">
        <f t="shared" si="107"/>
        <v>0</v>
      </c>
      <c r="AN87" s="41" t="s">
        <v>514</v>
      </c>
      <c r="AO87" s="41" t="s">
        <v>355</v>
      </c>
      <c r="AP87" s="40"/>
      <c r="AQ87" s="40"/>
      <c r="AR87" s="29"/>
      <c r="AS87" s="22"/>
      <c r="AT87" s="23">
        <v>0.82</v>
      </c>
      <c r="AU87" s="75">
        <f t="shared" si="108"/>
        <v>0</v>
      </c>
      <c r="AW87" s="41" t="s">
        <v>514</v>
      </c>
      <c r="AX87" s="41" t="s">
        <v>355</v>
      </c>
      <c r="AY87" s="40"/>
      <c r="AZ87" s="40"/>
      <c r="BA87" s="29"/>
      <c r="BB87" s="22"/>
      <c r="BC87" s="23">
        <v>0.82</v>
      </c>
      <c r="BD87" s="75">
        <f t="shared" si="109"/>
        <v>0</v>
      </c>
      <c r="BF87" s="41" t="s">
        <v>514</v>
      </c>
      <c r="BG87" s="41" t="s">
        <v>355</v>
      </c>
      <c r="BH87" s="40"/>
      <c r="BI87" s="40"/>
      <c r="BJ87" s="29"/>
      <c r="BK87" s="22"/>
      <c r="BL87" s="23">
        <v>0.82</v>
      </c>
      <c r="BM87" s="75">
        <f t="shared" si="110"/>
        <v>0</v>
      </c>
    </row>
    <row r="88" spans="2:65" outlineLevel="1">
      <c r="B88" s="41" t="s">
        <v>514</v>
      </c>
      <c r="C88" s="41" t="s">
        <v>355</v>
      </c>
      <c r="D88" s="40"/>
      <c r="E88" s="40"/>
      <c r="F88" s="29"/>
      <c r="G88" s="22"/>
      <c r="H88" s="23">
        <v>0.82</v>
      </c>
      <c r="I88" s="75">
        <f t="shared" si="104"/>
        <v>0</v>
      </c>
      <c r="J88" s="172"/>
      <c r="L88" s="41" t="s">
        <v>514</v>
      </c>
      <c r="M88" s="41" t="s">
        <v>355</v>
      </c>
      <c r="N88" s="40"/>
      <c r="O88" s="40"/>
      <c r="P88" s="29"/>
      <c r="Q88" s="22"/>
      <c r="R88" s="23">
        <v>0.82</v>
      </c>
      <c r="S88" s="75">
        <f t="shared" si="105"/>
        <v>0</v>
      </c>
      <c r="T88" s="172"/>
      <c r="V88" s="41" t="s">
        <v>514</v>
      </c>
      <c r="W88" s="41" t="s">
        <v>355</v>
      </c>
      <c r="X88" s="40"/>
      <c r="Y88" s="40"/>
      <c r="Z88" s="29"/>
      <c r="AA88" s="22"/>
      <c r="AB88" s="23">
        <v>0.82</v>
      </c>
      <c r="AC88" s="75">
        <f t="shared" si="106"/>
        <v>0</v>
      </c>
      <c r="AE88" s="41" t="s">
        <v>514</v>
      </c>
      <c r="AF88" s="41" t="s">
        <v>355</v>
      </c>
      <c r="AG88" s="40"/>
      <c r="AH88" s="40"/>
      <c r="AI88" s="29"/>
      <c r="AJ88" s="22"/>
      <c r="AK88" s="23">
        <v>0.82</v>
      </c>
      <c r="AL88" s="75">
        <f t="shared" si="107"/>
        <v>0</v>
      </c>
      <c r="AN88" s="41" t="s">
        <v>514</v>
      </c>
      <c r="AO88" s="41" t="s">
        <v>355</v>
      </c>
      <c r="AP88" s="40"/>
      <c r="AQ88" s="40"/>
      <c r="AR88" s="29"/>
      <c r="AS88" s="22"/>
      <c r="AT88" s="23">
        <v>0.82</v>
      </c>
      <c r="AU88" s="75">
        <f t="shared" si="108"/>
        <v>0</v>
      </c>
      <c r="AW88" s="41" t="s">
        <v>514</v>
      </c>
      <c r="AX88" s="41" t="s">
        <v>355</v>
      </c>
      <c r="AY88" s="40"/>
      <c r="AZ88" s="40"/>
      <c r="BA88" s="29"/>
      <c r="BB88" s="22"/>
      <c r="BC88" s="23">
        <v>0.82</v>
      </c>
      <c r="BD88" s="75">
        <f t="shared" si="109"/>
        <v>0</v>
      </c>
      <c r="BF88" s="41" t="s">
        <v>514</v>
      </c>
      <c r="BG88" s="41" t="s">
        <v>355</v>
      </c>
      <c r="BH88" s="40"/>
      <c r="BI88" s="40"/>
      <c r="BJ88" s="29"/>
      <c r="BK88" s="22"/>
      <c r="BL88" s="23">
        <v>0.82</v>
      </c>
      <c r="BM88" s="75">
        <f t="shared" si="110"/>
        <v>0</v>
      </c>
    </row>
    <row r="89" spans="2:65" outlineLevel="1">
      <c r="B89" s="41" t="s">
        <v>514</v>
      </c>
      <c r="C89" s="41" t="s">
        <v>355</v>
      </c>
      <c r="D89" s="40"/>
      <c r="E89" s="40"/>
      <c r="F89" s="29"/>
      <c r="G89" s="22"/>
      <c r="H89" s="23">
        <v>0.82</v>
      </c>
      <c r="I89" s="75">
        <f t="shared" si="104"/>
        <v>0</v>
      </c>
      <c r="J89" s="172"/>
      <c r="L89" s="41" t="s">
        <v>514</v>
      </c>
      <c r="M89" s="41" t="s">
        <v>355</v>
      </c>
      <c r="N89" s="40"/>
      <c r="O89" s="40"/>
      <c r="P89" s="29"/>
      <c r="Q89" s="22"/>
      <c r="R89" s="23">
        <v>0.82</v>
      </c>
      <c r="S89" s="75">
        <f t="shared" si="105"/>
        <v>0</v>
      </c>
      <c r="T89" s="172"/>
      <c r="V89" s="41" t="s">
        <v>514</v>
      </c>
      <c r="W89" s="41" t="s">
        <v>355</v>
      </c>
      <c r="X89" s="40"/>
      <c r="Y89" s="40"/>
      <c r="Z89" s="29"/>
      <c r="AA89" s="22"/>
      <c r="AB89" s="23">
        <v>0.82</v>
      </c>
      <c r="AC89" s="75">
        <f t="shared" si="106"/>
        <v>0</v>
      </c>
      <c r="AE89" s="41" t="s">
        <v>514</v>
      </c>
      <c r="AF89" s="41" t="s">
        <v>355</v>
      </c>
      <c r="AG89" s="40"/>
      <c r="AH89" s="40"/>
      <c r="AI89" s="29"/>
      <c r="AJ89" s="22"/>
      <c r="AK89" s="23">
        <v>0.82</v>
      </c>
      <c r="AL89" s="75">
        <f t="shared" si="107"/>
        <v>0</v>
      </c>
      <c r="AN89" s="41" t="s">
        <v>514</v>
      </c>
      <c r="AO89" s="41" t="s">
        <v>355</v>
      </c>
      <c r="AP89" s="40"/>
      <c r="AQ89" s="40"/>
      <c r="AR89" s="29"/>
      <c r="AS89" s="22"/>
      <c r="AT89" s="23">
        <v>0.82</v>
      </c>
      <c r="AU89" s="75">
        <f t="shared" si="108"/>
        <v>0</v>
      </c>
      <c r="AW89" s="41" t="s">
        <v>514</v>
      </c>
      <c r="AX89" s="41" t="s">
        <v>355</v>
      </c>
      <c r="AY89" s="40"/>
      <c r="AZ89" s="40"/>
      <c r="BA89" s="29"/>
      <c r="BB89" s="22"/>
      <c r="BC89" s="23">
        <v>0.82</v>
      </c>
      <c r="BD89" s="75">
        <f t="shared" si="109"/>
        <v>0</v>
      </c>
      <c r="BF89" s="41" t="s">
        <v>514</v>
      </c>
      <c r="BG89" s="41" t="s">
        <v>355</v>
      </c>
      <c r="BH89" s="40"/>
      <c r="BI89" s="40"/>
      <c r="BJ89" s="29"/>
      <c r="BK89" s="22"/>
      <c r="BL89" s="23">
        <v>0.82</v>
      </c>
      <c r="BM89" s="75">
        <f t="shared" si="110"/>
        <v>0</v>
      </c>
    </row>
    <row r="90" spans="2:65" outlineLevel="1">
      <c r="B90" s="41" t="s">
        <v>514</v>
      </c>
      <c r="C90" s="41" t="s">
        <v>355</v>
      </c>
      <c r="D90" s="40"/>
      <c r="E90" s="40"/>
      <c r="F90" s="29"/>
      <c r="G90" s="22"/>
      <c r="H90" s="23">
        <v>0.82</v>
      </c>
      <c r="I90" s="75">
        <f t="shared" si="104"/>
        <v>0</v>
      </c>
      <c r="J90" s="172"/>
      <c r="L90" s="41" t="s">
        <v>514</v>
      </c>
      <c r="M90" s="41" t="s">
        <v>355</v>
      </c>
      <c r="N90" s="40"/>
      <c r="O90" s="40"/>
      <c r="P90" s="29"/>
      <c r="Q90" s="22"/>
      <c r="R90" s="23">
        <v>0.82</v>
      </c>
      <c r="S90" s="75">
        <f t="shared" si="105"/>
        <v>0</v>
      </c>
      <c r="T90" s="172"/>
      <c r="V90" s="41" t="s">
        <v>514</v>
      </c>
      <c r="W90" s="41" t="s">
        <v>355</v>
      </c>
      <c r="X90" s="40"/>
      <c r="Y90" s="40"/>
      <c r="Z90" s="29"/>
      <c r="AA90" s="22"/>
      <c r="AB90" s="23">
        <v>0.82</v>
      </c>
      <c r="AC90" s="75">
        <f t="shared" si="106"/>
        <v>0</v>
      </c>
      <c r="AE90" s="41" t="s">
        <v>514</v>
      </c>
      <c r="AF90" s="41" t="s">
        <v>355</v>
      </c>
      <c r="AG90" s="40"/>
      <c r="AH90" s="40"/>
      <c r="AI90" s="29"/>
      <c r="AJ90" s="22"/>
      <c r="AK90" s="23">
        <v>0.82</v>
      </c>
      <c r="AL90" s="75">
        <f t="shared" si="107"/>
        <v>0</v>
      </c>
      <c r="AN90" s="41" t="s">
        <v>514</v>
      </c>
      <c r="AO90" s="41" t="s">
        <v>355</v>
      </c>
      <c r="AP90" s="40"/>
      <c r="AQ90" s="40"/>
      <c r="AR90" s="29"/>
      <c r="AS90" s="22"/>
      <c r="AT90" s="23">
        <v>0.82</v>
      </c>
      <c r="AU90" s="75">
        <f t="shared" si="108"/>
        <v>0</v>
      </c>
      <c r="AW90" s="41" t="s">
        <v>514</v>
      </c>
      <c r="AX90" s="41" t="s">
        <v>355</v>
      </c>
      <c r="AY90" s="40"/>
      <c r="AZ90" s="40"/>
      <c r="BA90" s="29"/>
      <c r="BB90" s="22"/>
      <c r="BC90" s="23">
        <v>0.82</v>
      </c>
      <c r="BD90" s="75">
        <f t="shared" si="109"/>
        <v>0</v>
      </c>
      <c r="BF90" s="41" t="s">
        <v>514</v>
      </c>
      <c r="BG90" s="41" t="s">
        <v>355</v>
      </c>
      <c r="BH90" s="40"/>
      <c r="BI90" s="40"/>
      <c r="BJ90" s="29"/>
      <c r="BK90" s="22"/>
      <c r="BL90" s="23">
        <v>0.82</v>
      </c>
      <c r="BM90" s="75">
        <f t="shared" si="110"/>
        <v>0</v>
      </c>
    </row>
    <row r="91" spans="2:65" outlineLevel="1">
      <c r="B91" s="41" t="s">
        <v>514</v>
      </c>
      <c r="C91" s="41" t="s">
        <v>355</v>
      </c>
      <c r="D91" s="40"/>
      <c r="E91" s="40"/>
      <c r="F91" s="29"/>
      <c r="G91" s="22"/>
      <c r="H91" s="23">
        <v>0.82</v>
      </c>
      <c r="I91" s="75">
        <f t="shared" si="104"/>
        <v>0</v>
      </c>
      <c r="J91" s="172"/>
      <c r="L91" s="41" t="s">
        <v>514</v>
      </c>
      <c r="M91" s="41" t="s">
        <v>355</v>
      </c>
      <c r="N91" s="40"/>
      <c r="O91" s="40"/>
      <c r="P91" s="29"/>
      <c r="Q91" s="22"/>
      <c r="R91" s="23">
        <v>0.82</v>
      </c>
      <c r="S91" s="75">
        <f t="shared" si="105"/>
        <v>0</v>
      </c>
      <c r="T91" s="172"/>
      <c r="V91" s="41" t="s">
        <v>514</v>
      </c>
      <c r="W91" s="41" t="s">
        <v>355</v>
      </c>
      <c r="X91" s="40"/>
      <c r="Y91" s="40"/>
      <c r="Z91" s="29"/>
      <c r="AA91" s="22"/>
      <c r="AB91" s="23">
        <v>0.82</v>
      </c>
      <c r="AC91" s="75">
        <f t="shared" si="106"/>
        <v>0</v>
      </c>
      <c r="AE91" s="41" t="s">
        <v>514</v>
      </c>
      <c r="AF91" s="41" t="s">
        <v>355</v>
      </c>
      <c r="AG91" s="40"/>
      <c r="AH91" s="40"/>
      <c r="AI91" s="29"/>
      <c r="AJ91" s="22"/>
      <c r="AK91" s="23">
        <v>0.82</v>
      </c>
      <c r="AL91" s="75">
        <f t="shared" si="107"/>
        <v>0</v>
      </c>
      <c r="AN91" s="41" t="s">
        <v>514</v>
      </c>
      <c r="AO91" s="41" t="s">
        <v>355</v>
      </c>
      <c r="AP91" s="40"/>
      <c r="AQ91" s="40"/>
      <c r="AR91" s="29"/>
      <c r="AS91" s="22"/>
      <c r="AT91" s="23">
        <v>0.82</v>
      </c>
      <c r="AU91" s="75">
        <f t="shared" si="108"/>
        <v>0</v>
      </c>
      <c r="AW91" s="41" t="s">
        <v>514</v>
      </c>
      <c r="AX91" s="41" t="s">
        <v>355</v>
      </c>
      <c r="AY91" s="40"/>
      <c r="AZ91" s="40"/>
      <c r="BA91" s="29"/>
      <c r="BB91" s="22"/>
      <c r="BC91" s="23">
        <v>0.82</v>
      </c>
      <c r="BD91" s="75">
        <f t="shared" si="109"/>
        <v>0</v>
      </c>
      <c r="BF91" s="41" t="s">
        <v>514</v>
      </c>
      <c r="BG91" s="41" t="s">
        <v>355</v>
      </c>
      <c r="BH91" s="40"/>
      <c r="BI91" s="40"/>
      <c r="BJ91" s="29"/>
      <c r="BK91" s="22"/>
      <c r="BL91" s="23">
        <v>0.82</v>
      </c>
      <c r="BM91" s="75">
        <f t="shared" si="110"/>
        <v>0</v>
      </c>
    </row>
    <row r="92" spans="2:65" outlineLevel="1">
      <c r="B92" s="41" t="s">
        <v>514</v>
      </c>
      <c r="C92" s="41" t="s">
        <v>355</v>
      </c>
      <c r="D92" s="40"/>
      <c r="E92" s="40"/>
      <c r="F92" s="29"/>
      <c r="G92" s="22"/>
      <c r="H92" s="23">
        <v>0.82</v>
      </c>
      <c r="I92" s="75">
        <f t="shared" si="104"/>
        <v>0</v>
      </c>
      <c r="J92" s="172"/>
      <c r="L92" s="41" t="s">
        <v>514</v>
      </c>
      <c r="M92" s="41" t="s">
        <v>355</v>
      </c>
      <c r="N92" s="40"/>
      <c r="O92" s="40"/>
      <c r="P92" s="29"/>
      <c r="Q92" s="22"/>
      <c r="R92" s="23">
        <v>0.82</v>
      </c>
      <c r="S92" s="75">
        <f t="shared" si="105"/>
        <v>0</v>
      </c>
      <c r="T92" s="172"/>
      <c r="V92" s="41" t="s">
        <v>514</v>
      </c>
      <c r="W92" s="41" t="s">
        <v>355</v>
      </c>
      <c r="X92" s="40"/>
      <c r="Y92" s="40"/>
      <c r="Z92" s="29"/>
      <c r="AA92" s="22"/>
      <c r="AB92" s="23">
        <v>0.82</v>
      </c>
      <c r="AC92" s="75">
        <f t="shared" si="106"/>
        <v>0</v>
      </c>
      <c r="AE92" s="41" t="s">
        <v>514</v>
      </c>
      <c r="AF92" s="41" t="s">
        <v>355</v>
      </c>
      <c r="AG92" s="40"/>
      <c r="AH92" s="40"/>
      <c r="AI92" s="29"/>
      <c r="AJ92" s="22"/>
      <c r="AK92" s="23">
        <v>0.82</v>
      </c>
      <c r="AL92" s="75">
        <f t="shared" si="107"/>
        <v>0</v>
      </c>
      <c r="AN92" s="41" t="s">
        <v>514</v>
      </c>
      <c r="AO92" s="41" t="s">
        <v>355</v>
      </c>
      <c r="AP92" s="40"/>
      <c r="AQ92" s="40"/>
      <c r="AR92" s="29"/>
      <c r="AS92" s="22"/>
      <c r="AT92" s="23">
        <v>0.82</v>
      </c>
      <c r="AU92" s="75">
        <f t="shared" si="108"/>
        <v>0</v>
      </c>
      <c r="AW92" s="41" t="s">
        <v>514</v>
      </c>
      <c r="AX92" s="41" t="s">
        <v>355</v>
      </c>
      <c r="AY92" s="40"/>
      <c r="AZ92" s="40"/>
      <c r="BA92" s="29"/>
      <c r="BB92" s="22"/>
      <c r="BC92" s="23">
        <v>0.82</v>
      </c>
      <c r="BD92" s="75">
        <f t="shared" si="109"/>
        <v>0</v>
      </c>
      <c r="BF92" s="41" t="s">
        <v>514</v>
      </c>
      <c r="BG92" s="41" t="s">
        <v>355</v>
      </c>
      <c r="BH92" s="40"/>
      <c r="BI92" s="40"/>
      <c r="BJ92" s="29"/>
      <c r="BK92" s="22"/>
      <c r="BL92" s="23">
        <v>0.82</v>
      </c>
      <c r="BM92" s="75">
        <f t="shared" si="110"/>
        <v>0</v>
      </c>
    </row>
    <row r="93" spans="2:65" outlineLevel="1">
      <c r="B93" s="41" t="s">
        <v>514</v>
      </c>
      <c r="C93" s="41" t="s">
        <v>355</v>
      </c>
      <c r="D93" s="40"/>
      <c r="E93" s="40"/>
      <c r="F93" s="29"/>
      <c r="G93" s="22"/>
      <c r="H93" s="23">
        <v>0.82</v>
      </c>
      <c r="I93" s="75">
        <f t="shared" si="104"/>
        <v>0</v>
      </c>
      <c r="J93" s="172"/>
      <c r="L93" s="41" t="s">
        <v>514</v>
      </c>
      <c r="M93" s="41" t="s">
        <v>355</v>
      </c>
      <c r="N93" s="40"/>
      <c r="O93" s="40"/>
      <c r="P93" s="29"/>
      <c r="Q93" s="22"/>
      <c r="R93" s="23">
        <v>0.82</v>
      </c>
      <c r="S93" s="75">
        <f t="shared" si="105"/>
        <v>0</v>
      </c>
      <c r="T93" s="172"/>
      <c r="V93" s="41" t="s">
        <v>514</v>
      </c>
      <c r="W93" s="41" t="s">
        <v>355</v>
      </c>
      <c r="X93" s="40"/>
      <c r="Y93" s="40"/>
      <c r="Z93" s="29"/>
      <c r="AA93" s="22"/>
      <c r="AB93" s="23">
        <v>0.82</v>
      </c>
      <c r="AC93" s="75">
        <f t="shared" si="106"/>
        <v>0</v>
      </c>
      <c r="AE93" s="41" t="s">
        <v>514</v>
      </c>
      <c r="AF93" s="41" t="s">
        <v>355</v>
      </c>
      <c r="AG93" s="40"/>
      <c r="AH93" s="40"/>
      <c r="AI93" s="29"/>
      <c r="AJ93" s="22"/>
      <c r="AK93" s="23">
        <v>0.82</v>
      </c>
      <c r="AL93" s="75">
        <f t="shared" si="107"/>
        <v>0</v>
      </c>
      <c r="AN93" s="41" t="s">
        <v>514</v>
      </c>
      <c r="AO93" s="41" t="s">
        <v>355</v>
      </c>
      <c r="AP93" s="40"/>
      <c r="AQ93" s="40"/>
      <c r="AR93" s="29"/>
      <c r="AS93" s="22"/>
      <c r="AT93" s="23">
        <v>0.82</v>
      </c>
      <c r="AU93" s="75">
        <f t="shared" si="108"/>
        <v>0</v>
      </c>
      <c r="AW93" s="41" t="s">
        <v>514</v>
      </c>
      <c r="AX93" s="41" t="s">
        <v>355</v>
      </c>
      <c r="AY93" s="40"/>
      <c r="AZ93" s="40"/>
      <c r="BA93" s="29"/>
      <c r="BB93" s="22"/>
      <c r="BC93" s="23">
        <v>0.82</v>
      </c>
      <c r="BD93" s="75">
        <f t="shared" si="109"/>
        <v>0</v>
      </c>
      <c r="BF93" s="41" t="s">
        <v>514</v>
      </c>
      <c r="BG93" s="41" t="s">
        <v>355</v>
      </c>
      <c r="BH93" s="40"/>
      <c r="BI93" s="40"/>
      <c r="BJ93" s="29"/>
      <c r="BK93" s="22"/>
      <c r="BL93" s="23">
        <v>0.82</v>
      </c>
      <c r="BM93" s="75">
        <f t="shared" si="110"/>
        <v>0</v>
      </c>
    </row>
    <row r="94" spans="2:65" outlineLevel="1">
      <c r="B94" s="41" t="s">
        <v>514</v>
      </c>
      <c r="C94" s="41" t="s">
        <v>355</v>
      </c>
      <c r="D94" s="40"/>
      <c r="E94" s="40"/>
      <c r="F94" s="29"/>
      <c r="G94" s="22"/>
      <c r="H94" s="23">
        <v>0.82</v>
      </c>
      <c r="I94" s="75">
        <f t="shared" si="104"/>
        <v>0</v>
      </c>
      <c r="J94" s="172"/>
      <c r="L94" s="41" t="s">
        <v>514</v>
      </c>
      <c r="M94" s="41" t="s">
        <v>355</v>
      </c>
      <c r="N94" s="40"/>
      <c r="O94" s="40"/>
      <c r="P94" s="29"/>
      <c r="Q94" s="22"/>
      <c r="R94" s="23">
        <v>0.82</v>
      </c>
      <c r="S94" s="75">
        <f t="shared" si="105"/>
        <v>0</v>
      </c>
      <c r="T94" s="172"/>
      <c r="V94" s="41" t="s">
        <v>514</v>
      </c>
      <c r="W94" s="41" t="s">
        <v>355</v>
      </c>
      <c r="X94" s="40"/>
      <c r="Y94" s="40"/>
      <c r="Z94" s="29"/>
      <c r="AA94" s="22"/>
      <c r="AB94" s="23">
        <v>0.82</v>
      </c>
      <c r="AC94" s="75">
        <f t="shared" si="106"/>
        <v>0</v>
      </c>
      <c r="AE94" s="41" t="s">
        <v>514</v>
      </c>
      <c r="AF94" s="41" t="s">
        <v>355</v>
      </c>
      <c r="AG94" s="40"/>
      <c r="AH94" s="40"/>
      <c r="AI94" s="29"/>
      <c r="AJ94" s="22"/>
      <c r="AK94" s="23">
        <v>0.82</v>
      </c>
      <c r="AL94" s="75">
        <f t="shared" si="107"/>
        <v>0</v>
      </c>
      <c r="AN94" s="41" t="s">
        <v>514</v>
      </c>
      <c r="AO94" s="41" t="s">
        <v>355</v>
      </c>
      <c r="AP94" s="40"/>
      <c r="AQ94" s="40"/>
      <c r="AR94" s="29"/>
      <c r="AS94" s="22"/>
      <c r="AT94" s="23">
        <v>0.82</v>
      </c>
      <c r="AU94" s="75">
        <f t="shared" si="108"/>
        <v>0</v>
      </c>
      <c r="AW94" s="41" t="s">
        <v>514</v>
      </c>
      <c r="AX94" s="41" t="s">
        <v>355</v>
      </c>
      <c r="AY94" s="40"/>
      <c r="AZ94" s="40"/>
      <c r="BA94" s="29"/>
      <c r="BB94" s="22"/>
      <c r="BC94" s="23">
        <v>0.82</v>
      </c>
      <c r="BD94" s="75">
        <f t="shared" si="109"/>
        <v>0</v>
      </c>
      <c r="BF94" s="41" t="s">
        <v>514</v>
      </c>
      <c r="BG94" s="41" t="s">
        <v>355</v>
      </c>
      <c r="BH94" s="40"/>
      <c r="BI94" s="40"/>
      <c r="BJ94" s="29"/>
      <c r="BK94" s="22"/>
      <c r="BL94" s="23">
        <v>0.82</v>
      </c>
      <c r="BM94" s="75">
        <f t="shared" si="110"/>
        <v>0</v>
      </c>
    </row>
    <row r="95" spans="2:65" s="24" customFormat="1">
      <c r="B95" s="8" t="s">
        <v>516</v>
      </c>
      <c r="C95" s="25"/>
      <c r="D95" s="28">
        <f>SUM(D80:D94)</f>
        <v>0</v>
      </c>
      <c r="E95" s="28">
        <f>SUM(E80:E94)</f>
        <v>0</v>
      </c>
      <c r="F95" s="30"/>
      <c r="G95" s="25"/>
      <c r="H95" s="26"/>
      <c r="I95" s="28">
        <f>SUM(I80:I94)</f>
        <v>0</v>
      </c>
      <c r="J95" s="171"/>
      <c r="L95" s="8" t="s">
        <v>516</v>
      </c>
      <c r="M95" s="25"/>
      <c r="N95" s="28">
        <f>SUM(N80:N94)</f>
        <v>0</v>
      </c>
      <c r="O95" s="28">
        <f>SUM(O80:O94)</f>
        <v>0</v>
      </c>
      <c r="P95" s="30"/>
      <c r="Q95" s="25"/>
      <c r="R95" s="26"/>
      <c r="S95" s="28">
        <f>SUM(S80:S94)</f>
        <v>0</v>
      </c>
      <c r="T95" s="171"/>
      <c r="V95" s="8" t="s">
        <v>516</v>
      </c>
      <c r="W95" s="25"/>
      <c r="X95" s="28">
        <f>SUM(X80:X94)</f>
        <v>0</v>
      </c>
      <c r="Y95" s="28">
        <f>SUM(Y80:Y94)</f>
        <v>0</v>
      </c>
      <c r="Z95" s="30"/>
      <c r="AA95" s="25"/>
      <c r="AB95" s="26"/>
      <c r="AC95" s="28">
        <f>SUM(AC80:AC94)</f>
        <v>0</v>
      </c>
      <c r="AE95" s="8" t="s">
        <v>516</v>
      </c>
      <c r="AF95" s="25"/>
      <c r="AG95" s="28">
        <f>SUM(AG80:AG94)</f>
        <v>0</v>
      </c>
      <c r="AH95" s="28">
        <f>SUM(AH80:AH94)</f>
        <v>0</v>
      </c>
      <c r="AI95" s="30"/>
      <c r="AJ95" s="25"/>
      <c r="AK95" s="26"/>
      <c r="AL95" s="28">
        <f>SUM(AL80:AL94)</f>
        <v>0</v>
      </c>
      <c r="AN95" s="8" t="s">
        <v>516</v>
      </c>
      <c r="AO95" s="25"/>
      <c r="AP95" s="28">
        <f>SUM(AP80:AP94)</f>
        <v>0</v>
      </c>
      <c r="AQ95" s="28">
        <f>SUM(AQ80:AQ94)</f>
        <v>0</v>
      </c>
      <c r="AR95" s="30"/>
      <c r="AS95" s="25"/>
      <c r="AT95" s="26"/>
      <c r="AU95" s="28">
        <f>SUM(AU80:AU94)</f>
        <v>0</v>
      </c>
      <c r="AW95" s="8" t="s">
        <v>516</v>
      </c>
      <c r="AX95" s="25"/>
      <c r="AY95" s="28">
        <f>SUM(AY80:AY94)</f>
        <v>0</v>
      </c>
      <c r="AZ95" s="28">
        <f>SUM(AZ80:AZ94)</f>
        <v>0</v>
      </c>
      <c r="BA95" s="30"/>
      <c r="BB95" s="25"/>
      <c r="BC95" s="26"/>
      <c r="BD95" s="28">
        <f>SUM(BD80:BD94)</f>
        <v>0</v>
      </c>
      <c r="BF95" s="8" t="s">
        <v>516</v>
      </c>
      <c r="BG95" s="25"/>
      <c r="BH95" s="28">
        <f>SUM(BH80:BH94)</f>
        <v>0</v>
      </c>
      <c r="BI95" s="28">
        <f>SUM(BI80:BI94)</f>
        <v>0</v>
      </c>
      <c r="BJ95" s="30"/>
      <c r="BK95" s="25"/>
      <c r="BL95" s="26"/>
      <c r="BM95" s="28">
        <f>SUM(BM80:BM94)</f>
        <v>0</v>
      </c>
    </row>
    <row r="97" spans="2:65" s="20" customFormat="1" ht="41.4">
      <c r="B97" s="27" t="s">
        <v>15</v>
      </c>
      <c r="C97" s="3" t="str">
        <f>C$43</f>
        <v>Source</v>
      </c>
      <c r="D97" s="3" t="str">
        <f t="shared" ref="D97:I97" si="111">D$43</f>
        <v>Limit (A)</v>
      </c>
      <c r="E97" s="3" t="str">
        <f t="shared" si="111"/>
        <v>Outstanding (A1)</v>
      </c>
      <c r="F97" s="3" t="str">
        <f t="shared" si="111"/>
        <v>Monthly Repayment (B)</v>
      </c>
      <c r="G97" s="3" t="str">
        <f t="shared" si="111"/>
        <v>Interest Rate (C)</v>
      </c>
      <c r="H97" s="3" t="str">
        <f t="shared" si="111"/>
        <v>Factor (D)</v>
      </c>
      <c r="I97" s="3" t="str">
        <f t="shared" si="111"/>
        <v>Interest (E) = (A or A1) * (C) * (D)</v>
      </c>
      <c r="J97" s="173" t="s">
        <v>450</v>
      </c>
      <c r="L97" s="27" t="s">
        <v>15</v>
      </c>
      <c r="M97" s="3" t="str">
        <f>M$43</f>
        <v>Source</v>
      </c>
      <c r="N97" s="3" t="str">
        <f t="shared" ref="N97:S97" si="112">N$43</f>
        <v>Limit (A)</v>
      </c>
      <c r="O97" s="3" t="str">
        <f t="shared" si="112"/>
        <v>Outstanding (A1)</v>
      </c>
      <c r="P97" s="3" t="str">
        <f t="shared" si="112"/>
        <v>Monthly Repayment (B)</v>
      </c>
      <c r="Q97" s="3" t="str">
        <f t="shared" si="112"/>
        <v>Interest Rate (C)</v>
      </c>
      <c r="R97" s="3" t="str">
        <f t="shared" si="112"/>
        <v>Factor (D)</v>
      </c>
      <c r="S97" s="3" t="str">
        <f t="shared" si="112"/>
        <v>Interest (E) = (A or A1) * (C) * (D)</v>
      </c>
      <c r="T97" s="173" t="s">
        <v>450</v>
      </c>
      <c r="V97" s="27" t="s">
        <v>15</v>
      </c>
      <c r="W97" s="3" t="str">
        <f>W$43</f>
        <v>Source</v>
      </c>
      <c r="X97" s="3" t="str">
        <f t="shared" ref="X97:AC97" si="113">X$43</f>
        <v>Limit (A)</v>
      </c>
      <c r="Y97" s="3" t="str">
        <f t="shared" si="113"/>
        <v>Outstanding (A1)</v>
      </c>
      <c r="Z97" s="3" t="str">
        <f t="shared" si="113"/>
        <v>Monthly Repayment (B)</v>
      </c>
      <c r="AA97" s="3" t="str">
        <f t="shared" si="113"/>
        <v>Interest Rate (C)</v>
      </c>
      <c r="AB97" s="3" t="str">
        <f t="shared" si="113"/>
        <v>Factor (D)</v>
      </c>
      <c r="AC97" s="3" t="str">
        <f t="shared" si="113"/>
        <v>Interest (E) = (A or A1) * (C) * (D)</v>
      </c>
      <c r="AE97" s="27" t="s">
        <v>15</v>
      </c>
      <c r="AF97" s="3" t="str">
        <f>AF$43</f>
        <v>Source</v>
      </c>
      <c r="AG97" s="3" t="str">
        <f t="shared" ref="AG97:AL97" si="114">AG$43</f>
        <v>Limit (A)</v>
      </c>
      <c r="AH97" s="3" t="str">
        <f t="shared" si="114"/>
        <v>Outstanding (A1)</v>
      </c>
      <c r="AI97" s="3" t="str">
        <f t="shared" si="114"/>
        <v>Monthly Repayment (B)</v>
      </c>
      <c r="AJ97" s="3" t="str">
        <f t="shared" si="114"/>
        <v>Interest Rate (C)</v>
      </c>
      <c r="AK97" s="3" t="str">
        <f t="shared" si="114"/>
        <v>Factor (D)</v>
      </c>
      <c r="AL97" s="3" t="str">
        <f t="shared" si="114"/>
        <v>Interest (E) = (A or A1) * (C) * (D)</v>
      </c>
      <c r="AN97" s="27" t="s">
        <v>15</v>
      </c>
      <c r="AO97" s="3" t="str">
        <f>AO$43</f>
        <v>Source</v>
      </c>
      <c r="AP97" s="3" t="str">
        <f t="shared" ref="AP97:AU97" si="115">AP$43</f>
        <v>Limit (A)</v>
      </c>
      <c r="AQ97" s="3" t="str">
        <f t="shared" si="115"/>
        <v>Outstanding (A1)</v>
      </c>
      <c r="AR97" s="3" t="str">
        <f t="shared" si="115"/>
        <v>Monthly Repayment (B)</v>
      </c>
      <c r="AS97" s="3" t="str">
        <f t="shared" si="115"/>
        <v>Interest Rate (C)</v>
      </c>
      <c r="AT97" s="3" t="str">
        <f t="shared" si="115"/>
        <v>Factor (D)</v>
      </c>
      <c r="AU97" s="3" t="str">
        <f t="shared" si="115"/>
        <v>Interest (E) = (A or A1) * (C) * (D)</v>
      </c>
      <c r="AW97" s="27" t="s">
        <v>15</v>
      </c>
      <c r="AX97" s="3" t="str">
        <f>AX$43</f>
        <v>Source</v>
      </c>
      <c r="AY97" s="3" t="str">
        <f t="shared" ref="AY97:BD97" si="116">AY$43</f>
        <v>Limit (A)</v>
      </c>
      <c r="AZ97" s="3" t="str">
        <f t="shared" si="116"/>
        <v>Outstanding (A1)</v>
      </c>
      <c r="BA97" s="3" t="str">
        <f t="shared" si="116"/>
        <v>Monthly Repayment (B)</v>
      </c>
      <c r="BB97" s="3" t="str">
        <f t="shared" si="116"/>
        <v>Interest Rate (C)</v>
      </c>
      <c r="BC97" s="3" t="str">
        <f t="shared" si="116"/>
        <v>Factor (D)</v>
      </c>
      <c r="BD97" s="3" t="str">
        <f t="shared" si="116"/>
        <v>Interest (E) = (A or A1) * (C) * (D)</v>
      </c>
      <c r="BF97" s="27" t="s">
        <v>15</v>
      </c>
      <c r="BG97" s="3" t="str">
        <f>BG$43</f>
        <v>Source</v>
      </c>
      <c r="BH97" s="3" t="str">
        <f t="shared" ref="BH97:BM97" si="117">BH$43</f>
        <v>Limit (A)</v>
      </c>
      <c r="BI97" s="3" t="str">
        <f t="shared" si="117"/>
        <v>Outstanding (A1)</v>
      </c>
      <c r="BJ97" s="3" t="str">
        <f t="shared" si="117"/>
        <v>Monthly Repayment (B)</v>
      </c>
      <c r="BK97" s="3" t="str">
        <f t="shared" si="117"/>
        <v>Interest Rate (C)</v>
      </c>
      <c r="BL97" s="3" t="str">
        <f t="shared" si="117"/>
        <v>Factor (D)</v>
      </c>
      <c r="BM97" s="3" t="str">
        <f t="shared" si="117"/>
        <v>Interest (E) = (A or A1) * (C) * (D)</v>
      </c>
    </row>
    <row r="98" spans="2:65">
      <c r="B98" s="41" t="s">
        <v>514</v>
      </c>
      <c r="C98" s="41" t="s">
        <v>355</v>
      </c>
      <c r="D98" s="40"/>
      <c r="E98" s="40"/>
      <c r="F98" s="29"/>
      <c r="G98" s="22"/>
      <c r="H98" s="23">
        <v>0.82</v>
      </c>
      <c r="I98" s="75">
        <f>D98*G98*H98</f>
        <v>0</v>
      </c>
      <c r="J98" s="172"/>
      <c r="L98" s="41" t="s">
        <v>514</v>
      </c>
      <c r="M98" s="41" t="s">
        <v>355</v>
      </c>
      <c r="N98" s="40"/>
      <c r="O98" s="40"/>
      <c r="P98" s="29"/>
      <c r="Q98" s="22">
        <v>0.08</v>
      </c>
      <c r="R98" s="23">
        <v>0.82</v>
      </c>
      <c r="S98" s="75">
        <f>N98*Q98*R98</f>
        <v>0</v>
      </c>
      <c r="T98" s="172"/>
      <c r="V98" s="41" t="s">
        <v>514</v>
      </c>
      <c r="W98" s="41" t="s">
        <v>355</v>
      </c>
      <c r="X98" s="40"/>
      <c r="Y98" s="40"/>
      <c r="Z98" s="29"/>
      <c r="AA98" s="22">
        <v>0.08</v>
      </c>
      <c r="AB98" s="23">
        <v>0.82</v>
      </c>
      <c r="AC98" s="75">
        <f>X98*AA98*AB98</f>
        <v>0</v>
      </c>
      <c r="AE98" s="41" t="s">
        <v>514</v>
      </c>
      <c r="AF98" s="41" t="s">
        <v>355</v>
      </c>
      <c r="AG98" s="40"/>
      <c r="AH98" s="40"/>
      <c r="AI98" s="29"/>
      <c r="AJ98" s="22">
        <v>0.08</v>
      </c>
      <c r="AK98" s="23">
        <v>0.82</v>
      </c>
      <c r="AL98" s="75">
        <f>AG98*AJ98*AK98</f>
        <v>0</v>
      </c>
      <c r="AN98" s="41" t="s">
        <v>514</v>
      </c>
      <c r="AO98" s="41" t="s">
        <v>355</v>
      </c>
      <c r="AP98" s="40"/>
      <c r="AQ98" s="40"/>
      <c r="AR98" s="29"/>
      <c r="AS98" s="22">
        <v>0.08</v>
      </c>
      <c r="AT98" s="23">
        <v>0.82</v>
      </c>
      <c r="AU98" s="75">
        <f>AP98*AS98*AT98</f>
        <v>0</v>
      </c>
      <c r="AW98" s="41" t="s">
        <v>514</v>
      </c>
      <c r="AX98" s="41" t="s">
        <v>355</v>
      </c>
      <c r="AY98" s="40"/>
      <c r="AZ98" s="40"/>
      <c r="BA98" s="29"/>
      <c r="BB98" s="22">
        <v>0.08</v>
      </c>
      <c r="BC98" s="23">
        <v>0.82</v>
      </c>
      <c r="BD98" s="75">
        <f>AY98*BB98*BC98</f>
        <v>0</v>
      </c>
      <c r="BF98" s="41" t="s">
        <v>514</v>
      </c>
      <c r="BG98" s="41" t="s">
        <v>355</v>
      </c>
      <c r="BH98" s="40"/>
      <c r="BI98" s="40"/>
      <c r="BJ98" s="29"/>
      <c r="BK98" s="22">
        <v>0.08</v>
      </c>
      <c r="BL98" s="23">
        <v>0.82</v>
      </c>
      <c r="BM98" s="75">
        <f>BH98*BK98*BL98</f>
        <v>0</v>
      </c>
    </row>
    <row r="99" spans="2:65">
      <c r="B99" s="41" t="s">
        <v>514</v>
      </c>
      <c r="C99" s="41" t="s">
        <v>355</v>
      </c>
      <c r="D99" s="40"/>
      <c r="E99" s="40"/>
      <c r="F99" s="29"/>
      <c r="G99" s="22"/>
      <c r="H99" s="23">
        <v>0.82</v>
      </c>
      <c r="I99" s="75">
        <f t="shared" ref="I99:I112" si="118">D99*G99*H99</f>
        <v>0</v>
      </c>
      <c r="J99" s="172"/>
      <c r="L99" s="41" t="s">
        <v>514</v>
      </c>
      <c r="M99" s="41" t="s">
        <v>355</v>
      </c>
      <c r="N99" s="40"/>
      <c r="O99" s="40"/>
      <c r="P99" s="29"/>
      <c r="Q99" s="22"/>
      <c r="R99" s="23">
        <v>0.82</v>
      </c>
      <c r="S99" s="75">
        <f t="shared" ref="S99:S112" si="119">N99*Q99*R99</f>
        <v>0</v>
      </c>
      <c r="T99" s="172"/>
      <c r="V99" s="41" t="s">
        <v>514</v>
      </c>
      <c r="W99" s="41" t="s">
        <v>355</v>
      </c>
      <c r="X99" s="40"/>
      <c r="Y99" s="40"/>
      <c r="Z99" s="29"/>
      <c r="AA99" s="22"/>
      <c r="AB99" s="23">
        <v>0.82</v>
      </c>
      <c r="AC99" s="75">
        <f t="shared" ref="AC99:AC112" si="120">X99*AA99*AB99</f>
        <v>0</v>
      </c>
      <c r="AE99" s="41" t="s">
        <v>514</v>
      </c>
      <c r="AF99" s="41" t="s">
        <v>355</v>
      </c>
      <c r="AG99" s="40"/>
      <c r="AH99" s="40"/>
      <c r="AI99" s="29"/>
      <c r="AJ99" s="22"/>
      <c r="AK99" s="23">
        <v>0.82</v>
      </c>
      <c r="AL99" s="75">
        <f t="shared" ref="AL99:AL112" si="121">AG99*AJ99*AK99</f>
        <v>0</v>
      </c>
      <c r="AN99" s="41" t="s">
        <v>514</v>
      </c>
      <c r="AO99" s="41" t="s">
        <v>355</v>
      </c>
      <c r="AP99" s="40"/>
      <c r="AQ99" s="40"/>
      <c r="AR99" s="29"/>
      <c r="AS99" s="22"/>
      <c r="AT99" s="23">
        <v>0.82</v>
      </c>
      <c r="AU99" s="75">
        <f t="shared" ref="AU99:AU112" si="122">AP99*AS99*AT99</f>
        <v>0</v>
      </c>
      <c r="AW99" s="41" t="s">
        <v>514</v>
      </c>
      <c r="AX99" s="41" t="s">
        <v>355</v>
      </c>
      <c r="AY99" s="40"/>
      <c r="AZ99" s="40"/>
      <c r="BA99" s="29"/>
      <c r="BB99" s="22"/>
      <c r="BC99" s="23">
        <v>0.82</v>
      </c>
      <c r="BD99" s="75">
        <f t="shared" ref="BD99:BD112" si="123">AY99*BB99*BC99</f>
        <v>0</v>
      </c>
      <c r="BF99" s="41" t="s">
        <v>514</v>
      </c>
      <c r="BG99" s="41" t="s">
        <v>355</v>
      </c>
      <c r="BH99" s="40"/>
      <c r="BI99" s="40"/>
      <c r="BJ99" s="29"/>
      <c r="BK99" s="22"/>
      <c r="BL99" s="23">
        <v>0.82</v>
      </c>
      <c r="BM99" s="75">
        <f t="shared" ref="BM99:BM112" si="124">BH99*BK99*BL99</f>
        <v>0</v>
      </c>
    </row>
    <row r="100" spans="2:65">
      <c r="B100" s="41" t="s">
        <v>514</v>
      </c>
      <c r="C100" s="41" t="s">
        <v>355</v>
      </c>
      <c r="D100" s="40"/>
      <c r="E100" s="40"/>
      <c r="F100" s="29"/>
      <c r="G100" s="22"/>
      <c r="H100" s="23">
        <v>0.82</v>
      </c>
      <c r="I100" s="75">
        <f t="shared" si="118"/>
        <v>0</v>
      </c>
      <c r="J100" s="172"/>
      <c r="L100" s="41" t="s">
        <v>514</v>
      </c>
      <c r="M100" s="41" t="s">
        <v>355</v>
      </c>
      <c r="N100" s="40"/>
      <c r="O100" s="40"/>
      <c r="P100" s="29"/>
      <c r="Q100" s="22"/>
      <c r="R100" s="23">
        <v>0.82</v>
      </c>
      <c r="S100" s="75">
        <f t="shared" si="119"/>
        <v>0</v>
      </c>
      <c r="T100" s="172"/>
      <c r="V100" s="41" t="s">
        <v>514</v>
      </c>
      <c r="W100" s="41" t="s">
        <v>355</v>
      </c>
      <c r="X100" s="40"/>
      <c r="Y100" s="40"/>
      <c r="Z100" s="29"/>
      <c r="AA100" s="22"/>
      <c r="AB100" s="23">
        <v>0.82</v>
      </c>
      <c r="AC100" s="75">
        <f t="shared" si="120"/>
        <v>0</v>
      </c>
      <c r="AE100" s="41" t="s">
        <v>514</v>
      </c>
      <c r="AF100" s="41" t="s">
        <v>355</v>
      </c>
      <c r="AG100" s="40"/>
      <c r="AH100" s="40"/>
      <c r="AI100" s="29"/>
      <c r="AJ100" s="22"/>
      <c r="AK100" s="23">
        <v>0.82</v>
      </c>
      <c r="AL100" s="75">
        <f t="shared" si="121"/>
        <v>0</v>
      </c>
      <c r="AN100" s="41" t="s">
        <v>514</v>
      </c>
      <c r="AO100" s="41" t="s">
        <v>355</v>
      </c>
      <c r="AP100" s="40"/>
      <c r="AQ100" s="40"/>
      <c r="AR100" s="29"/>
      <c r="AS100" s="22"/>
      <c r="AT100" s="23">
        <v>0.82</v>
      </c>
      <c r="AU100" s="75">
        <f t="shared" si="122"/>
        <v>0</v>
      </c>
      <c r="AW100" s="41" t="s">
        <v>514</v>
      </c>
      <c r="AX100" s="41" t="s">
        <v>355</v>
      </c>
      <c r="AY100" s="40"/>
      <c r="AZ100" s="40"/>
      <c r="BA100" s="29"/>
      <c r="BB100" s="22"/>
      <c r="BC100" s="23">
        <v>0.82</v>
      </c>
      <c r="BD100" s="75">
        <f t="shared" si="123"/>
        <v>0</v>
      </c>
      <c r="BF100" s="41" t="s">
        <v>514</v>
      </c>
      <c r="BG100" s="41" t="s">
        <v>355</v>
      </c>
      <c r="BH100" s="40"/>
      <c r="BI100" s="40"/>
      <c r="BJ100" s="29"/>
      <c r="BK100" s="22"/>
      <c r="BL100" s="23">
        <v>0.82</v>
      </c>
      <c r="BM100" s="75">
        <f t="shared" si="124"/>
        <v>0</v>
      </c>
    </row>
    <row r="101" spans="2:65">
      <c r="B101" s="41" t="s">
        <v>514</v>
      </c>
      <c r="C101" s="41" t="s">
        <v>355</v>
      </c>
      <c r="D101" s="40"/>
      <c r="E101" s="40"/>
      <c r="F101" s="29"/>
      <c r="G101" s="22"/>
      <c r="H101" s="23">
        <v>0.82</v>
      </c>
      <c r="I101" s="75">
        <f t="shared" si="118"/>
        <v>0</v>
      </c>
      <c r="J101" s="172"/>
      <c r="L101" s="41" t="s">
        <v>514</v>
      </c>
      <c r="M101" s="41" t="s">
        <v>355</v>
      </c>
      <c r="N101" s="40"/>
      <c r="O101" s="40"/>
      <c r="P101" s="29"/>
      <c r="Q101" s="22"/>
      <c r="R101" s="23">
        <v>0.82</v>
      </c>
      <c r="S101" s="75">
        <f t="shared" si="119"/>
        <v>0</v>
      </c>
      <c r="T101" s="172"/>
      <c r="V101" s="41" t="s">
        <v>514</v>
      </c>
      <c r="W101" s="41" t="s">
        <v>355</v>
      </c>
      <c r="X101" s="40"/>
      <c r="Y101" s="40"/>
      <c r="Z101" s="29"/>
      <c r="AA101" s="22"/>
      <c r="AB101" s="23">
        <v>0.82</v>
      </c>
      <c r="AC101" s="75">
        <f t="shared" si="120"/>
        <v>0</v>
      </c>
      <c r="AE101" s="41" t="s">
        <v>514</v>
      </c>
      <c r="AF101" s="41" t="s">
        <v>355</v>
      </c>
      <c r="AG101" s="40"/>
      <c r="AH101" s="40"/>
      <c r="AI101" s="29"/>
      <c r="AJ101" s="22"/>
      <c r="AK101" s="23">
        <v>0.82</v>
      </c>
      <c r="AL101" s="75">
        <f t="shared" si="121"/>
        <v>0</v>
      </c>
      <c r="AN101" s="41" t="s">
        <v>514</v>
      </c>
      <c r="AO101" s="41" t="s">
        <v>355</v>
      </c>
      <c r="AP101" s="40"/>
      <c r="AQ101" s="40"/>
      <c r="AR101" s="29"/>
      <c r="AS101" s="22"/>
      <c r="AT101" s="23">
        <v>0.82</v>
      </c>
      <c r="AU101" s="75">
        <f t="shared" si="122"/>
        <v>0</v>
      </c>
      <c r="AW101" s="41" t="s">
        <v>514</v>
      </c>
      <c r="AX101" s="41" t="s">
        <v>355</v>
      </c>
      <c r="AY101" s="40"/>
      <c r="AZ101" s="40"/>
      <c r="BA101" s="29"/>
      <c r="BB101" s="22"/>
      <c r="BC101" s="23">
        <v>0.82</v>
      </c>
      <c r="BD101" s="75">
        <f t="shared" si="123"/>
        <v>0</v>
      </c>
      <c r="BF101" s="41" t="s">
        <v>514</v>
      </c>
      <c r="BG101" s="41" t="s">
        <v>355</v>
      </c>
      <c r="BH101" s="40"/>
      <c r="BI101" s="40"/>
      <c r="BJ101" s="29"/>
      <c r="BK101" s="22"/>
      <c r="BL101" s="23">
        <v>0.82</v>
      </c>
      <c r="BM101" s="75">
        <f t="shared" si="124"/>
        <v>0</v>
      </c>
    </row>
    <row r="102" spans="2:65">
      <c r="B102" s="41" t="s">
        <v>514</v>
      </c>
      <c r="C102" s="41" t="s">
        <v>355</v>
      </c>
      <c r="D102" s="40"/>
      <c r="E102" s="40"/>
      <c r="F102" s="29"/>
      <c r="G102" s="22"/>
      <c r="H102" s="23">
        <v>0.82</v>
      </c>
      <c r="I102" s="75">
        <f t="shared" si="118"/>
        <v>0</v>
      </c>
      <c r="J102" s="172"/>
      <c r="L102" s="41" t="s">
        <v>514</v>
      </c>
      <c r="M102" s="41" t="s">
        <v>355</v>
      </c>
      <c r="N102" s="40"/>
      <c r="O102" s="40"/>
      <c r="P102" s="29"/>
      <c r="Q102" s="22"/>
      <c r="R102" s="23">
        <v>0.82</v>
      </c>
      <c r="S102" s="75">
        <f t="shared" si="119"/>
        <v>0</v>
      </c>
      <c r="T102" s="172"/>
      <c r="V102" s="41" t="s">
        <v>514</v>
      </c>
      <c r="W102" s="41" t="s">
        <v>355</v>
      </c>
      <c r="X102" s="40"/>
      <c r="Y102" s="40"/>
      <c r="Z102" s="29"/>
      <c r="AA102" s="22"/>
      <c r="AB102" s="23">
        <v>0.82</v>
      </c>
      <c r="AC102" s="75">
        <f t="shared" si="120"/>
        <v>0</v>
      </c>
      <c r="AE102" s="41" t="s">
        <v>514</v>
      </c>
      <c r="AF102" s="41" t="s">
        <v>355</v>
      </c>
      <c r="AG102" s="40"/>
      <c r="AH102" s="40"/>
      <c r="AI102" s="29"/>
      <c r="AJ102" s="22"/>
      <c r="AK102" s="23">
        <v>0.82</v>
      </c>
      <c r="AL102" s="75">
        <f t="shared" si="121"/>
        <v>0</v>
      </c>
      <c r="AN102" s="41" t="s">
        <v>514</v>
      </c>
      <c r="AO102" s="41" t="s">
        <v>355</v>
      </c>
      <c r="AP102" s="40"/>
      <c r="AQ102" s="40"/>
      <c r="AR102" s="29"/>
      <c r="AS102" s="22"/>
      <c r="AT102" s="23">
        <v>0.82</v>
      </c>
      <c r="AU102" s="75">
        <f t="shared" si="122"/>
        <v>0</v>
      </c>
      <c r="AW102" s="41" t="s">
        <v>514</v>
      </c>
      <c r="AX102" s="41" t="s">
        <v>355</v>
      </c>
      <c r="AY102" s="40"/>
      <c r="AZ102" s="40"/>
      <c r="BA102" s="29"/>
      <c r="BB102" s="22"/>
      <c r="BC102" s="23">
        <v>0.82</v>
      </c>
      <c r="BD102" s="75">
        <f t="shared" si="123"/>
        <v>0</v>
      </c>
      <c r="BF102" s="41" t="s">
        <v>514</v>
      </c>
      <c r="BG102" s="41" t="s">
        <v>355</v>
      </c>
      <c r="BH102" s="40"/>
      <c r="BI102" s="40"/>
      <c r="BJ102" s="29"/>
      <c r="BK102" s="22"/>
      <c r="BL102" s="23">
        <v>0.82</v>
      </c>
      <c r="BM102" s="75">
        <f t="shared" si="124"/>
        <v>0</v>
      </c>
    </row>
    <row r="103" spans="2:65">
      <c r="B103" s="41" t="s">
        <v>514</v>
      </c>
      <c r="C103" s="41" t="s">
        <v>355</v>
      </c>
      <c r="D103" s="40"/>
      <c r="E103" s="40"/>
      <c r="F103" s="29"/>
      <c r="G103" s="22"/>
      <c r="H103" s="23">
        <v>0.82</v>
      </c>
      <c r="I103" s="75">
        <f t="shared" si="118"/>
        <v>0</v>
      </c>
      <c r="J103" s="172"/>
      <c r="L103" s="41" t="s">
        <v>514</v>
      </c>
      <c r="M103" s="41" t="s">
        <v>355</v>
      </c>
      <c r="N103" s="40"/>
      <c r="O103" s="40"/>
      <c r="P103" s="29"/>
      <c r="Q103" s="22"/>
      <c r="R103" s="23">
        <v>0.82</v>
      </c>
      <c r="S103" s="75">
        <f t="shared" si="119"/>
        <v>0</v>
      </c>
      <c r="T103" s="172"/>
      <c r="V103" s="41" t="s">
        <v>514</v>
      </c>
      <c r="W103" s="41" t="s">
        <v>355</v>
      </c>
      <c r="X103" s="40"/>
      <c r="Y103" s="40"/>
      <c r="Z103" s="29"/>
      <c r="AA103" s="22"/>
      <c r="AB103" s="23">
        <v>0.82</v>
      </c>
      <c r="AC103" s="75">
        <f t="shared" si="120"/>
        <v>0</v>
      </c>
      <c r="AE103" s="41" t="s">
        <v>514</v>
      </c>
      <c r="AF103" s="41" t="s">
        <v>355</v>
      </c>
      <c r="AG103" s="40"/>
      <c r="AH103" s="40"/>
      <c r="AI103" s="29"/>
      <c r="AJ103" s="22"/>
      <c r="AK103" s="23">
        <v>0.82</v>
      </c>
      <c r="AL103" s="75">
        <f t="shared" si="121"/>
        <v>0</v>
      </c>
      <c r="AN103" s="41" t="s">
        <v>514</v>
      </c>
      <c r="AO103" s="41" t="s">
        <v>355</v>
      </c>
      <c r="AP103" s="40"/>
      <c r="AQ103" s="40"/>
      <c r="AR103" s="29"/>
      <c r="AS103" s="22"/>
      <c r="AT103" s="23">
        <v>0.82</v>
      </c>
      <c r="AU103" s="75">
        <f t="shared" si="122"/>
        <v>0</v>
      </c>
      <c r="AW103" s="41" t="s">
        <v>514</v>
      </c>
      <c r="AX103" s="41" t="s">
        <v>355</v>
      </c>
      <c r="AY103" s="40"/>
      <c r="AZ103" s="40"/>
      <c r="BA103" s="29"/>
      <c r="BB103" s="22"/>
      <c r="BC103" s="23">
        <v>0.82</v>
      </c>
      <c r="BD103" s="75">
        <f t="shared" si="123"/>
        <v>0</v>
      </c>
      <c r="BF103" s="41" t="s">
        <v>514</v>
      </c>
      <c r="BG103" s="41" t="s">
        <v>355</v>
      </c>
      <c r="BH103" s="40"/>
      <c r="BI103" s="40"/>
      <c r="BJ103" s="29"/>
      <c r="BK103" s="22"/>
      <c r="BL103" s="23">
        <v>0.82</v>
      </c>
      <c r="BM103" s="75">
        <f t="shared" si="124"/>
        <v>0</v>
      </c>
    </row>
    <row r="104" spans="2:65">
      <c r="B104" s="41" t="s">
        <v>514</v>
      </c>
      <c r="C104" s="41" t="s">
        <v>355</v>
      </c>
      <c r="D104" s="40"/>
      <c r="E104" s="40"/>
      <c r="F104" s="29"/>
      <c r="G104" s="22"/>
      <c r="H104" s="23">
        <v>0.82</v>
      </c>
      <c r="I104" s="75">
        <f t="shared" si="118"/>
        <v>0</v>
      </c>
      <c r="J104" s="172"/>
      <c r="L104" s="41" t="s">
        <v>514</v>
      </c>
      <c r="M104" s="41" t="s">
        <v>355</v>
      </c>
      <c r="N104" s="40"/>
      <c r="O104" s="40"/>
      <c r="P104" s="29"/>
      <c r="Q104" s="22"/>
      <c r="R104" s="23">
        <v>0.82</v>
      </c>
      <c r="S104" s="75">
        <f t="shared" si="119"/>
        <v>0</v>
      </c>
      <c r="T104" s="172"/>
      <c r="V104" s="41" t="s">
        <v>514</v>
      </c>
      <c r="W104" s="41" t="s">
        <v>355</v>
      </c>
      <c r="X104" s="40"/>
      <c r="Y104" s="40"/>
      <c r="Z104" s="29"/>
      <c r="AA104" s="22"/>
      <c r="AB104" s="23">
        <v>0.82</v>
      </c>
      <c r="AC104" s="75">
        <f t="shared" si="120"/>
        <v>0</v>
      </c>
      <c r="AE104" s="41" t="s">
        <v>514</v>
      </c>
      <c r="AF104" s="41" t="s">
        <v>355</v>
      </c>
      <c r="AG104" s="40"/>
      <c r="AH104" s="40"/>
      <c r="AI104" s="29"/>
      <c r="AJ104" s="22"/>
      <c r="AK104" s="23">
        <v>0.82</v>
      </c>
      <c r="AL104" s="75">
        <f t="shared" si="121"/>
        <v>0</v>
      </c>
      <c r="AN104" s="41" t="s">
        <v>514</v>
      </c>
      <c r="AO104" s="41" t="s">
        <v>355</v>
      </c>
      <c r="AP104" s="40"/>
      <c r="AQ104" s="40"/>
      <c r="AR104" s="29"/>
      <c r="AS104" s="22"/>
      <c r="AT104" s="23">
        <v>0.82</v>
      </c>
      <c r="AU104" s="75">
        <f t="shared" si="122"/>
        <v>0</v>
      </c>
      <c r="AW104" s="41" t="s">
        <v>514</v>
      </c>
      <c r="AX104" s="41" t="s">
        <v>355</v>
      </c>
      <c r="AY104" s="40"/>
      <c r="AZ104" s="40"/>
      <c r="BA104" s="29"/>
      <c r="BB104" s="22"/>
      <c r="BC104" s="23">
        <v>0.82</v>
      </c>
      <c r="BD104" s="75">
        <f t="shared" si="123"/>
        <v>0</v>
      </c>
      <c r="BF104" s="41" t="s">
        <v>514</v>
      </c>
      <c r="BG104" s="41" t="s">
        <v>355</v>
      </c>
      <c r="BH104" s="40"/>
      <c r="BI104" s="40"/>
      <c r="BJ104" s="29"/>
      <c r="BK104" s="22"/>
      <c r="BL104" s="23">
        <v>0.82</v>
      </c>
      <c r="BM104" s="75">
        <f t="shared" si="124"/>
        <v>0</v>
      </c>
    </row>
    <row r="105" spans="2:65" outlineLevel="1">
      <c r="B105" s="41" t="s">
        <v>514</v>
      </c>
      <c r="C105" s="41" t="s">
        <v>355</v>
      </c>
      <c r="D105" s="40"/>
      <c r="E105" s="40"/>
      <c r="F105" s="29"/>
      <c r="G105" s="22"/>
      <c r="H105" s="23">
        <v>0.82</v>
      </c>
      <c r="I105" s="75">
        <f t="shared" si="118"/>
        <v>0</v>
      </c>
      <c r="J105" s="172"/>
      <c r="L105" s="41" t="s">
        <v>514</v>
      </c>
      <c r="M105" s="41" t="s">
        <v>355</v>
      </c>
      <c r="N105" s="40"/>
      <c r="O105" s="40"/>
      <c r="P105" s="29"/>
      <c r="Q105" s="22"/>
      <c r="R105" s="23">
        <v>0.82</v>
      </c>
      <c r="S105" s="75">
        <f t="shared" si="119"/>
        <v>0</v>
      </c>
      <c r="T105" s="172"/>
      <c r="V105" s="41" t="s">
        <v>514</v>
      </c>
      <c r="W105" s="41" t="s">
        <v>355</v>
      </c>
      <c r="X105" s="40"/>
      <c r="Y105" s="40"/>
      <c r="Z105" s="29"/>
      <c r="AA105" s="22"/>
      <c r="AB105" s="23">
        <v>0.82</v>
      </c>
      <c r="AC105" s="75">
        <f t="shared" si="120"/>
        <v>0</v>
      </c>
      <c r="AE105" s="41" t="s">
        <v>514</v>
      </c>
      <c r="AF105" s="41" t="s">
        <v>355</v>
      </c>
      <c r="AG105" s="40"/>
      <c r="AH105" s="40"/>
      <c r="AI105" s="29"/>
      <c r="AJ105" s="22"/>
      <c r="AK105" s="23">
        <v>0.82</v>
      </c>
      <c r="AL105" s="75">
        <f t="shared" si="121"/>
        <v>0</v>
      </c>
      <c r="AN105" s="41" t="s">
        <v>514</v>
      </c>
      <c r="AO105" s="41" t="s">
        <v>355</v>
      </c>
      <c r="AP105" s="40"/>
      <c r="AQ105" s="40"/>
      <c r="AR105" s="29"/>
      <c r="AS105" s="22"/>
      <c r="AT105" s="23">
        <v>0.82</v>
      </c>
      <c r="AU105" s="75">
        <f t="shared" si="122"/>
        <v>0</v>
      </c>
      <c r="AW105" s="41" t="s">
        <v>514</v>
      </c>
      <c r="AX105" s="41" t="s">
        <v>355</v>
      </c>
      <c r="AY105" s="40"/>
      <c r="AZ105" s="40"/>
      <c r="BA105" s="29"/>
      <c r="BB105" s="22"/>
      <c r="BC105" s="23">
        <v>0.82</v>
      </c>
      <c r="BD105" s="75">
        <f t="shared" si="123"/>
        <v>0</v>
      </c>
      <c r="BF105" s="41" t="s">
        <v>514</v>
      </c>
      <c r="BG105" s="41" t="s">
        <v>355</v>
      </c>
      <c r="BH105" s="40"/>
      <c r="BI105" s="40"/>
      <c r="BJ105" s="29"/>
      <c r="BK105" s="22"/>
      <c r="BL105" s="23">
        <v>0.82</v>
      </c>
      <c r="BM105" s="75">
        <f t="shared" si="124"/>
        <v>0</v>
      </c>
    </row>
    <row r="106" spans="2:65" outlineLevel="1">
      <c r="B106" s="41" t="s">
        <v>514</v>
      </c>
      <c r="C106" s="41" t="s">
        <v>355</v>
      </c>
      <c r="D106" s="40"/>
      <c r="E106" s="40"/>
      <c r="F106" s="29"/>
      <c r="G106" s="22"/>
      <c r="H106" s="23">
        <v>0.82</v>
      </c>
      <c r="I106" s="75">
        <f t="shared" si="118"/>
        <v>0</v>
      </c>
      <c r="J106" s="172"/>
      <c r="L106" s="41" t="s">
        <v>514</v>
      </c>
      <c r="M106" s="41" t="s">
        <v>355</v>
      </c>
      <c r="N106" s="40"/>
      <c r="O106" s="40"/>
      <c r="P106" s="29"/>
      <c r="Q106" s="22"/>
      <c r="R106" s="23">
        <v>0.82</v>
      </c>
      <c r="S106" s="75">
        <f t="shared" si="119"/>
        <v>0</v>
      </c>
      <c r="T106" s="172"/>
      <c r="V106" s="41" t="s">
        <v>514</v>
      </c>
      <c r="W106" s="41" t="s">
        <v>355</v>
      </c>
      <c r="X106" s="40"/>
      <c r="Y106" s="40"/>
      <c r="Z106" s="29"/>
      <c r="AA106" s="22"/>
      <c r="AB106" s="23">
        <v>0.82</v>
      </c>
      <c r="AC106" s="75">
        <f t="shared" si="120"/>
        <v>0</v>
      </c>
      <c r="AE106" s="41" t="s">
        <v>514</v>
      </c>
      <c r="AF106" s="41" t="s">
        <v>355</v>
      </c>
      <c r="AG106" s="40"/>
      <c r="AH106" s="40"/>
      <c r="AI106" s="29"/>
      <c r="AJ106" s="22"/>
      <c r="AK106" s="23">
        <v>0.82</v>
      </c>
      <c r="AL106" s="75">
        <f t="shared" si="121"/>
        <v>0</v>
      </c>
      <c r="AN106" s="41" t="s">
        <v>514</v>
      </c>
      <c r="AO106" s="41" t="s">
        <v>355</v>
      </c>
      <c r="AP106" s="40"/>
      <c r="AQ106" s="40"/>
      <c r="AR106" s="29"/>
      <c r="AS106" s="22"/>
      <c r="AT106" s="23">
        <v>0.82</v>
      </c>
      <c r="AU106" s="75">
        <f t="shared" si="122"/>
        <v>0</v>
      </c>
      <c r="AW106" s="41" t="s">
        <v>514</v>
      </c>
      <c r="AX106" s="41" t="s">
        <v>355</v>
      </c>
      <c r="AY106" s="40"/>
      <c r="AZ106" s="40"/>
      <c r="BA106" s="29"/>
      <c r="BB106" s="22"/>
      <c r="BC106" s="23">
        <v>0.82</v>
      </c>
      <c r="BD106" s="75">
        <f t="shared" si="123"/>
        <v>0</v>
      </c>
      <c r="BF106" s="41" t="s">
        <v>514</v>
      </c>
      <c r="BG106" s="41" t="s">
        <v>355</v>
      </c>
      <c r="BH106" s="40"/>
      <c r="BI106" s="40"/>
      <c r="BJ106" s="29"/>
      <c r="BK106" s="22"/>
      <c r="BL106" s="23">
        <v>0.82</v>
      </c>
      <c r="BM106" s="75">
        <f t="shared" si="124"/>
        <v>0</v>
      </c>
    </row>
    <row r="107" spans="2:65" outlineLevel="1">
      <c r="B107" s="41" t="s">
        <v>514</v>
      </c>
      <c r="C107" s="41" t="s">
        <v>355</v>
      </c>
      <c r="D107" s="40"/>
      <c r="E107" s="40"/>
      <c r="F107" s="29"/>
      <c r="G107" s="22"/>
      <c r="H107" s="23">
        <v>0.82</v>
      </c>
      <c r="I107" s="75">
        <f t="shared" si="118"/>
        <v>0</v>
      </c>
      <c r="J107" s="172"/>
      <c r="L107" s="41" t="s">
        <v>514</v>
      </c>
      <c r="M107" s="41" t="s">
        <v>355</v>
      </c>
      <c r="N107" s="40"/>
      <c r="O107" s="40"/>
      <c r="P107" s="29"/>
      <c r="Q107" s="22"/>
      <c r="R107" s="23">
        <v>0.82</v>
      </c>
      <c r="S107" s="75">
        <f t="shared" si="119"/>
        <v>0</v>
      </c>
      <c r="T107" s="172"/>
      <c r="V107" s="41" t="s">
        <v>514</v>
      </c>
      <c r="W107" s="41" t="s">
        <v>355</v>
      </c>
      <c r="X107" s="40"/>
      <c r="Y107" s="40"/>
      <c r="Z107" s="29"/>
      <c r="AA107" s="22"/>
      <c r="AB107" s="23">
        <v>0.82</v>
      </c>
      <c r="AC107" s="75">
        <f t="shared" si="120"/>
        <v>0</v>
      </c>
      <c r="AE107" s="41" t="s">
        <v>514</v>
      </c>
      <c r="AF107" s="41" t="s">
        <v>355</v>
      </c>
      <c r="AG107" s="40"/>
      <c r="AH107" s="40"/>
      <c r="AI107" s="29"/>
      <c r="AJ107" s="22"/>
      <c r="AK107" s="23">
        <v>0.82</v>
      </c>
      <c r="AL107" s="75">
        <f t="shared" si="121"/>
        <v>0</v>
      </c>
      <c r="AN107" s="41" t="s">
        <v>514</v>
      </c>
      <c r="AO107" s="41" t="s">
        <v>355</v>
      </c>
      <c r="AP107" s="40"/>
      <c r="AQ107" s="40"/>
      <c r="AR107" s="29"/>
      <c r="AS107" s="22"/>
      <c r="AT107" s="23">
        <v>0.82</v>
      </c>
      <c r="AU107" s="75">
        <f t="shared" si="122"/>
        <v>0</v>
      </c>
      <c r="AW107" s="41" t="s">
        <v>514</v>
      </c>
      <c r="AX107" s="41" t="s">
        <v>355</v>
      </c>
      <c r="AY107" s="40"/>
      <c r="AZ107" s="40"/>
      <c r="BA107" s="29"/>
      <c r="BB107" s="22"/>
      <c r="BC107" s="23">
        <v>0.82</v>
      </c>
      <c r="BD107" s="75">
        <f t="shared" si="123"/>
        <v>0</v>
      </c>
      <c r="BF107" s="41" t="s">
        <v>514</v>
      </c>
      <c r="BG107" s="41" t="s">
        <v>355</v>
      </c>
      <c r="BH107" s="40"/>
      <c r="BI107" s="40"/>
      <c r="BJ107" s="29"/>
      <c r="BK107" s="22"/>
      <c r="BL107" s="23">
        <v>0.82</v>
      </c>
      <c r="BM107" s="75">
        <f t="shared" si="124"/>
        <v>0</v>
      </c>
    </row>
    <row r="108" spans="2:65" outlineLevel="1">
      <c r="B108" s="41" t="s">
        <v>514</v>
      </c>
      <c r="C108" s="41" t="s">
        <v>355</v>
      </c>
      <c r="D108" s="40"/>
      <c r="E108" s="40"/>
      <c r="F108" s="29"/>
      <c r="G108" s="22"/>
      <c r="H108" s="23">
        <v>0.82</v>
      </c>
      <c r="I108" s="75">
        <f t="shared" si="118"/>
        <v>0</v>
      </c>
      <c r="J108" s="172"/>
      <c r="L108" s="41" t="s">
        <v>514</v>
      </c>
      <c r="M108" s="41" t="s">
        <v>355</v>
      </c>
      <c r="N108" s="40"/>
      <c r="O108" s="40"/>
      <c r="P108" s="29"/>
      <c r="Q108" s="22"/>
      <c r="R108" s="23">
        <v>0.82</v>
      </c>
      <c r="S108" s="75">
        <f t="shared" si="119"/>
        <v>0</v>
      </c>
      <c r="T108" s="172"/>
      <c r="V108" s="41" t="s">
        <v>514</v>
      </c>
      <c r="W108" s="41" t="s">
        <v>355</v>
      </c>
      <c r="X108" s="40"/>
      <c r="Y108" s="40"/>
      <c r="Z108" s="29"/>
      <c r="AA108" s="22"/>
      <c r="AB108" s="23">
        <v>0.82</v>
      </c>
      <c r="AC108" s="75">
        <f t="shared" si="120"/>
        <v>0</v>
      </c>
      <c r="AE108" s="41" t="s">
        <v>514</v>
      </c>
      <c r="AF108" s="41" t="s">
        <v>355</v>
      </c>
      <c r="AG108" s="40"/>
      <c r="AH108" s="40"/>
      <c r="AI108" s="29"/>
      <c r="AJ108" s="22"/>
      <c r="AK108" s="23">
        <v>0.82</v>
      </c>
      <c r="AL108" s="75">
        <f t="shared" si="121"/>
        <v>0</v>
      </c>
      <c r="AN108" s="41" t="s">
        <v>514</v>
      </c>
      <c r="AO108" s="41" t="s">
        <v>355</v>
      </c>
      <c r="AP108" s="40"/>
      <c r="AQ108" s="40"/>
      <c r="AR108" s="29"/>
      <c r="AS108" s="22"/>
      <c r="AT108" s="23">
        <v>0.82</v>
      </c>
      <c r="AU108" s="75">
        <f t="shared" si="122"/>
        <v>0</v>
      </c>
      <c r="AW108" s="41" t="s">
        <v>514</v>
      </c>
      <c r="AX108" s="41" t="s">
        <v>355</v>
      </c>
      <c r="AY108" s="40"/>
      <c r="AZ108" s="40"/>
      <c r="BA108" s="29"/>
      <c r="BB108" s="22"/>
      <c r="BC108" s="23">
        <v>0.82</v>
      </c>
      <c r="BD108" s="75">
        <f t="shared" si="123"/>
        <v>0</v>
      </c>
      <c r="BF108" s="41" t="s">
        <v>514</v>
      </c>
      <c r="BG108" s="41" t="s">
        <v>355</v>
      </c>
      <c r="BH108" s="40"/>
      <c r="BI108" s="40"/>
      <c r="BJ108" s="29"/>
      <c r="BK108" s="22"/>
      <c r="BL108" s="23">
        <v>0.82</v>
      </c>
      <c r="BM108" s="75">
        <f t="shared" si="124"/>
        <v>0</v>
      </c>
    </row>
    <row r="109" spans="2:65" outlineLevel="1">
      <c r="B109" s="41" t="s">
        <v>514</v>
      </c>
      <c r="C109" s="41" t="s">
        <v>355</v>
      </c>
      <c r="D109" s="40"/>
      <c r="E109" s="40"/>
      <c r="F109" s="29"/>
      <c r="G109" s="22"/>
      <c r="H109" s="23">
        <v>0.82</v>
      </c>
      <c r="I109" s="75">
        <f t="shared" si="118"/>
        <v>0</v>
      </c>
      <c r="J109" s="172"/>
      <c r="L109" s="41" t="s">
        <v>514</v>
      </c>
      <c r="M109" s="41" t="s">
        <v>355</v>
      </c>
      <c r="N109" s="40"/>
      <c r="O109" s="40"/>
      <c r="P109" s="29"/>
      <c r="Q109" s="22"/>
      <c r="R109" s="23">
        <v>0.82</v>
      </c>
      <c r="S109" s="75">
        <f t="shared" si="119"/>
        <v>0</v>
      </c>
      <c r="T109" s="172"/>
      <c r="V109" s="41" t="s">
        <v>514</v>
      </c>
      <c r="W109" s="41" t="s">
        <v>355</v>
      </c>
      <c r="X109" s="40"/>
      <c r="Y109" s="40"/>
      <c r="Z109" s="29"/>
      <c r="AA109" s="22"/>
      <c r="AB109" s="23">
        <v>0.82</v>
      </c>
      <c r="AC109" s="75">
        <f t="shared" si="120"/>
        <v>0</v>
      </c>
      <c r="AE109" s="41" t="s">
        <v>514</v>
      </c>
      <c r="AF109" s="41" t="s">
        <v>355</v>
      </c>
      <c r="AG109" s="40"/>
      <c r="AH109" s="40"/>
      <c r="AI109" s="29"/>
      <c r="AJ109" s="22"/>
      <c r="AK109" s="23">
        <v>0.82</v>
      </c>
      <c r="AL109" s="75">
        <f t="shared" si="121"/>
        <v>0</v>
      </c>
      <c r="AN109" s="41" t="s">
        <v>514</v>
      </c>
      <c r="AO109" s="41" t="s">
        <v>355</v>
      </c>
      <c r="AP109" s="40"/>
      <c r="AQ109" s="40"/>
      <c r="AR109" s="29"/>
      <c r="AS109" s="22"/>
      <c r="AT109" s="23">
        <v>0.82</v>
      </c>
      <c r="AU109" s="75">
        <f t="shared" si="122"/>
        <v>0</v>
      </c>
      <c r="AW109" s="41" t="s">
        <v>514</v>
      </c>
      <c r="AX109" s="41" t="s">
        <v>355</v>
      </c>
      <c r="AY109" s="40"/>
      <c r="AZ109" s="40"/>
      <c r="BA109" s="29"/>
      <c r="BB109" s="22"/>
      <c r="BC109" s="23">
        <v>0.82</v>
      </c>
      <c r="BD109" s="75">
        <f t="shared" si="123"/>
        <v>0</v>
      </c>
      <c r="BF109" s="41" t="s">
        <v>514</v>
      </c>
      <c r="BG109" s="41" t="s">
        <v>355</v>
      </c>
      <c r="BH109" s="40"/>
      <c r="BI109" s="40"/>
      <c r="BJ109" s="29"/>
      <c r="BK109" s="22"/>
      <c r="BL109" s="23">
        <v>0.82</v>
      </c>
      <c r="BM109" s="75">
        <f t="shared" si="124"/>
        <v>0</v>
      </c>
    </row>
    <row r="110" spans="2:65" outlineLevel="1">
      <c r="B110" s="41" t="s">
        <v>514</v>
      </c>
      <c r="C110" s="41" t="s">
        <v>355</v>
      </c>
      <c r="D110" s="40"/>
      <c r="E110" s="40"/>
      <c r="F110" s="29"/>
      <c r="G110" s="22"/>
      <c r="H110" s="23">
        <v>0.82</v>
      </c>
      <c r="I110" s="75">
        <f t="shared" si="118"/>
        <v>0</v>
      </c>
      <c r="J110" s="172"/>
      <c r="L110" s="41" t="s">
        <v>514</v>
      </c>
      <c r="M110" s="41" t="s">
        <v>355</v>
      </c>
      <c r="N110" s="40"/>
      <c r="O110" s="40"/>
      <c r="P110" s="29"/>
      <c r="Q110" s="22"/>
      <c r="R110" s="23">
        <v>0.82</v>
      </c>
      <c r="S110" s="75">
        <f t="shared" si="119"/>
        <v>0</v>
      </c>
      <c r="T110" s="172"/>
      <c r="V110" s="41" t="s">
        <v>514</v>
      </c>
      <c r="W110" s="41" t="s">
        <v>355</v>
      </c>
      <c r="X110" s="40"/>
      <c r="Y110" s="40"/>
      <c r="Z110" s="29"/>
      <c r="AA110" s="22"/>
      <c r="AB110" s="23">
        <v>0.82</v>
      </c>
      <c r="AC110" s="75">
        <f t="shared" si="120"/>
        <v>0</v>
      </c>
      <c r="AE110" s="41" t="s">
        <v>514</v>
      </c>
      <c r="AF110" s="41" t="s">
        <v>355</v>
      </c>
      <c r="AG110" s="40"/>
      <c r="AH110" s="40"/>
      <c r="AI110" s="29"/>
      <c r="AJ110" s="22"/>
      <c r="AK110" s="23">
        <v>0.82</v>
      </c>
      <c r="AL110" s="75">
        <f t="shared" si="121"/>
        <v>0</v>
      </c>
      <c r="AN110" s="41" t="s">
        <v>514</v>
      </c>
      <c r="AO110" s="41" t="s">
        <v>355</v>
      </c>
      <c r="AP110" s="40"/>
      <c r="AQ110" s="40"/>
      <c r="AR110" s="29"/>
      <c r="AS110" s="22"/>
      <c r="AT110" s="23">
        <v>0.82</v>
      </c>
      <c r="AU110" s="75">
        <f t="shared" si="122"/>
        <v>0</v>
      </c>
      <c r="AW110" s="41" t="s">
        <v>514</v>
      </c>
      <c r="AX110" s="41" t="s">
        <v>355</v>
      </c>
      <c r="AY110" s="40"/>
      <c r="AZ110" s="40"/>
      <c r="BA110" s="29"/>
      <c r="BB110" s="22"/>
      <c r="BC110" s="23">
        <v>0.82</v>
      </c>
      <c r="BD110" s="75">
        <f t="shared" si="123"/>
        <v>0</v>
      </c>
      <c r="BF110" s="41" t="s">
        <v>514</v>
      </c>
      <c r="BG110" s="41" t="s">
        <v>355</v>
      </c>
      <c r="BH110" s="40"/>
      <c r="BI110" s="40"/>
      <c r="BJ110" s="29"/>
      <c r="BK110" s="22"/>
      <c r="BL110" s="23">
        <v>0.82</v>
      </c>
      <c r="BM110" s="75">
        <f t="shared" si="124"/>
        <v>0</v>
      </c>
    </row>
    <row r="111" spans="2:65" outlineLevel="1">
      <c r="B111" s="41" t="s">
        <v>514</v>
      </c>
      <c r="C111" s="41" t="s">
        <v>355</v>
      </c>
      <c r="D111" s="40"/>
      <c r="E111" s="40"/>
      <c r="F111" s="29"/>
      <c r="G111" s="22"/>
      <c r="H111" s="23">
        <v>0.82</v>
      </c>
      <c r="I111" s="75">
        <f t="shared" si="118"/>
        <v>0</v>
      </c>
      <c r="J111" s="172"/>
      <c r="L111" s="41" t="s">
        <v>514</v>
      </c>
      <c r="M111" s="41" t="s">
        <v>355</v>
      </c>
      <c r="N111" s="40"/>
      <c r="O111" s="40"/>
      <c r="P111" s="29"/>
      <c r="Q111" s="22"/>
      <c r="R111" s="23">
        <v>0.82</v>
      </c>
      <c r="S111" s="75">
        <f t="shared" si="119"/>
        <v>0</v>
      </c>
      <c r="T111" s="172"/>
      <c r="V111" s="41" t="s">
        <v>514</v>
      </c>
      <c r="W111" s="41" t="s">
        <v>355</v>
      </c>
      <c r="X111" s="40"/>
      <c r="Y111" s="40"/>
      <c r="Z111" s="29"/>
      <c r="AA111" s="22"/>
      <c r="AB111" s="23">
        <v>0.82</v>
      </c>
      <c r="AC111" s="75">
        <f t="shared" si="120"/>
        <v>0</v>
      </c>
      <c r="AE111" s="41" t="s">
        <v>514</v>
      </c>
      <c r="AF111" s="41" t="s">
        <v>355</v>
      </c>
      <c r="AG111" s="40"/>
      <c r="AH111" s="40"/>
      <c r="AI111" s="29"/>
      <c r="AJ111" s="22"/>
      <c r="AK111" s="23">
        <v>0.82</v>
      </c>
      <c r="AL111" s="75">
        <f t="shared" si="121"/>
        <v>0</v>
      </c>
      <c r="AN111" s="41" t="s">
        <v>514</v>
      </c>
      <c r="AO111" s="41" t="s">
        <v>355</v>
      </c>
      <c r="AP111" s="40"/>
      <c r="AQ111" s="40"/>
      <c r="AR111" s="29"/>
      <c r="AS111" s="22"/>
      <c r="AT111" s="23">
        <v>0.82</v>
      </c>
      <c r="AU111" s="75">
        <f t="shared" si="122"/>
        <v>0</v>
      </c>
      <c r="AW111" s="41" t="s">
        <v>514</v>
      </c>
      <c r="AX111" s="41" t="s">
        <v>355</v>
      </c>
      <c r="AY111" s="40"/>
      <c r="AZ111" s="40"/>
      <c r="BA111" s="29"/>
      <c r="BB111" s="22"/>
      <c r="BC111" s="23">
        <v>0.82</v>
      </c>
      <c r="BD111" s="75">
        <f t="shared" si="123"/>
        <v>0</v>
      </c>
      <c r="BF111" s="41" t="s">
        <v>514</v>
      </c>
      <c r="BG111" s="41" t="s">
        <v>355</v>
      </c>
      <c r="BH111" s="40"/>
      <c r="BI111" s="40"/>
      <c r="BJ111" s="29"/>
      <c r="BK111" s="22"/>
      <c r="BL111" s="23">
        <v>0.82</v>
      </c>
      <c r="BM111" s="75">
        <f t="shared" si="124"/>
        <v>0</v>
      </c>
    </row>
    <row r="112" spans="2:65" outlineLevel="1">
      <c r="B112" s="41" t="s">
        <v>514</v>
      </c>
      <c r="C112" s="41" t="s">
        <v>355</v>
      </c>
      <c r="D112" s="40"/>
      <c r="E112" s="40"/>
      <c r="F112" s="29"/>
      <c r="G112" s="22"/>
      <c r="H112" s="23">
        <v>0.82</v>
      </c>
      <c r="I112" s="75">
        <f t="shared" si="118"/>
        <v>0</v>
      </c>
      <c r="J112" s="172"/>
      <c r="L112" s="41" t="s">
        <v>514</v>
      </c>
      <c r="M112" s="41" t="s">
        <v>355</v>
      </c>
      <c r="N112" s="40"/>
      <c r="O112" s="40"/>
      <c r="P112" s="29"/>
      <c r="Q112" s="22"/>
      <c r="R112" s="23">
        <v>0.82</v>
      </c>
      <c r="S112" s="75">
        <f t="shared" si="119"/>
        <v>0</v>
      </c>
      <c r="T112" s="172"/>
      <c r="V112" s="41" t="s">
        <v>514</v>
      </c>
      <c r="W112" s="41" t="s">
        <v>355</v>
      </c>
      <c r="X112" s="40"/>
      <c r="Y112" s="40"/>
      <c r="Z112" s="29"/>
      <c r="AA112" s="22"/>
      <c r="AB112" s="23">
        <v>0.82</v>
      </c>
      <c r="AC112" s="75">
        <f t="shared" si="120"/>
        <v>0</v>
      </c>
      <c r="AE112" s="41" t="s">
        <v>514</v>
      </c>
      <c r="AF112" s="41" t="s">
        <v>355</v>
      </c>
      <c r="AG112" s="40"/>
      <c r="AH112" s="40"/>
      <c r="AI112" s="29"/>
      <c r="AJ112" s="22"/>
      <c r="AK112" s="23">
        <v>0.82</v>
      </c>
      <c r="AL112" s="75">
        <f t="shared" si="121"/>
        <v>0</v>
      </c>
      <c r="AN112" s="41" t="s">
        <v>514</v>
      </c>
      <c r="AO112" s="41" t="s">
        <v>355</v>
      </c>
      <c r="AP112" s="40"/>
      <c r="AQ112" s="40"/>
      <c r="AR112" s="29"/>
      <c r="AS112" s="22"/>
      <c r="AT112" s="23">
        <v>0.82</v>
      </c>
      <c r="AU112" s="75">
        <f t="shared" si="122"/>
        <v>0</v>
      </c>
      <c r="AW112" s="41" t="s">
        <v>514</v>
      </c>
      <c r="AX112" s="41" t="s">
        <v>355</v>
      </c>
      <c r="AY112" s="40"/>
      <c r="AZ112" s="40"/>
      <c r="BA112" s="29"/>
      <c r="BB112" s="22"/>
      <c r="BC112" s="23">
        <v>0.82</v>
      </c>
      <c r="BD112" s="75">
        <f t="shared" si="123"/>
        <v>0</v>
      </c>
      <c r="BF112" s="41" t="s">
        <v>514</v>
      </c>
      <c r="BG112" s="41" t="s">
        <v>355</v>
      </c>
      <c r="BH112" s="40"/>
      <c r="BI112" s="40"/>
      <c r="BJ112" s="29"/>
      <c r="BK112" s="22"/>
      <c r="BL112" s="23">
        <v>0.82</v>
      </c>
      <c r="BM112" s="75">
        <f t="shared" si="124"/>
        <v>0</v>
      </c>
    </row>
    <row r="113" spans="2:65" s="24" customFormat="1">
      <c r="B113" s="8" t="s">
        <v>517</v>
      </c>
      <c r="C113" s="25"/>
      <c r="D113" s="28">
        <f>SUM(D98:D112)</f>
        <v>0</v>
      </c>
      <c r="E113" s="28">
        <f>SUM(E98:E112)</f>
        <v>0</v>
      </c>
      <c r="F113" s="30"/>
      <c r="G113" s="25"/>
      <c r="H113" s="26"/>
      <c r="I113" s="28">
        <f>SUM(I98:I112)</f>
        <v>0</v>
      </c>
      <c r="J113" s="171"/>
      <c r="L113" s="8" t="s">
        <v>517</v>
      </c>
      <c r="M113" s="25"/>
      <c r="N113" s="28">
        <f>SUM(N98:N112)</f>
        <v>0</v>
      </c>
      <c r="O113" s="28">
        <f>SUM(O98:O112)</f>
        <v>0</v>
      </c>
      <c r="P113" s="30"/>
      <c r="Q113" s="25"/>
      <c r="R113" s="26"/>
      <c r="S113" s="28">
        <f>SUM(S98:S112)</f>
        <v>0</v>
      </c>
      <c r="T113" s="171"/>
      <c r="V113" s="8" t="s">
        <v>517</v>
      </c>
      <c r="W113" s="25"/>
      <c r="X113" s="28">
        <f>SUM(X98:X112)</f>
        <v>0</v>
      </c>
      <c r="Y113" s="28">
        <f>SUM(Y98:Y112)</f>
        <v>0</v>
      </c>
      <c r="Z113" s="30"/>
      <c r="AA113" s="25"/>
      <c r="AB113" s="26"/>
      <c r="AC113" s="28">
        <f>SUM(AC98:AC112)</f>
        <v>0</v>
      </c>
      <c r="AE113" s="8" t="s">
        <v>517</v>
      </c>
      <c r="AF113" s="25"/>
      <c r="AG113" s="28">
        <f>SUM(AG98:AG112)</f>
        <v>0</v>
      </c>
      <c r="AH113" s="28">
        <f>SUM(AH98:AH112)</f>
        <v>0</v>
      </c>
      <c r="AI113" s="30"/>
      <c r="AJ113" s="25"/>
      <c r="AK113" s="26"/>
      <c r="AL113" s="28">
        <f>SUM(AL98:AL112)</f>
        <v>0</v>
      </c>
      <c r="AN113" s="8" t="s">
        <v>517</v>
      </c>
      <c r="AO113" s="25"/>
      <c r="AP113" s="28">
        <f>SUM(AP98:AP112)</f>
        <v>0</v>
      </c>
      <c r="AQ113" s="28">
        <f>SUM(AQ98:AQ112)</f>
        <v>0</v>
      </c>
      <c r="AR113" s="30"/>
      <c r="AS113" s="25"/>
      <c r="AT113" s="26"/>
      <c r="AU113" s="28">
        <f>SUM(AU98:AU112)</f>
        <v>0</v>
      </c>
      <c r="AW113" s="8" t="s">
        <v>517</v>
      </c>
      <c r="AX113" s="25"/>
      <c r="AY113" s="28">
        <f>SUM(AY98:AY112)</f>
        <v>0</v>
      </c>
      <c r="AZ113" s="28">
        <f>SUM(AZ98:AZ112)</f>
        <v>0</v>
      </c>
      <c r="BA113" s="30"/>
      <c r="BB113" s="25"/>
      <c r="BC113" s="26"/>
      <c r="BD113" s="28">
        <f>SUM(BD98:BD112)</f>
        <v>0</v>
      </c>
      <c r="BF113" s="8" t="s">
        <v>517</v>
      </c>
      <c r="BG113" s="25"/>
      <c r="BH113" s="28">
        <f>SUM(BH98:BH112)</f>
        <v>0</v>
      </c>
      <c r="BI113" s="28">
        <f>SUM(BI98:BI112)</f>
        <v>0</v>
      </c>
      <c r="BJ113" s="30"/>
      <c r="BK113" s="25"/>
      <c r="BL113" s="26"/>
      <c r="BM113" s="28">
        <f>SUM(BM98:BM112)</f>
        <v>0</v>
      </c>
    </row>
    <row r="115" spans="2:65" s="20" customFormat="1" ht="41.4">
      <c r="B115" s="27" t="s">
        <v>16</v>
      </c>
      <c r="C115" s="3" t="str">
        <f>C$43</f>
        <v>Source</v>
      </c>
      <c r="D115" s="3" t="str">
        <f t="shared" ref="D115:I115" si="125">D$43</f>
        <v>Limit (A)</v>
      </c>
      <c r="E115" s="3" t="str">
        <f t="shared" si="125"/>
        <v>Outstanding (A1)</v>
      </c>
      <c r="F115" s="3" t="str">
        <f t="shared" si="125"/>
        <v>Monthly Repayment (B)</v>
      </c>
      <c r="G115" s="3" t="str">
        <f t="shared" si="125"/>
        <v>Interest Rate (C)</v>
      </c>
      <c r="H115" s="3" t="str">
        <f t="shared" si="125"/>
        <v>Factor (D)</v>
      </c>
      <c r="I115" s="3" t="str">
        <f t="shared" si="125"/>
        <v>Interest (E) = (A or A1) * (C) * (D)</v>
      </c>
      <c r="J115" s="173" t="s">
        <v>450</v>
      </c>
      <c r="L115" s="27" t="s">
        <v>16</v>
      </c>
      <c r="M115" s="3" t="str">
        <f>M$43</f>
        <v>Source</v>
      </c>
      <c r="N115" s="3" t="str">
        <f t="shared" ref="N115:S115" si="126">N$43</f>
        <v>Limit (A)</v>
      </c>
      <c r="O115" s="3" t="str">
        <f t="shared" si="126"/>
        <v>Outstanding (A1)</v>
      </c>
      <c r="P115" s="3" t="str">
        <f t="shared" si="126"/>
        <v>Monthly Repayment (B)</v>
      </c>
      <c r="Q115" s="3" t="str">
        <f t="shared" si="126"/>
        <v>Interest Rate (C)</v>
      </c>
      <c r="R115" s="3" t="str">
        <f t="shared" si="126"/>
        <v>Factor (D)</v>
      </c>
      <c r="S115" s="3" t="str">
        <f t="shared" si="126"/>
        <v>Interest (E) = (A or A1) * (C) * (D)</v>
      </c>
      <c r="T115" s="173" t="s">
        <v>450</v>
      </c>
      <c r="V115" s="27" t="s">
        <v>16</v>
      </c>
      <c r="W115" s="3" t="str">
        <f>W$43</f>
        <v>Source</v>
      </c>
      <c r="X115" s="3" t="str">
        <f t="shared" ref="X115:AC115" si="127">X$43</f>
        <v>Limit (A)</v>
      </c>
      <c r="Y115" s="3" t="str">
        <f t="shared" si="127"/>
        <v>Outstanding (A1)</v>
      </c>
      <c r="Z115" s="3" t="str">
        <f t="shared" si="127"/>
        <v>Monthly Repayment (B)</v>
      </c>
      <c r="AA115" s="3" t="str">
        <f t="shared" si="127"/>
        <v>Interest Rate (C)</v>
      </c>
      <c r="AB115" s="3" t="str">
        <f t="shared" si="127"/>
        <v>Factor (D)</v>
      </c>
      <c r="AC115" s="3" t="str">
        <f t="shared" si="127"/>
        <v>Interest (E) = (A or A1) * (C) * (D)</v>
      </c>
      <c r="AE115" s="27" t="s">
        <v>16</v>
      </c>
      <c r="AF115" s="3" t="str">
        <f>AF$43</f>
        <v>Source</v>
      </c>
      <c r="AG115" s="3" t="str">
        <f t="shared" ref="AG115:AL115" si="128">AG$43</f>
        <v>Limit (A)</v>
      </c>
      <c r="AH115" s="3" t="str">
        <f t="shared" si="128"/>
        <v>Outstanding (A1)</v>
      </c>
      <c r="AI115" s="3" t="str">
        <f t="shared" si="128"/>
        <v>Monthly Repayment (B)</v>
      </c>
      <c r="AJ115" s="3" t="str">
        <f t="shared" si="128"/>
        <v>Interest Rate (C)</v>
      </c>
      <c r="AK115" s="3" t="str">
        <f t="shared" si="128"/>
        <v>Factor (D)</v>
      </c>
      <c r="AL115" s="3" t="str">
        <f t="shared" si="128"/>
        <v>Interest (E) = (A or A1) * (C) * (D)</v>
      </c>
      <c r="AN115" s="27" t="s">
        <v>16</v>
      </c>
      <c r="AO115" s="3" t="str">
        <f>AO$43</f>
        <v>Source</v>
      </c>
      <c r="AP115" s="3" t="str">
        <f t="shared" ref="AP115:AU115" si="129">AP$43</f>
        <v>Limit (A)</v>
      </c>
      <c r="AQ115" s="3" t="str">
        <f t="shared" si="129"/>
        <v>Outstanding (A1)</v>
      </c>
      <c r="AR115" s="3" t="str">
        <f t="shared" si="129"/>
        <v>Monthly Repayment (B)</v>
      </c>
      <c r="AS115" s="3" t="str">
        <f t="shared" si="129"/>
        <v>Interest Rate (C)</v>
      </c>
      <c r="AT115" s="3" t="str">
        <f t="shared" si="129"/>
        <v>Factor (D)</v>
      </c>
      <c r="AU115" s="3" t="str">
        <f t="shared" si="129"/>
        <v>Interest (E) = (A or A1) * (C) * (D)</v>
      </c>
      <c r="AW115" s="27" t="s">
        <v>16</v>
      </c>
      <c r="AX115" s="3" t="str">
        <f>AX$43</f>
        <v>Source</v>
      </c>
      <c r="AY115" s="3" t="str">
        <f t="shared" ref="AY115:BD115" si="130">AY$43</f>
        <v>Limit (A)</v>
      </c>
      <c r="AZ115" s="3" t="str">
        <f t="shared" si="130"/>
        <v>Outstanding (A1)</v>
      </c>
      <c r="BA115" s="3" t="str">
        <f t="shared" si="130"/>
        <v>Monthly Repayment (B)</v>
      </c>
      <c r="BB115" s="3" t="str">
        <f t="shared" si="130"/>
        <v>Interest Rate (C)</v>
      </c>
      <c r="BC115" s="3" t="str">
        <f t="shared" si="130"/>
        <v>Factor (D)</v>
      </c>
      <c r="BD115" s="3" t="str">
        <f t="shared" si="130"/>
        <v>Interest (E) = (A or A1) * (C) * (D)</v>
      </c>
      <c r="BF115" s="27" t="s">
        <v>16</v>
      </c>
      <c r="BG115" s="3" t="str">
        <f>BG$43</f>
        <v>Source</v>
      </c>
      <c r="BH115" s="3" t="str">
        <f t="shared" ref="BH115:BM115" si="131">BH$43</f>
        <v>Limit (A)</v>
      </c>
      <c r="BI115" s="3" t="str">
        <f t="shared" si="131"/>
        <v>Outstanding (A1)</v>
      </c>
      <c r="BJ115" s="3" t="str">
        <f t="shared" si="131"/>
        <v>Monthly Repayment (B)</v>
      </c>
      <c r="BK115" s="3" t="str">
        <f t="shared" si="131"/>
        <v>Interest Rate (C)</v>
      </c>
      <c r="BL115" s="3" t="str">
        <f t="shared" si="131"/>
        <v>Factor (D)</v>
      </c>
      <c r="BM115" s="3" t="str">
        <f t="shared" si="131"/>
        <v>Interest (E) = (A or A1) * (C) * (D)</v>
      </c>
    </row>
    <row r="116" spans="2:65">
      <c r="B116" s="41" t="s">
        <v>514</v>
      </c>
      <c r="C116" s="41" t="s">
        <v>355</v>
      </c>
      <c r="D116" s="40"/>
      <c r="E116" s="40"/>
      <c r="F116" s="40"/>
      <c r="G116" s="31"/>
      <c r="H116" s="32"/>
      <c r="I116" s="29"/>
      <c r="J116" s="172"/>
      <c r="L116" s="41" t="s">
        <v>514</v>
      </c>
      <c r="M116" s="41" t="s">
        <v>355</v>
      </c>
      <c r="N116" s="40"/>
      <c r="O116" s="40"/>
      <c r="P116" s="40"/>
      <c r="Q116" s="31"/>
      <c r="R116" s="32"/>
      <c r="S116" s="29"/>
      <c r="T116" s="172"/>
      <c r="V116" s="41" t="s">
        <v>514</v>
      </c>
      <c r="W116" s="41" t="s">
        <v>355</v>
      </c>
      <c r="X116" s="40"/>
      <c r="Y116" s="40"/>
      <c r="Z116" s="40"/>
      <c r="AA116" s="31"/>
      <c r="AB116" s="32"/>
      <c r="AC116" s="29"/>
      <c r="AE116" s="41" t="s">
        <v>514</v>
      </c>
      <c r="AF116" s="41" t="s">
        <v>355</v>
      </c>
      <c r="AG116" s="40"/>
      <c r="AH116" s="40"/>
      <c r="AI116" s="40"/>
      <c r="AJ116" s="31"/>
      <c r="AK116" s="32"/>
      <c r="AL116" s="29"/>
      <c r="AN116" s="41" t="s">
        <v>514</v>
      </c>
      <c r="AO116" s="41" t="s">
        <v>355</v>
      </c>
      <c r="AP116" s="40"/>
      <c r="AQ116" s="40"/>
      <c r="AR116" s="40"/>
      <c r="AS116" s="31"/>
      <c r="AT116" s="32"/>
      <c r="AU116" s="29"/>
      <c r="AW116" s="41" t="s">
        <v>514</v>
      </c>
      <c r="AX116" s="41" t="s">
        <v>355</v>
      </c>
      <c r="AY116" s="40"/>
      <c r="AZ116" s="40"/>
      <c r="BA116" s="40"/>
      <c r="BB116" s="31"/>
      <c r="BC116" s="32"/>
      <c r="BD116" s="29"/>
      <c r="BF116" s="41" t="s">
        <v>514</v>
      </c>
      <c r="BG116" s="41" t="s">
        <v>355</v>
      </c>
      <c r="BH116" s="40"/>
      <c r="BI116" s="40"/>
      <c r="BJ116" s="40"/>
      <c r="BK116" s="31"/>
      <c r="BL116" s="32"/>
      <c r="BM116" s="29"/>
    </row>
    <row r="117" spans="2:65">
      <c r="B117" s="41" t="s">
        <v>514</v>
      </c>
      <c r="C117" s="41" t="s">
        <v>355</v>
      </c>
      <c r="D117" s="40"/>
      <c r="E117" s="40"/>
      <c r="F117" s="40"/>
      <c r="G117" s="31"/>
      <c r="H117" s="32"/>
      <c r="I117" s="29"/>
      <c r="J117" s="172"/>
      <c r="L117" s="41" t="s">
        <v>514</v>
      </c>
      <c r="M117" s="41" t="s">
        <v>355</v>
      </c>
      <c r="N117" s="40"/>
      <c r="O117" s="40"/>
      <c r="P117" s="40"/>
      <c r="Q117" s="31"/>
      <c r="R117" s="32"/>
      <c r="S117" s="29"/>
      <c r="T117" s="172"/>
      <c r="V117" s="41" t="s">
        <v>514</v>
      </c>
      <c r="W117" s="41" t="s">
        <v>355</v>
      </c>
      <c r="X117" s="40"/>
      <c r="Y117" s="40"/>
      <c r="Z117" s="40"/>
      <c r="AA117" s="31"/>
      <c r="AB117" s="32"/>
      <c r="AC117" s="29"/>
      <c r="AE117" s="41" t="s">
        <v>514</v>
      </c>
      <c r="AF117" s="41" t="s">
        <v>355</v>
      </c>
      <c r="AG117" s="40"/>
      <c r="AH117" s="40"/>
      <c r="AI117" s="40"/>
      <c r="AJ117" s="31"/>
      <c r="AK117" s="32"/>
      <c r="AL117" s="29"/>
      <c r="AN117" s="41" t="s">
        <v>514</v>
      </c>
      <c r="AO117" s="41" t="s">
        <v>355</v>
      </c>
      <c r="AP117" s="40"/>
      <c r="AQ117" s="40"/>
      <c r="AR117" s="40"/>
      <c r="AS117" s="31"/>
      <c r="AT117" s="32"/>
      <c r="AU117" s="29"/>
      <c r="AW117" s="41" t="s">
        <v>514</v>
      </c>
      <c r="AX117" s="41" t="s">
        <v>355</v>
      </c>
      <c r="AY117" s="40"/>
      <c r="AZ117" s="40"/>
      <c r="BA117" s="40"/>
      <c r="BB117" s="31"/>
      <c r="BC117" s="32"/>
      <c r="BD117" s="29"/>
      <c r="BF117" s="41" t="s">
        <v>514</v>
      </c>
      <c r="BG117" s="41" t="s">
        <v>355</v>
      </c>
      <c r="BH117" s="40"/>
      <c r="BI117" s="40"/>
      <c r="BJ117" s="40"/>
      <c r="BK117" s="31"/>
      <c r="BL117" s="32"/>
      <c r="BM117" s="29"/>
    </row>
    <row r="118" spans="2:65">
      <c r="B118" s="41" t="s">
        <v>514</v>
      </c>
      <c r="C118" s="41" t="s">
        <v>355</v>
      </c>
      <c r="D118" s="40"/>
      <c r="E118" s="40"/>
      <c r="F118" s="40"/>
      <c r="G118" s="31"/>
      <c r="H118" s="32"/>
      <c r="I118" s="29"/>
      <c r="J118" s="172"/>
      <c r="L118" s="41" t="s">
        <v>514</v>
      </c>
      <c r="M118" s="41" t="s">
        <v>355</v>
      </c>
      <c r="N118" s="40"/>
      <c r="O118" s="40"/>
      <c r="P118" s="40"/>
      <c r="Q118" s="31"/>
      <c r="R118" s="32"/>
      <c r="S118" s="29"/>
      <c r="T118" s="172"/>
      <c r="V118" s="41" t="s">
        <v>514</v>
      </c>
      <c r="W118" s="41" t="s">
        <v>355</v>
      </c>
      <c r="X118" s="40"/>
      <c r="Y118" s="40"/>
      <c r="Z118" s="40"/>
      <c r="AA118" s="31"/>
      <c r="AB118" s="32"/>
      <c r="AC118" s="29"/>
      <c r="AE118" s="41" t="s">
        <v>514</v>
      </c>
      <c r="AF118" s="41" t="s">
        <v>355</v>
      </c>
      <c r="AG118" s="40"/>
      <c r="AH118" s="40"/>
      <c r="AI118" s="40"/>
      <c r="AJ118" s="31"/>
      <c r="AK118" s="32"/>
      <c r="AL118" s="29"/>
      <c r="AN118" s="41" t="s">
        <v>514</v>
      </c>
      <c r="AO118" s="41" t="s">
        <v>355</v>
      </c>
      <c r="AP118" s="40"/>
      <c r="AQ118" s="40"/>
      <c r="AR118" s="40"/>
      <c r="AS118" s="31"/>
      <c r="AT118" s="32"/>
      <c r="AU118" s="29"/>
      <c r="AW118" s="41" t="s">
        <v>514</v>
      </c>
      <c r="AX118" s="41" t="s">
        <v>355</v>
      </c>
      <c r="AY118" s="40"/>
      <c r="AZ118" s="40"/>
      <c r="BA118" s="40"/>
      <c r="BB118" s="31"/>
      <c r="BC118" s="32"/>
      <c r="BD118" s="29"/>
      <c r="BF118" s="41" t="s">
        <v>514</v>
      </c>
      <c r="BG118" s="41" t="s">
        <v>355</v>
      </c>
      <c r="BH118" s="40"/>
      <c r="BI118" s="40"/>
      <c r="BJ118" s="40"/>
      <c r="BK118" s="31"/>
      <c r="BL118" s="32"/>
      <c r="BM118" s="29"/>
    </row>
    <row r="119" spans="2:65">
      <c r="B119" s="41" t="s">
        <v>514</v>
      </c>
      <c r="C119" s="41" t="s">
        <v>355</v>
      </c>
      <c r="D119" s="40"/>
      <c r="E119" s="40"/>
      <c r="F119" s="40"/>
      <c r="G119" s="31"/>
      <c r="H119" s="32"/>
      <c r="I119" s="29"/>
      <c r="J119" s="172"/>
      <c r="L119" s="41" t="s">
        <v>514</v>
      </c>
      <c r="M119" s="41" t="s">
        <v>355</v>
      </c>
      <c r="N119" s="40"/>
      <c r="O119" s="40"/>
      <c r="P119" s="40"/>
      <c r="Q119" s="31"/>
      <c r="R119" s="32"/>
      <c r="S119" s="29"/>
      <c r="T119" s="172"/>
      <c r="V119" s="41" t="s">
        <v>514</v>
      </c>
      <c r="W119" s="41" t="s">
        <v>355</v>
      </c>
      <c r="X119" s="40"/>
      <c r="Y119" s="40"/>
      <c r="Z119" s="40"/>
      <c r="AA119" s="31"/>
      <c r="AB119" s="32"/>
      <c r="AC119" s="29"/>
      <c r="AE119" s="41" t="s">
        <v>514</v>
      </c>
      <c r="AF119" s="41" t="s">
        <v>355</v>
      </c>
      <c r="AG119" s="40"/>
      <c r="AH119" s="40"/>
      <c r="AI119" s="40"/>
      <c r="AJ119" s="31"/>
      <c r="AK119" s="32"/>
      <c r="AL119" s="29"/>
      <c r="AN119" s="41" t="s">
        <v>514</v>
      </c>
      <c r="AO119" s="41" t="s">
        <v>355</v>
      </c>
      <c r="AP119" s="40"/>
      <c r="AQ119" s="40"/>
      <c r="AR119" s="40"/>
      <c r="AS119" s="31"/>
      <c r="AT119" s="32"/>
      <c r="AU119" s="29"/>
      <c r="AW119" s="41" t="s">
        <v>514</v>
      </c>
      <c r="AX119" s="41" t="s">
        <v>355</v>
      </c>
      <c r="AY119" s="40"/>
      <c r="AZ119" s="40"/>
      <c r="BA119" s="40"/>
      <c r="BB119" s="31"/>
      <c r="BC119" s="32"/>
      <c r="BD119" s="29"/>
      <c r="BF119" s="41" t="s">
        <v>514</v>
      </c>
      <c r="BG119" s="41" t="s">
        <v>355</v>
      </c>
      <c r="BH119" s="40"/>
      <c r="BI119" s="40"/>
      <c r="BJ119" s="40"/>
      <c r="BK119" s="31"/>
      <c r="BL119" s="32"/>
      <c r="BM119" s="29"/>
    </row>
    <row r="120" spans="2:65">
      <c r="B120" s="41" t="s">
        <v>514</v>
      </c>
      <c r="C120" s="41" t="s">
        <v>355</v>
      </c>
      <c r="D120" s="40"/>
      <c r="E120" s="40"/>
      <c r="F120" s="40"/>
      <c r="G120" s="31"/>
      <c r="H120" s="32"/>
      <c r="I120" s="29"/>
      <c r="J120" s="172"/>
      <c r="L120" s="41" t="s">
        <v>514</v>
      </c>
      <c r="M120" s="41" t="s">
        <v>355</v>
      </c>
      <c r="N120" s="40"/>
      <c r="O120" s="40"/>
      <c r="P120" s="40"/>
      <c r="Q120" s="31"/>
      <c r="R120" s="32"/>
      <c r="S120" s="29"/>
      <c r="T120" s="172"/>
      <c r="V120" s="41" t="s">
        <v>514</v>
      </c>
      <c r="W120" s="41" t="s">
        <v>355</v>
      </c>
      <c r="X120" s="40"/>
      <c r="Y120" s="40"/>
      <c r="Z120" s="40"/>
      <c r="AA120" s="31"/>
      <c r="AB120" s="32"/>
      <c r="AC120" s="29"/>
      <c r="AE120" s="41" t="s">
        <v>514</v>
      </c>
      <c r="AF120" s="41" t="s">
        <v>355</v>
      </c>
      <c r="AG120" s="40"/>
      <c r="AH120" s="40"/>
      <c r="AI120" s="40"/>
      <c r="AJ120" s="31"/>
      <c r="AK120" s="32"/>
      <c r="AL120" s="29"/>
      <c r="AN120" s="41" t="s">
        <v>514</v>
      </c>
      <c r="AO120" s="41" t="s">
        <v>355</v>
      </c>
      <c r="AP120" s="40"/>
      <c r="AQ120" s="40"/>
      <c r="AR120" s="40"/>
      <c r="AS120" s="31"/>
      <c r="AT120" s="32"/>
      <c r="AU120" s="29"/>
      <c r="AW120" s="41" t="s">
        <v>514</v>
      </c>
      <c r="AX120" s="41" t="s">
        <v>355</v>
      </c>
      <c r="AY120" s="40"/>
      <c r="AZ120" s="40"/>
      <c r="BA120" s="40"/>
      <c r="BB120" s="31"/>
      <c r="BC120" s="32"/>
      <c r="BD120" s="29"/>
      <c r="BF120" s="41" t="s">
        <v>514</v>
      </c>
      <c r="BG120" s="41" t="s">
        <v>355</v>
      </c>
      <c r="BH120" s="40"/>
      <c r="BI120" s="40"/>
      <c r="BJ120" s="40"/>
      <c r="BK120" s="31"/>
      <c r="BL120" s="32"/>
      <c r="BM120" s="29"/>
    </row>
    <row r="121" spans="2:65">
      <c r="B121" s="41" t="s">
        <v>514</v>
      </c>
      <c r="C121" s="41" t="s">
        <v>355</v>
      </c>
      <c r="D121" s="40"/>
      <c r="E121" s="40"/>
      <c r="F121" s="40"/>
      <c r="G121" s="31"/>
      <c r="H121" s="32"/>
      <c r="I121" s="29"/>
      <c r="J121" s="172"/>
      <c r="L121" s="41" t="s">
        <v>514</v>
      </c>
      <c r="M121" s="41" t="s">
        <v>355</v>
      </c>
      <c r="N121" s="40"/>
      <c r="O121" s="40"/>
      <c r="P121" s="40"/>
      <c r="Q121" s="31"/>
      <c r="R121" s="32"/>
      <c r="S121" s="29"/>
      <c r="T121" s="172"/>
      <c r="V121" s="41" t="s">
        <v>514</v>
      </c>
      <c r="W121" s="41" t="s">
        <v>355</v>
      </c>
      <c r="X121" s="40"/>
      <c r="Y121" s="40"/>
      <c r="Z121" s="40"/>
      <c r="AA121" s="31"/>
      <c r="AB121" s="32"/>
      <c r="AC121" s="29"/>
      <c r="AE121" s="41" t="s">
        <v>514</v>
      </c>
      <c r="AF121" s="41" t="s">
        <v>355</v>
      </c>
      <c r="AG121" s="40"/>
      <c r="AH121" s="40"/>
      <c r="AI121" s="40"/>
      <c r="AJ121" s="31"/>
      <c r="AK121" s="32"/>
      <c r="AL121" s="29"/>
      <c r="AN121" s="41" t="s">
        <v>514</v>
      </c>
      <c r="AO121" s="41" t="s">
        <v>355</v>
      </c>
      <c r="AP121" s="40"/>
      <c r="AQ121" s="40"/>
      <c r="AR121" s="40"/>
      <c r="AS121" s="31"/>
      <c r="AT121" s="32"/>
      <c r="AU121" s="29"/>
      <c r="AW121" s="41" t="s">
        <v>514</v>
      </c>
      <c r="AX121" s="41" t="s">
        <v>355</v>
      </c>
      <c r="AY121" s="40"/>
      <c r="AZ121" s="40"/>
      <c r="BA121" s="40"/>
      <c r="BB121" s="31"/>
      <c r="BC121" s="32"/>
      <c r="BD121" s="29"/>
      <c r="BF121" s="41" t="s">
        <v>514</v>
      </c>
      <c r="BG121" s="41" t="s">
        <v>355</v>
      </c>
      <c r="BH121" s="40"/>
      <c r="BI121" s="40"/>
      <c r="BJ121" s="40"/>
      <c r="BK121" s="31"/>
      <c r="BL121" s="32"/>
      <c r="BM121" s="29"/>
    </row>
    <row r="122" spans="2:65">
      <c r="B122" s="41" t="s">
        <v>514</v>
      </c>
      <c r="C122" s="41" t="s">
        <v>355</v>
      </c>
      <c r="D122" s="40"/>
      <c r="E122" s="40"/>
      <c r="F122" s="40"/>
      <c r="G122" s="31"/>
      <c r="H122" s="32"/>
      <c r="I122" s="29"/>
      <c r="J122" s="172"/>
      <c r="L122" s="41" t="s">
        <v>514</v>
      </c>
      <c r="M122" s="41" t="s">
        <v>355</v>
      </c>
      <c r="N122" s="40"/>
      <c r="O122" s="40"/>
      <c r="P122" s="40"/>
      <c r="Q122" s="31"/>
      <c r="R122" s="32"/>
      <c r="S122" s="29"/>
      <c r="T122" s="172"/>
      <c r="V122" s="41" t="s">
        <v>514</v>
      </c>
      <c r="W122" s="41" t="s">
        <v>355</v>
      </c>
      <c r="X122" s="40"/>
      <c r="Y122" s="40"/>
      <c r="Z122" s="40"/>
      <c r="AA122" s="31"/>
      <c r="AB122" s="32"/>
      <c r="AC122" s="29"/>
      <c r="AE122" s="41" t="s">
        <v>514</v>
      </c>
      <c r="AF122" s="41" t="s">
        <v>355</v>
      </c>
      <c r="AG122" s="40"/>
      <c r="AH122" s="40"/>
      <c r="AI122" s="40"/>
      <c r="AJ122" s="31"/>
      <c r="AK122" s="32"/>
      <c r="AL122" s="29"/>
      <c r="AN122" s="41" t="s">
        <v>514</v>
      </c>
      <c r="AO122" s="41" t="s">
        <v>355</v>
      </c>
      <c r="AP122" s="40"/>
      <c r="AQ122" s="40"/>
      <c r="AR122" s="40"/>
      <c r="AS122" s="31"/>
      <c r="AT122" s="32"/>
      <c r="AU122" s="29"/>
      <c r="AW122" s="41" t="s">
        <v>514</v>
      </c>
      <c r="AX122" s="41" t="s">
        <v>355</v>
      </c>
      <c r="AY122" s="40"/>
      <c r="AZ122" s="40"/>
      <c r="BA122" s="40"/>
      <c r="BB122" s="31"/>
      <c r="BC122" s="32"/>
      <c r="BD122" s="29"/>
      <c r="BF122" s="41" t="s">
        <v>514</v>
      </c>
      <c r="BG122" s="41" t="s">
        <v>355</v>
      </c>
      <c r="BH122" s="40"/>
      <c r="BI122" s="40"/>
      <c r="BJ122" s="40"/>
      <c r="BK122" s="31"/>
      <c r="BL122" s="32"/>
      <c r="BM122" s="29"/>
    </row>
    <row r="123" spans="2:65" outlineLevel="1">
      <c r="B123" s="41" t="s">
        <v>514</v>
      </c>
      <c r="C123" s="41" t="s">
        <v>355</v>
      </c>
      <c r="D123" s="40"/>
      <c r="E123" s="40"/>
      <c r="F123" s="40"/>
      <c r="G123" s="31"/>
      <c r="H123" s="32"/>
      <c r="I123" s="29"/>
      <c r="J123" s="172"/>
      <c r="L123" s="41" t="s">
        <v>514</v>
      </c>
      <c r="M123" s="41" t="s">
        <v>355</v>
      </c>
      <c r="N123" s="40"/>
      <c r="O123" s="40"/>
      <c r="P123" s="40"/>
      <c r="Q123" s="31"/>
      <c r="R123" s="32"/>
      <c r="S123" s="29"/>
      <c r="T123" s="172"/>
      <c r="V123" s="41" t="s">
        <v>514</v>
      </c>
      <c r="W123" s="41" t="s">
        <v>355</v>
      </c>
      <c r="X123" s="40"/>
      <c r="Y123" s="40"/>
      <c r="Z123" s="40"/>
      <c r="AA123" s="31"/>
      <c r="AB123" s="32"/>
      <c r="AC123" s="29"/>
      <c r="AE123" s="41" t="s">
        <v>514</v>
      </c>
      <c r="AF123" s="41" t="s">
        <v>355</v>
      </c>
      <c r="AG123" s="40"/>
      <c r="AH123" s="40"/>
      <c r="AI123" s="40"/>
      <c r="AJ123" s="31"/>
      <c r="AK123" s="32"/>
      <c r="AL123" s="29"/>
      <c r="AN123" s="41" t="s">
        <v>514</v>
      </c>
      <c r="AO123" s="41" t="s">
        <v>355</v>
      </c>
      <c r="AP123" s="40"/>
      <c r="AQ123" s="40"/>
      <c r="AR123" s="40"/>
      <c r="AS123" s="31"/>
      <c r="AT123" s="32"/>
      <c r="AU123" s="29"/>
      <c r="AW123" s="41" t="s">
        <v>514</v>
      </c>
      <c r="AX123" s="41" t="s">
        <v>355</v>
      </c>
      <c r="AY123" s="40"/>
      <c r="AZ123" s="40"/>
      <c r="BA123" s="40"/>
      <c r="BB123" s="31"/>
      <c r="BC123" s="32"/>
      <c r="BD123" s="29"/>
      <c r="BF123" s="41" t="s">
        <v>514</v>
      </c>
      <c r="BG123" s="41" t="s">
        <v>355</v>
      </c>
      <c r="BH123" s="40"/>
      <c r="BI123" s="40"/>
      <c r="BJ123" s="40"/>
      <c r="BK123" s="31"/>
      <c r="BL123" s="32"/>
      <c r="BM123" s="29"/>
    </row>
    <row r="124" spans="2:65" outlineLevel="1">
      <c r="B124" s="41" t="s">
        <v>514</v>
      </c>
      <c r="C124" s="41" t="s">
        <v>355</v>
      </c>
      <c r="D124" s="40"/>
      <c r="E124" s="40"/>
      <c r="F124" s="40"/>
      <c r="G124" s="31"/>
      <c r="H124" s="32"/>
      <c r="I124" s="29"/>
      <c r="J124" s="172"/>
      <c r="L124" s="41" t="s">
        <v>514</v>
      </c>
      <c r="M124" s="41" t="s">
        <v>355</v>
      </c>
      <c r="N124" s="40"/>
      <c r="O124" s="40"/>
      <c r="P124" s="40"/>
      <c r="Q124" s="31"/>
      <c r="R124" s="32"/>
      <c r="S124" s="29"/>
      <c r="T124" s="172"/>
      <c r="V124" s="41" t="s">
        <v>514</v>
      </c>
      <c r="W124" s="41" t="s">
        <v>355</v>
      </c>
      <c r="X124" s="40"/>
      <c r="Y124" s="40"/>
      <c r="Z124" s="40"/>
      <c r="AA124" s="31"/>
      <c r="AB124" s="32"/>
      <c r="AC124" s="29"/>
      <c r="AE124" s="41" t="s">
        <v>514</v>
      </c>
      <c r="AF124" s="41" t="s">
        <v>355</v>
      </c>
      <c r="AG124" s="40"/>
      <c r="AH124" s="40"/>
      <c r="AI124" s="40"/>
      <c r="AJ124" s="31"/>
      <c r="AK124" s="32"/>
      <c r="AL124" s="29"/>
      <c r="AN124" s="41" t="s">
        <v>514</v>
      </c>
      <c r="AO124" s="41" t="s">
        <v>355</v>
      </c>
      <c r="AP124" s="40"/>
      <c r="AQ124" s="40"/>
      <c r="AR124" s="40"/>
      <c r="AS124" s="31"/>
      <c r="AT124" s="32"/>
      <c r="AU124" s="29"/>
      <c r="AW124" s="41" t="s">
        <v>514</v>
      </c>
      <c r="AX124" s="41" t="s">
        <v>355</v>
      </c>
      <c r="AY124" s="40"/>
      <c r="AZ124" s="40"/>
      <c r="BA124" s="40"/>
      <c r="BB124" s="31"/>
      <c r="BC124" s="32"/>
      <c r="BD124" s="29"/>
      <c r="BF124" s="41" t="s">
        <v>514</v>
      </c>
      <c r="BG124" s="41" t="s">
        <v>355</v>
      </c>
      <c r="BH124" s="40"/>
      <c r="BI124" s="40"/>
      <c r="BJ124" s="40"/>
      <c r="BK124" s="31"/>
      <c r="BL124" s="32"/>
      <c r="BM124" s="29"/>
    </row>
    <row r="125" spans="2:65" outlineLevel="1">
      <c r="B125" s="41" t="s">
        <v>514</v>
      </c>
      <c r="C125" s="41" t="s">
        <v>355</v>
      </c>
      <c r="D125" s="40"/>
      <c r="E125" s="40"/>
      <c r="F125" s="40"/>
      <c r="G125" s="31"/>
      <c r="H125" s="32"/>
      <c r="I125" s="29"/>
      <c r="J125" s="172"/>
      <c r="L125" s="41" t="s">
        <v>514</v>
      </c>
      <c r="M125" s="41" t="s">
        <v>355</v>
      </c>
      <c r="N125" s="40"/>
      <c r="O125" s="40"/>
      <c r="P125" s="40"/>
      <c r="Q125" s="31"/>
      <c r="R125" s="32"/>
      <c r="S125" s="29"/>
      <c r="T125" s="172"/>
      <c r="V125" s="41" t="s">
        <v>514</v>
      </c>
      <c r="W125" s="41" t="s">
        <v>355</v>
      </c>
      <c r="X125" s="40"/>
      <c r="Y125" s="40"/>
      <c r="Z125" s="40"/>
      <c r="AA125" s="31"/>
      <c r="AB125" s="32"/>
      <c r="AC125" s="29"/>
      <c r="AE125" s="41" t="s">
        <v>514</v>
      </c>
      <c r="AF125" s="41" t="s">
        <v>355</v>
      </c>
      <c r="AG125" s="40"/>
      <c r="AH125" s="40"/>
      <c r="AI125" s="40"/>
      <c r="AJ125" s="31"/>
      <c r="AK125" s="32"/>
      <c r="AL125" s="29"/>
      <c r="AN125" s="41" t="s">
        <v>514</v>
      </c>
      <c r="AO125" s="41" t="s">
        <v>355</v>
      </c>
      <c r="AP125" s="40"/>
      <c r="AQ125" s="40"/>
      <c r="AR125" s="40"/>
      <c r="AS125" s="31"/>
      <c r="AT125" s="32"/>
      <c r="AU125" s="29"/>
      <c r="AW125" s="41" t="s">
        <v>514</v>
      </c>
      <c r="AX125" s="41" t="s">
        <v>355</v>
      </c>
      <c r="AY125" s="40"/>
      <c r="AZ125" s="40"/>
      <c r="BA125" s="40"/>
      <c r="BB125" s="31"/>
      <c r="BC125" s="32"/>
      <c r="BD125" s="29"/>
      <c r="BF125" s="41" t="s">
        <v>514</v>
      </c>
      <c r="BG125" s="41" t="s">
        <v>355</v>
      </c>
      <c r="BH125" s="40"/>
      <c r="BI125" s="40"/>
      <c r="BJ125" s="40"/>
      <c r="BK125" s="31"/>
      <c r="BL125" s="32"/>
      <c r="BM125" s="29"/>
    </row>
    <row r="126" spans="2:65" outlineLevel="1">
      <c r="B126" s="41" t="s">
        <v>514</v>
      </c>
      <c r="C126" s="41" t="s">
        <v>355</v>
      </c>
      <c r="D126" s="40"/>
      <c r="E126" s="40"/>
      <c r="F126" s="40"/>
      <c r="G126" s="31"/>
      <c r="H126" s="32"/>
      <c r="I126" s="29"/>
      <c r="J126" s="172"/>
      <c r="L126" s="41" t="s">
        <v>514</v>
      </c>
      <c r="M126" s="41" t="s">
        <v>355</v>
      </c>
      <c r="N126" s="40"/>
      <c r="O126" s="40"/>
      <c r="P126" s="40"/>
      <c r="Q126" s="31"/>
      <c r="R126" s="32"/>
      <c r="S126" s="29"/>
      <c r="T126" s="172"/>
      <c r="V126" s="41" t="s">
        <v>514</v>
      </c>
      <c r="W126" s="41" t="s">
        <v>355</v>
      </c>
      <c r="X126" s="40"/>
      <c r="Y126" s="40"/>
      <c r="Z126" s="40"/>
      <c r="AA126" s="31"/>
      <c r="AB126" s="32"/>
      <c r="AC126" s="29"/>
      <c r="AE126" s="41" t="s">
        <v>514</v>
      </c>
      <c r="AF126" s="41" t="s">
        <v>355</v>
      </c>
      <c r="AG126" s="40"/>
      <c r="AH126" s="40"/>
      <c r="AI126" s="40"/>
      <c r="AJ126" s="31"/>
      <c r="AK126" s="32"/>
      <c r="AL126" s="29"/>
      <c r="AN126" s="41" t="s">
        <v>514</v>
      </c>
      <c r="AO126" s="41" t="s">
        <v>355</v>
      </c>
      <c r="AP126" s="40"/>
      <c r="AQ126" s="40"/>
      <c r="AR126" s="40"/>
      <c r="AS126" s="31"/>
      <c r="AT126" s="32"/>
      <c r="AU126" s="29"/>
      <c r="AW126" s="41" t="s">
        <v>514</v>
      </c>
      <c r="AX126" s="41" t="s">
        <v>355</v>
      </c>
      <c r="AY126" s="40"/>
      <c r="AZ126" s="40"/>
      <c r="BA126" s="40"/>
      <c r="BB126" s="31"/>
      <c r="BC126" s="32"/>
      <c r="BD126" s="29"/>
      <c r="BF126" s="41" t="s">
        <v>514</v>
      </c>
      <c r="BG126" s="41" t="s">
        <v>355</v>
      </c>
      <c r="BH126" s="40"/>
      <c r="BI126" s="40"/>
      <c r="BJ126" s="40"/>
      <c r="BK126" s="31"/>
      <c r="BL126" s="32"/>
      <c r="BM126" s="29"/>
    </row>
    <row r="127" spans="2:65" outlineLevel="1">
      <c r="B127" s="41" t="s">
        <v>514</v>
      </c>
      <c r="C127" s="41" t="s">
        <v>355</v>
      </c>
      <c r="D127" s="40"/>
      <c r="E127" s="40"/>
      <c r="F127" s="40"/>
      <c r="G127" s="31"/>
      <c r="H127" s="32"/>
      <c r="I127" s="29"/>
      <c r="J127" s="172"/>
      <c r="L127" s="41" t="s">
        <v>514</v>
      </c>
      <c r="M127" s="41" t="s">
        <v>355</v>
      </c>
      <c r="N127" s="40"/>
      <c r="O127" s="40"/>
      <c r="P127" s="40"/>
      <c r="Q127" s="31"/>
      <c r="R127" s="32"/>
      <c r="S127" s="29"/>
      <c r="T127" s="172"/>
      <c r="V127" s="41" t="s">
        <v>514</v>
      </c>
      <c r="W127" s="41" t="s">
        <v>355</v>
      </c>
      <c r="X127" s="40"/>
      <c r="Y127" s="40"/>
      <c r="Z127" s="40"/>
      <c r="AA127" s="31"/>
      <c r="AB127" s="32"/>
      <c r="AC127" s="29"/>
      <c r="AE127" s="41" t="s">
        <v>514</v>
      </c>
      <c r="AF127" s="41" t="s">
        <v>355</v>
      </c>
      <c r="AG127" s="40"/>
      <c r="AH127" s="40"/>
      <c r="AI127" s="40"/>
      <c r="AJ127" s="31"/>
      <c r="AK127" s="32"/>
      <c r="AL127" s="29"/>
      <c r="AN127" s="41" t="s">
        <v>514</v>
      </c>
      <c r="AO127" s="41" t="s">
        <v>355</v>
      </c>
      <c r="AP127" s="40"/>
      <c r="AQ127" s="40"/>
      <c r="AR127" s="40"/>
      <c r="AS127" s="31"/>
      <c r="AT127" s="32"/>
      <c r="AU127" s="29"/>
      <c r="AW127" s="41" t="s">
        <v>514</v>
      </c>
      <c r="AX127" s="41" t="s">
        <v>355</v>
      </c>
      <c r="AY127" s="40"/>
      <c r="AZ127" s="40"/>
      <c r="BA127" s="40"/>
      <c r="BB127" s="31"/>
      <c r="BC127" s="32"/>
      <c r="BD127" s="29"/>
      <c r="BF127" s="41" t="s">
        <v>514</v>
      </c>
      <c r="BG127" s="41" t="s">
        <v>355</v>
      </c>
      <c r="BH127" s="40"/>
      <c r="BI127" s="40"/>
      <c r="BJ127" s="40"/>
      <c r="BK127" s="31"/>
      <c r="BL127" s="32"/>
      <c r="BM127" s="29"/>
    </row>
    <row r="128" spans="2:65" outlineLevel="1">
      <c r="B128" s="41" t="s">
        <v>514</v>
      </c>
      <c r="C128" s="41" t="s">
        <v>355</v>
      </c>
      <c r="D128" s="40"/>
      <c r="E128" s="40"/>
      <c r="F128" s="40"/>
      <c r="G128" s="31"/>
      <c r="H128" s="32"/>
      <c r="I128" s="29"/>
      <c r="J128" s="172"/>
      <c r="L128" s="41" t="s">
        <v>514</v>
      </c>
      <c r="M128" s="41" t="s">
        <v>355</v>
      </c>
      <c r="N128" s="40"/>
      <c r="O128" s="40"/>
      <c r="P128" s="40"/>
      <c r="Q128" s="31"/>
      <c r="R128" s="32"/>
      <c r="S128" s="29"/>
      <c r="T128" s="172"/>
      <c r="V128" s="41" t="s">
        <v>514</v>
      </c>
      <c r="W128" s="41" t="s">
        <v>355</v>
      </c>
      <c r="X128" s="40"/>
      <c r="Y128" s="40"/>
      <c r="Z128" s="40"/>
      <c r="AA128" s="31"/>
      <c r="AB128" s="32"/>
      <c r="AC128" s="29"/>
      <c r="AE128" s="41" t="s">
        <v>514</v>
      </c>
      <c r="AF128" s="41" t="s">
        <v>355</v>
      </c>
      <c r="AG128" s="40"/>
      <c r="AH128" s="40"/>
      <c r="AI128" s="40"/>
      <c r="AJ128" s="31"/>
      <c r="AK128" s="32"/>
      <c r="AL128" s="29"/>
      <c r="AN128" s="41" t="s">
        <v>514</v>
      </c>
      <c r="AO128" s="41" t="s">
        <v>355</v>
      </c>
      <c r="AP128" s="40"/>
      <c r="AQ128" s="40"/>
      <c r="AR128" s="40"/>
      <c r="AS128" s="31"/>
      <c r="AT128" s="32"/>
      <c r="AU128" s="29"/>
      <c r="AW128" s="41" t="s">
        <v>514</v>
      </c>
      <c r="AX128" s="41" t="s">
        <v>355</v>
      </c>
      <c r="AY128" s="40"/>
      <c r="AZ128" s="40"/>
      <c r="BA128" s="40"/>
      <c r="BB128" s="31"/>
      <c r="BC128" s="32"/>
      <c r="BD128" s="29"/>
      <c r="BF128" s="41" t="s">
        <v>514</v>
      </c>
      <c r="BG128" s="41" t="s">
        <v>355</v>
      </c>
      <c r="BH128" s="40"/>
      <c r="BI128" s="40"/>
      <c r="BJ128" s="40"/>
      <c r="BK128" s="31"/>
      <c r="BL128" s="32"/>
      <c r="BM128" s="29"/>
    </row>
    <row r="129" spans="2:65" outlineLevel="1">
      <c r="B129" s="41" t="s">
        <v>514</v>
      </c>
      <c r="C129" s="41" t="s">
        <v>355</v>
      </c>
      <c r="D129" s="40"/>
      <c r="E129" s="40"/>
      <c r="F129" s="40"/>
      <c r="G129" s="31"/>
      <c r="H129" s="32"/>
      <c r="I129" s="29"/>
      <c r="J129" s="172"/>
      <c r="L129" s="41" t="s">
        <v>514</v>
      </c>
      <c r="M129" s="41" t="s">
        <v>355</v>
      </c>
      <c r="N129" s="40"/>
      <c r="O129" s="40"/>
      <c r="P129" s="40"/>
      <c r="Q129" s="31"/>
      <c r="R129" s="32"/>
      <c r="S129" s="29"/>
      <c r="T129" s="172"/>
      <c r="V129" s="41" t="s">
        <v>514</v>
      </c>
      <c r="W129" s="41" t="s">
        <v>355</v>
      </c>
      <c r="X129" s="40"/>
      <c r="Y129" s="40"/>
      <c r="Z129" s="40"/>
      <c r="AA129" s="31"/>
      <c r="AB129" s="32"/>
      <c r="AC129" s="29"/>
      <c r="AE129" s="41" t="s">
        <v>514</v>
      </c>
      <c r="AF129" s="41" t="s">
        <v>355</v>
      </c>
      <c r="AG129" s="40"/>
      <c r="AH129" s="40"/>
      <c r="AI129" s="40"/>
      <c r="AJ129" s="31"/>
      <c r="AK129" s="32"/>
      <c r="AL129" s="29"/>
      <c r="AN129" s="41" t="s">
        <v>514</v>
      </c>
      <c r="AO129" s="41" t="s">
        <v>355</v>
      </c>
      <c r="AP129" s="40"/>
      <c r="AQ129" s="40"/>
      <c r="AR129" s="40"/>
      <c r="AS129" s="31"/>
      <c r="AT129" s="32"/>
      <c r="AU129" s="29"/>
      <c r="AW129" s="41" t="s">
        <v>514</v>
      </c>
      <c r="AX129" s="41" t="s">
        <v>355</v>
      </c>
      <c r="AY129" s="40"/>
      <c r="AZ129" s="40"/>
      <c r="BA129" s="40"/>
      <c r="BB129" s="31"/>
      <c r="BC129" s="32"/>
      <c r="BD129" s="29"/>
      <c r="BF129" s="41" t="s">
        <v>514</v>
      </c>
      <c r="BG129" s="41" t="s">
        <v>355</v>
      </c>
      <c r="BH129" s="40"/>
      <c r="BI129" s="40"/>
      <c r="BJ129" s="40"/>
      <c r="BK129" s="31"/>
      <c r="BL129" s="32"/>
      <c r="BM129" s="29"/>
    </row>
    <row r="130" spans="2:65" outlineLevel="1">
      <c r="B130" s="41" t="s">
        <v>514</v>
      </c>
      <c r="C130" s="41" t="s">
        <v>355</v>
      </c>
      <c r="D130" s="40"/>
      <c r="E130" s="40"/>
      <c r="F130" s="40"/>
      <c r="G130" s="31"/>
      <c r="H130" s="32"/>
      <c r="I130" s="29"/>
      <c r="J130" s="172"/>
      <c r="L130" s="41" t="s">
        <v>514</v>
      </c>
      <c r="M130" s="41" t="s">
        <v>355</v>
      </c>
      <c r="N130" s="40"/>
      <c r="O130" s="40"/>
      <c r="P130" s="40"/>
      <c r="Q130" s="31"/>
      <c r="R130" s="32"/>
      <c r="S130" s="29"/>
      <c r="T130" s="172"/>
      <c r="V130" s="41" t="s">
        <v>514</v>
      </c>
      <c r="W130" s="41" t="s">
        <v>355</v>
      </c>
      <c r="X130" s="40"/>
      <c r="Y130" s="40"/>
      <c r="Z130" s="40"/>
      <c r="AA130" s="31"/>
      <c r="AB130" s="32"/>
      <c r="AC130" s="29"/>
      <c r="AE130" s="41" t="s">
        <v>514</v>
      </c>
      <c r="AF130" s="41" t="s">
        <v>355</v>
      </c>
      <c r="AG130" s="40"/>
      <c r="AH130" s="40"/>
      <c r="AI130" s="40"/>
      <c r="AJ130" s="31"/>
      <c r="AK130" s="32"/>
      <c r="AL130" s="29"/>
      <c r="AN130" s="41" t="s">
        <v>514</v>
      </c>
      <c r="AO130" s="41" t="s">
        <v>355</v>
      </c>
      <c r="AP130" s="40"/>
      <c r="AQ130" s="40"/>
      <c r="AR130" s="40"/>
      <c r="AS130" s="31"/>
      <c r="AT130" s="32"/>
      <c r="AU130" s="29"/>
      <c r="AW130" s="41" t="s">
        <v>514</v>
      </c>
      <c r="AX130" s="41" t="s">
        <v>355</v>
      </c>
      <c r="AY130" s="40"/>
      <c r="AZ130" s="40"/>
      <c r="BA130" s="40"/>
      <c r="BB130" s="31"/>
      <c r="BC130" s="32"/>
      <c r="BD130" s="29"/>
      <c r="BF130" s="41" t="s">
        <v>514</v>
      </c>
      <c r="BG130" s="41" t="s">
        <v>355</v>
      </c>
      <c r="BH130" s="40"/>
      <c r="BI130" s="40"/>
      <c r="BJ130" s="40"/>
      <c r="BK130" s="31"/>
      <c r="BL130" s="32"/>
      <c r="BM130" s="29"/>
    </row>
    <row r="131" spans="2:65" s="24" customFormat="1">
      <c r="B131" s="8" t="s">
        <v>518</v>
      </c>
      <c r="C131" s="25"/>
      <c r="D131" s="28">
        <f>SUM(D116:D130)</f>
        <v>0</v>
      </c>
      <c r="E131" s="28">
        <f>SUM(E116:E130)</f>
        <v>0</v>
      </c>
      <c r="F131" s="28">
        <f>SUM(F116:F130)</f>
        <v>0</v>
      </c>
      <c r="G131" s="25"/>
      <c r="H131" s="26"/>
      <c r="I131" s="30"/>
      <c r="J131" s="171"/>
      <c r="L131" s="8" t="s">
        <v>518</v>
      </c>
      <c r="M131" s="25"/>
      <c r="N131" s="28">
        <f t="shared" ref="N131:P131" si="132">SUM(N116:N130)</f>
        <v>0</v>
      </c>
      <c r="O131" s="28">
        <f t="shared" si="132"/>
        <v>0</v>
      </c>
      <c r="P131" s="28">
        <f t="shared" si="132"/>
        <v>0</v>
      </c>
      <c r="Q131" s="25"/>
      <c r="R131" s="26"/>
      <c r="S131" s="30"/>
      <c r="T131" s="171"/>
      <c r="V131" s="8" t="s">
        <v>518</v>
      </c>
      <c r="W131" s="25"/>
      <c r="X131" s="30"/>
      <c r="Y131" s="30"/>
      <c r="Z131" s="28">
        <f t="shared" ref="Z131" si="133">SUM(Z116:Z130)</f>
        <v>0</v>
      </c>
      <c r="AA131" s="25"/>
      <c r="AB131" s="26"/>
      <c r="AC131" s="30"/>
      <c r="AE131" s="8" t="s">
        <v>518</v>
      </c>
      <c r="AF131" s="25"/>
      <c r="AG131" s="30"/>
      <c r="AH131" s="30"/>
      <c r="AI131" s="28">
        <f t="shared" ref="AI131" si="134">SUM(AI116:AI130)</f>
        <v>0</v>
      </c>
      <c r="AJ131" s="25"/>
      <c r="AK131" s="26"/>
      <c r="AL131" s="30"/>
      <c r="AN131" s="8" t="s">
        <v>518</v>
      </c>
      <c r="AO131" s="25"/>
      <c r="AP131" s="30"/>
      <c r="AQ131" s="30"/>
      <c r="AR131" s="28">
        <f t="shared" ref="AR131" si="135">SUM(AR116:AR130)</f>
        <v>0</v>
      </c>
      <c r="AS131" s="25"/>
      <c r="AT131" s="26"/>
      <c r="AU131" s="30"/>
      <c r="AW131" s="8" t="s">
        <v>518</v>
      </c>
      <c r="AX131" s="25"/>
      <c r="AY131" s="30"/>
      <c r="AZ131" s="30"/>
      <c r="BA131" s="28">
        <f t="shared" ref="BA131" si="136">SUM(BA116:BA130)</f>
        <v>0</v>
      </c>
      <c r="BB131" s="25"/>
      <c r="BC131" s="26"/>
      <c r="BD131" s="30"/>
      <c r="BF131" s="8" t="s">
        <v>518</v>
      </c>
      <c r="BG131" s="25"/>
      <c r="BH131" s="30"/>
      <c r="BI131" s="30"/>
      <c r="BJ131" s="28">
        <f t="shared" ref="BJ131" si="137">SUM(BJ116:BJ130)</f>
        <v>0</v>
      </c>
      <c r="BK131" s="25"/>
      <c r="BL131" s="26"/>
      <c r="BM131" s="30"/>
    </row>
    <row r="133" spans="2:65" ht="41.4">
      <c r="B133" s="27" t="s">
        <v>17</v>
      </c>
      <c r="C133" s="3" t="str">
        <f>C$43</f>
        <v>Source</v>
      </c>
      <c r="D133" s="3" t="str">
        <f t="shared" ref="D133:I133" si="138">D$43</f>
        <v>Limit (A)</v>
      </c>
      <c r="E133" s="3" t="str">
        <f t="shared" si="138"/>
        <v>Outstanding (A1)</v>
      </c>
      <c r="F133" s="3" t="str">
        <f t="shared" si="138"/>
        <v>Monthly Repayment (B)</v>
      </c>
      <c r="G133" s="3" t="str">
        <f t="shared" si="138"/>
        <v>Interest Rate (C)</v>
      </c>
      <c r="H133" s="3" t="str">
        <f t="shared" si="138"/>
        <v>Factor (D)</v>
      </c>
      <c r="I133" s="3" t="str">
        <f t="shared" si="138"/>
        <v>Interest (E) = (A or A1) * (C) * (D)</v>
      </c>
      <c r="J133" s="173" t="s">
        <v>450</v>
      </c>
      <c r="L133" s="27" t="s">
        <v>17</v>
      </c>
      <c r="M133" s="3" t="str">
        <f>M$43</f>
        <v>Source</v>
      </c>
      <c r="N133" s="3" t="str">
        <f t="shared" ref="N133:S133" si="139">N$43</f>
        <v>Limit (A)</v>
      </c>
      <c r="O133" s="3" t="str">
        <f t="shared" si="139"/>
        <v>Outstanding (A1)</v>
      </c>
      <c r="P133" s="3" t="str">
        <f t="shared" si="139"/>
        <v>Monthly Repayment (B)</v>
      </c>
      <c r="Q133" s="3" t="str">
        <f t="shared" si="139"/>
        <v>Interest Rate (C)</v>
      </c>
      <c r="R133" s="3" t="str">
        <f t="shared" si="139"/>
        <v>Factor (D)</v>
      </c>
      <c r="S133" s="3" t="str">
        <f t="shared" si="139"/>
        <v>Interest (E) = (A or A1) * (C) * (D)</v>
      </c>
      <c r="T133" s="173" t="s">
        <v>450</v>
      </c>
      <c r="V133" s="27" t="s">
        <v>17</v>
      </c>
      <c r="W133" s="3" t="str">
        <f>W$43</f>
        <v>Source</v>
      </c>
      <c r="X133" s="3" t="str">
        <f t="shared" ref="X133:AC133" si="140">X$43</f>
        <v>Limit (A)</v>
      </c>
      <c r="Y133" s="3" t="str">
        <f t="shared" si="140"/>
        <v>Outstanding (A1)</v>
      </c>
      <c r="Z133" s="3" t="str">
        <f t="shared" si="140"/>
        <v>Monthly Repayment (B)</v>
      </c>
      <c r="AA133" s="3" t="str">
        <f t="shared" si="140"/>
        <v>Interest Rate (C)</v>
      </c>
      <c r="AB133" s="3" t="str">
        <f t="shared" si="140"/>
        <v>Factor (D)</v>
      </c>
      <c r="AC133" s="3" t="str">
        <f t="shared" si="140"/>
        <v>Interest (E) = (A or A1) * (C) * (D)</v>
      </c>
      <c r="AE133" s="27" t="s">
        <v>17</v>
      </c>
      <c r="AF133" s="3" t="str">
        <f>AF$43</f>
        <v>Source</v>
      </c>
      <c r="AG133" s="3" t="str">
        <f t="shared" ref="AG133:AL133" si="141">AG$43</f>
        <v>Limit (A)</v>
      </c>
      <c r="AH133" s="3" t="str">
        <f t="shared" si="141"/>
        <v>Outstanding (A1)</v>
      </c>
      <c r="AI133" s="3" t="str">
        <f t="shared" si="141"/>
        <v>Monthly Repayment (B)</v>
      </c>
      <c r="AJ133" s="3" t="str">
        <f t="shared" si="141"/>
        <v>Interest Rate (C)</v>
      </c>
      <c r="AK133" s="3" t="str">
        <f t="shared" si="141"/>
        <v>Factor (D)</v>
      </c>
      <c r="AL133" s="3" t="str">
        <f t="shared" si="141"/>
        <v>Interest (E) = (A or A1) * (C) * (D)</v>
      </c>
      <c r="AN133" s="27" t="s">
        <v>17</v>
      </c>
      <c r="AO133" s="3" t="str">
        <f>AO$43</f>
        <v>Source</v>
      </c>
      <c r="AP133" s="3" t="str">
        <f t="shared" ref="AP133:AU133" si="142">AP$43</f>
        <v>Limit (A)</v>
      </c>
      <c r="AQ133" s="3" t="str">
        <f t="shared" si="142"/>
        <v>Outstanding (A1)</v>
      </c>
      <c r="AR133" s="3" t="str">
        <f t="shared" si="142"/>
        <v>Monthly Repayment (B)</v>
      </c>
      <c r="AS133" s="3" t="str">
        <f t="shared" si="142"/>
        <v>Interest Rate (C)</v>
      </c>
      <c r="AT133" s="3" t="str">
        <f t="shared" si="142"/>
        <v>Factor (D)</v>
      </c>
      <c r="AU133" s="3" t="str">
        <f t="shared" si="142"/>
        <v>Interest (E) = (A or A1) * (C) * (D)</v>
      </c>
      <c r="AW133" s="27" t="s">
        <v>17</v>
      </c>
      <c r="AX133" s="3" t="str">
        <f>AX$43</f>
        <v>Source</v>
      </c>
      <c r="AY133" s="3" t="str">
        <f t="shared" ref="AY133:BD133" si="143">AY$43</f>
        <v>Limit (A)</v>
      </c>
      <c r="AZ133" s="3" t="str">
        <f t="shared" si="143"/>
        <v>Outstanding (A1)</v>
      </c>
      <c r="BA133" s="3" t="str">
        <f t="shared" si="143"/>
        <v>Monthly Repayment (B)</v>
      </c>
      <c r="BB133" s="3" t="str">
        <f t="shared" si="143"/>
        <v>Interest Rate (C)</v>
      </c>
      <c r="BC133" s="3" t="str">
        <f t="shared" si="143"/>
        <v>Factor (D)</v>
      </c>
      <c r="BD133" s="3" t="str">
        <f t="shared" si="143"/>
        <v>Interest (E) = (A or A1) * (C) * (D)</v>
      </c>
      <c r="BF133" s="27" t="s">
        <v>17</v>
      </c>
      <c r="BG133" s="3" t="str">
        <f>BG$43</f>
        <v>Source</v>
      </c>
      <c r="BH133" s="3" t="str">
        <f t="shared" ref="BH133:BM133" si="144">BH$43</f>
        <v>Limit (A)</v>
      </c>
      <c r="BI133" s="3" t="str">
        <f t="shared" si="144"/>
        <v>Outstanding (A1)</v>
      </c>
      <c r="BJ133" s="3" t="str">
        <f t="shared" si="144"/>
        <v>Monthly Repayment (B)</v>
      </c>
      <c r="BK133" s="3" t="str">
        <f t="shared" si="144"/>
        <v>Interest Rate (C)</v>
      </c>
      <c r="BL133" s="3" t="str">
        <f t="shared" si="144"/>
        <v>Factor (D)</v>
      </c>
      <c r="BM133" s="3" t="str">
        <f t="shared" si="144"/>
        <v>Interest (E) = (A or A1) * (C) * (D)</v>
      </c>
    </row>
    <row r="134" spans="2:65">
      <c r="B134" s="41" t="s">
        <v>514</v>
      </c>
      <c r="C134" s="41" t="s">
        <v>355</v>
      </c>
      <c r="D134" s="40"/>
      <c r="E134" s="40"/>
      <c r="F134" s="40"/>
      <c r="G134" s="31"/>
      <c r="H134" s="32"/>
      <c r="I134" s="29"/>
      <c r="J134" s="172"/>
      <c r="L134" s="41" t="s">
        <v>514</v>
      </c>
      <c r="M134" s="41" t="s">
        <v>355</v>
      </c>
      <c r="N134" s="40"/>
      <c r="O134" s="40"/>
      <c r="P134" s="40"/>
      <c r="Q134" s="31"/>
      <c r="R134" s="32"/>
      <c r="S134" s="29"/>
      <c r="T134" s="172"/>
      <c r="V134" s="41" t="s">
        <v>514</v>
      </c>
      <c r="W134" s="41" t="s">
        <v>355</v>
      </c>
      <c r="X134" s="40"/>
      <c r="Y134" s="40"/>
      <c r="Z134" s="40"/>
      <c r="AA134" s="31"/>
      <c r="AB134" s="32"/>
      <c r="AC134" s="29"/>
      <c r="AE134" s="41" t="s">
        <v>514</v>
      </c>
      <c r="AF134" s="41" t="s">
        <v>355</v>
      </c>
      <c r="AG134" s="40"/>
      <c r="AH134" s="40"/>
      <c r="AI134" s="40"/>
      <c r="AJ134" s="31"/>
      <c r="AK134" s="32"/>
      <c r="AL134" s="29"/>
      <c r="AN134" s="41" t="s">
        <v>514</v>
      </c>
      <c r="AO134" s="41" t="s">
        <v>355</v>
      </c>
      <c r="AP134" s="40"/>
      <c r="AQ134" s="40"/>
      <c r="AR134" s="40"/>
      <c r="AS134" s="31"/>
      <c r="AT134" s="32"/>
      <c r="AU134" s="29"/>
      <c r="AW134" s="41" t="s">
        <v>514</v>
      </c>
      <c r="AX134" s="41" t="s">
        <v>355</v>
      </c>
      <c r="AY134" s="40"/>
      <c r="AZ134" s="40"/>
      <c r="BA134" s="40"/>
      <c r="BB134" s="31"/>
      <c r="BC134" s="32"/>
      <c r="BD134" s="29"/>
      <c r="BF134" s="41" t="s">
        <v>514</v>
      </c>
      <c r="BG134" s="41" t="s">
        <v>355</v>
      </c>
      <c r="BH134" s="40"/>
      <c r="BI134" s="40"/>
      <c r="BJ134" s="40"/>
      <c r="BK134" s="31"/>
      <c r="BL134" s="32"/>
      <c r="BM134" s="29"/>
    </row>
    <row r="135" spans="2:65">
      <c r="B135" s="41" t="s">
        <v>514</v>
      </c>
      <c r="C135" s="41" t="s">
        <v>355</v>
      </c>
      <c r="D135" s="40"/>
      <c r="E135" s="40"/>
      <c r="F135" s="40"/>
      <c r="G135" s="31"/>
      <c r="H135" s="32"/>
      <c r="I135" s="29"/>
      <c r="J135" s="172"/>
      <c r="L135" s="41" t="s">
        <v>514</v>
      </c>
      <c r="M135" s="41" t="s">
        <v>355</v>
      </c>
      <c r="N135" s="40"/>
      <c r="O135" s="40"/>
      <c r="P135" s="40"/>
      <c r="Q135" s="31"/>
      <c r="R135" s="32"/>
      <c r="S135" s="29"/>
      <c r="T135" s="172"/>
      <c r="V135" s="41" t="s">
        <v>514</v>
      </c>
      <c r="W135" s="41" t="s">
        <v>355</v>
      </c>
      <c r="X135" s="40"/>
      <c r="Y135" s="40"/>
      <c r="Z135" s="40"/>
      <c r="AA135" s="31"/>
      <c r="AB135" s="32"/>
      <c r="AC135" s="29"/>
      <c r="AE135" s="41" t="s">
        <v>514</v>
      </c>
      <c r="AF135" s="41" t="s">
        <v>355</v>
      </c>
      <c r="AG135" s="40"/>
      <c r="AH135" s="40"/>
      <c r="AI135" s="40"/>
      <c r="AJ135" s="31"/>
      <c r="AK135" s="32"/>
      <c r="AL135" s="29"/>
      <c r="AN135" s="41" t="s">
        <v>514</v>
      </c>
      <c r="AO135" s="41" t="s">
        <v>355</v>
      </c>
      <c r="AP135" s="40"/>
      <c r="AQ135" s="40"/>
      <c r="AR135" s="40"/>
      <c r="AS135" s="31"/>
      <c r="AT135" s="32"/>
      <c r="AU135" s="29"/>
      <c r="AW135" s="41" t="s">
        <v>514</v>
      </c>
      <c r="AX135" s="41" t="s">
        <v>355</v>
      </c>
      <c r="AY135" s="40"/>
      <c r="AZ135" s="40"/>
      <c r="BA135" s="40"/>
      <c r="BB135" s="31"/>
      <c r="BC135" s="32"/>
      <c r="BD135" s="29"/>
      <c r="BF135" s="41" t="s">
        <v>514</v>
      </c>
      <c r="BG135" s="41" t="s">
        <v>355</v>
      </c>
      <c r="BH135" s="40"/>
      <c r="BI135" s="40"/>
      <c r="BJ135" s="40"/>
      <c r="BK135" s="31"/>
      <c r="BL135" s="32"/>
      <c r="BM135" s="29"/>
    </row>
    <row r="136" spans="2:65">
      <c r="B136" s="41" t="s">
        <v>514</v>
      </c>
      <c r="C136" s="41" t="s">
        <v>355</v>
      </c>
      <c r="D136" s="40"/>
      <c r="E136" s="40"/>
      <c r="F136" s="40"/>
      <c r="G136" s="31"/>
      <c r="H136" s="32"/>
      <c r="I136" s="29"/>
      <c r="J136" s="172"/>
      <c r="L136" s="41" t="s">
        <v>514</v>
      </c>
      <c r="M136" s="41" t="s">
        <v>355</v>
      </c>
      <c r="N136" s="40"/>
      <c r="O136" s="40"/>
      <c r="P136" s="40"/>
      <c r="Q136" s="31"/>
      <c r="R136" s="32"/>
      <c r="S136" s="29"/>
      <c r="T136" s="172"/>
      <c r="V136" s="41" t="s">
        <v>514</v>
      </c>
      <c r="W136" s="41" t="s">
        <v>355</v>
      </c>
      <c r="X136" s="40"/>
      <c r="Y136" s="40"/>
      <c r="Z136" s="40"/>
      <c r="AA136" s="31"/>
      <c r="AB136" s="32"/>
      <c r="AC136" s="29"/>
      <c r="AE136" s="41" t="s">
        <v>514</v>
      </c>
      <c r="AF136" s="41" t="s">
        <v>355</v>
      </c>
      <c r="AG136" s="40"/>
      <c r="AH136" s="40"/>
      <c r="AI136" s="40"/>
      <c r="AJ136" s="31"/>
      <c r="AK136" s="32"/>
      <c r="AL136" s="29"/>
      <c r="AN136" s="41" t="s">
        <v>514</v>
      </c>
      <c r="AO136" s="41" t="s">
        <v>355</v>
      </c>
      <c r="AP136" s="40"/>
      <c r="AQ136" s="40"/>
      <c r="AR136" s="40"/>
      <c r="AS136" s="31"/>
      <c r="AT136" s="32"/>
      <c r="AU136" s="29"/>
      <c r="AW136" s="41" t="s">
        <v>514</v>
      </c>
      <c r="AX136" s="41" t="s">
        <v>355</v>
      </c>
      <c r="AY136" s="40"/>
      <c r="AZ136" s="40"/>
      <c r="BA136" s="40"/>
      <c r="BB136" s="31"/>
      <c r="BC136" s="32"/>
      <c r="BD136" s="29"/>
      <c r="BF136" s="41" t="s">
        <v>514</v>
      </c>
      <c r="BG136" s="41" t="s">
        <v>355</v>
      </c>
      <c r="BH136" s="40"/>
      <c r="BI136" s="40"/>
      <c r="BJ136" s="40"/>
      <c r="BK136" s="31"/>
      <c r="BL136" s="32"/>
      <c r="BM136" s="29"/>
    </row>
    <row r="137" spans="2:65">
      <c r="B137" s="41" t="s">
        <v>514</v>
      </c>
      <c r="C137" s="41" t="s">
        <v>355</v>
      </c>
      <c r="D137" s="40"/>
      <c r="E137" s="40"/>
      <c r="F137" s="40"/>
      <c r="G137" s="31"/>
      <c r="H137" s="32"/>
      <c r="I137" s="29"/>
      <c r="J137" s="172"/>
      <c r="L137" s="41" t="s">
        <v>514</v>
      </c>
      <c r="M137" s="41" t="s">
        <v>355</v>
      </c>
      <c r="N137" s="40"/>
      <c r="O137" s="40"/>
      <c r="P137" s="40"/>
      <c r="Q137" s="31"/>
      <c r="R137" s="32"/>
      <c r="S137" s="29"/>
      <c r="T137" s="172"/>
      <c r="V137" s="41" t="s">
        <v>514</v>
      </c>
      <c r="W137" s="41" t="s">
        <v>355</v>
      </c>
      <c r="X137" s="40"/>
      <c r="Y137" s="40"/>
      <c r="Z137" s="40"/>
      <c r="AA137" s="31"/>
      <c r="AB137" s="32"/>
      <c r="AC137" s="29"/>
      <c r="AE137" s="41" t="s">
        <v>514</v>
      </c>
      <c r="AF137" s="41" t="s">
        <v>355</v>
      </c>
      <c r="AG137" s="40"/>
      <c r="AH137" s="40"/>
      <c r="AI137" s="40"/>
      <c r="AJ137" s="31"/>
      <c r="AK137" s="32"/>
      <c r="AL137" s="29"/>
      <c r="AN137" s="41" t="s">
        <v>514</v>
      </c>
      <c r="AO137" s="41" t="s">
        <v>355</v>
      </c>
      <c r="AP137" s="40"/>
      <c r="AQ137" s="40"/>
      <c r="AR137" s="40"/>
      <c r="AS137" s="31"/>
      <c r="AT137" s="32"/>
      <c r="AU137" s="29"/>
      <c r="AW137" s="41" t="s">
        <v>514</v>
      </c>
      <c r="AX137" s="41" t="s">
        <v>355</v>
      </c>
      <c r="AY137" s="40"/>
      <c r="AZ137" s="40"/>
      <c r="BA137" s="40"/>
      <c r="BB137" s="31"/>
      <c r="BC137" s="32"/>
      <c r="BD137" s="29"/>
      <c r="BF137" s="41" t="s">
        <v>514</v>
      </c>
      <c r="BG137" s="41" t="s">
        <v>355</v>
      </c>
      <c r="BH137" s="40"/>
      <c r="BI137" s="40"/>
      <c r="BJ137" s="40"/>
      <c r="BK137" s="31"/>
      <c r="BL137" s="32"/>
      <c r="BM137" s="29"/>
    </row>
    <row r="138" spans="2:65">
      <c r="B138" s="41" t="s">
        <v>514</v>
      </c>
      <c r="C138" s="41" t="s">
        <v>355</v>
      </c>
      <c r="D138" s="40"/>
      <c r="E138" s="40"/>
      <c r="F138" s="40"/>
      <c r="G138" s="31"/>
      <c r="H138" s="32"/>
      <c r="I138" s="29"/>
      <c r="J138" s="172"/>
      <c r="L138" s="41" t="s">
        <v>514</v>
      </c>
      <c r="M138" s="41" t="s">
        <v>355</v>
      </c>
      <c r="N138" s="40"/>
      <c r="O138" s="40"/>
      <c r="P138" s="40"/>
      <c r="Q138" s="31"/>
      <c r="R138" s="32"/>
      <c r="S138" s="29"/>
      <c r="T138" s="172"/>
      <c r="V138" s="41" t="s">
        <v>514</v>
      </c>
      <c r="W138" s="41" t="s">
        <v>355</v>
      </c>
      <c r="X138" s="40"/>
      <c r="Y138" s="40"/>
      <c r="Z138" s="40"/>
      <c r="AA138" s="31"/>
      <c r="AB138" s="32"/>
      <c r="AC138" s="29"/>
      <c r="AE138" s="41" t="s">
        <v>514</v>
      </c>
      <c r="AF138" s="41" t="s">
        <v>355</v>
      </c>
      <c r="AG138" s="40"/>
      <c r="AH138" s="40"/>
      <c r="AI138" s="40"/>
      <c r="AJ138" s="31"/>
      <c r="AK138" s="32"/>
      <c r="AL138" s="29"/>
      <c r="AN138" s="41" t="s">
        <v>514</v>
      </c>
      <c r="AO138" s="41" t="s">
        <v>355</v>
      </c>
      <c r="AP138" s="40"/>
      <c r="AQ138" s="40"/>
      <c r="AR138" s="40"/>
      <c r="AS138" s="31"/>
      <c r="AT138" s="32"/>
      <c r="AU138" s="29"/>
      <c r="AW138" s="41" t="s">
        <v>514</v>
      </c>
      <c r="AX138" s="41" t="s">
        <v>355</v>
      </c>
      <c r="AY138" s="40"/>
      <c r="AZ138" s="40"/>
      <c r="BA138" s="40"/>
      <c r="BB138" s="31"/>
      <c r="BC138" s="32"/>
      <c r="BD138" s="29"/>
      <c r="BF138" s="41" t="s">
        <v>514</v>
      </c>
      <c r="BG138" s="41" t="s">
        <v>355</v>
      </c>
      <c r="BH138" s="40"/>
      <c r="BI138" s="40"/>
      <c r="BJ138" s="40"/>
      <c r="BK138" s="31"/>
      <c r="BL138" s="32"/>
      <c r="BM138" s="29"/>
    </row>
    <row r="139" spans="2:65">
      <c r="B139" s="41" t="s">
        <v>514</v>
      </c>
      <c r="C139" s="41" t="s">
        <v>355</v>
      </c>
      <c r="D139" s="40"/>
      <c r="E139" s="40"/>
      <c r="F139" s="40"/>
      <c r="G139" s="31"/>
      <c r="H139" s="32"/>
      <c r="I139" s="29"/>
      <c r="J139" s="172"/>
      <c r="L139" s="41" t="s">
        <v>514</v>
      </c>
      <c r="M139" s="41" t="s">
        <v>355</v>
      </c>
      <c r="N139" s="40"/>
      <c r="O139" s="40"/>
      <c r="P139" s="40"/>
      <c r="Q139" s="31"/>
      <c r="R139" s="32"/>
      <c r="S139" s="29"/>
      <c r="T139" s="172"/>
      <c r="V139" s="41" t="s">
        <v>514</v>
      </c>
      <c r="W139" s="41" t="s">
        <v>355</v>
      </c>
      <c r="X139" s="40"/>
      <c r="Y139" s="40"/>
      <c r="Z139" s="40"/>
      <c r="AA139" s="31"/>
      <c r="AB139" s="32"/>
      <c r="AC139" s="29"/>
      <c r="AE139" s="41" t="s">
        <v>514</v>
      </c>
      <c r="AF139" s="41" t="s">
        <v>355</v>
      </c>
      <c r="AG139" s="40"/>
      <c r="AH139" s="40"/>
      <c r="AI139" s="40"/>
      <c r="AJ139" s="31"/>
      <c r="AK139" s="32"/>
      <c r="AL139" s="29"/>
      <c r="AN139" s="41" t="s">
        <v>514</v>
      </c>
      <c r="AO139" s="41" t="s">
        <v>355</v>
      </c>
      <c r="AP139" s="40"/>
      <c r="AQ139" s="40"/>
      <c r="AR139" s="40"/>
      <c r="AS139" s="31"/>
      <c r="AT139" s="32"/>
      <c r="AU139" s="29"/>
      <c r="AW139" s="41" t="s">
        <v>514</v>
      </c>
      <c r="AX139" s="41" t="s">
        <v>355</v>
      </c>
      <c r="AY139" s="40"/>
      <c r="AZ139" s="40"/>
      <c r="BA139" s="40"/>
      <c r="BB139" s="31"/>
      <c r="BC139" s="32"/>
      <c r="BD139" s="29"/>
      <c r="BF139" s="41" t="s">
        <v>514</v>
      </c>
      <c r="BG139" s="41" t="s">
        <v>355</v>
      </c>
      <c r="BH139" s="40"/>
      <c r="BI139" s="40"/>
      <c r="BJ139" s="40"/>
      <c r="BK139" s="31"/>
      <c r="BL139" s="32"/>
      <c r="BM139" s="29"/>
    </row>
    <row r="140" spans="2:65">
      <c r="B140" s="41" t="s">
        <v>514</v>
      </c>
      <c r="C140" s="41" t="s">
        <v>355</v>
      </c>
      <c r="D140" s="40"/>
      <c r="E140" s="40"/>
      <c r="F140" s="40"/>
      <c r="G140" s="31"/>
      <c r="H140" s="32"/>
      <c r="I140" s="29"/>
      <c r="J140" s="172"/>
      <c r="L140" s="41" t="s">
        <v>514</v>
      </c>
      <c r="M140" s="41" t="s">
        <v>355</v>
      </c>
      <c r="N140" s="40"/>
      <c r="O140" s="40"/>
      <c r="P140" s="40"/>
      <c r="Q140" s="31"/>
      <c r="R140" s="32"/>
      <c r="S140" s="29"/>
      <c r="T140" s="172"/>
      <c r="V140" s="41" t="s">
        <v>514</v>
      </c>
      <c r="W140" s="41" t="s">
        <v>355</v>
      </c>
      <c r="X140" s="40"/>
      <c r="Y140" s="40"/>
      <c r="Z140" s="40"/>
      <c r="AA140" s="31"/>
      <c r="AB140" s="32"/>
      <c r="AC140" s="29"/>
      <c r="AE140" s="41" t="s">
        <v>514</v>
      </c>
      <c r="AF140" s="41" t="s">
        <v>355</v>
      </c>
      <c r="AG140" s="40"/>
      <c r="AH140" s="40"/>
      <c r="AI140" s="40"/>
      <c r="AJ140" s="31"/>
      <c r="AK140" s="32"/>
      <c r="AL140" s="29"/>
      <c r="AN140" s="41" t="s">
        <v>514</v>
      </c>
      <c r="AO140" s="41" t="s">
        <v>355</v>
      </c>
      <c r="AP140" s="40"/>
      <c r="AQ140" s="40"/>
      <c r="AR140" s="40"/>
      <c r="AS140" s="31"/>
      <c r="AT140" s="32"/>
      <c r="AU140" s="29"/>
      <c r="AW140" s="41" t="s">
        <v>514</v>
      </c>
      <c r="AX140" s="41" t="s">
        <v>355</v>
      </c>
      <c r="AY140" s="40"/>
      <c r="AZ140" s="40"/>
      <c r="BA140" s="40"/>
      <c r="BB140" s="31"/>
      <c r="BC140" s="32"/>
      <c r="BD140" s="29"/>
      <c r="BF140" s="41" t="s">
        <v>514</v>
      </c>
      <c r="BG140" s="41" t="s">
        <v>355</v>
      </c>
      <c r="BH140" s="40"/>
      <c r="BI140" s="40"/>
      <c r="BJ140" s="40"/>
      <c r="BK140" s="31"/>
      <c r="BL140" s="32"/>
      <c r="BM140" s="29"/>
    </row>
    <row r="141" spans="2:65" outlineLevel="1">
      <c r="B141" s="41" t="s">
        <v>514</v>
      </c>
      <c r="C141" s="41" t="s">
        <v>355</v>
      </c>
      <c r="D141" s="40"/>
      <c r="E141" s="40"/>
      <c r="F141" s="40"/>
      <c r="G141" s="31"/>
      <c r="H141" s="32"/>
      <c r="I141" s="29"/>
      <c r="J141" s="172"/>
      <c r="L141" s="41" t="s">
        <v>514</v>
      </c>
      <c r="M141" s="41" t="s">
        <v>355</v>
      </c>
      <c r="N141" s="40"/>
      <c r="O141" s="40"/>
      <c r="P141" s="40"/>
      <c r="Q141" s="31"/>
      <c r="R141" s="32"/>
      <c r="S141" s="29"/>
      <c r="T141" s="172"/>
      <c r="V141" s="41" t="s">
        <v>514</v>
      </c>
      <c r="W141" s="41" t="s">
        <v>355</v>
      </c>
      <c r="X141" s="40"/>
      <c r="Y141" s="40"/>
      <c r="Z141" s="40"/>
      <c r="AA141" s="31"/>
      <c r="AB141" s="32"/>
      <c r="AC141" s="29"/>
      <c r="AE141" s="41" t="s">
        <v>514</v>
      </c>
      <c r="AF141" s="41" t="s">
        <v>355</v>
      </c>
      <c r="AG141" s="40"/>
      <c r="AH141" s="40"/>
      <c r="AI141" s="40"/>
      <c r="AJ141" s="31"/>
      <c r="AK141" s="32"/>
      <c r="AL141" s="29"/>
      <c r="AN141" s="41" t="s">
        <v>514</v>
      </c>
      <c r="AO141" s="41" t="s">
        <v>355</v>
      </c>
      <c r="AP141" s="40"/>
      <c r="AQ141" s="40"/>
      <c r="AR141" s="40"/>
      <c r="AS141" s="31"/>
      <c r="AT141" s="32"/>
      <c r="AU141" s="29"/>
      <c r="AW141" s="41" t="s">
        <v>514</v>
      </c>
      <c r="AX141" s="41" t="s">
        <v>355</v>
      </c>
      <c r="AY141" s="40"/>
      <c r="AZ141" s="40"/>
      <c r="BA141" s="40"/>
      <c r="BB141" s="31"/>
      <c r="BC141" s="32"/>
      <c r="BD141" s="29"/>
      <c r="BF141" s="41" t="s">
        <v>514</v>
      </c>
      <c r="BG141" s="41" t="s">
        <v>355</v>
      </c>
      <c r="BH141" s="40"/>
      <c r="BI141" s="40"/>
      <c r="BJ141" s="40"/>
      <c r="BK141" s="31"/>
      <c r="BL141" s="32"/>
      <c r="BM141" s="29"/>
    </row>
    <row r="142" spans="2:65" outlineLevel="1">
      <c r="B142" s="41" t="s">
        <v>514</v>
      </c>
      <c r="C142" s="41" t="s">
        <v>355</v>
      </c>
      <c r="D142" s="40"/>
      <c r="E142" s="40"/>
      <c r="F142" s="40"/>
      <c r="G142" s="31"/>
      <c r="H142" s="32"/>
      <c r="I142" s="29"/>
      <c r="J142" s="172"/>
      <c r="L142" s="41" t="s">
        <v>514</v>
      </c>
      <c r="M142" s="41" t="s">
        <v>355</v>
      </c>
      <c r="N142" s="40"/>
      <c r="O142" s="40"/>
      <c r="P142" s="40"/>
      <c r="Q142" s="31"/>
      <c r="R142" s="32"/>
      <c r="S142" s="29"/>
      <c r="T142" s="172"/>
      <c r="V142" s="41" t="s">
        <v>514</v>
      </c>
      <c r="W142" s="41" t="s">
        <v>355</v>
      </c>
      <c r="X142" s="40"/>
      <c r="Y142" s="40"/>
      <c r="Z142" s="40"/>
      <c r="AA142" s="31"/>
      <c r="AB142" s="32"/>
      <c r="AC142" s="29"/>
      <c r="AE142" s="41" t="s">
        <v>514</v>
      </c>
      <c r="AF142" s="41" t="s">
        <v>355</v>
      </c>
      <c r="AG142" s="40"/>
      <c r="AH142" s="40"/>
      <c r="AI142" s="40"/>
      <c r="AJ142" s="31"/>
      <c r="AK142" s="32"/>
      <c r="AL142" s="29"/>
      <c r="AN142" s="41" t="s">
        <v>514</v>
      </c>
      <c r="AO142" s="41" t="s">
        <v>355</v>
      </c>
      <c r="AP142" s="40"/>
      <c r="AQ142" s="40"/>
      <c r="AR142" s="40"/>
      <c r="AS142" s="31"/>
      <c r="AT142" s="32"/>
      <c r="AU142" s="29"/>
      <c r="AW142" s="41" t="s">
        <v>514</v>
      </c>
      <c r="AX142" s="41" t="s">
        <v>355</v>
      </c>
      <c r="AY142" s="40"/>
      <c r="AZ142" s="40"/>
      <c r="BA142" s="40"/>
      <c r="BB142" s="31"/>
      <c r="BC142" s="32"/>
      <c r="BD142" s="29"/>
      <c r="BF142" s="41" t="s">
        <v>514</v>
      </c>
      <c r="BG142" s="41" t="s">
        <v>355</v>
      </c>
      <c r="BH142" s="40"/>
      <c r="BI142" s="40"/>
      <c r="BJ142" s="40"/>
      <c r="BK142" s="31"/>
      <c r="BL142" s="32"/>
      <c r="BM142" s="29"/>
    </row>
    <row r="143" spans="2:65" outlineLevel="1">
      <c r="B143" s="41" t="s">
        <v>514</v>
      </c>
      <c r="C143" s="41" t="s">
        <v>355</v>
      </c>
      <c r="D143" s="40"/>
      <c r="E143" s="40"/>
      <c r="F143" s="40"/>
      <c r="G143" s="31"/>
      <c r="H143" s="32"/>
      <c r="I143" s="29"/>
      <c r="J143" s="172"/>
      <c r="L143" s="41" t="s">
        <v>514</v>
      </c>
      <c r="M143" s="41" t="s">
        <v>355</v>
      </c>
      <c r="N143" s="40"/>
      <c r="O143" s="40"/>
      <c r="P143" s="40"/>
      <c r="Q143" s="31"/>
      <c r="R143" s="32"/>
      <c r="S143" s="29"/>
      <c r="T143" s="172"/>
      <c r="V143" s="41" t="s">
        <v>514</v>
      </c>
      <c r="W143" s="41" t="s">
        <v>355</v>
      </c>
      <c r="X143" s="40"/>
      <c r="Y143" s="40"/>
      <c r="Z143" s="40"/>
      <c r="AA143" s="31"/>
      <c r="AB143" s="32"/>
      <c r="AC143" s="29"/>
      <c r="AE143" s="41" t="s">
        <v>514</v>
      </c>
      <c r="AF143" s="41" t="s">
        <v>355</v>
      </c>
      <c r="AG143" s="40"/>
      <c r="AH143" s="40"/>
      <c r="AI143" s="40"/>
      <c r="AJ143" s="31"/>
      <c r="AK143" s="32"/>
      <c r="AL143" s="29"/>
      <c r="AN143" s="41" t="s">
        <v>514</v>
      </c>
      <c r="AO143" s="41" t="s">
        <v>355</v>
      </c>
      <c r="AP143" s="40"/>
      <c r="AQ143" s="40"/>
      <c r="AR143" s="40"/>
      <c r="AS143" s="31"/>
      <c r="AT143" s="32"/>
      <c r="AU143" s="29"/>
      <c r="AW143" s="41" t="s">
        <v>514</v>
      </c>
      <c r="AX143" s="41" t="s">
        <v>355</v>
      </c>
      <c r="AY143" s="40"/>
      <c r="AZ143" s="40"/>
      <c r="BA143" s="40"/>
      <c r="BB143" s="31"/>
      <c r="BC143" s="32"/>
      <c r="BD143" s="29"/>
      <c r="BF143" s="41" t="s">
        <v>514</v>
      </c>
      <c r="BG143" s="41" t="s">
        <v>355</v>
      </c>
      <c r="BH143" s="40"/>
      <c r="BI143" s="40"/>
      <c r="BJ143" s="40"/>
      <c r="BK143" s="31"/>
      <c r="BL143" s="32"/>
      <c r="BM143" s="29"/>
    </row>
    <row r="144" spans="2:65" outlineLevel="1">
      <c r="B144" s="41" t="s">
        <v>514</v>
      </c>
      <c r="C144" s="41" t="s">
        <v>355</v>
      </c>
      <c r="D144" s="40"/>
      <c r="E144" s="40"/>
      <c r="F144" s="40"/>
      <c r="G144" s="31"/>
      <c r="H144" s="32"/>
      <c r="I144" s="29"/>
      <c r="J144" s="172"/>
      <c r="L144" s="41" t="s">
        <v>514</v>
      </c>
      <c r="M144" s="41" t="s">
        <v>355</v>
      </c>
      <c r="N144" s="40"/>
      <c r="O144" s="40"/>
      <c r="P144" s="40"/>
      <c r="Q144" s="31"/>
      <c r="R144" s="32"/>
      <c r="S144" s="29"/>
      <c r="T144" s="172"/>
      <c r="V144" s="41" t="s">
        <v>514</v>
      </c>
      <c r="W144" s="41" t="s">
        <v>355</v>
      </c>
      <c r="X144" s="40"/>
      <c r="Y144" s="40"/>
      <c r="Z144" s="40"/>
      <c r="AA144" s="31"/>
      <c r="AB144" s="32"/>
      <c r="AC144" s="29"/>
      <c r="AE144" s="41" t="s">
        <v>514</v>
      </c>
      <c r="AF144" s="41" t="s">
        <v>355</v>
      </c>
      <c r="AG144" s="40"/>
      <c r="AH144" s="40"/>
      <c r="AI144" s="40"/>
      <c r="AJ144" s="31"/>
      <c r="AK144" s="32"/>
      <c r="AL144" s="29"/>
      <c r="AN144" s="41" t="s">
        <v>514</v>
      </c>
      <c r="AO144" s="41" t="s">
        <v>355</v>
      </c>
      <c r="AP144" s="40"/>
      <c r="AQ144" s="40"/>
      <c r="AR144" s="40"/>
      <c r="AS144" s="31"/>
      <c r="AT144" s="32"/>
      <c r="AU144" s="29"/>
      <c r="AW144" s="41" t="s">
        <v>514</v>
      </c>
      <c r="AX144" s="41" t="s">
        <v>355</v>
      </c>
      <c r="AY144" s="40"/>
      <c r="AZ144" s="40"/>
      <c r="BA144" s="40"/>
      <c r="BB144" s="31"/>
      <c r="BC144" s="32"/>
      <c r="BD144" s="29"/>
      <c r="BF144" s="41" t="s">
        <v>514</v>
      </c>
      <c r="BG144" s="41" t="s">
        <v>355</v>
      </c>
      <c r="BH144" s="40"/>
      <c r="BI144" s="40"/>
      <c r="BJ144" s="40"/>
      <c r="BK144" s="31"/>
      <c r="BL144" s="32"/>
      <c r="BM144" s="29"/>
    </row>
    <row r="145" spans="2:65" outlineLevel="1">
      <c r="B145" s="41" t="s">
        <v>514</v>
      </c>
      <c r="C145" s="41" t="s">
        <v>355</v>
      </c>
      <c r="D145" s="40"/>
      <c r="E145" s="40"/>
      <c r="F145" s="40"/>
      <c r="G145" s="31"/>
      <c r="H145" s="32"/>
      <c r="I145" s="29"/>
      <c r="J145" s="172"/>
      <c r="L145" s="41" t="s">
        <v>514</v>
      </c>
      <c r="M145" s="41" t="s">
        <v>355</v>
      </c>
      <c r="N145" s="40"/>
      <c r="O145" s="40"/>
      <c r="P145" s="40"/>
      <c r="Q145" s="31"/>
      <c r="R145" s="32"/>
      <c r="S145" s="29"/>
      <c r="T145" s="172"/>
      <c r="V145" s="41" t="s">
        <v>514</v>
      </c>
      <c r="W145" s="41" t="s">
        <v>355</v>
      </c>
      <c r="X145" s="40"/>
      <c r="Y145" s="40"/>
      <c r="Z145" s="40"/>
      <c r="AA145" s="31"/>
      <c r="AB145" s="32"/>
      <c r="AC145" s="29"/>
      <c r="AE145" s="41" t="s">
        <v>514</v>
      </c>
      <c r="AF145" s="41" t="s">
        <v>355</v>
      </c>
      <c r="AG145" s="40"/>
      <c r="AH145" s="40"/>
      <c r="AI145" s="40"/>
      <c r="AJ145" s="31"/>
      <c r="AK145" s="32"/>
      <c r="AL145" s="29"/>
      <c r="AN145" s="41" t="s">
        <v>514</v>
      </c>
      <c r="AO145" s="41" t="s">
        <v>355</v>
      </c>
      <c r="AP145" s="40"/>
      <c r="AQ145" s="40"/>
      <c r="AR145" s="40"/>
      <c r="AS145" s="31"/>
      <c r="AT145" s="32"/>
      <c r="AU145" s="29"/>
      <c r="AW145" s="41" t="s">
        <v>514</v>
      </c>
      <c r="AX145" s="41" t="s">
        <v>355</v>
      </c>
      <c r="AY145" s="40"/>
      <c r="AZ145" s="40"/>
      <c r="BA145" s="40"/>
      <c r="BB145" s="31"/>
      <c r="BC145" s="32"/>
      <c r="BD145" s="29"/>
      <c r="BF145" s="41" t="s">
        <v>514</v>
      </c>
      <c r="BG145" s="41" t="s">
        <v>355</v>
      </c>
      <c r="BH145" s="40"/>
      <c r="BI145" s="40"/>
      <c r="BJ145" s="40"/>
      <c r="BK145" s="31"/>
      <c r="BL145" s="32"/>
      <c r="BM145" s="29"/>
    </row>
    <row r="146" spans="2:65" outlineLevel="1">
      <c r="B146" s="41" t="s">
        <v>514</v>
      </c>
      <c r="C146" s="41" t="s">
        <v>355</v>
      </c>
      <c r="D146" s="40"/>
      <c r="E146" s="40"/>
      <c r="F146" s="40"/>
      <c r="G146" s="31"/>
      <c r="H146" s="32"/>
      <c r="I146" s="29"/>
      <c r="J146" s="172"/>
      <c r="L146" s="41" t="s">
        <v>514</v>
      </c>
      <c r="M146" s="41" t="s">
        <v>355</v>
      </c>
      <c r="N146" s="40"/>
      <c r="O146" s="40"/>
      <c r="P146" s="40"/>
      <c r="Q146" s="31"/>
      <c r="R146" s="32"/>
      <c r="S146" s="29"/>
      <c r="T146" s="172"/>
      <c r="V146" s="41" t="s">
        <v>514</v>
      </c>
      <c r="W146" s="41" t="s">
        <v>355</v>
      </c>
      <c r="X146" s="40"/>
      <c r="Y146" s="40"/>
      <c r="Z146" s="40"/>
      <c r="AA146" s="31"/>
      <c r="AB146" s="32"/>
      <c r="AC146" s="29"/>
      <c r="AE146" s="41" t="s">
        <v>514</v>
      </c>
      <c r="AF146" s="41" t="s">
        <v>355</v>
      </c>
      <c r="AG146" s="40"/>
      <c r="AH146" s="40"/>
      <c r="AI146" s="40"/>
      <c r="AJ146" s="31"/>
      <c r="AK146" s="32"/>
      <c r="AL146" s="29"/>
      <c r="AN146" s="41" t="s">
        <v>514</v>
      </c>
      <c r="AO146" s="41" t="s">
        <v>355</v>
      </c>
      <c r="AP146" s="40"/>
      <c r="AQ146" s="40"/>
      <c r="AR146" s="40"/>
      <c r="AS146" s="31"/>
      <c r="AT146" s="32"/>
      <c r="AU146" s="29"/>
      <c r="AW146" s="41" t="s">
        <v>514</v>
      </c>
      <c r="AX146" s="41" t="s">
        <v>355</v>
      </c>
      <c r="AY146" s="40"/>
      <c r="AZ146" s="40"/>
      <c r="BA146" s="40"/>
      <c r="BB146" s="31"/>
      <c r="BC146" s="32"/>
      <c r="BD146" s="29"/>
      <c r="BF146" s="41" t="s">
        <v>514</v>
      </c>
      <c r="BG146" s="41" t="s">
        <v>355</v>
      </c>
      <c r="BH146" s="40"/>
      <c r="BI146" s="40"/>
      <c r="BJ146" s="40"/>
      <c r="BK146" s="31"/>
      <c r="BL146" s="32"/>
      <c r="BM146" s="29"/>
    </row>
    <row r="147" spans="2:65" outlineLevel="1">
      <c r="B147" s="41" t="s">
        <v>514</v>
      </c>
      <c r="C147" s="41" t="s">
        <v>355</v>
      </c>
      <c r="D147" s="40"/>
      <c r="E147" s="40"/>
      <c r="F147" s="40"/>
      <c r="G147" s="31"/>
      <c r="H147" s="32"/>
      <c r="I147" s="29"/>
      <c r="J147" s="172"/>
      <c r="L147" s="41" t="s">
        <v>514</v>
      </c>
      <c r="M147" s="41" t="s">
        <v>355</v>
      </c>
      <c r="N147" s="40"/>
      <c r="O147" s="40"/>
      <c r="P147" s="40"/>
      <c r="Q147" s="31"/>
      <c r="R147" s="32"/>
      <c r="S147" s="29"/>
      <c r="T147" s="172"/>
      <c r="V147" s="41" t="s">
        <v>514</v>
      </c>
      <c r="W147" s="41" t="s">
        <v>355</v>
      </c>
      <c r="X147" s="40"/>
      <c r="Y147" s="40"/>
      <c r="Z147" s="40"/>
      <c r="AA147" s="31"/>
      <c r="AB147" s="32"/>
      <c r="AC147" s="29"/>
      <c r="AE147" s="41" t="s">
        <v>514</v>
      </c>
      <c r="AF147" s="41" t="s">
        <v>355</v>
      </c>
      <c r="AG147" s="40"/>
      <c r="AH147" s="40"/>
      <c r="AI147" s="40"/>
      <c r="AJ147" s="31"/>
      <c r="AK147" s="32"/>
      <c r="AL147" s="29"/>
      <c r="AN147" s="41" t="s">
        <v>514</v>
      </c>
      <c r="AO147" s="41" t="s">
        <v>355</v>
      </c>
      <c r="AP147" s="40"/>
      <c r="AQ147" s="40"/>
      <c r="AR147" s="40"/>
      <c r="AS147" s="31"/>
      <c r="AT147" s="32"/>
      <c r="AU147" s="29"/>
      <c r="AW147" s="41" t="s">
        <v>514</v>
      </c>
      <c r="AX147" s="41" t="s">
        <v>355</v>
      </c>
      <c r="AY147" s="40"/>
      <c r="AZ147" s="40"/>
      <c r="BA147" s="40"/>
      <c r="BB147" s="31"/>
      <c r="BC147" s="32"/>
      <c r="BD147" s="29"/>
      <c r="BF147" s="41" t="s">
        <v>514</v>
      </c>
      <c r="BG147" s="41" t="s">
        <v>355</v>
      </c>
      <c r="BH147" s="40"/>
      <c r="BI147" s="40"/>
      <c r="BJ147" s="40"/>
      <c r="BK147" s="31"/>
      <c r="BL147" s="32"/>
      <c r="BM147" s="29"/>
    </row>
    <row r="148" spans="2:65" outlineLevel="1">
      <c r="B148" s="41" t="s">
        <v>514</v>
      </c>
      <c r="C148" s="41" t="s">
        <v>355</v>
      </c>
      <c r="D148" s="40"/>
      <c r="E148" s="40"/>
      <c r="F148" s="40"/>
      <c r="G148" s="31"/>
      <c r="H148" s="32"/>
      <c r="I148" s="29"/>
      <c r="J148" s="172"/>
      <c r="L148" s="41" t="s">
        <v>514</v>
      </c>
      <c r="M148" s="41" t="s">
        <v>355</v>
      </c>
      <c r="N148" s="40"/>
      <c r="O148" s="40"/>
      <c r="P148" s="40"/>
      <c r="Q148" s="31"/>
      <c r="R148" s="32"/>
      <c r="S148" s="29"/>
      <c r="T148" s="172"/>
      <c r="V148" s="41" t="s">
        <v>514</v>
      </c>
      <c r="W148" s="41" t="s">
        <v>355</v>
      </c>
      <c r="X148" s="40"/>
      <c r="Y148" s="40"/>
      <c r="Z148" s="40"/>
      <c r="AA148" s="31"/>
      <c r="AB148" s="32"/>
      <c r="AC148" s="29"/>
      <c r="AE148" s="41" t="s">
        <v>514</v>
      </c>
      <c r="AF148" s="41" t="s">
        <v>355</v>
      </c>
      <c r="AG148" s="40"/>
      <c r="AH148" s="40"/>
      <c r="AI148" s="40"/>
      <c r="AJ148" s="31"/>
      <c r="AK148" s="32"/>
      <c r="AL148" s="29"/>
      <c r="AN148" s="41" t="s">
        <v>514</v>
      </c>
      <c r="AO148" s="41" t="s">
        <v>355</v>
      </c>
      <c r="AP148" s="40"/>
      <c r="AQ148" s="40"/>
      <c r="AR148" s="40"/>
      <c r="AS148" s="31"/>
      <c r="AT148" s="32"/>
      <c r="AU148" s="29"/>
      <c r="AW148" s="41" t="s">
        <v>514</v>
      </c>
      <c r="AX148" s="41" t="s">
        <v>355</v>
      </c>
      <c r="AY148" s="40"/>
      <c r="AZ148" s="40"/>
      <c r="BA148" s="40"/>
      <c r="BB148" s="31"/>
      <c r="BC148" s="32"/>
      <c r="BD148" s="29"/>
      <c r="BF148" s="41" t="s">
        <v>514</v>
      </c>
      <c r="BG148" s="41" t="s">
        <v>355</v>
      </c>
      <c r="BH148" s="40"/>
      <c r="BI148" s="40"/>
      <c r="BJ148" s="40"/>
      <c r="BK148" s="31"/>
      <c r="BL148" s="32"/>
      <c r="BM148" s="29"/>
    </row>
    <row r="149" spans="2:65">
      <c r="B149" s="8" t="s">
        <v>519</v>
      </c>
      <c r="C149" s="25"/>
      <c r="D149" s="28">
        <f t="shared" ref="D149:E149" si="145">SUM(D134:D148)</f>
        <v>0</v>
      </c>
      <c r="E149" s="28">
        <f t="shared" si="145"/>
        <v>0</v>
      </c>
      <c r="F149" s="28">
        <f t="shared" ref="F149" si="146">SUM(F134:F148)</f>
        <v>0</v>
      </c>
      <c r="G149" s="25"/>
      <c r="H149" s="26"/>
      <c r="I149" s="30"/>
      <c r="J149" s="171"/>
      <c r="L149" s="8" t="s">
        <v>519</v>
      </c>
      <c r="M149" s="25"/>
      <c r="N149" s="28">
        <f t="shared" ref="N149:O149" si="147">SUM(N134:N148)</f>
        <v>0</v>
      </c>
      <c r="O149" s="28">
        <f t="shared" si="147"/>
        <v>0</v>
      </c>
      <c r="P149" s="28">
        <f t="shared" ref="P149" si="148">SUM(P134:P148)</f>
        <v>0</v>
      </c>
      <c r="Q149" s="25"/>
      <c r="R149" s="26"/>
      <c r="S149" s="30"/>
      <c r="T149" s="171"/>
      <c r="V149" s="8" t="s">
        <v>519</v>
      </c>
      <c r="W149" s="25"/>
      <c r="X149" s="30"/>
      <c r="Y149" s="30"/>
      <c r="Z149" s="28">
        <f t="shared" ref="Z149" si="149">SUM(Z134:Z148)</f>
        <v>0</v>
      </c>
      <c r="AA149" s="25"/>
      <c r="AB149" s="26"/>
      <c r="AC149" s="30"/>
      <c r="AE149" s="8" t="s">
        <v>519</v>
      </c>
      <c r="AF149" s="25"/>
      <c r="AG149" s="30"/>
      <c r="AH149" s="30"/>
      <c r="AI149" s="28">
        <f t="shared" ref="AI149" si="150">SUM(AI134:AI148)</f>
        <v>0</v>
      </c>
      <c r="AJ149" s="25"/>
      <c r="AK149" s="26"/>
      <c r="AL149" s="30"/>
      <c r="AN149" s="8" t="s">
        <v>519</v>
      </c>
      <c r="AO149" s="25"/>
      <c r="AP149" s="30"/>
      <c r="AQ149" s="30"/>
      <c r="AR149" s="28">
        <f t="shared" ref="AR149" si="151">SUM(AR134:AR148)</f>
        <v>0</v>
      </c>
      <c r="AS149" s="25"/>
      <c r="AT149" s="26"/>
      <c r="AU149" s="30"/>
      <c r="AW149" s="8" t="s">
        <v>519</v>
      </c>
      <c r="AX149" s="25"/>
      <c r="AY149" s="30"/>
      <c r="AZ149" s="30"/>
      <c r="BA149" s="28">
        <f t="shared" ref="BA149" si="152">SUM(BA134:BA148)</f>
        <v>0</v>
      </c>
      <c r="BB149" s="25"/>
      <c r="BC149" s="26"/>
      <c r="BD149" s="30"/>
      <c r="BF149" s="8" t="s">
        <v>519</v>
      </c>
      <c r="BG149" s="25"/>
      <c r="BH149" s="30"/>
      <c r="BI149" s="30"/>
      <c r="BJ149" s="28">
        <f t="shared" ref="BJ149" si="153">SUM(BJ134:BJ148)</f>
        <v>0</v>
      </c>
      <c r="BK149" s="25"/>
      <c r="BL149" s="26"/>
      <c r="BM149" s="30"/>
    </row>
    <row r="151" spans="2:65" s="20" customFormat="1" ht="41.4">
      <c r="B151" s="27" t="s">
        <v>18</v>
      </c>
      <c r="C151" s="3" t="str">
        <f>C$43</f>
        <v>Source</v>
      </c>
      <c r="D151" s="3" t="str">
        <f t="shared" ref="D151:I151" si="154">D$43</f>
        <v>Limit (A)</v>
      </c>
      <c r="E151" s="3" t="str">
        <f t="shared" si="154"/>
        <v>Outstanding (A1)</v>
      </c>
      <c r="F151" s="3" t="str">
        <f t="shared" si="154"/>
        <v>Monthly Repayment (B)</v>
      </c>
      <c r="G151" s="3" t="str">
        <f t="shared" si="154"/>
        <v>Interest Rate (C)</v>
      </c>
      <c r="H151" s="3" t="str">
        <f t="shared" si="154"/>
        <v>Factor (D)</v>
      </c>
      <c r="I151" s="3" t="str">
        <f t="shared" si="154"/>
        <v>Interest (E) = (A or A1) * (C) * (D)</v>
      </c>
      <c r="J151" s="173" t="s">
        <v>450</v>
      </c>
      <c r="L151" s="27" t="s">
        <v>18</v>
      </c>
      <c r="M151" s="3" t="str">
        <f>M$43</f>
        <v>Source</v>
      </c>
      <c r="N151" s="3" t="str">
        <f t="shared" ref="N151:S151" si="155">N$43</f>
        <v>Limit (A)</v>
      </c>
      <c r="O151" s="3" t="str">
        <f t="shared" si="155"/>
        <v>Outstanding (A1)</v>
      </c>
      <c r="P151" s="3" t="str">
        <f t="shared" si="155"/>
        <v>Monthly Repayment (B)</v>
      </c>
      <c r="Q151" s="3" t="str">
        <f t="shared" si="155"/>
        <v>Interest Rate (C)</v>
      </c>
      <c r="R151" s="3" t="str">
        <f t="shared" si="155"/>
        <v>Factor (D)</v>
      </c>
      <c r="S151" s="3" t="str">
        <f t="shared" si="155"/>
        <v>Interest (E) = (A or A1) * (C) * (D)</v>
      </c>
      <c r="T151" s="173" t="s">
        <v>450</v>
      </c>
      <c r="V151" s="27" t="s">
        <v>18</v>
      </c>
      <c r="W151" s="3" t="str">
        <f>W$43</f>
        <v>Source</v>
      </c>
      <c r="X151" s="3" t="str">
        <f t="shared" ref="X151:AC151" si="156">X$43</f>
        <v>Limit (A)</v>
      </c>
      <c r="Y151" s="3" t="str">
        <f t="shared" si="156"/>
        <v>Outstanding (A1)</v>
      </c>
      <c r="Z151" s="3" t="str">
        <f t="shared" si="156"/>
        <v>Monthly Repayment (B)</v>
      </c>
      <c r="AA151" s="3" t="str">
        <f t="shared" si="156"/>
        <v>Interest Rate (C)</v>
      </c>
      <c r="AB151" s="3" t="str">
        <f t="shared" si="156"/>
        <v>Factor (D)</v>
      </c>
      <c r="AC151" s="3" t="str">
        <f t="shared" si="156"/>
        <v>Interest (E) = (A or A1) * (C) * (D)</v>
      </c>
      <c r="AE151" s="27" t="s">
        <v>18</v>
      </c>
      <c r="AF151" s="3" t="str">
        <f>AF$43</f>
        <v>Source</v>
      </c>
      <c r="AG151" s="3" t="str">
        <f t="shared" ref="AG151:AL151" si="157">AG$43</f>
        <v>Limit (A)</v>
      </c>
      <c r="AH151" s="3" t="str">
        <f t="shared" si="157"/>
        <v>Outstanding (A1)</v>
      </c>
      <c r="AI151" s="3" t="str">
        <f t="shared" si="157"/>
        <v>Monthly Repayment (B)</v>
      </c>
      <c r="AJ151" s="3" t="str">
        <f t="shared" si="157"/>
        <v>Interest Rate (C)</v>
      </c>
      <c r="AK151" s="3" t="str">
        <f t="shared" si="157"/>
        <v>Factor (D)</v>
      </c>
      <c r="AL151" s="3" t="str">
        <f t="shared" si="157"/>
        <v>Interest (E) = (A or A1) * (C) * (D)</v>
      </c>
      <c r="AN151" s="27" t="s">
        <v>18</v>
      </c>
      <c r="AO151" s="3" t="str">
        <f>AO$43</f>
        <v>Source</v>
      </c>
      <c r="AP151" s="3" t="str">
        <f t="shared" ref="AP151:AU151" si="158">AP$43</f>
        <v>Limit (A)</v>
      </c>
      <c r="AQ151" s="3" t="str">
        <f t="shared" si="158"/>
        <v>Outstanding (A1)</v>
      </c>
      <c r="AR151" s="3" t="str">
        <f t="shared" si="158"/>
        <v>Monthly Repayment (B)</v>
      </c>
      <c r="AS151" s="3" t="str">
        <f t="shared" si="158"/>
        <v>Interest Rate (C)</v>
      </c>
      <c r="AT151" s="3" t="str">
        <f t="shared" si="158"/>
        <v>Factor (D)</v>
      </c>
      <c r="AU151" s="3" t="str">
        <f t="shared" si="158"/>
        <v>Interest (E) = (A or A1) * (C) * (D)</v>
      </c>
      <c r="AW151" s="27" t="s">
        <v>18</v>
      </c>
      <c r="AX151" s="3" t="str">
        <f>AX$43</f>
        <v>Source</v>
      </c>
      <c r="AY151" s="3" t="str">
        <f t="shared" ref="AY151:BD151" si="159">AY$43</f>
        <v>Limit (A)</v>
      </c>
      <c r="AZ151" s="3" t="str">
        <f t="shared" si="159"/>
        <v>Outstanding (A1)</v>
      </c>
      <c r="BA151" s="3" t="str">
        <f t="shared" si="159"/>
        <v>Monthly Repayment (B)</v>
      </c>
      <c r="BB151" s="3" t="str">
        <f t="shared" si="159"/>
        <v>Interest Rate (C)</v>
      </c>
      <c r="BC151" s="3" t="str">
        <f t="shared" si="159"/>
        <v>Factor (D)</v>
      </c>
      <c r="BD151" s="3" t="str">
        <f t="shared" si="159"/>
        <v>Interest (E) = (A or A1) * (C) * (D)</v>
      </c>
      <c r="BF151" s="27" t="s">
        <v>18</v>
      </c>
      <c r="BG151" s="3" t="str">
        <f>BG$43</f>
        <v>Source</v>
      </c>
      <c r="BH151" s="3" t="str">
        <f t="shared" ref="BH151:BM151" si="160">BH$43</f>
        <v>Limit (A)</v>
      </c>
      <c r="BI151" s="3" t="str">
        <f t="shared" si="160"/>
        <v>Outstanding (A1)</v>
      </c>
      <c r="BJ151" s="3" t="str">
        <f t="shared" si="160"/>
        <v>Monthly Repayment (B)</v>
      </c>
      <c r="BK151" s="3" t="str">
        <f t="shared" si="160"/>
        <v>Interest Rate (C)</v>
      </c>
      <c r="BL151" s="3" t="str">
        <f t="shared" si="160"/>
        <v>Factor (D)</v>
      </c>
      <c r="BM151" s="3" t="str">
        <f t="shared" si="160"/>
        <v>Interest (E) = (A or A1) * (C) * (D)</v>
      </c>
    </row>
    <row r="152" spans="2:65">
      <c r="B152" s="41" t="s">
        <v>514</v>
      </c>
      <c r="C152" s="41" t="s">
        <v>355</v>
      </c>
      <c r="D152" s="40"/>
      <c r="E152" s="40"/>
      <c r="F152" s="29"/>
      <c r="G152" s="31"/>
      <c r="H152" s="23">
        <v>0.05</v>
      </c>
      <c r="I152" s="75">
        <f>E152*H152</f>
        <v>0</v>
      </c>
      <c r="J152" s="172"/>
      <c r="L152" s="41" t="s">
        <v>514</v>
      </c>
      <c r="M152" s="41" t="s">
        <v>355</v>
      </c>
      <c r="N152" s="40"/>
      <c r="O152" s="40"/>
      <c r="P152" s="29"/>
      <c r="Q152" s="31"/>
      <c r="R152" s="23">
        <v>0.05</v>
      </c>
      <c r="S152" s="75">
        <f>O152*R152</f>
        <v>0</v>
      </c>
      <c r="T152" s="172"/>
      <c r="V152" s="41" t="s">
        <v>514</v>
      </c>
      <c r="W152" s="41" t="s">
        <v>355</v>
      </c>
      <c r="X152" s="40"/>
      <c r="Y152" s="40"/>
      <c r="Z152" s="29"/>
      <c r="AA152" s="31"/>
      <c r="AB152" s="23">
        <v>0.05</v>
      </c>
      <c r="AC152" s="75">
        <f>Y152*AB152</f>
        <v>0</v>
      </c>
      <c r="AE152" s="41" t="s">
        <v>514</v>
      </c>
      <c r="AF152" s="41" t="s">
        <v>355</v>
      </c>
      <c r="AG152" s="40"/>
      <c r="AH152" s="40"/>
      <c r="AI152" s="29"/>
      <c r="AJ152" s="31"/>
      <c r="AK152" s="23">
        <v>0.05</v>
      </c>
      <c r="AL152" s="75">
        <f>AH152*AK152</f>
        <v>0</v>
      </c>
      <c r="AN152" s="41" t="s">
        <v>514</v>
      </c>
      <c r="AO152" s="41" t="s">
        <v>355</v>
      </c>
      <c r="AP152" s="40"/>
      <c r="AQ152" s="40"/>
      <c r="AR152" s="29"/>
      <c r="AS152" s="31"/>
      <c r="AT152" s="23">
        <v>0.05</v>
      </c>
      <c r="AU152" s="75">
        <f>AQ152*AT152</f>
        <v>0</v>
      </c>
      <c r="AW152" s="41" t="s">
        <v>514</v>
      </c>
      <c r="AX152" s="41" t="s">
        <v>355</v>
      </c>
      <c r="AY152" s="40"/>
      <c r="AZ152" s="40"/>
      <c r="BA152" s="29"/>
      <c r="BB152" s="31"/>
      <c r="BC152" s="23">
        <v>0.05</v>
      </c>
      <c r="BD152" s="75">
        <f>AZ152*BC152</f>
        <v>0</v>
      </c>
      <c r="BF152" s="41" t="s">
        <v>514</v>
      </c>
      <c r="BG152" s="41" t="s">
        <v>355</v>
      </c>
      <c r="BH152" s="40"/>
      <c r="BI152" s="40"/>
      <c r="BJ152" s="29"/>
      <c r="BK152" s="31"/>
      <c r="BL152" s="23">
        <v>0.05</v>
      </c>
      <c r="BM152" s="75">
        <f>BI152*BL152</f>
        <v>0</v>
      </c>
    </row>
    <row r="153" spans="2:65">
      <c r="B153" s="41" t="s">
        <v>514</v>
      </c>
      <c r="C153" s="41" t="s">
        <v>355</v>
      </c>
      <c r="D153" s="246"/>
      <c r="E153" s="40"/>
      <c r="F153" s="29"/>
      <c r="G153" s="31"/>
      <c r="H153" s="23">
        <v>0.05</v>
      </c>
      <c r="I153" s="75">
        <f t="shared" ref="I153:I166" si="161">E153*H153</f>
        <v>0</v>
      </c>
      <c r="J153" s="172"/>
      <c r="L153" s="41" t="s">
        <v>514</v>
      </c>
      <c r="M153" s="41" t="s">
        <v>355</v>
      </c>
      <c r="N153" s="40"/>
      <c r="O153" s="40"/>
      <c r="P153" s="29"/>
      <c r="Q153" s="31"/>
      <c r="R153" s="23">
        <v>0.05</v>
      </c>
      <c r="S153" s="75">
        <f t="shared" ref="S153:S166" si="162">O153*R153</f>
        <v>0</v>
      </c>
      <c r="T153" s="172"/>
      <c r="V153" s="41" t="s">
        <v>514</v>
      </c>
      <c r="W153" s="41" t="s">
        <v>355</v>
      </c>
      <c r="X153" s="40"/>
      <c r="Y153" s="40"/>
      <c r="Z153" s="29"/>
      <c r="AA153" s="31"/>
      <c r="AB153" s="23">
        <v>0.05</v>
      </c>
      <c r="AC153" s="75">
        <f t="shared" ref="AC153:AC166" si="163">Y153*AB153</f>
        <v>0</v>
      </c>
      <c r="AE153" s="41" t="s">
        <v>514</v>
      </c>
      <c r="AF153" s="41" t="s">
        <v>355</v>
      </c>
      <c r="AG153" s="40"/>
      <c r="AH153" s="40"/>
      <c r="AI153" s="29"/>
      <c r="AJ153" s="31"/>
      <c r="AK153" s="23">
        <v>0.05</v>
      </c>
      <c r="AL153" s="75">
        <f t="shared" ref="AL153:AL166" si="164">AH153*AK153</f>
        <v>0</v>
      </c>
      <c r="AN153" s="41" t="s">
        <v>514</v>
      </c>
      <c r="AO153" s="41" t="s">
        <v>355</v>
      </c>
      <c r="AP153" s="40"/>
      <c r="AQ153" s="40"/>
      <c r="AR153" s="29"/>
      <c r="AS153" s="31"/>
      <c r="AT153" s="23">
        <v>0.05</v>
      </c>
      <c r="AU153" s="75">
        <f t="shared" ref="AU153:AU166" si="165">AQ153*AT153</f>
        <v>0</v>
      </c>
      <c r="AW153" s="41" t="s">
        <v>514</v>
      </c>
      <c r="AX153" s="41" t="s">
        <v>355</v>
      </c>
      <c r="AY153" s="40"/>
      <c r="AZ153" s="40"/>
      <c r="BA153" s="29"/>
      <c r="BB153" s="31"/>
      <c r="BC153" s="23">
        <v>0.05</v>
      </c>
      <c r="BD153" s="75">
        <f t="shared" ref="BD153:BD166" si="166">AZ153*BC153</f>
        <v>0</v>
      </c>
      <c r="BF153" s="41" t="s">
        <v>514</v>
      </c>
      <c r="BG153" s="41" t="s">
        <v>355</v>
      </c>
      <c r="BH153" s="40"/>
      <c r="BI153" s="40"/>
      <c r="BJ153" s="29"/>
      <c r="BK153" s="31"/>
      <c r="BL153" s="23">
        <v>0.05</v>
      </c>
      <c r="BM153" s="75">
        <f t="shared" ref="BM153:BM166" si="167">BI153*BL153</f>
        <v>0</v>
      </c>
    </row>
    <row r="154" spans="2:65">
      <c r="B154" s="41" t="s">
        <v>514</v>
      </c>
      <c r="C154" s="41" t="s">
        <v>355</v>
      </c>
      <c r="D154" s="40"/>
      <c r="E154" s="40"/>
      <c r="F154" s="29"/>
      <c r="G154" s="31"/>
      <c r="H154" s="23">
        <v>0.05</v>
      </c>
      <c r="I154" s="75">
        <f t="shared" si="161"/>
        <v>0</v>
      </c>
      <c r="J154" s="172"/>
      <c r="L154" s="41" t="s">
        <v>514</v>
      </c>
      <c r="M154" s="41" t="s">
        <v>355</v>
      </c>
      <c r="N154" s="40"/>
      <c r="O154" s="40"/>
      <c r="P154" s="29"/>
      <c r="Q154" s="31"/>
      <c r="R154" s="23">
        <v>0.05</v>
      </c>
      <c r="S154" s="75">
        <f t="shared" si="162"/>
        <v>0</v>
      </c>
      <c r="T154" s="172"/>
      <c r="V154" s="41" t="s">
        <v>514</v>
      </c>
      <c r="W154" s="41" t="s">
        <v>355</v>
      </c>
      <c r="X154" s="40"/>
      <c r="Y154" s="40"/>
      <c r="Z154" s="29"/>
      <c r="AA154" s="31"/>
      <c r="AB154" s="23">
        <v>0.05</v>
      </c>
      <c r="AC154" s="75">
        <f t="shared" si="163"/>
        <v>0</v>
      </c>
      <c r="AE154" s="41" t="s">
        <v>514</v>
      </c>
      <c r="AF154" s="41" t="s">
        <v>355</v>
      </c>
      <c r="AG154" s="40"/>
      <c r="AH154" s="40"/>
      <c r="AI154" s="29"/>
      <c r="AJ154" s="31"/>
      <c r="AK154" s="23">
        <v>0.05</v>
      </c>
      <c r="AL154" s="75">
        <f t="shared" si="164"/>
        <v>0</v>
      </c>
      <c r="AN154" s="41" t="s">
        <v>514</v>
      </c>
      <c r="AO154" s="41" t="s">
        <v>355</v>
      </c>
      <c r="AP154" s="40"/>
      <c r="AQ154" s="40"/>
      <c r="AR154" s="29"/>
      <c r="AS154" s="31"/>
      <c r="AT154" s="23">
        <v>0.05</v>
      </c>
      <c r="AU154" s="75">
        <f t="shared" si="165"/>
        <v>0</v>
      </c>
      <c r="AW154" s="41" t="s">
        <v>514</v>
      </c>
      <c r="AX154" s="41" t="s">
        <v>355</v>
      </c>
      <c r="AY154" s="40"/>
      <c r="AZ154" s="40"/>
      <c r="BA154" s="29"/>
      <c r="BB154" s="31"/>
      <c r="BC154" s="23">
        <v>0.05</v>
      </c>
      <c r="BD154" s="75">
        <f t="shared" si="166"/>
        <v>0</v>
      </c>
      <c r="BF154" s="41" t="s">
        <v>514</v>
      </c>
      <c r="BG154" s="41" t="s">
        <v>355</v>
      </c>
      <c r="BH154" s="40"/>
      <c r="BI154" s="40"/>
      <c r="BJ154" s="29"/>
      <c r="BK154" s="31"/>
      <c r="BL154" s="23">
        <v>0.05</v>
      </c>
      <c r="BM154" s="75">
        <f t="shared" si="167"/>
        <v>0</v>
      </c>
    </row>
    <row r="155" spans="2:65">
      <c r="B155" s="41" t="s">
        <v>514</v>
      </c>
      <c r="C155" s="41" t="s">
        <v>355</v>
      </c>
      <c r="D155" s="40"/>
      <c r="E155" s="40"/>
      <c r="F155" s="29"/>
      <c r="G155" s="31"/>
      <c r="H155" s="23">
        <v>0.05</v>
      </c>
      <c r="I155" s="75">
        <f t="shared" si="161"/>
        <v>0</v>
      </c>
      <c r="J155" s="172"/>
      <c r="L155" s="41" t="s">
        <v>514</v>
      </c>
      <c r="M155" s="41" t="s">
        <v>355</v>
      </c>
      <c r="N155" s="40"/>
      <c r="O155" s="40"/>
      <c r="P155" s="29"/>
      <c r="Q155" s="31"/>
      <c r="R155" s="23">
        <v>0.05</v>
      </c>
      <c r="S155" s="75">
        <f t="shared" si="162"/>
        <v>0</v>
      </c>
      <c r="T155" s="172"/>
      <c r="V155" s="41" t="s">
        <v>514</v>
      </c>
      <c r="W155" s="41" t="s">
        <v>355</v>
      </c>
      <c r="X155" s="40"/>
      <c r="Y155" s="40"/>
      <c r="Z155" s="29"/>
      <c r="AA155" s="31"/>
      <c r="AB155" s="23">
        <v>0.05</v>
      </c>
      <c r="AC155" s="75">
        <f t="shared" si="163"/>
        <v>0</v>
      </c>
      <c r="AE155" s="41" t="s">
        <v>514</v>
      </c>
      <c r="AF155" s="41" t="s">
        <v>355</v>
      </c>
      <c r="AG155" s="40"/>
      <c r="AH155" s="40"/>
      <c r="AI155" s="29"/>
      <c r="AJ155" s="31"/>
      <c r="AK155" s="23">
        <v>0.05</v>
      </c>
      <c r="AL155" s="75">
        <f t="shared" si="164"/>
        <v>0</v>
      </c>
      <c r="AN155" s="41" t="s">
        <v>514</v>
      </c>
      <c r="AO155" s="41" t="s">
        <v>355</v>
      </c>
      <c r="AP155" s="40"/>
      <c r="AQ155" s="40"/>
      <c r="AR155" s="29"/>
      <c r="AS155" s="31"/>
      <c r="AT155" s="23">
        <v>0.05</v>
      </c>
      <c r="AU155" s="75">
        <f t="shared" si="165"/>
        <v>0</v>
      </c>
      <c r="AW155" s="41" t="s">
        <v>514</v>
      </c>
      <c r="AX155" s="41" t="s">
        <v>355</v>
      </c>
      <c r="AY155" s="40"/>
      <c r="AZ155" s="40"/>
      <c r="BA155" s="29"/>
      <c r="BB155" s="31"/>
      <c r="BC155" s="23">
        <v>0.05</v>
      </c>
      <c r="BD155" s="75">
        <f t="shared" si="166"/>
        <v>0</v>
      </c>
      <c r="BF155" s="41" t="s">
        <v>514</v>
      </c>
      <c r="BG155" s="41" t="s">
        <v>355</v>
      </c>
      <c r="BH155" s="40"/>
      <c r="BI155" s="40"/>
      <c r="BJ155" s="29"/>
      <c r="BK155" s="31"/>
      <c r="BL155" s="23">
        <v>0.05</v>
      </c>
      <c r="BM155" s="75">
        <f t="shared" si="167"/>
        <v>0</v>
      </c>
    </row>
    <row r="156" spans="2:65">
      <c r="B156" s="41" t="s">
        <v>514</v>
      </c>
      <c r="C156" s="41" t="s">
        <v>355</v>
      </c>
      <c r="D156" s="40"/>
      <c r="E156" s="40"/>
      <c r="F156" s="29"/>
      <c r="G156" s="31"/>
      <c r="H156" s="23">
        <v>0.05</v>
      </c>
      <c r="I156" s="75">
        <f t="shared" si="161"/>
        <v>0</v>
      </c>
      <c r="J156" s="172"/>
      <c r="L156" s="41" t="s">
        <v>514</v>
      </c>
      <c r="M156" s="41" t="s">
        <v>355</v>
      </c>
      <c r="N156" s="40"/>
      <c r="O156" s="40"/>
      <c r="P156" s="29"/>
      <c r="Q156" s="31"/>
      <c r="R156" s="23">
        <v>0.05</v>
      </c>
      <c r="S156" s="75">
        <f t="shared" si="162"/>
        <v>0</v>
      </c>
      <c r="T156" s="172"/>
      <c r="V156" s="41" t="s">
        <v>514</v>
      </c>
      <c r="W156" s="41" t="s">
        <v>355</v>
      </c>
      <c r="X156" s="40"/>
      <c r="Y156" s="40"/>
      <c r="Z156" s="29"/>
      <c r="AA156" s="31"/>
      <c r="AB156" s="23">
        <v>0.05</v>
      </c>
      <c r="AC156" s="75">
        <f t="shared" si="163"/>
        <v>0</v>
      </c>
      <c r="AE156" s="41" t="s">
        <v>514</v>
      </c>
      <c r="AF156" s="41" t="s">
        <v>355</v>
      </c>
      <c r="AG156" s="40"/>
      <c r="AH156" s="40"/>
      <c r="AI156" s="29"/>
      <c r="AJ156" s="31"/>
      <c r="AK156" s="23">
        <v>0.05</v>
      </c>
      <c r="AL156" s="75">
        <f t="shared" si="164"/>
        <v>0</v>
      </c>
      <c r="AN156" s="41" t="s">
        <v>514</v>
      </c>
      <c r="AO156" s="41" t="s">
        <v>355</v>
      </c>
      <c r="AP156" s="40"/>
      <c r="AQ156" s="40"/>
      <c r="AR156" s="29"/>
      <c r="AS156" s="31"/>
      <c r="AT156" s="23">
        <v>0.05</v>
      </c>
      <c r="AU156" s="75">
        <f t="shared" si="165"/>
        <v>0</v>
      </c>
      <c r="AW156" s="41" t="s">
        <v>514</v>
      </c>
      <c r="AX156" s="41" t="s">
        <v>355</v>
      </c>
      <c r="AY156" s="40"/>
      <c r="AZ156" s="40"/>
      <c r="BA156" s="29"/>
      <c r="BB156" s="31"/>
      <c r="BC156" s="23">
        <v>0.05</v>
      </c>
      <c r="BD156" s="75">
        <f t="shared" si="166"/>
        <v>0</v>
      </c>
      <c r="BF156" s="41" t="s">
        <v>514</v>
      </c>
      <c r="BG156" s="41" t="s">
        <v>355</v>
      </c>
      <c r="BH156" s="40"/>
      <c r="BI156" s="40"/>
      <c r="BJ156" s="29"/>
      <c r="BK156" s="31"/>
      <c r="BL156" s="23">
        <v>0.05</v>
      </c>
      <c r="BM156" s="75">
        <f t="shared" si="167"/>
        <v>0</v>
      </c>
    </row>
    <row r="157" spans="2:65">
      <c r="B157" s="41" t="s">
        <v>514</v>
      </c>
      <c r="C157" s="41" t="s">
        <v>355</v>
      </c>
      <c r="D157" s="40"/>
      <c r="E157" s="40"/>
      <c r="F157" s="29"/>
      <c r="G157" s="31"/>
      <c r="H157" s="23">
        <v>0.05</v>
      </c>
      <c r="I157" s="75">
        <f t="shared" si="161"/>
        <v>0</v>
      </c>
      <c r="J157" s="172"/>
      <c r="L157" s="41" t="s">
        <v>514</v>
      </c>
      <c r="M157" s="41" t="s">
        <v>355</v>
      </c>
      <c r="N157" s="40"/>
      <c r="O157" s="40"/>
      <c r="P157" s="29"/>
      <c r="Q157" s="31"/>
      <c r="R157" s="23">
        <v>0.05</v>
      </c>
      <c r="S157" s="75">
        <f t="shared" si="162"/>
        <v>0</v>
      </c>
      <c r="T157" s="172"/>
      <c r="V157" s="41" t="s">
        <v>514</v>
      </c>
      <c r="W157" s="41" t="s">
        <v>355</v>
      </c>
      <c r="X157" s="40"/>
      <c r="Y157" s="40"/>
      <c r="Z157" s="29"/>
      <c r="AA157" s="31"/>
      <c r="AB157" s="23">
        <v>0.05</v>
      </c>
      <c r="AC157" s="75">
        <f t="shared" si="163"/>
        <v>0</v>
      </c>
      <c r="AE157" s="41" t="s">
        <v>514</v>
      </c>
      <c r="AF157" s="41" t="s">
        <v>355</v>
      </c>
      <c r="AG157" s="40"/>
      <c r="AH157" s="40"/>
      <c r="AI157" s="29"/>
      <c r="AJ157" s="31"/>
      <c r="AK157" s="23">
        <v>0.05</v>
      </c>
      <c r="AL157" s="75">
        <f t="shared" si="164"/>
        <v>0</v>
      </c>
      <c r="AN157" s="41" t="s">
        <v>514</v>
      </c>
      <c r="AO157" s="41" t="s">
        <v>355</v>
      </c>
      <c r="AP157" s="40"/>
      <c r="AQ157" s="40"/>
      <c r="AR157" s="29"/>
      <c r="AS157" s="31"/>
      <c r="AT157" s="23">
        <v>0.05</v>
      </c>
      <c r="AU157" s="75">
        <f t="shared" si="165"/>
        <v>0</v>
      </c>
      <c r="AW157" s="41" t="s">
        <v>514</v>
      </c>
      <c r="AX157" s="41" t="s">
        <v>355</v>
      </c>
      <c r="AY157" s="40"/>
      <c r="AZ157" s="40"/>
      <c r="BA157" s="29"/>
      <c r="BB157" s="31"/>
      <c r="BC157" s="23">
        <v>0.05</v>
      </c>
      <c r="BD157" s="75">
        <f t="shared" si="166"/>
        <v>0</v>
      </c>
      <c r="BF157" s="41" t="s">
        <v>514</v>
      </c>
      <c r="BG157" s="41" t="s">
        <v>355</v>
      </c>
      <c r="BH157" s="40"/>
      <c r="BI157" s="40"/>
      <c r="BJ157" s="29"/>
      <c r="BK157" s="31"/>
      <c r="BL157" s="23">
        <v>0.05</v>
      </c>
      <c r="BM157" s="75">
        <f t="shared" si="167"/>
        <v>0</v>
      </c>
    </row>
    <row r="158" spans="2:65">
      <c r="B158" s="41" t="s">
        <v>514</v>
      </c>
      <c r="C158" s="41" t="s">
        <v>355</v>
      </c>
      <c r="D158" s="40"/>
      <c r="E158" s="40"/>
      <c r="F158" s="29"/>
      <c r="G158" s="31"/>
      <c r="H158" s="23">
        <v>0.05</v>
      </c>
      <c r="I158" s="75">
        <f t="shared" si="161"/>
        <v>0</v>
      </c>
      <c r="J158" s="172"/>
      <c r="L158" s="41" t="s">
        <v>514</v>
      </c>
      <c r="M158" s="41" t="s">
        <v>355</v>
      </c>
      <c r="N158" s="40"/>
      <c r="O158" s="40"/>
      <c r="P158" s="29"/>
      <c r="Q158" s="31"/>
      <c r="R158" s="23">
        <v>0.05</v>
      </c>
      <c r="S158" s="75">
        <f t="shared" si="162"/>
        <v>0</v>
      </c>
      <c r="T158" s="172"/>
      <c r="V158" s="41" t="s">
        <v>514</v>
      </c>
      <c r="W158" s="41" t="s">
        <v>355</v>
      </c>
      <c r="X158" s="40"/>
      <c r="Y158" s="40"/>
      <c r="Z158" s="29"/>
      <c r="AA158" s="31"/>
      <c r="AB158" s="23">
        <v>0.05</v>
      </c>
      <c r="AC158" s="75">
        <f t="shared" si="163"/>
        <v>0</v>
      </c>
      <c r="AE158" s="41" t="s">
        <v>514</v>
      </c>
      <c r="AF158" s="41" t="s">
        <v>355</v>
      </c>
      <c r="AG158" s="40"/>
      <c r="AH158" s="40"/>
      <c r="AI158" s="29"/>
      <c r="AJ158" s="31"/>
      <c r="AK158" s="23">
        <v>0.05</v>
      </c>
      <c r="AL158" s="75">
        <f t="shared" si="164"/>
        <v>0</v>
      </c>
      <c r="AN158" s="41" t="s">
        <v>514</v>
      </c>
      <c r="AO158" s="41" t="s">
        <v>355</v>
      </c>
      <c r="AP158" s="40"/>
      <c r="AQ158" s="40"/>
      <c r="AR158" s="29"/>
      <c r="AS158" s="31"/>
      <c r="AT158" s="23">
        <v>0.05</v>
      </c>
      <c r="AU158" s="75">
        <f t="shared" si="165"/>
        <v>0</v>
      </c>
      <c r="AW158" s="41" t="s">
        <v>514</v>
      </c>
      <c r="AX158" s="41" t="s">
        <v>355</v>
      </c>
      <c r="AY158" s="40"/>
      <c r="AZ158" s="40"/>
      <c r="BA158" s="29"/>
      <c r="BB158" s="31"/>
      <c r="BC158" s="23">
        <v>0.05</v>
      </c>
      <c r="BD158" s="75">
        <f t="shared" si="166"/>
        <v>0</v>
      </c>
      <c r="BF158" s="41" t="s">
        <v>514</v>
      </c>
      <c r="BG158" s="41" t="s">
        <v>355</v>
      </c>
      <c r="BH158" s="40"/>
      <c r="BI158" s="40"/>
      <c r="BJ158" s="29"/>
      <c r="BK158" s="31"/>
      <c r="BL158" s="23">
        <v>0.05</v>
      </c>
      <c r="BM158" s="75">
        <f t="shared" si="167"/>
        <v>0</v>
      </c>
    </row>
    <row r="159" spans="2:65" outlineLevel="1">
      <c r="B159" s="41" t="s">
        <v>514</v>
      </c>
      <c r="C159" s="41" t="s">
        <v>355</v>
      </c>
      <c r="D159" s="40"/>
      <c r="E159" s="40"/>
      <c r="F159" s="29"/>
      <c r="G159" s="31"/>
      <c r="H159" s="23">
        <v>0.05</v>
      </c>
      <c r="I159" s="75">
        <f t="shared" si="161"/>
        <v>0</v>
      </c>
      <c r="J159" s="172"/>
      <c r="L159" s="41" t="s">
        <v>514</v>
      </c>
      <c r="M159" s="41" t="s">
        <v>355</v>
      </c>
      <c r="N159" s="40"/>
      <c r="O159" s="40"/>
      <c r="P159" s="29"/>
      <c r="Q159" s="31"/>
      <c r="R159" s="23">
        <v>0.05</v>
      </c>
      <c r="S159" s="75">
        <f t="shared" si="162"/>
        <v>0</v>
      </c>
      <c r="T159" s="172"/>
      <c r="V159" s="41" t="s">
        <v>514</v>
      </c>
      <c r="W159" s="41" t="s">
        <v>355</v>
      </c>
      <c r="X159" s="40"/>
      <c r="Y159" s="40"/>
      <c r="Z159" s="29"/>
      <c r="AA159" s="31"/>
      <c r="AB159" s="23">
        <v>0.05</v>
      </c>
      <c r="AC159" s="75">
        <f t="shared" si="163"/>
        <v>0</v>
      </c>
      <c r="AE159" s="41" t="s">
        <v>514</v>
      </c>
      <c r="AF159" s="41" t="s">
        <v>355</v>
      </c>
      <c r="AG159" s="40"/>
      <c r="AH159" s="40"/>
      <c r="AI159" s="29"/>
      <c r="AJ159" s="31"/>
      <c r="AK159" s="23">
        <v>0.05</v>
      </c>
      <c r="AL159" s="75">
        <f t="shared" si="164"/>
        <v>0</v>
      </c>
      <c r="AN159" s="41" t="s">
        <v>514</v>
      </c>
      <c r="AO159" s="41" t="s">
        <v>355</v>
      </c>
      <c r="AP159" s="40"/>
      <c r="AQ159" s="40"/>
      <c r="AR159" s="29"/>
      <c r="AS159" s="31"/>
      <c r="AT159" s="23">
        <v>0.05</v>
      </c>
      <c r="AU159" s="75">
        <f t="shared" si="165"/>
        <v>0</v>
      </c>
      <c r="AW159" s="41" t="s">
        <v>514</v>
      </c>
      <c r="AX159" s="41" t="s">
        <v>355</v>
      </c>
      <c r="AY159" s="40"/>
      <c r="AZ159" s="40"/>
      <c r="BA159" s="29"/>
      <c r="BB159" s="31"/>
      <c r="BC159" s="23">
        <v>0.05</v>
      </c>
      <c r="BD159" s="75">
        <f t="shared" si="166"/>
        <v>0</v>
      </c>
      <c r="BF159" s="41" t="s">
        <v>514</v>
      </c>
      <c r="BG159" s="41" t="s">
        <v>355</v>
      </c>
      <c r="BH159" s="40"/>
      <c r="BI159" s="40"/>
      <c r="BJ159" s="29"/>
      <c r="BK159" s="31"/>
      <c r="BL159" s="23">
        <v>0.05</v>
      </c>
      <c r="BM159" s="75">
        <f t="shared" si="167"/>
        <v>0</v>
      </c>
    </row>
    <row r="160" spans="2:65" outlineLevel="1">
      <c r="B160" s="41" t="s">
        <v>514</v>
      </c>
      <c r="C160" s="41" t="s">
        <v>355</v>
      </c>
      <c r="D160" s="40"/>
      <c r="E160" s="40"/>
      <c r="F160" s="29"/>
      <c r="G160" s="31"/>
      <c r="H160" s="23">
        <v>0.05</v>
      </c>
      <c r="I160" s="75">
        <f t="shared" si="161"/>
        <v>0</v>
      </c>
      <c r="J160" s="172"/>
      <c r="L160" s="41" t="s">
        <v>514</v>
      </c>
      <c r="M160" s="41" t="s">
        <v>355</v>
      </c>
      <c r="N160" s="40"/>
      <c r="O160" s="40"/>
      <c r="P160" s="29"/>
      <c r="Q160" s="31"/>
      <c r="R160" s="23">
        <v>0.05</v>
      </c>
      <c r="S160" s="75">
        <f t="shared" si="162"/>
        <v>0</v>
      </c>
      <c r="T160" s="172"/>
      <c r="V160" s="41" t="s">
        <v>514</v>
      </c>
      <c r="W160" s="41" t="s">
        <v>355</v>
      </c>
      <c r="X160" s="40"/>
      <c r="Y160" s="40"/>
      <c r="Z160" s="29"/>
      <c r="AA160" s="31"/>
      <c r="AB160" s="23">
        <v>0.05</v>
      </c>
      <c r="AC160" s="75">
        <f t="shared" si="163"/>
        <v>0</v>
      </c>
      <c r="AE160" s="41" t="s">
        <v>514</v>
      </c>
      <c r="AF160" s="41" t="s">
        <v>355</v>
      </c>
      <c r="AG160" s="40"/>
      <c r="AH160" s="40"/>
      <c r="AI160" s="29"/>
      <c r="AJ160" s="31"/>
      <c r="AK160" s="23">
        <v>0.05</v>
      </c>
      <c r="AL160" s="75">
        <f t="shared" si="164"/>
        <v>0</v>
      </c>
      <c r="AN160" s="41" t="s">
        <v>514</v>
      </c>
      <c r="AO160" s="41" t="s">
        <v>355</v>
      </c>
      <c r="AP160" s="40"/>
      <c r="AQ160" s="40"/>
      <c r="AR160" s="29"/>
      <c r="AS160" s="31"/>
      <c r="AT160" s="23">
        <v>0.05</v>
      </c>
      <c r="AU160" s="75">
        <f t="shared" si="165"/>
        <v>0</v>
      </c>
      <c r="AW160" s="41" t="s">
        <v>514</v>
      </c>
      <c r="AX160" s="41" t="s">
        <v>355</v>
      </c>
      <c r="AY160" s="40"/>
      <c r="AZ160" s="40"/>
      <c r="BA160" s="29"/>
      <c r="BB160" s="31"/>
      <c r="BC160" s="23">
        <v>0.05</v>
      </c>
      <c r="BD160" s="75">
        <f t="shared" si="166"/>
        <v>0</v>
      </c>
      <c r="BF160" s="41" t="s">
        <v>514</v>
      </c>
      <c r="BG160" s="41" t="s">
        <v>355</v>
      </c>
      <c r="BH160" s="40"/>
      <c r="BI160" s="40"/>
      <c r="BJ160" s="29"/>
      <c r="BK160" s="31"/>
      <c r="BL160" s="23">
        <v>0.05</v>
      </c>
      <c r="BM160" s="75">
        <f t="shared" si="167"/>
        <v>0</v>
      </c>
    </row>
    <row r="161" spans="2:65" outlineLevel="1">
      <c r="B161" s="41" t="s">
        <v>514</v>
      </c>
      <c r="C161" s="41" t="s">
        <v>355</v>
      </c>
      <c r="D161" s="40"/>
      <c r="E161" s="40"/>
      <c r="F161" s="29"/>
      <c r="G161" s="31"/>
      <c r="H161" s="23">
        <v>0.05</v>
      </c>
      <c r="I161" s="75">
        <f t="shared" si="161"/>
        <v>0</v>
      </c>
      <c r="J161" s="172"/>
      <c r="L161" s="41" t="s">
        <v>514</v>
      </c>
      <c r="M161" s="41" t="s">
        <v>355</v>
      </c>
      <c r="N161" s="40"/>
      <c r="O161" s="40"/>
      <c r="P161" s="29"/>
      <c r="Q161" s="31"/>
      <c r="R161" s="23">
        <v>0.05</v>
      </c>
      <c r="S161" s="75">
        <f t="shared" si="162"/>
        <v>0</v>
      </c>
      <c r="T161" s="172"/>
      <c r="V161" s="41" t="s">
        <v>514</v>
      </c>
      <c r="W161" s="41" t="s">
        <v>355</v>
      </c>
      <c r="X161" s="40"/>
      <c r="Y161" s="40"/>
      <c r="Z161" s="29"/>
      <c r="AA161" s="31"/>
      <c r="AB161" s="23">
        <v>0.05</v>
      </c>
      <c r="AC161" s="75">
        <f t="shared" si="163"/>
        <v>0</v>
      </c>
      <c r="AE161" s="41" t="s">
        <v>514</v>
      </c>
      <c r="AF161" s="41" t="s">
        <v>355</v>
      </c>
      <c r="AG161" s="40"/>
      <c r="AH161" s="40"/>
      <c r="AI161" s="29"/>
      <c r="AJ161" s="31"/>
      <c r="AK161" s="23">
        <v>0.05</v>
      </c>
      <c r="AL161" s="75">
        <f t="shared" si="164"/>
        <v>0</v>
      </c>
      <c r="AN161" s="41" t="s">
        <v>514</v>
      </c>
      <c r="AO161" s="41" t="s">
        <v>355</v>
      </c>
      <c r="AP161" s="40"/>
      <c r="AQ161" s="40"/>
      <c r="AR161" s="29"/>
      <c r="AS161" s="31"/>
      <c r="AT161" s="23">
        <v>0.05</v>
      </c>
      <c r="AU161" s="75">
        <f t="shared" si="165"/>
        <v>0</v>
      </c>
      <c r="AW161" s="41" t="s">
        <v>514</v>
      </c>
      <c r="AX161" s="41" t="s">
        <v>355</v>
      </c>
      <c r="AY161" s="40"/>
      <c r="AZ161" s="40"/>
      <c r="BA161" s="29"/>
      <c r="BB161" s="31"/>
      <c r="BC161" s="23">
        <v>0.05</v>
      </c>
      <c r="BD161" s="75">
        <f t="shared" si="166"/>
        <v>0</v>
      </c>
      <c r="BF161" s="41" t="s">
        <v>514</v>
      </c>
      <c r="BG161" s="41" t="s">
        <v>355</v>
      </c>
      <c r="BH161" s="40"/>
      <c r="BI161" s="40"/>
      <c r="BJ161" s="29"/>
      <c r="BK161" s="31"/>
      <c r="BL161" s="23">
        <v>0.05</v>
      </c>
      <c r="BM161" s="75">
        <f t="shared" si="167"/>
        <v>0</v>
      </c>
    </row>
    <row r="162" spans="2:65" outlineLevel="1">
      <c r="B162" s="41" t="s">
        <v>514</v>
      </c>
      <c r="C162" s="41" t="s">
        <v>355</v>
      </c>
      <c r="D162" s="40"/>
      <c r="E162" s="40"/>
      <c r="F162" s="29"/>
      <c r="G162" s="31"/>
      <c r="H162" s="23">
        <v>0.05</v>
      </c>
      <c r="I162" s="75">
        <f t="shared" si="161"/>
        <v>0</v>
      </c>
      <c r="J162" s="172"/>
      <c r="L162" s="41" t="s">
        <v>514</v>
      </c>
      <c r="M162" s="41" t="s">
        <v>355</v>
      </c>
      <c r="N162" s="40"/>
      <c r="O162" s="40"/>
      <c r="P162" s="29"/>
      <c r="Q162" s="31"/>
      <c r="R162" s="23">
        <v>0.05</v>
      </c>
      <c r="S162" s="75">
        <f t="shared" si="162"/>
        <v>0</v>
      </c>
      <c r="T162" s="172"/>
      <c r="V162" s="41" t="s">
        <v>514</v>
      </c>
      <c r="W162" s="41" t="s">
        <v>355</v>
      </c>
      <c r="X162" s="40"/>
      <c r="Y162" s="40"/>
      <c r="Z162" s="29"/>
      <c r="AA162" s="31"/>
      <c r="AB162" s="23">
        <v>0.05</v>
      </c>
      <c r="AC162" s="75">
        <f t="shared" si="163"/>
        <v>0</v>
      </c>
      <c r="AE162" s="41" t="s">
        <v>514</v>
      </c>
      <c r="AF162" s="41" t="s">
        <v>355</v>
      </c>
      <c r="AG162" s="40"/>
      <c r="AH162" s="40"/>
      <c r="AI162" s="29"/>
      <c r="AJ162" s="31"/>
      <c r="AK162" s="23">
        <v>0.05</v>
      </c>
      <c r="AL162" s="75">
        <f t="shared" si="164"/>
        <v>0</v>
      </c>
      <c r="AN162" s="41" t="s">
        <v>514</v>
      </c>
      <c r="AO162" s="41" t="s">
        <v>355</v>
      </c>
      <c r="AP162" s="40"/>
      <c r="AQ162" s="40"/>
      <c r="AR162" s="29"/>
      <c r="AS162" s="31"/>
      <c r="AT162" s="23">
        <v>0.05</v>
      </c>
      <c r="AU162" s="75">
        <f t="shared" si="165"/>
        <v>0</v>
      </c>
      <c r="AW162" s="41" t="s">
        <v>514</v>
      </c>
      <c r="AX162" s="41" t="s">
        <v>355</v>
      </c>
      <c r="AY162" s="40"/>
      <c r="AZ162" s="40"/>
      <c r="BA162" s="29"/>
      <c r="BB162" s="31"/>
      <c r="BC162" s="23">
        <v>0.05</v>
      </c>
      <c r="BD162" s="75">
        <f t="shared" si="166"/>
        <v>0</v>
      </c>
      <c r="BF162" s="41" t="s">
        <v>514</v>
      </c>
      <c r="BG162" s="41" t="s">
        <v>355</v>
      </c>
      <c r="BH162" s="40"/>
      <c r="BI162" s="40"/>
      <c r="BJ162" s="29"/>
      <c r="BK162" s="31"/>
      <c r="BL162" s="23">
        <v>0.05</v>
      </c>
      <c r="BM162" s="75">
        <f t="shared" si="167"/>
        <v>0</v>
      </c>
    </row>
    <row r="163" spans="2:65" outlineLevel="1">
      <c r="B163" s="41" t="s">
        <v>514</v>
      </c>
      <c r="C163" s="41" t="s">
        <v>355</v>
      </c>
      <c r="D163" s="40"/>
      <c r="E163" s="40"/>
      <c r="F163" s="29"/>
      <c r="G163" s="31"/>
      <c r="H163" s="23">
        <v>0.05</v>
      </c>
      <c r="I163" s="75">
        <f t="shared" si="161"/>
        <v>0</v>
      </c>
      <c r="J163" s="172"/>
      <c r="L163" s="41" t="s">
        <v>514</v>
      </c>
      <c r="M163" s="41" t="s">
        <v>355</v>
      </c>
      <c r="N163" s="40"/>
      <c r="O163" s="40"/>
      <c r="P163" s="29"/>
      <c r="Q163" s="31"/>
      <c r="R163" s="23">
        <v>0.05</v>
      </c>
      <c r="S163" s="75">
        <f t="shared" si="162"/>
        <v>0</v>
      </c>
      <c r="T163" s="172"/>
      <c r="V163" s="41" t="s">
        <v>514</v>
      </c>
      <c r="W163" s="41" t="s">
        <v>355</v>
      </c>
      <c r="X163" s="40"/>
      <c r="Y163" s="40"/>
      <c r="Z163" s="29"/>
      <c r="AA163" s="31"/>
      <c r="AB163" s="23">
        <v>0.05</v>
      </c>
      <c r="AC163" s="75">
        <f t="shared" si="163"/>
        <v>0</v>
      </c>
      <c r="AE163" s="41" t="s">
        <v>514</v>
      </c>
      <c r="AF163" s="41" t="s">
        <v>355</v>
      </c>
      <c r="AG163" s="40"/>
      <c r="AH163" s="40"/>
      <c r="AI163" s="29"/>
      <c r="AJ163" s="31"/>
      <c r="AK163" s="23">
        <v>0.05</v>
      </c>
      <c r="AL163" s="75">
        <f t="shared" si="164"/>
        <v>0</v>
      </c>
      <c r="AN163" s="41" t="s">
        <v>514</v>
      </c>
      <c r="AO163" s="41" t="s">
        <v>355</v>
      </c>
      <c r="AP163" s="40"/>
      <c r="AQ163" s="40"/>
      <c r="AR163" s="29"/>
      <c r="AS163" s="31"/>
      <c r="AT163" s="23">
        <v>0.05</v>
      </c>
      <c r="AU163" s="75">
        <f t="shared" si="165"/>
        <v>0</v>
      </c>
      <c r="AW163" s="41" t="s">
        <v>514</v>
      </c>
      <c r="AX163" s="41" t="s">
        <v>355</v>
      </c>
      <c r="AY163" s="40"/>
      <c r="AZ163" s="40"/>
      <c r="BA163" s="29"/>
      <c r="BB163" s="31"/>
      <c r="BC163" s="23">
        <v>0.05</v>
      </c>
      <c r="BD163" s="75">
        <f t="shared" si="166"/>
        <v>0</v>
      </c>
      <c r="BF163" s="41" t="s">
        <v>514</v>
      </c>
      <c r="BG163" s="41" t="s">
        <v>355</v>
      </c>
      <c r="BH163" s="40"/>
      <c r="BI163" s="40"/>
      <c r="BJ163" s="29"/>
      <c r="BK163" s="31"/>
      <c r="BL163" s="23">
        <v>0.05</v>
      </c>
      <c r="BM163" s="75">
        <f t="shared" si="167"/>
        <v>0</v>
      </c>
    </row>
    <row r="164" spans="2:65" outlineLevel="1">
      <c r="B164" s="41" t="s">
        <v>514</v>
      </c>
      <c r="C164" s="41" t="s">
        <v>355</v>
      </c>
      <c r="D164" s="40"/>
      <c r="E164" s="40"/>
      <c r="F164" s="29"/>
      <c r="G164" s="31"/>
      <c r="H164" s="23">
        <v>0.05</v>
      </c>
      <c r="I164" s="75">
        <f t="shared" si="161"/>
        <v>0</v>
      </c>
      <c r="J164" s="172"/>
      <c r="L164" s="41" t="s">
        <v>514</v>
      </c>
      <c r="M164" s="41" t="s">
        <v>355</v>
      </c>
      <c r="N164" s="40"/>
      <c r="O164" s="40"/>
      <c r="P164" s="29"/>
      <c r="Q164" s="31"/>
      <c r="R164" s="23">
        <v>0.05</v>
      </c>
      <c r="S164" s="75">
        <f t="shared" si="162"/>
        <v>0</v>
      </c>
      <c r="T164" s="172"/>
      <c r="V164" s="41" t="s">
        <v>514</v>
      </c>
      <c r="W164" s="41" t="s">
        <v>355</v>
      </c>
      <c r="X164" s="40"/>
      <c r="Y164" s="40"/>
      <c r="Z164" s="29"/>
      <c r="AA164" s="31"/>
      <c r="AB164" s="23">
        <v>0.05</v>
      </c>
      <c r="AC164" s="75">
        <f t="shared" si="163"/>
        <v>0</v>
      </c>
      <c r="AE164" s="41" t="s">
        <v>514</v>
      </c>
      <c r="AF164" s="41" t="s">
        <v>355</v>
      </c>
      <c r="AG164" s="40"/>
      <c r="AH164" s="40"/>
      <c r="AI164" s="29"/>
      <c r="AJ164" s="31"/>
      <c r="AK164" s="23">
        <v>0.05</v>
      </c>
      <c r="AL164" s="75">
        <f t="shared" si="164"/>
        <v>0</v>
      </c>
      <c r="AN164" s="41" t="s">
        <v>514</v>
      </c>
      <c r="AO164" s="41" t="s">
        <v>355</v>
      </c>
      <c r="AP164" s="40"/>
      <c r="AQ164" s="40"/>
      <c r="AR164" s="29"/>
      <c r="AS164" s="31"/>
      <c r="AT164" s="23">
        <v>0.05</v>
      </c>
      <c r="AU164" s="75">
        <f t="shared" si="165"/>
        <v>0</v>
      </c>
      <c r="AW164" s="41" t="s">
        <v>514</v>
      </c>
      <c r="AX164" s="41" t="s">
        <v>355</v>
      </c>
      <c r="AY164" s="40"/>
      <c r="AZ164" s="40"/>
      <c r="BA164" s="29"/>
      <c r="BB164" s="31"/>
      <c r="BC164" s="23">
        <v>0.05</v>
      </c>
      <c r="BD164" s="75">
        <f t="shared" si="166"/>
        <v>0</v>
      </c>
      <c r="BF164" s="41" t="s">
        <v>514</v>
      </c>
      <c r="BG164" s="41" t="s">
        <v>355</v>
      </c>
      <c r="BH164" s="40"/>
      <c r="BI164" s="40"/>
      <c r="BJ164" s="29"/>
      <c r="BK164" s="31"/>
      <c r="BL164" s="23">
        <v>0.05</v>
      </c>
      <c r="BM164" s="75">
        <f t="shared" si="167"/>
        <v>0</v>
      </c>
    </row>
    <row r="165" spans="2:65" outlineLevel="1">
      <c r="B165" s="41" t="s">
        <v>514</v>
      </c>
      <c r="C165" s="41" t="s">
        <v>355</v>
      </c>
      <c r="D165" s="40"/>
      <c r="E165" s="40"/>
      <c r="F165" s="29"/>
      <c r="G165" s="31"/>
      <c r="H165" s="23">
        <v>0.05</v>
      </c>
      <c r="I165" s="75">
        <f t="shared" si="161"/>
        <v>0</v>
      </c>
      <c r="J165" s="172"/>
      <c r="L165" s="41" t="s">
        <v>514</v>
      </c>
      <c r="M165" s="41" t="s">
        <v>355</v>
      </c>
      <c r="N165" s="40"/>
      <c r="O165" s="40"/>
      <c r="P165" s="29"/>
      <c r="Q165" s="31"/>
      <c r="R165" s="23">
        <v>0.05</v>
      </c>
      <c r="S165" s="75">
        <f t="shared" si="162"/>
        <v>0</v>
      </c>
      <c r="T165" s="172"/>
      <c r="V165" s="41" t="s">
        <v>514</v>
      </c>
      <c r="W165" s="41" t="s">
        <v>355</v>
      </c>
      <c r="X165" s="40"/>
      <c r="Y165" s="40"/>
      <c r="Z165" s="29"/>
      <c r="AA165" s="31"/>
      <c r="AB165" s="23">
        <v>0.05</v>
      </c>
      <c r="AC165" s="75">
        <f t="shared" si="163"/>
        <v>0</v>
      </c>
      <c r="AE165" s="41" t="s">
        <v>514</v>
      </c>
      <c r="AF165" s="41" t="s">
        <v>355</v>
      </c>
      <c r="AG165" s="40"/>
      <c r="AH165" s="40"/>
      <c r="AI165" s="29"/>
      <c r="AJ165" s="31"/>
      <c r="AK165" s="23">
        <v>0.05</v>
      </c>
      <c r="AL165" s="75">
        <f t="shared" si="164"/>
        <v>0</v>
      </c>
      <c r="AN165" s="41" t="s">
        <v>514</v>
      </c>
      <c r="AO165" s="41" t="s">
        <v>355</v>
      </c>
      <c r="AP165" s="40"/>
      <c r="AQ165" s="40"/>
      <c r="AR165" s="29"/>
      <c r="AS165" s="31"/>
      <c r="AT165" s="23">
        <v>0.05</v>
      </c>
      <c r="AU165" s="75">
        <f t="shared" si="165"/>
        <v>0</v>
      </c>
      <c r="AW165" s="41" t="s">
        <v>514</v>
      </c>
      <c r="AX165" s="41" t="s">
        <v>355</v>
      </c>
      <c r="AY165" s="40"/>
      <c r="AZ165" s="40"/>
      <c r="BA165" s="29"/>
      <c r="BB165" s="31"/>
      <c r="BC165" s="23">
        <v>0.05</v>
      </c>
      <c r="BD165" s="75">
        <f t="shared" si="166"/>
        <v>0</v>
      </c>
      <c r="BF165" s="41" t="s">
        <v>514</v>
      </c>
      <c r="BG165" s="41" t="s">
        <v>355</v>
      </c>
      <c r="BH165" s="40"/>
      <c r="BI165" s="40"/>
      <c r="BJ165" s="29"/>
      <c r="BK165" s="31"/>
      <c r="BL165" s="23">
        <v>0.05</v>
      </c>
      <c r="BM165" s="75">
        <f t="shared" si="167"/>
        <v>0</v>
      </c>
    </row>
    <row r="166" spans="2:65" outlineLevel="1">
      <c r="B166" s="41" t="s">
        <v>514</v>
      </c>
      <c r="C166" s="41" t="s">
        <v>355</v>
      </c>
      <c r="D166" s="40"/>
      <c r="E166" s="40"/>
      <c r="F166" s="29"/>
      <c r="G166" s="31"/>
      <c r="H166" s="23">
        <v>0.05</v>
      </c>
      <c r="I166" s="75">
        <f t="shared" si="161"/>
        <v>0</v>
      </c>
      <c r="J166" s="172"/>
      <c r="L166" s="41" t="s">
        <v>514</v>
      </c>
      <c r="M166" s="41" t="s">
        <v>355</v>
      </c>
      <c r="N166" s="40"/>
      <c r="O166" s="40"/>
      <c r="P166" s="29"/>
      <c r="Q166" s="31"/>
      <c r="R166" s="23">
        <v>0.05</v>
      </c>
      <c r="S166" s="75">
        <f t="shared" si="162"/>
        <v>0</v>
      </c>
      <c r="T166" s="172"/>
      <c r="V166" s="41" t="s">
        <v>514</v>
      </c>
      <c r="W166" s="41" t="s">
        <v>355</v>
      </c>
      <c r="X166" s="40"/>
      <c r="Y166" s="40"/>
      <c r="Z166" s="29"/>
      <c r="AA166" s="31"/>
      <c r="AB166" s="23">
        <v>0.05</v>
      </c>
      <c r="AC166" s="75">
        <f t="shared" si="163"/>
        <v>0</v>
      </c>
      <c r="AE166" s="41" t="s">
        <v>514</v>
      </c>
      <c r="AF166" s="41" t="s">
        <v>355</v>
      </c>
      <c r="AG166" s="40"/>
      <c r="AH166" s="40"/>
      <c r="AI166" s="29"/>
      <c r="AJ166" s="31"/>
      <c r="AK166" s="23">
        <v>0.05</v>
      </c>
      <c r="AL166" s="75">
        <f t="shared" si="164"/>
        <v>0</v>
      </c>
      <c r="AN166" s="41" t="s">
        <v>514</v>
      </c>
      <c r="AO166" s="41" t="s">
        <v>355</v>
      </c>
      <c r="AP166" s="40"/>
      <c r="AQ166" s="40"/>
      <c r="AR166" s="29"/>
      <c r="AS166" s="31"/>
      <c r="AT166" s="23">
        <v>0.05</v>
      </c>
      <c r="AU166" s="75">
        <f t="shared" si="165"/>
        <v>0</v>
      </c>
      <c r="AW166" s="41" t="s">
        <v>514</v>
      </c>
      <c r="AX166" s="41" t="s">
        <v>355</v>
      </c>
      <c r="AY166" s="40"/>
      <c r="AZ166" s="40"/>
      <c r="BA166" s="29"/>
      <c r="BB166" s="31"/>
      <c r="BC166" s="23">
        <v>0.05</v>
      </c>
      <c r="BD166" s="75">
        <f t="shared" si="166"/>
        <v>0</v>
      </c>
      <c r="BF166" s="41" t="s">
        <v>514</v>
      </c>
      <c r="BG166" s="41" t="s">
        <v>355</v>
      </c>
      <c r="BH166" s="40"/>
      <c r="BI166" s="40"/>
      <c r="BJ166" s="29"/>
      <c r="BK166" s="31"/>
      <c r="BL166" s="23">
        <v>0.05</v>
      </c>
      <c r="BM166" s="75">
        <f t="shared" si="167"/>
        <v>0</v>
      </c>
    </row>
    <row r="167" spans="2:65" s="24" customFormat="1">
      <c r="B167" s="8" t="s">
        <v>520</v>
      </c>
      <c r="C167" s="25"/>
      <c r="D167" s="28">
        <f t="shared" ref="D167:E167" si="168">SUM(D152:D166)</f>
        <v>0</v>
      </c>
      <c r="E167" s="28">
        <f t="shared" si="168"/>
        <v>0</v>
      </c>
      <c r="F167" s="30"/>
      <c r="G167" s="25"/>
      <c r="H167" s="26"/>
      <c r="I167" s="28">
        <f>SUM(I152:I166)</f>
        <v>0</v>
      </c>
      <c r="J167" s="171"/>
      <c r="L167" s="8" t="s">
        <v>520</v>
      </c>
      <c r="M167" s="25"/>
      <c r="N167" s="28">
        <f t="shared" ref="N167:O167" si="169">SUM(N152:N166)</f>
        <v>0</v>
      </c>
      <c r="O167" s="28">
        <f t="shared" si="169"/>
        <v>0</v>
      </c>
      <c r="P167" s="30"/>
      <c r="Q167" s="25"/>
      <c r="R167" s="26"/>
      <c r="S167" s="28">
        <f>SUM(S152:S166)</f>
        <v>0</v>
      </c>
      <c r="T167" s="171"/>
      <c r="V167" s="8" t="s">
        <v>520</v>
      </c>
      <c r="W167" s="25"/>
      <c r="X167" s="30"/>
      <c r="Y167" s="30">
        <f>SUM(Y152:Y166)</f>
        <v>0</v>
      </c>
      <c r="Z167" s="30"/>
      <c r="AA167" s="25"/>
      <c r="AB167" s="26"/>
      <c r="AC167" s="28">
        <f>SUM(AC152:AC166)</f>
        <v>0</v>
      </c>
      <c r="AE167" s="8" t="s">
        <v>520</v>
      </c>
      <c r="AF167" s="25"/>
      <c r="AG167" s="30"/>
      <c r="AH167" s="30">
        <f>SUM(AH152:AH166)</f>
        <v>0</v>
      </c>
      <c r="AI167" s="30"/>
      <c r="AJ167" s="25"/>
      <c r="AK167" s="26"/>
      <c r="AL167" s="28">
        <f>SUM(AL152:AL166)</f>
        <v>0</v>
      </c>
      <c r="AN167" s="8" t="s">
        <v>520</v>
      </c>
      <c r="AO167" s="25"/>
      <c r="AP167" s="30"/>
      <c r="AQ167" s="30">
        <f>SUM(AQ152:AQ166)</f>
        <v>0</v>
      </c>
      <c r="AR167" s="30"/>
      <c r="AS167" s="25"/>
      <c r="AT167" s="26"/>
      <c r="AU167" s="28">
        <f>SUM(AU152:AU166)</f>
        <v>0</v>
      </c>
      <c r="AW167" s="8" t="s">
        <v>520</v>
      </c>
      <c r="AX167" s="25"/>
      <c r="AY167" s="30"/>
      <c r="AZ167" s="30">
        <f>SUM(AZ152:AZ166)</f>
        <v>0</v>
      </c>
      <c r="BA167" s="30"/>
      <c r="BB167" s="25"/>
      <c r="BC167" s="26"/>
      <c r="BD167" s="28">
        <f>SUM(BD152:BD166)</f>
        <v>0</v>
      </c>
      <c r="BF167" s="8" t="s">
        <v>520</v>
      </c>
      <c r="BG167" s="25"/>
      <c r="BH167" s="30"/>
      <c r="BI167" s="30">
        <f>SUM(BI152:BI166)</f>
        <v>0</v>
      </c>
      <c r="BJ167" s="30"/>
      <c r="BK167" s="25"/>
      <c r="BL167" s="26"/>
      <c r="BM167" s="28">
        <f>SUM(BM152:BM166)</f>
        <v>0</v>
      </c>
    </row>
    <row r="169" spans="2:65" s="20" customFormat="1" ht="41.4">
      <c r="B169" s="27" t="s">
        <v>521</v>
      </c>
      <c r="C169" s="3" t="str">
        <f>C$43</f>
        <v>Source</v>
      </c>
      <c r="D169" s="3" t="str">
        <f t="shared" ref="D169:I169" si="170">D$43</f>
        <v>Limit (A)</v>
      </c>
      <c r="E169" s="3" t="str">
        <f t="shared" si="170"/>
        <v>Outstanding (A1)</v>
      </c>
      <c r="F169" s="3" t="str">
        <f t="shared" si="170"/>
        <v>Monthly Repayment (B)</v>
      </c>
      <c r="G169" s="3" t="str">
        <f t="shared" si="170"/>
        <v>Interest Rate (C)</v>
      </c>
      <c r="H169" s="3" t="str">
        <f t="shared" si="170"/>
        <v>Factor (D)</v>
      </c>
      <c r="I169" s="3" t="str">
        <f t="shared" si="170"/>
        <v>Interest (E) = (A or A1) * (C) * (D)</v>
      </c>
      <c r="J169" s="173" t="s">
        <v>450</v>
      </c>
      <c r="L169" s="27" t="s">
        <v>16</v>
      </c>
      <c r="M169" s="3" t="str">
        <f>M$43</f>
        <v>Source</v>
      </c>
      <c r="N169" s="3" t="str">
        <f t="shared" ref="N169:S169" si="171">N$43</f>
        <v>Limit (A)</v>
      </c>
      <c r="O169" s="3" t="str">
        <f t="shared" si="171"/>
        <v>Outstanding (A1)</v>
      </c>
      <c r="P169" s="3" t="str">
        <f t="shared" si="171"/>
        <v>Monthly Repayment (B)</v>
      </c>
      <c r="Q169" s="3" t="str">
        <f t="shared" si="171"/>
        <v>Interest Rate (C)</v>
      </c>
      <c r="R169" s="3" t="str">
        <f t="shared" si="171"/>
        <v>Factor (D)</v>
      </c>
      <c r="S169" s="3" t="str">
        <f t="shared" si="171"/>
        <v>Interest (E) = (A or A1) * (C) * (D)</v>
      </c>
      <c r="T169" s="173" t="s">
        <v>450</v>
      </c>
      <c r="V169" s="27" t="s">
        <v>16</v>
      </c>
      <c r="W169" s="3" t="str">
        <f>W$43</f>
        <v>Source</v>
      </c>
      <c r="X169" s="3" t="str">
        <f t="shared" ref="X169:AC169" si="172">X$43</f>
        <v>Limit (A)</v>
      </c>
      <c r="Y169" s="3" t="str">
        <f t="shared" si="172"/>
        <v>Outstanding (A1)</v>
      </c>
      <c r="Z169" s="3" t="str">
        <f t="shared" si="172"/>
        <v>Monthly Repayment (B)</v>
      </c>
      <c r="AA169" s="3" t="str">
        <f t="shared" si="172"/>
        <v>Interest Rate (C)</v>
      </c>
      <c r="AB169" s="3" t="str">
        <f t="shared" si="172"/>
        <v>Factor (D)</v>
      </c>
      <c r="AC169" s="3" t="str">
        <f t="shared" si="172"/>
        <v>Interest (E) = (A or A1) * (C) * (D)</v>
      </c>
      <c r="AE169" s="27" t="s">
        <v>16</v>
      </c>
      <c r="AF169" s="3" t="str">
        <f>AF$43</f>
        <v>Source</v>
      </c>
      <c r="AG169" s="3" t="str">
        <f t="shared" ref="AG169:AL169" si="173">AG$43</f>
        <v>Limit (A)</v>
      </c>
      <c r="AH169" s="3" t="str">
        <f t="shared" si="173"/>
        <v>Outstanding (A1)</v>
      </c>
      <c r="AI169" s="3" t="str">
        <f t="shared" si="173"/>
        <v>Monthly Repayment (B)</v>
      </c>
      <c r="AJ169" s="3" t="str">
        <f t="shared" si="173"/>
        <v>Interest Rate (C)</v>
      </c>
      <c r="AK169" s="3" t="str">
        <f t="shared" si="173"/>
        <v>Factor (D)</v>
      </c>
      <c r="AL169" s="3" t="str">
        <f t="shared" si="173"/>
        <v>Interest (E) = (A or A1) * (C) * (D)</v>
      </c>
      <c r="AN169" s="27" t="s">
        <v>16</v>
      </c>
      <c r="AO169" s="3" t="str">
        <f>AO$43</f>
        <v>Source</v>
      </c>
      <c r="AP169" s="3" t="str">
        <f t="shared" ref="AP169:AU169" si="174">AP$43</f>
        <v>Limit (A)</v>
      </c>
      <c r="AQ169" s="3" t="str">
        <f t="shared" si="174"/>
        <v>Outstanding (A1)</v>
      </c>
      <c r="AR169" s="3" t="str">
        <f t="shared" si="174"/>
        <v>Monthly Repayment (B)</v>
      </c>
      <c r="AS169" s="3" t="str">
        <f t="shared" si="174"/>
        <v>Interest Rate (C)</v>
      </c>
      <c r="AT169" s="3" t="str">
        <f t="shared" si="174"/>
        <v>Factor (D)</v>
      </c>
      <c r="AU169" s="3" t="str">
        <f t="shared" si="174"/>
        <v>Interest (E) = (A or A1) * (C) * (D)</v>
      </c>
      <c r="AW169" s="27" t="s">
        <v>16</v>
      </c>
      <c r="AX169" s="3" t="str">
        <f>AX$43</f>
        <v>Source</v>
      </c>
      <c r="AY169" s="3" t="str">
        <f t="shared" ref="AY169:BD169" si="175">AY$43</f>
        <v>Limit (A)</v>
      </c>
      <c r="AZ169" s="3" t="str">
        <f t="shared" si="175"/>
        <v>Outstanding (A1)</v>
      </c>
      <c r="BA169" s="3" t="str">
        <f t="shared" si="175"/>
        <v>Monthly Repayment (B)</v>
      </c>
      <c r="BB169" s="3" t="str">
        <f t="shared" si="175"/>
        <v>Interest Rate (C)</v>
      </c>
      <c r="BC169" s="3" t="str">
        <f t="shared" si="175"/>
        <v>Factor (D)</v>
      </c>
      <c r="BD169" s="3" t="str">
        <f t="shared" si="175"/>
        <v>Interest (E) = (A or A1) * (C) * (D)</v>
      </c>
      <c r="BF169" s="27" t="s">
        <v>16</v>
      </c>
      <c r="BG169" s="3" t="str">
        <f>BG$43</f>
        <v>Source</v>
      </c>
      <c r="BH169" s="3" t="str">
        <f t="shared" ref="BH169:BM169" si="176">BH$43</f>
        <v>Limit (A)</v>
      </c>
      <c r="BI169" s="3" t="str">
        <f t="shared" si="176"/>
        <v>Outstanding (A1)</v>
      </c>
      <c r="BJ169" s="3" t="str">
        <f t="shared" si="176"/>
        <v>Monthly Repayment (B)</v>
      </c>
      <c r="BK169" s="3" t="str">
        <f t="shared" si="176"/>
        <v>Interest Rate (C)</v>
      </c>
      <c r="BL169" s="3" t="str">
        <f t="shared" si="176"/>
        <v>Factor (D)</v>
      </c>
      <c r="BM169" s="3" t="str">
        <f t="shared" si="176"/>
        <v>Interest (E) = (A or A1) * (C) * (D)</v>
      </c>
    </row>
    <row r="170" spans="2:65">
      <c r="B170" s="41" t="s">
        <v>514</v>
      </c>
      <c r="C170" s="41" t="s">
        <v>355</v>
      </c>
      <c r="D170" s="40"/>
      <c r="E170" s="40"/>
      <c r="F170" s="40"/>
      <c r="G170" s="31"/>
      <c r="H170" s="32"/>
      <c r="I170" s="29"/>
      <c r="J170" s="172"/>
      <c r="L170" s="41" t="s">
        <v>514</v>
      </c>
      <c r="M170" s="41" t="s">
        <v>355</v>
      </c>
      <c r="N170" s="40"/>
      <c r="O170" s="40"/>
      <c r="P170" s="40"/>
      <c r="Q170" s="31"/>
      <c r="R170" s="32"/>
      <c r="S170" s="29"/>
      <c r="T170" s="172"/>
      <c r="V170" s="41" t="s">
        <v>514</v>
      </c>
      <c r="W170" s="41" t="s">
        <v>355</v>
      </c>
      <c r="X170" s="40"/>
      <c r="Y170" s="40"/>
      <c r="Z170" s="40"/>
      <c r="AA170" s="31"/>
      <c r="AB170" s="32"/>
      <c r="AC170" s="29"/>
      <c r="AE170" s="41" t="s">
        <v>514</v>
      </c>
      <c r="AF170" s="41" t="s">
        <v>355</v>
      </c>
      <c r="AG170" s="40"/>
      <c r="AH170" s="40"/>
      <c r="AI170" s="40"/>
      <c r="AJ170" s="31"/>
      <c r="AK170" s="32"/>
      <c r="AL170" s="29"/>
      <c r="AN170" s="41" t="s">
        <v>514</v>
      </c>
      <c r="AO170" s="41" t="s">
        <v>355</v>
      </c>
      <c r="AP170" s="40"/>
      <c r="AQ170" s="40"/>
      <c r="AR170" s="40"/>
      <c r="AS170" s="31"/>
      <c r="AT170" s="32"/>
      <c r="AU170" s="29"/>
      <c r="AW170" s="41" t="s">
        <v>514</v>
      </c>
      <c r="AX170" s="41" t="s">
        <v>355</v>
      </c>
      <c r="AY170" s="40"/>
      <c r="AZ170" s="40"/>
      <c r="BA170" s="40"/>
      <c r="BB170" s="31"/>
      <c r="BC170" s="32"/>
      <c r="BD170" s="29"/>
      <c r="BF170" s="41" t="s">
        <v>514</v>
      </c>
      <c r="BG170" s="41" t="s">
        <v>355</v>
      </c>
      <c r="BH170" s="40"/>
      <c r="BI170" s="40"/>
      <c r="BJ170" s="40"/>
      <c r="BK170" s="31"/>
      <c r="BL170" s="32"/>
      <c r="BM170" s="29"/>
    </row>
    <row r="171" spans="2:65">
      <c r="B171" s="41" t="s">
        <v>514</v>
      </c>
      <c r="C171" s="41" t="s">
        <v>355</v>
      </c>
      <c r="D171" s="40"/>
      <c r="E171" s="40"/>
      <c r="F171" s="40"/>
      <c r="G171" s="31"/>
      <c r="H171" s="32"/>
      <c r="I171" s="29"/>
      <c r="J171" s="172"/>
      <c r="L171" s="41" t="s">
        <v>514</v>
      </c>
      <c r="M171" s="41" t="s">
        <v>355</v>
      </c>
      <c r="N171" s="40"/>
      <c r="O171" s="40"/>
      <c r="P171" s="40"/>
      <c r="Q171" s="31"/>
      <c r="R171" s="32"/>
      <c r="S171" s="29"/>
      <c r="T171" s="172"/>
      <c r="V171" s="41" t="s">
        <v>514</v>
      </c>
      <c r="W171" s="41" t="s">
        <v>355</v>
      </c>
      <c r="X171" s="40"/>
      <c r="Y171" s="40"/>
      <c r="Z171" s="40"/>
      <c r="AA171" s="31"/>
      <c r="AB171" s="32"/>
      <c r="AC171" s="29"/>
      <c r="AE171" s="41" t="s">
        <v>514</v>
      </c>
      <c r="AF171" s="41" t="s">
        <v>355</v>
      </c>
      <c r="AG171" s="40"/>
      <c r="AH171" s="40"/>
      <c r="AI171" s="40"/>
      <c r="AJ171" s="31"/>
      <c r="AK171" s="32"/>
      <c r="AL171" s="29"/>
      <c r="AN171" s="41" t="s">
        <v>514</v>
      </c>
      <c r="AO171" s="41" t="s">
        <v>355</v>
      </c>
      <c r="AP171" s="40"/>
      <c r="AQ171" s="40"/>
      <c r="AR171" s="40"/>
      <c r="AS171" s="31"/>
      <c r="AT171" s="32"/>
      <c r="AU171" s="29"/>
      <c r="AW171" s="41" t="s">
        <v>514</v>
      </c>
      <c r="AX171" s="41" t="s">
        <v>355</v>
      </c>
      <c r="AY171" s="40"/>
      <c r="AZ171" s="40"/>
      <c r="BA171" s="40"/>
      <c r="BB171" s="31"/>
      <c r="BC171" s="32"/>
      <c r="BD171" s="29"/>
      <c r="BF171" s="41" t="s">
        <v>514</v>
      </c>
      <c r="BG171" s="41" t="s">
        <v>355</v>
      </c>
      <c r="BH171" s="40"/>
      <c r="BI171" s="40"/>
      <c r="BJ171" s="40"/>
      <c r="BK171" s="31"/>
      <c r="BL171" s="32"/>
      <c r="BM171" s="29"/>
    </row>
    <row r="172" spans="2:65">
      <c r="B172" s="41" t="s">
        <v>514</v>
      </c>
      <c r="C172" s="41" t="s">
        <v>355</v>
      </c>
      <c r="D172" s="40"/>
      <c r="E172" s="40"/>
      <c r="F172" s="40"/>
      <c r="G172" s="31"/>
      <c r="H172" s="32"/>
      <c r="I172" s="29"/>
      <c r="J172" s="172"/>
      <c r="L172" s="41" t="s">
        <v>514</v>
      </c>
      <c r="M172" s="41" t="s">
        <v>355</v>
      </c>
      <c r="N172" s="40"/>
      <c r="O172" s="40"/>
      <c r="P172" s="40"/>
      <c r="Q172" s="31"/>
      <c r="R172" s="32"/>
      <c r="S172" s="29"/>
      <c r="T172" s="172"/>
      <c r="V172" s="41" t="s">
        <v>514</v>
      </c>
      <c r="W172" s="41" t="s">
        <v>355</v>
      </c>
      <c r="X172" s="40"/>
      <c r="Y172" s="40"/>
      <c r="Z172" s="40"/>
      <c r="AA172" s="31"/>
      <c r="AB172" s="32"/>
      <c r="AC172" s="29"/>
      <c r="AE172" s="41" t="s">
        <v>514</v>
      </c>
      <c r="AF172" s="41" t="s">
        <v>355</v>
      </c>
      <c r="AG172" s="40"/>
      <c r="AH172" s="40"/>
      <c r="AI172" s="40"/>
      <c r="AJ172" s="31"/>
      <c r="AK172" s="32"/>
      <c r="AL172" s="29"/>
      <c r="AN172" s="41" t="s">
        <v>514</v>
      </c>
      <c r="AO172" s="41" t="s">
        <v>355</v>
      </c>
      <c r="AP172" s="40"/>
      <c r="AQ172" s="40"/>
      <c r="AR172" s="40"/>
      <c r="AS172" s="31"/>
      <c r="AT172" s="32"/>
      <c r="AU172" s="29"/>
      <c r="AW172" s="41" t="s">
        <v>514</v>
      </c>
      <c r="AX172" s="41" t="s">
        <v>355</v>
      </c>
      <c r="AY172" s="40"/>
      <c r="AZ172" s="40"/>
      <c r="BA172" s="40"/>
      <c r="BB172" s="31"/>
      <c r="BC172" s="32"/>
      <c r="BD172" s="29"/>
      <c r="BF172" s="41" t="s">
        <v>514</v>
      </c>
      <c r="BG172" s="41" t="s">
        <v>355</v>
      </c>
      <c r="BH172" s="40"/>
      <c r="BI172" s="40"/>
      <c r="BJ172" s="40"/>
      <c r="BK172" s="31"/>
      <c r="BL172" s="32"/>
      <c r="BM172" s="29"/>
    </row>
    <row r="173" spans="2:65">
      <c r="B173" s="41" t="s">
        <v>514</v>
      </c>
      <c r="C173" s="41" t="s">
        <v>355</v>
      </c>
      <c r="D173" s="40"/>
      <c r="E173" s="40"/>
      <c r="F173" s="40"/>
      <c r="G173" s="31"/>
      <c r="H173" s="32"/>
      <c r="I173" s="29"/>
      <c r="J173" s="172"/>
      <c r="L173" s="41" t="s">
        <v>514</v>
      </c>
      <c r="M173" s="41" t="s">
        <v>355</v>
      </c>
      <c r="N173" s="40"/>
      <c r="O173" s="40"/>
      <c r="P173" s="40"/>
      <c r="Q173" s="31"/>
      <c r="R173" s="32"/>
      <c r="S173" s="29"/>
      <c r="T173" s="172"/>
      <c r="V173" s="41" t="s">
        <v>514</v>
      </c>
      <c r="W173" s="41" t="s">
        <v>355</v>
      </c>
      <c r="X173" s="40"/>
      <c r="Y173" s="40"/>
      <c r="Z173" s="40"/>
      <c r="AA173" s="31"/>
      <c r="AB173" s="32"/>
      <c r="AC173" s="29"/>
      <c r="AE173" s="41" t="s">
        <v>514</v>
      </c>
      <c r="AF173" s="41" t="s">
        <v>355</v>
      </c>
      <c r="AG173" s="40"/>
      <c r="AH173" s="40"/>
      <c r="AI173" s="40"/>
      <c r="AJ173" s="31"/>
      <c r="AK173" s="32"/>
      <c r="AL173" s="29"/>
      <c r="AN173" s="41" t="s">
        <v>514</v>
      </c>
      <c r="AO173" s="41" t="s">
        <v>355</v>
      </c>
      <c r="AP173" s="40"/>
      <c r="AQ173" s="40"/>
      <c r="AR173" s="40"/>
      <c r="AS173" s="31"/>
      <c r="AT173" s="32"/>
      <c r="AU173" s="29"/>
      <c r="AW173" s="41" t="s">
        <v>514</v>
      </c>
      <c r="AX173" s="41" t="s">
        <v>355</v>
      </c>
      <c r="AY173" s="40"/>
      <c r="AZ173" s="40"/>
      <c r="BA173" s="40"/>
      <c r="BB173" s="31"/>
      <c r="BC173" s="32"/>
      <c r="BD173" s="29"/>
      <c r="BF173" s="41" t="s">
        <v>514</v>
      </c>
      <c r="BG173" s="41" t="s">
        <v>355</v>
      </c>
      <c r="BH173" s="40"/>
      <c r="BI173" s="40"/>
      <c r="BJ173" s="40"/>
      <c r="BK173" s="31"/>
      <c r="BL173" s="32"/>
      <c r="BM173" s="29"/>
    </row>
    <row r="174" spans="2:65">
      <c r="B174" s="41" t="s">
        <v>514</v>
      </c>
      <c r="C174" s="41" t="s">
        <v>355</v>
      </c>
      <c r="D174" s="40"/>
      <c r="E174" s="40"/>
      <c r="F174" s="40"/>
      <c r="G174" s="31"/>
      <c r="H174" s="32"/>
      <c r="I174" s="29"/>
      <c r="J174" s="172"/>
      <c r="L174" s="41" t="s">
        <v>514</v>
      </c>
      <c r="M174" s="41" t="s">
        <v>355</v>
      </c>
      <c r="N174" s="40"/>
      <c r="O174" s="40"/>
      <c r="P174" s="40"/>
      <c r="Q174" s="31"/>
      <c r="R174" s="32"/>
      <c r="S174" s="29"/>
      <c r="T174" s="172"/>
      <c r="V174" s="41" t="s">
        <v>514</v>
      </c>
      <c r="W174" s="41" t="s">
        <v>355</v>
      </c>
      <c r="X174" s="40"/>
      <c r="Y174" s="40"/>
      <c r="Z174" s="40"/>
      <c r="AA174" s="31"/>
      <c r="AB174" s="32"/>
      <c r="AC174" s="29"/>
      <c r="AE174" s="41" t="s">
        <v>514</v>
      </c>
      <c r="AF174" s="41" t="s">
        <v>355</v>
      </c>
      <c r="AG174" s="40"/>
      <c r="AH174" s="40"/>
      <c r="AI174" s="40"/>
      <c r="AJ174" s="31"/>
      <c r="AK174" s="32"/>
      <c r="AL174" s="29"/>
      <c r="AN174" s="41" t="s">
        <v>514</v>
      </c>
      <c r="AO174" s="41" t="s">
        <v>355</v>
      </c>
      <c r="AP174" s="40"/>
      <c r="AQ174" s="40"/>
      <c r="AR174" s="40"/>
      <c r="AS174" s="31"/>
      <c r="AT174" s="32"/>
      <c r="AU174" s="29"/>
      <c r="AW174" s="41" t="s">
        <v>514</v>
      </c>
      <c r="AX174" s="41" t="s">
        <v>355</v>
      </c>
      <c r="AY174" s="40"/>
      <c r="AZ174" s="40"/>
      <c r="BA174" s="40"/>
      <c r="BB174" s="31"/>
      <c r="BC174" s="32"/>
      <c r="BD174" s="29"/>
      <c r="BF174" s="41" t="s">
        <v>514</v>
      </c>
      <c r="BG174" s="41" t="s">
        <v>355</v>
      </c>
      <c r="BH174" s="40"/>
      <c r="BI174" s="40"/>
      <c r="BJ174" s="40"/>
      <c r="BK174" s="31"/>
      <c r="BL174" s="32"/>
      <c r="BM174" s="29"/>
    </row>
    <row r="175" spans="2:65">
      <c r="B175" s="41" t="s">
        <v>514</v>
      </c>
      <c r="C175" s="41" t="s">
        <v>355</v>
      </c>
      <c r="D175" s="40"/>
      <c r="E175" s="40"/>
      <c r="F175" s="40"/>
      <c r="G175" s="31"/>
      <c r="H175" s="32"/>
      <c r="I175" s="29"/>
      <c r="J175" s="172"/>
      <c r="L175" s="41" t="s">
        <v>514</v>
      </c>
      <c r="M175" s="41" t="s">
        <v>355</v>
      </c>
      <c r="N175" s="40"/>
      <c r="O175" s="40"/>
      <c r="P175" s="40"/>
      <c r="Q175" s="31"/>
      <c r="R175" s="32"/>
      <c r="S175" s="29"/>
      <c r="T175" s="172"/>
      <c r="V175" s="41" t="s">
        <v>514</v>
      </c>
      <c r="W175" s="41" t="s">
        <v>355</v>
      </c>
      <c r="X175" s="40"/>
      <c r="Y175" s="40"/>
      <c r="Z175" s="40"/>
      <c r="AA175" s="31"/>
      <c r="AB175" s="32"/>
      <c r="AC175" s="29"/>
      <c r="AE175" s="41" t="s">
        <v>514</v>
      </c>
      <c r="AF175" s="41" t="s">
        <v>355</v>
      </c>
      <c r="AG175" s="40"/>
      <c r="AH175" s="40"/>
      <c r="AI175" s="40"/>
      <c r="AJ175" s="31"/>
      <c r="AK175" s="32"/>
      <c r="AL175" s="29"/>
      <c r="AN175" s="41" t="s">
        <v>514</v>
      </c>
      <c r="AO175" s="41" t="s">
        <v>355</v>
      </c>
      <c r="AP175" s="40"/>
      <c r="AQ175" s="40"/>
      <c r="AR175" s="40"/>
      <c r="AS175" s="31"/>
      <c r="AT175" s="32"/>
      <c r="AU175" s="29"/>
      <c r="AW175" s="41" t="s">
        <v>514</v>
      </c>
      <c r="AX175" s="41" t="s">
        <v>355</v>
      </c>
      <c r="AY175" s="40"/>
      <c r="AZ175" s="40"/>
      <c r="BA175" s="40"/>
      <c r="BB175" s="31"/>
      <c r="BC175" s="32"/>
      <c r="BD175" s="29"/>
      <c r="BF175" s="41" t="s">
        <v>514</v>
      </c>
      <c r="BG175" s="41" t="s">
        <v>355</v>
      </c>
      <c r="BH175" s="40"/>
      <c r="BI175" s="40"/>
      <c r="BJ175" s="40"/>
      <c r="BK175" s="31"/>
      <c r="BL175" s="32"/>
      <c r="BM175" s="29"/>
    </row>
    <row r="176" spans="2:65">
      <c r="B176" s="41" t="s">
        <v>514</v>
      </c>
      <c r="C176" s="41" t="s">
        <v>355</v>
      </c>
      <c r="D176" s="40"/>
      <c r="E176" s="40"/>
      <c r="F176" s="40"/>
      <c r="G176" s="31"/>
      <c r="H176" s="32"/>
      <c r="I176" s="29"/>
      <c r="J176" s="172"/>
      <c r="L176" s="41" t="s">
        <v>514</v>
      </c>
      <c r="M176" s="41" t="s">
        <v>355</v>
      </c>
      <c r="N176" s="40"/>
      <c r="O176" s="40"/>
      <c r="P176" s="40"/>
      <c r="Q176" s="31"/>
      <c r="R176" s="32"/>
      <c r="S176" s="29"/>
      <c r="T176" s="172"/>
      <c r="V176" s="41" t="s">
        <v>514</v>
      </c>
      <c r="W176" s="41" t="s">
        <v>355</v>
      </c>
      <c r="X176" s="40"/>
      <c r="Y176" s="40"/>
      <c r="Z176" s="40"/>
      <c r="AA176" s="31"/>
      <c r="AB176" s="32"/>
      <c r="AC176" s="29"/>
      <c r="AE176" s="41" t="s">
        <v>514</v>
      </c>
      <c r="AF176" s="41" t="s">
        <v>355</v>
      </c>
      <c r="AG176" s="40"/>
      <c r="AH176" s="40"/>
      <c r="AI176" s="40"/>
      <c r="AJ176" s="31"/>
      <c r="AK176" s="32"/>
      <c r="AL176" s="29"/>
      <c r="AN176" s="41" t="s">
        <v>514</v>
      </c>
      <c r="AO176" s="41" t="s">
        <v>355</v>
      </c>
      <c r="AP176" s="40"/>
      <c r="AQ176" s="40"/>
      <c r="AR176" s="40"/>
      <c r="AS176" s="31"/>
      <c r="AT176" s="32"/>
      <c r="AU176" s="29"/>
      <c r="AW176" s="41" t="s">
        <v>514</v>
      </c>
      <c r="AX176" s="41" t="s">
        <v>355</v>
      </c>
      <c r="AY176" s="40"/>
      <c r="AZ176" s="40"/>
      <c r="BA176" s="40"/>
      <c r="BB176" s="31"/>
      <c r="BC176" s="32"/>
      <c r="BD176" s="29"/>
      <c r="BF176" s="41" t="s">
        <v>514</v>
      </c>
      <c r="BG176" s="41" t="s">
        <v>355</v>
      </c>
      <c r="BH176" s="40"/>
      <c r="BI176" s="40"/>
      <c r="BJ176" s="40"/>
      <c r="BK176" s="31"/>
      <c r="BL176" s="32"/>
      <c r="BM176" s="29"/>
    </row>
    <row r="177" spans="2:65" outlineLevel="1">
      <c r="B177" s="41" t="s">
        <v>514</v>
      </c>
      <c r="C177" s="41" t="s">
        <v>355</v>
      </c>
      <c r="D177" s="40"/>
      <c r="E177" s="40"/>
      <c r="F177" s="40"/>
      <c r="G177" s="31"/>
      <c r="H177" s="32"/>
      <c r="I177" s="29"/>
      <c r="J177" s="172"/>
      <c r="L177" s="41" t="s">
        <v>514</v>
      </c>
      <c r="M177" s="41" t="s">
        <v>355</v>
      </c>
      <c r="N177" s="40"/>
      <c r="O177" s="40"/>
      <c r="P177" s="40"/>
      <c r="Q177" s="31"/>
      <c r="R177" s="32"/>
      <c r="S177" s="29"/>
      <c r="T177" s="172"/>
      <c r="V177" s="41" t="s">
        <v>514</v>
      </c>
      <c r="W177" s="41" t="s">
        <v>355</v>
      </c>
      <c r="X177" s="40"/>
      <c r="Y177" s="40"/>
      <c r="Z177" s="40"/>
      <c r="AA177" s="31"/>
      <c r="AB177" s="32"/>
      <c r="AC177" s="29"/>
      <c r="AE177" s="41" t="s">
        <v>514</v>
      </c>
      <c r="AF177" s="41" t="s">
        <v>355</v>
      </c>
      <c r="AG177" s="40"/>
      <c r="AH177" s="40"/>
      <c r="AI177" s="40"/>
      <c r="AJ177" s="31"/>
      <c r="AK177" s="32"/>
      <c r="AL177" s="29"/>
      <c r="AN177" s="41" t="s">
        <v>514</v>
      </c>
      <c r="AO177" s="41" t="s">
        <v>355</v>
      </c>
      <c r="AP177" s="40"/>
      <c r="AQ177" s="40"/>
      <c r="AR177" s="40"/>
      <c r="AS177" s="31"/>
      <c r="AT177" s="32"/>
      <c r="AU177" s="29"/>
      <c r="AW177" s="41" t="s">
        <v>514</v>
      </c>
      <c r="AX177" s="41" t="s">
        <v>355</v>
      </c>
      <c r="AY177" s="40"/>
      <c r="AZ177" s="40"/>
      <c r="BA177" s="40"/>
      <c r="BB177" s="31"/>
      <c r="BC177" s="32"/>
      <c r="BD177" s="29"/>
      <c r="BF177" s="41" t="s">
        <v>514</v>
      </c>
      <c r="BG177" s="41" t="s">
        <v>355</v>
      </c>
      <c r="BH177" s="40"/>
      <c r="BI177" s="40"/>
      <c r="BJ177" s="40"/>
      <c r="BK177" s="31"/>
      <c r="BL177" s="32"/>
      <c r="BM177" s="29"/>
    </row>
    <row r="178" spans="2:65" outlineLevel="1">
      <c r="B178" s="41" t="s">
        <v>514</v>
      </c>
      <c r="C178" s="41" t="s">
        <v>355</v>
      </c>
      <c r="D178" s="40"/>
      <c r="E178" s="40"/>
      <c r="F178" s="40"/>
      <c r="G178" s="31"/>
      <c r="H178" s="32"/>
      <c r="I178" s="29"/>
      <c r="J178" s="172"/>
      <c r="L178" s="41" t="s">
        <v>514</v>
      </c>
      <c r="M178" s="41" t="s">
        <v>355</v>
      </c>
      <c r="N178" s="40"/>
      <c r="O178" s="40"/>
      <c r="P178" s="40"/>
      <c r="Q178" s="31"/>
      <c r="R178" s="32"/>
      <c r="S178" s="29"/>
      <c r="T178" s="172"/>
      <c r="V178" s="41" t="s">
        <v>514</v>
      </c>
      <c r="W178" s="41" t="s">
        <v>355</v>
      </c>
      <c r="X178" s="40"/>
      <c r="Y178" s="40"/>
      <c r="Z178" s="40"/>
      <c r="AA178" s="31"/>
      <c r="AB178" s="32"/>
      <c r="AC178" s="29"/>
      <c r="AE178" s="41" t="s">
        <v>514</v>
      </c>
      <c r="AF178" s="41" t="s">
        <v>355</v>
      </c>
      <c r="AG178" s="40"/>
      <c r="AH178" s="40"/>
      <c r="AI178" s="40"/>
      <c r="AJ178" s="31"/>
      <c r="AK178" s="32"/>
      <c r="AL178" s="29"/>
      <c r="AN178" s="41" t="s">
        <v>514</v>
      </c>
      <c r="AO178" s="41" t="s">
        <v>355</v>
      </c>
      <c r="AP178" s="40"/>
      <c r="AQ178" s="40"/>
      <c r="AR178" s="40"/>
      <c r="AS178" s="31"/>
      <c r="AT178" s="32"/>
      <c r="AU178" s="29"/>
      <c r="AW178" s="41" t="s">
        <v>514</v>
      </c>
      <c r="AX178" s="41" t="s">
        <v>355</v>
      </c>
      <c r="AY178" s="40"/>
      <c r="AZ178" s="40"/>
      <c r="BA178" s="40"/>
      <c r="BB178" s="31"/>
      <c r="BC178" s="32"/>
      <c r="BD178" s="29"/>
      <c r="BF178" s="41" t="s">
        <v>514</v>
      </c>
      <c r="BG178" s="41" t="s">
        <v>355</v>
      </c>
      <c r="BH178" s="40"/>
      <c r="BI178" s="40"/>
      <c r="BJ178" s="40"/>
      <c r="BK178" s="31"/>
      <c r="BL178" s="32"/>
      <c r="BM178" s="29"/>
    </row>
    <row r="179" spans="2:65" outlineLevel="1">
      <c r="B179" s="41" t="s">
        <v>514</v>
      </c>
      <c r="C179" s="41" t="s">
        <v>355</v>
      </c>
      <c r="D179" s="40"/>
      <c r="E179" s="40"/>
      <c r="F179" s="40"/>
      <c r="G179" s="31"/>
      <c r="H179" s="32"/>
      <c r="I179" s="29"/>
      <c r="J179" s="172"/>
      <c r="L179" s="41" t="s">
        <v>514</v>
      </c>
      <c r="M179" s="41" t="s">
        <v>355</v>
      </c>
      <c r="N179" s="40"/>
      <c r="O179" s="40"/>
      <c r="P179" s="40"/>
      <c r="Q179" s="31"/>
      <c r="R179" s="32"/>
      <c r="S179" s="29"/>
      <c r="T179" s="172"/>
      <c r="V179" s="41" t="s">
        <v>514</v>
      </c>
      <c r="W179" s="41" t="s">
        <v>355</v>
      </c>
      <c r="X179" s="40"/>
      <c r="Y179" s="40"/>
      <c r="Z179" s="40"/>
      <c r="AA179" s="31"/>
      <c r="AB179" s="32"/>
      <c r="AC179" s="29"/>
      <c r="AE179" s="41" t="s">
        <v>514</v>
      </c>
      <c r="AF179" s="41" t="s">
        <v>355</v>
      </c>
      <c r="AG179" s="40"/>
      <c r="AH179" s="40"/>
      <c r="AI179" s="40"/>
      <c r="AJ179" s="31"/>
      <c r="AK179" s="32"/>
      <c r="AL179" s="29"/>
      <c r="AN179" s="41" t="s">
        <v>514</v>
      </c>
      <c r="AO179" s="41" t="s">
        <v>355</v>
      </c>
      <c r="AP179" s="40"/>
      <c r="AQ179" s="40"/>
      <c r="AR179" s="40"/>
      <c r="AS179" s="31"/>
      <c r="AT179" s="32"/>
      <c r="AU179" s="29"/>
      <c r="AW179" s="41" t="s">
        <v>514</v>
      </c>
      <c r="AX179" s="41" t="s">
        <v>355</v>
      </c>
      <c r="AY179" s="40"/>
      <c r="AZ179" s="40"/>
      <c r="BA179" s="40"/>
      <c r="BB179" s="31"/>
      <c r="BC179" s="32"/>
      <c r="BD179" s="29"/>
      <c r="BF179" s="41" t="s">
        <v>514</v>
      </c>
      <c r="BG179" s="41" t="s">
        <v>355</v>
      </c>
      <c r="BH179" s="40"/>
      <c r="BI179" s="40"/>
      <c r="BJ179" s="40"/>
      <c r="BK179" s="31"/>
      <c r="BL179" s="32"/>
      <c r="BM179" s="29"/>
    </row>
    <row r="180" spans="2:65" outlineLevel="1">
      <c r="B180" s="41" t="s">
        <v>514</v>
      </c>
      <c r="C180" s="41" t="s">
        <v>355</v>
      </c>
      <c r="D180" s="40"/>
      <c r="E180" s="40"/>
      <c r="F180" s="40"/>
      <c r="G180" s="31"/>
      <c r="H180" s="32"/>
      <c r="I180" s="29"/>
      <c r="J180" s="172"/>
      <c r="L180" s="41" t="s">
        <v>514</v>
      </c>
      <c r="M180" s="41" t="s">
        <v>355</v>
      </c>
      <c r="N180" s="40"/>
      <c r="O180" s="40"/>
      <c r="P180" s="40"/>
      <c r="Q180" s="31"/>
      <c r="R180" s="32"/>
      <c r="S180" s="29"/>
      <c r="T180" s="172"/>
      <c r="V180" s="41" t="s">
        <v>514</v>
      </c>
      <c r="W180" s="41" t="s">
        <v>355</v>
      </c>
      <c r="X180" s="40"/>
      <c r="Y180" s="40"/>
      <c r="Z180" s="40"/>
      <c r="AA180" s="31"/>
      <c r="AB180" s="32"/>
      <c r="AC180" s="29"/>
      <c r="AE180" s="41" t="s">
        <v>514</v>
      </c>
      <c r="AF180" s="41" t="s">
        <v>355</v>
      </c>
      <c r="AG180" s="40"/>
      <c r="AH180" s="40"/>
      <c r="AI180" s="40"/>
      <c r="AJ180" s="31"/>
      <c r="AK180" s="32"/>
      <c r="AL180" s="29"/>
      <c r="AN180" s="41" t="s">
        <v>514</v>
      </c>
      <c r="AO180" s="41" t="s">
        <v>355</v>
      </c>
      <c r="AP180" s="40"/>
      <c r="AQ180" s="40"/>
      <c r="AR180" s="40"/>
      <c r="AS180" s="31"/>
      <c r="AT180" s="32"/>
      <c r="AU180" s="29"/>
      <c r="AW180" s="41" t="s">
        <v>514</v>
      </c>
      <c r="AX180" s="41" t="s">
        <v>355</v>
      </c>
      <c r="AY180" s="40"/>
      <c r="AZ180" s="40"/>
      <c r="BA180" s="40"/>
      <c r="BB180" s="31"/>
      <c r="BC180" s="32"/>
      <c r="BD180" s="29"/>
      <c r="BF180" s="41" t="s">
        <v>514</v>
      </c>
      <c r="BG180" s="41" t="s">
        <v>355</v>
      </c>
      <c r="BH180" s="40"/>
      <c r="BI180" s="40"/>
      <c r="BJ180" s="40"/>
      <c r="BK180" s="31"/>
      <c r="BL180" s="32"/>
      <c r="BM180" s="29"/>
    </row>
    <row r="181" spans="2:65" outlineLevel="1">
      <c r="B181" s="41" t="s">
        <v>514</v>
      </c>
      <c r="C181" s="41" t="s">
        <v>355</v>
      </c>
      <c r="D181" s="40"/>
      <c r="E181" s="40"/>
      <c r="F181" s="40"/>
      <c r="G181" s="31"/>
      <c r="H181" s="32"/>
      <c r="I181" s="29"/>
      <c r="J181" s="172"/>
      <c r="L181" s="41" t="s">
        <v>514</v>
      </c>
      <c r="M181" s="41" t="s">
        <v>355</v>
      </c>
      <c r="N181" s="40"/>
      <c r="O181" s="40"/>
      <c r="P181" s="40"/>
      <c r="Q181" s="31"/>
      <c r="R181" s="32"/>
      <c r="S181" s="29"/>
      <c r="T181" s="172"/>
      <c r="V181" s="41" t="s">
        <v>514</v>
      </c>
      <c r="W181" s="41" t="s">
        <v>355</v>
      </c>
      <c r="X181" s="40"/>
      <c r="Y181" s="40"/>
      <c r="Z181" s="40"/>
      <c r="AA181" s="31"/>
      <c r="AB181" s="32"/>
      <c r="AC181" s="29"/>
      <c r="AE181" s="41" t="s">
        <v>514</v>
      </c>
      <c r="AF181" s="41" t="s">
        <v>355</v>
      </c>
      <c r="AG181" s="40"/>
      <c r="AH181" s="40"/>
      <c r="AI181" s="40"/>
      <c r="AJ181" s="31"/>
      <c r="AK181" s="32"/>
      <c r="AL181" s="29"/>
      <c r="AN181" s="41" t="s">
        <v>514</v>
      </c>
      <c r="AO181" s="41" t="s">
        <v>355</v>
      </c>
      <c r="AP181" s="40"/>
      <c r="AQ181" s="40"/>
      <c r="AR181" s="40"/>
      <c r="AS181" s="31"/>
      <c r="AT181" s="32"/>
      <c r="AU181" s="29"/>
      <c r="AW181" s="41" t="s">
        <v>514</v>
      </c>
      <c r="AX181" s="41" t="s">
        <v>355</v>
      </c>
      <c r="AY181" s="40"/>
      <c r="AZ181" s="40"/>
      <c r="BA181" s="40"/>
      <c r="BB181" s="31"/>
      <c r="BC181" s="32"/>
      <c r="BD181" s="29"/>
      <c r="BF181" s="41" t="s">
        <v>514</v>
      </c>
      <c r="BG181" s="41" t="s">
        <v>355</v>
      </c>
      <c r="BH181" s="40"/>
      <c r="BI181" s="40"/>
      <c r="BJ181" s="40"/>
      <c r="BK181" s="31"/>
      <c r="BL181" s="32"/>
      <c r="BM181" s="29"/>
    </row>
    <row r="182" spans="2:65" outlineLevel="1">
      <c r="B182" s="41" t="s">
        <v>514</v>
      </c>
      <c r="C182" s="41" t="s">
        <v>355</v>
      </c>
      <c r="D182" s="40"/>
      <c r="E182" s="40"/>
      <c r="F182" s="40"/>
      <c r="G182" s="31"/>
      <c r="H182" s="32"/>
      <c r="I182" s="29"/>
      <c r="J182" s="172"/>
      <c r="L182" s="41" t="s">
        <v>514</v>
      </c>
      <c r="M182" s="41" t="s">
        <v>355</v>
      </c>
      <c r="N182" s="40"/>
      <c r="O182" s="40"/>
      <c r="P182" s="40"/>
      <c r="Q182" s="31"/>
      <c r="R182" s="32"/>
      <c r="S182" s="29"/>
      <c r="T182" s="172"/>
      <c r="V182" s="41" t="s">
        <v>514</v>
      </c>
      <c r="W182" s="41" t="s">
        <v>355</v>
      </c>
      <c r="X182" s="40"/>
      <c r="Y182" s="40"/>
      <c r="Z182" s="40"/>
      <c r="AA182" s="31"/>
      <c r="AB182" s="32"/>
      <c r="AC182" s="29"/>
      <c r="AE182" s="41" t="s">
        <v>514</v>
      </c>
      <c r="AF182" s="41" t="s">
        <v>355</v>
      </c>
      <c r="AG182" s="40"/>
      <c r="AH182" s="40"/>
      <c r="AI182" s="40"/>
      <c r="AJ182" s="31"/>
      <c r="AK182" s="32"/>
      <c r="AL182" s="29"/>
      <c r="AN182" s="41" t="s">
        <v>514</v>
      </c>
      <c r="AO182" s="41" t="s">
        <v>355</v>
      </c>
      <c r="AP182" s="40"/>
      <c r="AQ182" s="40"/>
      <c r="AR182" s="40"/>
      <c r="AS182" s="31"/>
      <c r="AT182" s="32"/>
      <c r="AU182" s="29"/>
      <c r="AW182" s="41" t="s">
        <v>514</v>
      </c>
      <c r="AX182" s="41" t="s">
        <v>355</v>
      </c>
      <c r="AY182" s="40"/>
      <c r="AZ182" s="40"/>
      <c r="BA182" s="40"/>
      <c r="BB182" s="31"/>
      <c r="BC182" s="32"/>
      <c r="BD182" s="29"/>
      <c r="BF182" s="41" t="s">
        <v>514</v>
      </c>
      <c r="BG182" s="41" t="s">
        <v>355</v>
      </c>
      <c r="BH182" s="40"/>
      <c r="BI182" s="40"/>
      <c r="BJ182" s="40"/>
      <c r="BK182" s="31"/>
      <c r="BL182" s="32"/>
      <c r="BM182" s="29"/>
    </row>
    <row r="183" spans="2:65" outlineLevel="1">
      <c r="B183" s="41" t="s">
        <v>514</v>
      </c>
      <c r="C183" s="41" t="s">
        <v>355</v>
      </c>
      <c r="D183" s="40"/>
      <c r="E183" s="40"/>
      <c r="F183" s="40"/>
      <c r="G183" s="31"/>
      <c r="H183" s="32"/>
      <c r="I183" s="29"/>
      <c r="J183" s="172"/>
      <c r="L183" s="41" t="s">
        <v>514</v>
      </c>
      <c r="M183" s="41" t="s">
        <v>355</v>
      </c>
      <c r="N183" s="40"/>
      <c r="O183" s="40"/>
      <c r="P183" s="40"/>
      <c r="Q183" s="31"/>
      <c r="R183" s="32"/>
      <c r="S183" s="29"/>
      <c r="T183" s="172"/>
      <c r="V183" s="41" t="s">
        <v>514</v>
      </c>
      <c r="W183" s="41" t="s">
        <v>355</v>
      </c>
      <c r="X183" s="40"/>
      <c r="Y183" s="40"/>
      <c r="Z183" s="40"/>
      <c r="AA183" s="31"/>
      <c r="AB183" s="32"/>
      <c r="AC183" s="29"/>
      <c r="AE183" s="41" t="s">
        <v>514</v>
      </c>
      <c r="AF183" s="41" t="s">
        <v>355</v>
      </c>
      <c r="AG183" s="40"/>
      <c r="AH183" s="40"/>
      <c r="AI183" s="40"/>
      <c r="AJ183" s="31"/>
      <c r="AK183" s="32"/>
      <c r="AL183" s="29"/>
      <c r="AN183" s="41" t="s">
        <v>514</v>
      </c>
      <c r="AO183" s="41" t="s">
        <v>355</v>
      </c>
      <c r="AP183" s="40"/>
      <c r="AQ183" s="40"/>
      <c r="AR183" s="40"/>
      <c r="AS183" s="31"/>
      <c r="AT183" s="32"/>
      <c r="AU183" s="29"/>
      <c r="AW183" s="41" t="s">
        <v>514</v>
      </c>
      <c r="AX183" s="41" t="s">
        <v>355</v>
      </c>
      <c r="AY183" s="40"/>
      <c r="AZ183" s="40"/>
      <c r="BA183" s="40"/>
      <c r="BB183" s="31"/>
      <c r="BC183" s="32"/>
      <c r="BD183" s="29"/>
      <c r="BF183" s="41" t="s">
        <v>514</v>
      </c>
      <c r="BG183" s="41" t="s">
        <v>355</v>
      </c>
      <c r="BH183" s="40"/>
      <c r="BI183" s="40"/>
      <c r="BJ183" s="40"/>
      <c r="BK183" s="31"/>
      <c r="BL183" s="32"/>
      <c r="BM183" s="29"/>
    </row>
    <row r="184" spans="2:65" outlineLevel="1">
      <c r="B184" s="41" t="s">
        <v>514</v>
      </c>
      <c r="C184" s="41" t="s">
        <v>355</v>
      </c>
      <c r="D184" s="40"/>
      <c r="E184" s="40"/>
      <c r="F184" s="40"/>
      <c r="G184" s="31"/>
      <c r="H184" s="32"/>
      <c r="I184" s="29"/>
      <c r="J184" s="172"/>
      <c r="L184" s="41" t="s">
        <v>514</v>
      </c>
      <c r="M184" s="41" t="s">
        <v>355</v>
      </c>
      <c r="N184" s="40"/>
      <c r="O184" s="40"/>
      <c r="P184" s="40"/>
      <c r="Q184" s="31"/>
      <c r="R184" s="32"/>
      <c r="S184" s="29"/>
      <c r="T184" s="172"/>
      <c r="V184" s="41" t="s">
        <v>514</v>
      </c>
      <c r="W184" s="41" t="s">
        <v>355</v>
      </c>
      <c r="X184" s="40"/>
      <c r="Y184" s="40"/>
      <c r="Z184" s="40"/>
      <c r="AA184" s="31"/>
      <c r="AB184" s="32"/>
      <c r="AC184" s="29"/>
      <c r="AE184" s="41" t="s">
        <v>514</v>
      </c>
      <c r="AF184" s="41" t="s">
        <v>355</v>
      </c>
      <c r="AG184" s="40"/>
      <c r="AH184" s="40"/>
      <c r="AI184" s="40"/>
      <c r="AJ184" s="31"/>
      <c r="AK184" s="32"/>
      <c r="AL184" s="29"/>
      <c r="AN184" s="41" t="s">
        <v>514</v>
      </c>
      <c r="AO184" s="41" t="s">
        <v>355</v>
      </c>
      <c r="AP184" s="40"/>
      <c r="AQ184" s="40"/>
      <c r="AR184" s="40"/>
      <c r="AS184" s="31"/>
      <c r="AT184" s="32"/>
      <c r="AU184" s="29"/>
      <c r="AW184" s="41" t="s">
        <v>514</v>
      </c>
      <c r="AX184" s="41" t="s">
        <v>355</v>
      </c>
      <c r="AY184" s="40"/>
      <c r="AZ184" s="40"/>
      <c r="BA184" s="40"/>
      <c r="BB184" s="31"/>
      <c r="BC184" s="32"/>
      <c r="BD184" s="29"/>
      <c r="BF184" s="41" t="s">
        <v>514</v>
      </c>
      <c r="BG184" s="41" t="s">
        <v>355</v>
      </c>
      <c r="BH184" s="40"/>
      <c r="BI184" s="40"/>
      <c r="BJ184" s="40"/>
      <c r="BK184" s="31"/>
      <c r="BL184" s="32"/>
      <c r="BM184" s="29"/>
    </row>
    <row r="185" spans="2:65" s="24" customFormat="1">
      <c r="B185" s="8" t="s">
        <v>518</v>
      </c>
      <c r="C185" s="25"/>
      <c r="D185" s="28">
        <f t="shared" ref="D185:F185" si="177">SUM(D170:D184)</f>
        <v>0</v>
      </c>
      <c r="E185" s="28">
        <f t="shared" si="177"/>
        <v>0</v>
      </c>
      <c r="F185" s="28">
        <f t="shared" si="177"/>
        <v>0</v>
      </c>
      <c r="G185" s="25"/>
      <c r="H185" s="26"/>
      <c r="I185" s="30"/>
      <c r="J185" s="171"/>
      <c r="L185" s="8" t="s">
        <v>518</v>
      </c>
      <c r="M185" s="25"/>
      <c r="N185" s="28">
        <f t="shared" ref="N185:P185" si="178">SUM(N170:N184)</f>
        <v>0</v>
      </c>
      <c r="O185" s="28">
        <f t="shared" si="178"/>
        <v>0</v>
      </c>
      <c r="P185" s="28">
        <f t="shared" si="178"/>
        <v>0</v>
      </c>
      <c r="Q185" s="25"/>
      <c r="R185" s="26"/>
      <c r="S185" s="30"/>
      <c r="T185" s="171"/>
      <c r="V185" s="8" t="s">
        <v>518</v>
      </c>
      <c r="W185" s="25"/>
      <c r="X185" s="30"/>
      <c r="Y185" s="30"/>
      <c r="Z185" s="28">
        <f t="shared" ref="Z185" si="179">SUM(Z170:Z184)</f>
        <v>0</v>
      </c>
      <c r="AA185" s="25"/>
      <c r="AB185" s="26"/>
      <c r="AC185" s="30"/>
      <c r="AE185" s="8" t="s">
        <v>518</v>
      </c>
      <c r="AF185" s="25"/>
      <c r="AG185" s="30"/>
      <c r="AH185" s="30"/>
      <c r="AI185" s="28">
        <f t="shared" ref="AI185" si="180">SUM(AI170:AI184)</f>
        <v>0</v>
      </c>
      <c r="AJ185" s="25"/>
      <c r="AK185" s="26"/>
      <c r="AL185" s="30"/>
      <c r="AN185" s="8" t="s">
        <v>518</v>
      </c>
      <c r="AO185" s="25"/>
      <c r="AP185" s="30"/>
      <c r="AQ185" s="30"/>
      <c r="AR185" s="28">
        <f t="shared" ref="AR185" si="181">SUM(AR170:AR184)</f>
        <v>0</v>
      </c>
      <c r="AS185" s="25"/>
      <c r="AT185" s="26"/>
      <c r="AU185" s="30"/>
      <c r="AW185" s="8" t="s">
        <v>518</v>
      </c>
      <c r="AX185" s="25"/>
      <c r="AY185" s="30"/>
      <c r="AZ185" s="30"/>
      <c r="BA185" s="28">
        <f t="shared" ref="BA185" si="182">SUM(BA170:BA184)</f>
        <v>0</v>
      </c>
      <c r="BB185" s="25"/>
      <c r="BC185" s="26"/>
      <c r="BD185" s="30"/>
      <c r="BF185" s="8" t="s">
        <v>518</v>
      </c>
      <c r="BG185" s="25"/>
      <c r="BH185" s="30"/>
      <c r="BI185" s="30"/>
      <c r="BJ185" s="28">
        <f t="shared" ref="BJ185" si="183">SUM(BJ170:BJ184)</f>
        <v>0</v>
      </c>
      <c r="BK185" s="25"/>
      <c r="BL185" s="26"/>
      <c r="BM185" s="30"/>
    </row>
    <row r="187" spans="2:65" s="20" customFormat="1" ht="41.4">
      <c r="B187" s="27" t="s">
        <v>522</v>
      </c>
      <c r="C187" s="3" t="str">
        <f>C$43</f>
        <v>Source</v>
      </c>
      <c r="D187" s="3" t="str">
        <f t="shared" ref="D187:I187" si="184">D$43</f>
        <v>Limit (A)</v>
      </c>
      <c r="E187" s="3" t="str">
        <f t="shared" si="184"/>
        <v>Outstanding (A1)</v>
      </c>
      <c r="F187" s="3" t="str">
        <f t="shared" si="184"/>
        <v>Monthly Repayment (B)</v>
      </c>
      <c r="G187" s="3" t="str">
        <f t="shared" si="184"/>
        <v>Interest Rate (C)</v>
      </c>
      <c r="H187" s="3" t="str">
        <f t="shared" si="184"/>
        <v>Factor (D)</v>
      </c>
      <c r="I187" s="3" t="str">
        <f t="shared" si="184"/>
        <v>Interest (E) = (A or A1) * (C) * (D)</v>
      </c>
      <c r="J187" s="173" t="s">
        <v>450</v>
      </c>
      <c r="L187" s="27" t="s">
        <v>14</v>
      </c>
      <c r="M187" s="3" t="str">
        <f>M$43</f>
        <v>Source</v>
      </c>
      <c r="N187" s="3" t="str">
        <f t="shared" ref="N187:S187" si="185">N$43</f>
        <v>Limit (A)</v>
      </c>
      <c r="O187" s="3" t="str">
        <f t="shared" si="185"/>
        <v>Outstanding (A1)</v>
      </c>
      <c r="P187" s="3" t="str">
        <f t="shared" si="185"/>
        <v>Monthly Repayment (B)</v>
      </c>
      <c r="Q187" s="3" t="str">
        <f t="shared" si="185"/>
        <v>Interest Rate (C)</v>
      </c>
      <c r="R187" s="3" t="str">
        <f t="shared" si="185"/>
        <v>Factor (D)</v>
      </c>
      <c r="S187" s="3" t="str">
        <f t="shared" si="185"/>
        <v>Interest (E) = (A or A1) * (C) * (D)</v>
      </c>
      <c r="T187" s="173" t="s">
        <v>450</v>
      </c>
      <c r="V187" s="27" t="s">
        <v>14</v>
      </c>
      <c r="W187" s="3" t="str">
        <f>W$43</f>
        <v>Source</v>
      </c>
      <c r="X187" s="3" t="str">
        <f t="shared" ref="X187:AC187" si="186">X$43</f>
        <v>Limit (A)</v>
      </c>
      <c r="Y187" s="3" t="str">
        <f t="shared" si="186"/>
        <v>Outstanding (A1)</v>
      </c>
      <c r="Z187" s="3" t="str">
        <f t="shared" si="186"/>
        <v>Monthly Repayment (B)</v>
      </c>
      <c r="AA187" s="3" t="str">
        <f t="shared" si="186"/>
        <v>Interest Rate (C)</v>
      </c>
      <c r="AB187" s="3" t="str">
        <f t="shared" si="186"/>
        <v>Factor (D)</v>
      </c>
      <c r="AC187" s="3" t="str">
        <f t="shared" si="186"/>
        <v>Interest (E) = (A or A1) * (C) * (D)</v>
      </c>
      <c r="AE187" s="27" t="s">
        <v>14</v>
      </c>
      <c r="AF187" s="3" t="str">
        <f>AF$43</f>
        <v>Source</v>
      </c>
      <c r="AG187" s="3" t="str">
        <f t="shared" ref="AG187:AL187" si="187">AG$43</f>
        <v>Limit (A)</v>
      </c>
      <c r="AH187" s="3" t="str">
        <f t="shared" si="187"/>
        <v>Outstanding (A1)</v>
      </c>
      <c r="AI187" s="3" t="str">
        <f t="shared" si="187"/>
        <v>Monthly Repayment (B)</v>
      </c>
      <c r="AJ187" s="3" t="str">
        <f t="shared" si="187"/>
        <v>Interest Rate (C)</v>
      </c>
      <c r="AK187" s="3" t="str">
        <f t="shared" si="187"/>
        <v>Factor (D)</v>
      </c>
      <c r="AL187" s="3" t="str">
        <f t="shared" si="187"/>
        <v>Interest (E) = (A or A1) * (C) * (D)</v>
      </c>
      <c r="AN187" s="27" t="s">
        <v>14</v>
      </c>
      <c r="AO187" s="3" t="str">
        <f>AO$43</f>
        <v>Source</v>
      </c>
      <c r="AP187" s="3" t="str">
        <f t="shared" ref="AP187:AU187" si="188">AP$43</f>
        <v>Limit (A)</v>
      </c>
      <c r="AQ187" s="3" t="str">
        <f t="shared" si="188"/>
        <v>Outstanding (A1)</v>
      </c>
      <c r="AR187" s="3" t="str">
        <f t="shared" si="188"/>
        <v>Monthly Repayment (B)</v>
      </c>
      <c r="AS187" s="3" t="str">
        <f t="shared" si="188"/>
        <v>Interest Rate (C)</v>
      </c>
      <c r="AT187" s="3" t="str">
        <f t="shared" si="188"/>
        <v>Factor (D)</v>
      </c>
      <c r="AU187" s="3" t="str">
        <f t="shared" si="188"/>
        <v>Interest (E) = (A or A1) * (C) * (D)</v>
      </c>
      <c r="AW187" s="27" t="s">
        <v>14</v>
      </c>
      <c r="AX187" s="3" t="str">
        <f>AX$43</f>
        <v>Source</v>
      </c>
      <c r="AY187" s="3" t="str">
        <f t="shared" ref="AY187:BD187" si="189">AY$43</f>
        <v>Limit (A)</v>
      </c>
      <c r="AZ187" s="3" t="str">
        <f t="shared" si="189"/>
        <v>Outstanding (A1)</v>
      </c>
      <c r="BA187" s="3" t="str">
        <f t="shared" si="189"/>
        <v>Monthly Repayment (B)</v>
      </c>
      <c r="BB187" s="3" t="str">
        <f t="shared" si="189"/>
        <v>Interest Rate (C)</v>
      </c>
      <c r="BC187" s="3" t="str">
        <f t="shared" si="189"/>
        <v>Factor (D)</v>
      </c>
      <c r="BD187" s="3" t="str">
        <f t="shared" si="189"/>
        <v>Interest (E) = (A or A1) * (C) * (D)</v>
      </c>
      <c r="BF187" s="27" t="s">
        <v>14</v>
      </c>
      <c r="BG187" s="3" t="str">
        <f>BG$43</f>
        <v>Source</v>
      </c>
      <c r="BH187" s="3" t="str">
        <f t="shared" ref="BH187:BM187" si="190">BH$43</f>
        <v>Limit (A)</v>
      </c>
      <c r="BI187" s="3" t="str">
        <f t="shared" si="190"/>
        <v>Outstanding (A1)</v>
      </c>
      <c r="BJ187" s="3" t="str">
        <f t="shared" si="190"/>
        <v>Monthly Repayment (B)</v>
      </c>
      <c r="BK187" s="3" t="str">
        <f t="shared" si="190"/>
        <v>Interest Rate (C)</v>
      </c>
      <c r="BL187" s="3" t="str">
        <f t="shared" si="190"/>
        <v>Factor (D)</v>
      </c>
      <c r="BM187" s="3" t="str">
        <f t="shared" si="190"/>
        <v>Interest (E) = (A or A1) * (C) * (D)</v>
      </c>
    </row>
    <row r="188" spans="2:65">
      <c r="B188" s="41" t="s">
        <v>514</v>
      </c>
      <c r="C188" s="41" t="s">
        <v>355</v>
      </c>
      <c r="D188" s="40"/>
      <c r="E188" s="40"/>
      <c r="F188" s="29"/>
      <c r="G188" s="22"/>
      <c r="H188" s="23">
        <v>0.82</v>
      </c>
      <c r="I188" s="75">
        <f>D188*G188*H188</f>
        <v>0</v>
      </c>
      <c r="J188" s="172"/>
      <c r="L188" s="41" t="s">
        <v>514</v>
      </c>
      <c r="M188" s="41" t="s">
        <v>355</v>
      </c>
      <c r="N188" s="40"/>
      <c r="O188" s="40"/>
      <c r="P188" s="29"/>
      <c r="Q188" s="22">
        <v>0.08</v>
      </c>
      <c r="R188" s="23">
        <v>0.82</v>
      </c>
      <c r="S188" s="75">
        <f>N188*Q188*R188</f>
        <v>0</v>
      </c>
      <c r="T188" s="172"/>
      <c r="V188" s="41" t="s">
        <v>514</v>
      </c>
      <c r="W188" s="41" t="s">
        <v>355</v>
      </c>
      <c r="X188" s="40"/>
      <c r="Y188" s="40"/>
      <c r="Z188" s="29"/>
      <c r="AA188" s="22">
        <v>0.08</v>
      </c>
      <c r="AB188" s="23">
        <v>0.82</v>
      </c>
      <c r="AC188" s="75">
        <f>X188*AA188*AB188</f>
        <v>0</v>
      </c>
      <c r="AE188" s="41" t="s">
        <v>514</v>
      </c>
      <c r="AF188" s="41" t="s">
        <v>355</v>
      </c>
      <c r="AG188" s="40"/>
      <c r="AH188" s="40"/>
      <c r="AI188" s="29"/>
      <c r="AJ188" s="22">
        <v>0.08</v>
      </c>
      <c r="AK188" s="23">
        <v>0.82</v>
      </c>
      <c r="AL188" s="75">
        <f>AG188*AJ188*AK188</f>
        <v>0</v>
      </c>
      <c r="AN188" s="41" t="s">
        <v>514</v>
      </c>
      <c r="AO188" s="41" t="s">
        <v>355</v>
      </c>
      <c r="AP188" s="40"/>
      <c r="AQ188" s="40"/>
      <c r="AR188" s="29"/>
      <c r="AS188" s="22">
        <v>0.08</v>
      </c>
      <c r="AT188" s="23">
        <v>0.82</v>
      </c>
      <c r="AU188" s="75">
        <f>AP188*AS188*AT188</f>
        <v>0</v>
      </c>
      <c r="AW188" s="41" t="s">
        <v>514</v>
      </c>
      <c r="AX188" s="41" t="s">
        <v>355</v>
      </c>
      <c r="AY188" s="40"/>
      <c r="AZ188" s="40"/>
      <c r="BA188" s="29"/>
      <c r="BB188" s="22">
        <v>0.08</v>
      </c>
      <c r="BC188" s="23">
        <v>0.82</v>
      </c>
      <c r="BD188" s="75">
        <f>AY188*BB188*BC188</f>
        <v>0</v>
      </c>
      <c r="BF188" s="41" t="s">
        <v>514</v>
      </c>
      <c r="BG188" s="41" t="s">
        <v>355</v>
      </c>
      <c r="BH188" s="40"/>
      <c r="BI188" s="40"/>
      <c r="BJ188" s="29"/>
      <c r="BK188" s="22">
        <v>0.08</v>
      </c>
      <c r="BL188" s="23">
        <v>0.82</v>
      </c>
      <c r="BM188" s="75">
        <f>BH188*BK188*BL188</f>
        <v>0</v>
      </c>
    </row>
    <row r="189" spans="2:65">
      <c r="B189" s="41" t="s">
        <v>514</v>
      </c>
      <c r="C189" s="41" t="s">
        <v>355</v>
      </c>
      <c r="D189" s="40"/>
      <c r="E189" s="40"/>
      <c r="F189" s="29"/>
      <c r="G189" s="22"/>
      <c r="H189" s="23">
        <v>0.82</v>
      </c>
      <c r="I189" s="75">
        <f t="shared" ref="I189:I202" si="191">D189*G189*H189</f>
        <v>0</v>
      </c>
      <c r="J189" s="172"/>
      <c r="L189" s="41" t="s">
        <v>514</v>
      </c>
      <c r="M189" s="41" t="s">
        <v>355</v>
      </c>
      <c r="N189" s="40"/>
      <c r="O189" s="40"/>
      <c r="P189" s="29"/>
      <c r="Q189" s="22"/>
      <c r="R189" s="23">
        <v>0.82</v>
      </c>
      <c r="S189" s="75">
        <f t="shared" ref="S189:S202" si="192">N189*Q189*R189</f>
        <v>0</v>
      </c>
      <c r="T189" s="172"/>
      <c r="V189" s="41" t="s">
        <v>514</v>
      </c>
      <c r="W189" s="41" t="s">
        <v>355</v>
      </c>
      <c r="X189" s="40"/>
      <c r="Y189" s="40"/>
      <c r="Z189" s="29"/>
      <c r="AA189" s="22"/>
      <c r="AB189" s="23">
        <v>0.82</v>
      </c>
      <c r="AC189" s="75">
        <f t="shared" ref="AC189:AC202" si="193">X189*AA189*AB189</f>
        <v>0</v>
      </c>
      <c r="AE189" s="41" t="s">
        <v>514</v>
      </c>
      <c r="AF189" s="41" t="s">
        <v>355</v>
      </c>
      <c r="AG189" s="40"/>
      <c r="AH189" s="40"/>
      <c r="AI189" s="29"/>
      <c r="AJ189" s="22"/>
      <c r="AK189" s="23">
        <v>0.82</v>
      </c>
      <c r="AL189" s="75">
        <f t="shared" ref="AL189:AL202" si="194">AG189*AJ189*AK189</f>
        <v>0</v>
      </c>
      <c r="AN189" s="41" t="s">
        <v>514</v>
      </c>
      <c r="AO189" s="41" t="s">
        <v>355</v>
      </c>
      <c r="AP189" s="40"/>
      <c r="AQ189" s="40"/>
      <c r="AR189" s="29"/>
      <c r="AS189" s="22"/>
      <c r="AT189" s="23">
        <v>0.82</v>
      </c>
      <c r="AU189" s="75">
        <f t="shared" ref="AU189:AU202" si="195">AP189*AS189*AT189</f>
        <v>0</v>
      </c>
      <c r="AW189" s="41" t="s">
        <v>514</v>
      </c>
      <c r="AX189" s="41" t="s">
        <v>355</v>
      </c>
      <c r="AY189" s="40"/>
      <c r="AZ189" s="40"/>
      <c r="BA189" s="29"/>
      <c r="BB189" s="22"/>
      <c r="BC189" s="23">
        <v>0.82</v>
      </c>
      <c r="BD189" s="75">
        <f t="shared" ref="BD189:BD202" si="196">AY189*BB189*BC189</f>
        <v>0</v>
      </c>
      <c r="BF189" s="41" t="s">
        <v>514</v>
      </c>
      <c r="BG189" s="41" t="s">
        <v>355</v>
      </c>
      <c r="BH189" s="40"/>
      <c r="BI189" s="40"/>
      <c r="BJ189" s="29"/>
      <c r="BK189" s="22"/>
      <c r="BL189" s="23">
        <v>0.82</v>
      </c>
      <c r="BM189" s="75">
        <f t="shared" ref="BM189:BM202" si="197">BH189*BK189*BL189</f>
        <v>0</v>
      </c>
    </row>
    <row r="190" spans="2:65">
      <c r="B190" s="41" t="s">
        <v>514</v>
      </c>
      <c r="C190" s="41" t="s">
        <v>355</v>
      </c>
      <c r="D190" s="40"/>
      <c r="E190" s="40"/>
      <c r="F190" s="29"/>
      <c r="G190" s="22"/>
      <c r="H190" s="23">
        <v>0.82</v>
      </c>
      <c r="I190" s="75">
        <f t="shared" si="191"/>
        <v>0</v>
      </c>
      <c r="J190" s="172"/>
      <c r="L190" s="41" t="s">
        <v>514</v>
      </c>
      <c r="M190" s="41" t="s">
        <v>355</v>
      </c>
      <c r="N190" s="40"/>
      <c r="O190" s="40"/>
      <c r="P190" s="29"/>
      <c r="Q190" s="22"/>
      <c r="R190" s="23">
        <v>0.82</v>
      </c>
      <c r="S190" s="75">
        <f t="shared" si="192"/>
        <v>0</v>
      </c>
      <c r="T190" s="172"/>
      <c r="V190" s="41" t="s">
        <v>514</v>
      </c>
      <c r="W190" s="41" t="s">
        <v>355</v>
      </c>
      <c r="X190" s="40"/>
      <c r="Y190" s="40"/>
      <c r="Z190" s="29"/>
      <c r="AA190" s="22"/>
      <c r="AB190" s="23">
        <v>0.82</v>
      </c>
      <c r="AC190" s="75">
        <f t="shared" si="193"/>
        <v>0</v>
      </c>
      <c r="AE190" s="41" t="s">
        <v>514</v>
      </c>
      <c r="AF190" s="41" t="s">
        <v>355</v>
      </c>
      <c r="AG190" s="40"/>
      <c r="AH190" s="40"/>
      <c r="AI190" s="29"/>
      <c r="AJ190" s="22"/>
      <c r="AK190" s="23">
        <v>0.82</v>
      </c>
      <c r="AL190" s="75">
        <f t="shared" si="194"/>
        <v>0</v>
      </c>
      <c r="AN190" s="41" t="s">
        <v>514</v>
      </c>
      <c r="AO190" s="41" t="s">
        <v>355</v>
      </c>
      <c r="AP190" s="40"/>
      <c r="AQ190" s="40"/>
      <c r="AR190" s="29"/>
      <c r="AS190" s="22"/>
      <c r="AT190" s="23">
        <v>0.82</v>
      </c>
      <c r="AU190" s="75">
        <f t="shared" si="195"/>
        <v>0</v>
      </c>
      <c r="AW190" s="41" t="s">
        <v>514</v>
      </c>
      <c r="AX190" s="41" t="s">
        <v>355</v>
      </c>
      <c r="AY190" s="40"/>
      <c r="AZ190" s="40"/>
      <c r="BA190" s="29"/>
      <c r="BB190" s="22"/>
      <c r="BC190" s="23">
        <v>0.82</v>
      </c>
      <c r="BD190" s="75">
        <f t="shared" si="196"/>
        <v>0</v>
      </c>
      <c r="BF190" s="41" t="s">
        <v>514</v>
      </c>
      <c r="BG190" s="41" t="s">
        <v>355</v>
      </c>
      <c r="BH190" s="40"/>
      <c r="BI190" s="40"/>
      <c r="BJ190" s="29"/>
      <c r="BK190" s="22"/>
      <c r="BL190" s="23">
        <v>0.82</v>
      </c>
      <c r="BM190" s="75">
        <f t="shared" si="197"/>
        <v>0</v>
      </c>
    </row>
    <row r="191" spans="2:65">
      <c r="B191" s="41" t="s">
        <v>514</v>
      </c>
      <c r="C191" s="41" t="s">
        <v>355</v>
      </c>
      <c r="D191" s="40"/>
      <c r="E191" s="40"/>
      <c r="F191" s="29"/>
      <c r="G191" s="22"/>
      <c r="H191" s="23">
        <v>0.82</v>
      </c>
      <c r="I191" s="75">
        <f t="shared" si="191"/>
        <v>0</v>
      </c>
      <c r="J191" s="172"/>
      <c r="L191" s="41" t="s">
        <v>514</v>
      </c>
      <c r="M191" s="41" t="s">
        <v>355</v>
      </c>
      <c r="N191" s="40"/>
      <c r="O191" s="40"/>
      <c r="P191" s="29"/>
      <c r="Q191" s="22"/>
      <c r="R191" s="23">
        <v>0.82</v>
      </c>
      <c r="S191" s="75">
        <f t="shared" si="192"/>
        <v>0</v>
      </c>
      <c r="T191" s="172"/>
      <c r="V191" s="41" t="s">
        <v>514</v>
      </c>
      <c r="W191" s="41" t="s">
        <v>355</v>
      </c>
      <c r="X191" s="40"/>
      <c r="Y191" s="40"/>
      <c r="Z191" s="29"/>
      <c r="AA191" s="22"/>
      <c r="AB191" s="23">
        <v>0.82</v>
      </c>
      <c r="AC191" s="75">
        <f t="shared" si="193"/>
        <v>0</v>
      </c>
      <c r="AE191" s="41" t="s">
        <v>514</v>
      </c>
      <c r="AF191" s="41" t="s">
        <v>355</v>
      </c>
      <c r="AG191" s="40"/>
      <c r="AH191" s="40"/>
      <c r="AI191" s="29"/>
      <c r="AJ191" s="22"/>
      <c r="AK191" s="23">
        <v>0.82</v>
      </c>
      <c r="AL191" s="75">
        <f t="shared" si="194"/>
        <v>0</v>
      </c>
      <c r="AN191" s="41" t="s">
        <v>514</v>
      </c>
      <c r="AO191" s="41" t="s">
        <v>355</v>
      </c>
      <c r="AP191" s="40"/>
      <c r="AQ191" s="40"/>
      <c r="AR191" s="29"/>
      <c r="AS191" s="22"/>
      <c r="AT191" s="23">
        <v>0.82</v>
      </c>
      <c r="AU191" s="75">
        <f t="shared" si="195"/>
        <v>0</v>
      </c>
      <c r="AW191" s="41" t="s">
        <v>514</v>
      </c>
      <c r="AX191" s="41" t="s">
        <v>355</v>
      </c>
      <c r="AY191" s="40"/>
      <c r="AZ191" s="40"/>
      <c r="BA191" s="29"/>
      <c r="BB191" s="22"/>
      <c r="BC191" s="23">
        <v>0.82</v>
      </c>
      <c r="BD191" s="75">
        <f t="shared" si="196"/>
        <v>0</v>
      </c>
      <c r="BF191" s="41" t="s">
        <v>514</v>
      </c>
      <c r="BG191" s="41" t="s">
        <v>355</v>
      </c>
      <c r="BH191" s="40"/>
      <c r="BI191" s="40"/>
      <c r="BJ191" s="29"/>
      <c r="BK191" s="22"/>
      <c r="BL191" s="23">
        <v>0.82</v>
      </c>
      <c r="BM191" s="75">
        <f t="shared" si="197"/>
        <v>0</v>
      </c>
    </row>
    <row r="192" spans="2:65">
      <c r="B192" s="41" t="s">
        <v>514</v>
      </c>
      <c r="C192" s="41" t="s">
        <v>355</v>
      </c>
      <c r="D192" s="40"/>
      <c r="E192" s="40"/>
      <c r="F192" s="29"/>
      <c r="G192" s="22"/>
      <c r="H192" s="23">
        <v>0.82</v>
      </c>
      <c r="I192" s="75">
        <f t="shared" si="191"/>
        <v>0</v>
      </c>
      <c r="J192" s="172"/>
      <c r="L192" s="41" t="s">
        <v>514</v>
      </c>
      <c r="M192" s="41" t="s">
        <v>355</v>
      </c>
      <c r="N192" s="40"/>
      <c r="O192" s="40"/>
      <c r="P192" s="29"/>
      <c r="Q192" s="22"/>
      <c r="R192" s="23">
        <v>0.82</v>
      </c>
      <c r="S192" s="75">
        <f t="shared" si="192"/>
        <v>0</v>
      </c>
      <c r="T192" s="172"/>
      <c r="V192" s="41" t="s">
        <v>514</v>
      </c>
      <c r="W192" s="41" t="s">
        <v>355</v>
      </c>
      <c r="X192" s="40"/>
      <c r="Y192" s="40"/>
      <c r="Z192" s="29"/>
      <c r="AA192" s="22"/>
      <c r="AB192" s="23">
        <v>0.82</v>
      </c>
      <c r="AC192" s="75">
        <f t="shared" si="193"/>
        <v>0</v>
      </c>
      <c r="AE192" s="41" t="s">
        <v>514</v>
      </c>
      <c r="AF192" s="41" t="s">
        <v>355</v>
      </c>
      <c r="AG192" s="40"/>
      <c r="AH192" s="40"/>
      <c r="AI192" s="29"/>
      <c r="AJ192" s="22"/>
      <c r="AK192" s="23">
        <v>0.82</v>
      </c>
      <c r="AL192" s="75">
        <f t="shared" si="194"/>
        <v>0</v>
      </c>
      <c r="AN192" s="41" t="s">
        <v>514</v>
      </c>
      <c r="AO192" s="41" t="s">
        <v>355</v>
      </c>
      <c r="AP192" s="40"/>
      <c r="AQ192" s="40"/>
      <c r="AR192" s="29"/>
      <c r="AS192" s="22"/>
      <c r="AT192" s="23">
        <v>0.82</v>
      </c>
      <c r="AU192" s="75">
        <f t="shared" si="195"/>
        <v>0</v>
      </c>
      <c r="AW192" s="41" t="s">
        <v>514</v>
      </c>
      <c r="AX192" s="41" t="s">
        <v>355</v>
      </c>
      <c r="AY192" s="40"/>
      <c r="AZ192" s="40"/>
      <c r="BA192" s="29"/>
      <c r="BB192" s="22"/>
      <c r="BC192" s="23">
        <v>0.82</v>
      </c>
      <c r="BD192" s="75">
        <f t="shared" si="196"/>
        <v>0</v>
      </c>
      <c r="BF192" s="41" t="s">
        <v>514</v>
      </c>
      <c r="BG192" s="41" t="s">
        <v>355</v>
      </c>
      <c r="BH192" s="40"/>
      <c r="BI192" s="40"/>
      <c r="BJ192" s="29"/>
      <c r="BK192" s="22"/>
      <c r="BL192" s="23">
        <v>0.82</v>
      </c>
      <c r="BM192" s="75">
        <f t="shared" si="197"/>
        <v>0</v>
      </c>
    </row>
    <row r="193" spans="2:65">
      <c r="B193" s="41" t="s">
        <v>514</v>
      </c>
      <c r="C193" s="41" t="s">
        <v>355</v>
      </c>
      <c r="D193" s="40"/>
      <c r="E193" s="40"/>
      <c r="F193" s="29"/>
      <c r="G193" s="22"/>
      <c r="H193" s="23">
        <v>0.82</v>
      </c>
      <c r="I193" s="75">
        <f t="shared" si="191"/>
        <v>0</v>
      </c>
      <c r="J193" s="172"/>
      <c r="L193" s="41" t="s">
        <v>514</v>
      </c>
      <c r="M193" s="41" t="s">
        <v>355</v>
      </c>
      <c r="N193" s="40"/>
      <c r="O193" s="40"/>
      <c r="P193" s="29"/>
      <c r="Q193" s="22"/>
      <c r="R193" s="23">
        <v>0.82</v>
      </c>
      <c r="S193" s="75">
        <f t="shared" si="192"/>
        <v>0</v>
      </c>
      <c r="T193" s="172"/>
      <c r="V193" s="41" t="s">
        <v>514</v>
      </c>
      <c r="W193" s="41" t="s">
        <v>355</v>
      </c>
      <c r="X193" s="40"/>
      <c r="Y193" s="40"/>
      <c r="Z193" s="29"/>
      <c r="AA193" s="22"/>
      <c r="AB193" s="23">
        <v>0.82</v>
      </c>
      <c r="AC193" s="75">
        <f t="shared" si="193"/>
        <v>0</v>
      </c>
      <c r="AE193" s="41" t="s">
        <v>514</v>
      </c>
      <c r="AF193" s="41" t="s">
        <v>355</v>
      </c>
      <c r="AG193" s="40"/>
      <c r="AH193" s="40"/>
      <c r="AI193" s="29"/>
      <c r="AJ193" s="22"/>
      <c r="AK193" s="23">
        <v>0.82</v>
      </c>
      <c r="AL193" s="75">
        <f t="shared" si="194"/>
        <v>0</v>
      </c>
      <c r="AN193" s="41" t="s">
        <v>514</v>
      </c>
      <c r="AO193" s="41" t="s">
        <v>355</v>
      </c>
      <c r="AP193" s="40"/>
      <c r="AQ193" s="40"/>
      <c r="AR193" s="29"/>
      <c r="AS193" s="22"/>
      <c r="AT193" s="23">
        <v>0.82</v>
      </c>
      <c r="AU193" s="75">
        <f t="shared" si="195"/>
        <v>0</v>
      </c>
      <c r="AW193" s="41" t="s">
        <v>514</v>
      </c>
      <c r="AX193" s="41" t="s">
        <v>355</v>
      </c>
      <c r="AY193" s="40"/>
      <c r="AZ193" s="40"/>
      <c r="BA193" s="29"/>
      <c r="BB193" s="22"/>
      <c r="BC193" s="23">
        <v>0.82</v>
      </c>
      <c r="BD193" s="75">
        <f t="shared" si="196"/>
        <v>0</v>
      </c>
      <c r="BF193" s="41" t="s">
        <v>514</v>
      </c>
      <c r="BG193" s="41" t="s">
        <v>355</v>
      </c>
      <c r="BH193" s="40"/>
      <c r="BI193" s="40"/>
      <c r="BJ193" s="29"/>
      <c r="BK193" s="22"/>
      <c r="BL193" s="23">
        <v>0.82</v>
      </c>
      <c r="BM193" s="75">
        <f t="shared" si="197"/>
        <v>0</v>
      </c>
    </row>
    <row r="194" spans="2:65">
      <c r="B194" s="41" t="s">
        <v>514</v>
      </c>
      <c r="C194" s="41" t="s">
        <v>355</v>
      </c>
      <c r="D194" s="40"/>
      <c r="E194" s="40"/>
      <c r="F194" s="29"/>
      <c r="G194" s="22"/>
      <c r="H194" s="23">
        <v>0.82</v>
      </c>
      <c r="I194" s="75">
        <f t="shared" si="191"/>
        <v>0</v>
      </c>
      <c r="J194" s="172"/>
      <c r="L194" s="41" t="s">
        <v>514</v>
      </c>
      <c r="M194" s="41" t="s">
        <v>355</v>
      </c>
      <c r="N194" s="40"/>
      <c r="O194" s="40"/>
      <c r="P194" s="29"/>
      <c r="Q194" s="22"/>
      <c r="R194" s="23">
        <v>0.82</v>
      </c>
      <c r="S194" s="75">
        <f t="shared" si="192"/>
        <v>0</v>
      </c>
      <c r="T194" s="172"/>
      <c r="V194" s="41" t="s">
        <v>514</v>
      </c>
      <c r="W194" s="41" t="s">
        <v>355</v>
      </c>
      <c r="X194" s="40"/>
      <c r="Y194" s="40"/>
      <c r="Z194" s="29"/>
      <c r="AA194" s="22"/>
      <c r="AB194" s="23">
        <v>0.82</v>
      </c>
      <c r="AC194" s="75">
        <f t="shared" si="193"/>
        <v>0</v>
      </c>
      <c r="AE194" s="41" t="s">
        <v>514</v>
      </c>
      <c r="AF194" s="41" t="s">
        <v>355</v>
      </c>
      <c r="AG194" s="40"/>
      <c r="AH194" s="40"/>
      <c r="AI194" s="29"/>
      <c r="AJ194" s="22"/>
      <c r="AK194" s="23">
        <v>0.82</v>
      </c>
      <c r="AL194" s="75">
        <f t="shared" si="194"/>
        <v>0</v>
      </c>
      <c r="AN194" s="41" t="s">
        <v>514</v>
      </c>
      <c r="AO194" s="41" t="s">
        <v>355</v>
      </c>
      <c r="AP194" s="40"/>
      <c r="AQ194" s="40"/>
      <c r="AR194" s="29"/>
      <c r="AS194" s="22"/>
      <c r="AT194" s="23">
        <v>0.82</v>
      </c>
      <c r="AU194" s="75">
        <f t="shared" si="195"/>
        <v>0</v>
      </c>
      <c r="AW194" s="41" t="s">
        <v>514</v>
      </c>
      <c r="AX194" s="41" t="s">
        <v>355</v>
      </c>
      <c r="AY194" s="40"/>
      <c r="AZ194" s="40"/>
      <c r="BA194" s="29"/>
      <c r="BB194" s="22"/>
      <c r="BC194" s="23">
        <v>0.82</v>
      </c>
      <c r="BD194" s="75">
        <f t="shared" si="196"/>
        <v>0</v>
      </c>
      <c r="BF194" s="41" t="s">
        <v>514</v>
      </c>
      <c r="BG194" s="41" t="s">
        <v>355</v>
      </c>
      <c r="BH194" s="40"/>
      <c r="BI194" s="40"/>
      <c r="BJ194" s="29"/>
      <c r="BK194" s="22"/>
      <c r="BL194" s="23">
        <v>0.82</v>
      </c>
      <c r="BM194" s="75">
        <f t="shared" si="197"/>
        <v>0</v>
      </c>
    </row>
    <row r="195" spans="2:65" outlineLevel="1">
      <c r="B195" s="41" t="s">
        <v>514</v>
      </c>
      <c r="C195" s="41" t="s">
        <v>355</v>
      </c>
      <c r="D195" s="40"/>
      <c r="E195" s="40"/>
      <c r="F195" s="29"/>
      <c r="G195" s="22"/>
      <c r="H195" s="23">
        <v>0.82</v>
      </c>
      <c r="I195" s="75">
        <f t="shared" si="191"/>
        <v>0</v>
      </c>
      <c r="J195" s="172"/>
      <c r="L195" s="41" t="s">
        <v>514</v>
      </c>
      <c r="M195" s="41" t="s">
        <v>355</v>
      </c>
      <c r="N195" s="40"/>
      <c r="O195" s="40"/>
      <c r="P195" s="29"/>
      <c r="Q195" s="22"/>
      <c r="R195" s="23">
        <v>0.82</v>
      </c>
      <c r="S195" s="75">
        <f t="shared" si="192"/>
        <v>0</v>
      </c>
      <c r="T195" s="172"/>
      <c r="V195" s="41" t="s">
        <v>514</v>
      </c>
      <c r="W195" s="41" t="s">
        <v>355</v>
      </c>
      <c r="X195" s="40"/>
      <c r="Y195" s="40"/>
      <c r="Z195" s="29"/>
      <c r="AA195" s="22"/>
      <c r="AB195" s="23">
        <v>0.82</v>
      </c>
      <c r="AC195" s="75">
        <f t="shared" si="193"/>
        <v>0</v>
      </c>
      <c r="AE195" s="41" t="s">
        <v>514</v>
      </c>
      <c r="AF195" s="41" t="s">
        <v>355</v>
      </c>
      <c r="AG195" s="40"/>
      <c r="AH195" s="40"/>
      <c r="AI195" s="29"/>
      <c r="AJ195" s="22"/>
      <c r="AK195" s="23">
        <v>0.82</v>
      </c>
      <c r="AL195" s="75">
        <f t="shared" si="194"/>
        <v>0</v>
      </c>
      <c r="AN195" s="41" t="s">
        <v>514</v>
      </c>
      <c r="AO195" s="41" t="s">
        <v>355</v>
      </c>
      <c r="AP195" s="40"/>
      <c r="AQ195" s="40"/>
      <c r="AR195" s="29"/>
      <c r="AS195" s="22"/>
      <c r="AT195" s="23">
        <v>0.82</v>
      </c>
      <c r="AU195" s="75">
        <f t="shared" si="195"/>
        <v>0</v>
      </c>
      <c r="AW195" s="41" t="s">
        <v>514</v>
      </c>
      <c r="AX195" s="41" t="s">
        <v>355</v>
      </c>
      <c r="AY195" s="40"/>
      <c r="AZ195" s="40"/>
      <c r="BA195" s="29"/>
      <c r="BB195" s="22"/>
      <c r="BC195" s="23">
        <v>0.82</v>
      </c>
      <c r="BD195" s="75">
        <f t="shared" si="196"/>
        <v>0</v>
      </c>
      <c r="BF195" s="41" t="s">
        <v>514</v>
      </c>
      <c r="BG195" s="41" t="s">
        <v>355</v>
      </c>
      <c r="BH195" s="40"/>
      <c r="BI195" s="40"/>
      <c r="BJ195" s="29"/>
      <c r="BK195" s="22"/>
      <c r="BL195" s="23">
        <v>0.82</v>
      </c>
      <c r="BM195" s="75">
        <f t="shared" si="197"/>
        <v>0</v>
      </c>
    </row>
    <row r="196" spans="2:65" outlineLevel="1">
      <c r="B196" s="41" t="s">
        <v>514</v>
      </c>
      <c r="C196" s="41" t="s">
        <v>355</v>
      </c>
      <c r="D196" s="40"/>
      <c r="E196" s="40"/>
      <c r="F196" s="29"/>
      <c r="G196" s="22"/>
      <c r="H196" s="23">
        <v>0.82</v>
      </c>
      <c r="I196" s="75">
        <f t="shared" si="191"/>
        <v>0</v>
      </c>
      <c r="J196" s="172"/>
      <c r="L196" s="41" t="s">
        <v>514</v>
      </c>
      <c r="M196" s="41" t="s">
        <v>355</v>
      </c>
      <c r="N196" s="40"/>
      <c r="O196" s="40"/>
      <c r="P196" s="29"/>
      <c r="Q196" s="22"/>
      <c r="R196" s="23">
        <v>0.82</v>
      </c>
      <c r="S196" s="75">
        <f t="shared" si="192"/>
        <v>0</v>
      </c>
      <c r="T196" s="172"/>
      <c r="V196" s="41" t="s">
        <v>514</v>
      </c>
      <c r="W196" s="41" t="s">
        <v>355</v>
      </c>
      <c r="X196" s="40"/>
      <c r="Y196" s="40"/>
      <c r="Z196" s="29"/>
      <c r="AA196" s="22"/>
      <c r="AB196" s="23">
        <v>0.82</v>
      </c>
      <c r="AC196" s="75">
        <f t="shared" si="193"/>
        <v>0</v>
      </c>
      <c r="AE196" s="41" t="s">
        <v>514</v>
      </c>
      <c r="AF196" s="41" t="s">
        <v>355</v>
      </c>
      <c r="AG196" s="40"/>
      <c r="AH196" s="40"/>
      <c r="AI196" s="29"/>
      <c r="AJ196" s="22"/>
      <c r="AK196" s="23">
        <v>0.82</v>
      </c>
      <c r="AL196" s="75">
        <f t="shared" si="194"/>
        <v>0</v>
      </c>
      <c r="AN196" s="41" t="s">
        <v>514</v>
      </c>
      <c r="AO196" s="41" t="s">
        <v>355</v>
      </c>
      <c r="AP196" s="40"/>
      <c r="AQ196" s="40"/>
      <c r="AR196" s="29"/>
      <c r="AS196" s="22"/>
      <c r="AT196" s="23">
        <v>0.82</v>
      </c>
      <c r="AU196" s="75">
        <f t="shared" si="195"/>
        <v>0</v>
      </c>
      <c r="AW196" s="41" t="s">
        <v>514</v>
      </c>
      <c r="AX196" s="41" t="s">
        <v>355</v>
      </c>
      <c r="AY196" s="40"/>
      <c r="AZ196" s="40"/>
      <c r="BA196" s="29"/>
      <c r="BB196" s="22"/>
      <c r="BC196" s="23">
        <v>0.82</v>
      </c>
      <c r="BD196" s="75">
        <f t="shared" si="196"/>
        <v>0</v>
      </c>
      <c r="BF196" s="41" t="s">
        <v>514</v>
      </c>
      <c r="BG196" s="41" t="s">
        <v>355</v>
      </c>
      <c r="BH196" s="40"/>
      <c r="BI196" s="40"/>
      <c r="BJ196" s="29"/>
      <c r="BK196" s="22"/>
      <c r="BL196" s="23">
        <v>0.82</v>
      </c>
      <c r="BM196" s="75">
        <f t="shared" si="197"/>
        <v>0</v>
      </c>
    </row>
    <row r="197" spans="2:65" outlineLevel="1">
      <c r="B197" s="41" t="s">
        <v>514</v>
      </c>
      <c r="C197" s="41" t="s">
        <v>355</v>
      </c>
      <c r="D197" s="40"/>
      <c r="E197" s="40"/>
      <c r="F197" s="29"/>
      <c r="G197" s="22"/>
      <c r="H197" s="23">
        <v>0.82</v>
      </c>
      <c r="I197" s="75">
        <f t="shared" si="191"/>
        <v>0</v>
      </c>
      <c r="J197" s="172"/>
      <c r="L197" s="41" t="s">
        <v>514</v>
      </c>
      <c r="M197" s="41" t="s">
        <v>355</v>
      </c>
      <c r="N197" s="40"/>
      <c r="O197" s="40"/>
      <c r="P197" s="29"/>
      <c r="Q197" s="22"/>
      <c r="R197" s="23">
        <v>0.82</v>
      </c>
      <c r="S197" s="75">
        <f t="shared" si="192"/>
        <v>0</v>
      </c>
      <c r="T197" s="172"/>
      <c r="V197" s="41" t="s">
        <v>514</v>
      </c>
      <c r="W197" s="41" t="s">
        <v>355</v>
      </c>
      <c r="X197" s="40"/>
      <c r="Y197" s="40"/>
      <c r="Z197" s="29"/>
      <c r="AA197" s="22"/>
      <c r="AB197" s="23">
        <v>0.82</v>
      </c>
      <c r="AC197" s="75">
        <f t="shared" si="193"/>
        <v>0</v>
      </c>
      <c r="AE197" s="41" t="s">
        <v>514</v>
      </c>
      <c r="AF197" s="41" t="s">
        <v>355</v>
      </c>
      <c r="AG197" s="40"/>
      <c r="AH197" s="40"/>
      <c r="AI197" s="29"/>
      <c r="AJ197" s="22"/>
      <c r="AK197" s="23">
        <v>0.82</v>
      </c>
      <c r="AL197" s="75">
        <f t="shared" si="194"/>
        <v>0</v>
      </c>
      <c r="AN197" s="41" t="s">
        <v>514</v>
      </c>
      <c r="AO197" s="41" t="s">
        <v>355</v>
      </c>
      <c r="AP197" s="40"/>
      <c r="AQ197" s="40"/>
      <c r="AR197" s="29"/>
      <c r="AS197" s="22"/>
      <c r="AT197" s="23">
        <v>0.82</v>
      </c>
      <c r="AU197" s="75">
        <f t="shared" si="195"/>
        <v>0</v>
      </c>
      <c r="AW197" s="41" t="s">
        <v>514</v>
      </c>
      <c r="AX197" s="41" t="s">
        <v>355</v>
      </c>
      <c r="AY197" s="40"/>
      <c r="AZ197" s="40"/>
      <c r="BA197" s="29"/>
      <c r="BB197" s="22"/>
      <c r="BC197" s="23">
        <v>0.82</v>
      </c>
      <c r="BD197" s="75">
        <f t="shared" si="196"/>
        <v>0</v>
      </c>
      <c r="BF197" s="41" t="s">
        <v>514</v>
      </c>
      <c r="BG197" s="41" t="s">
        <v>355</v>
      </c>
      <c r="BH197" s="40"/>
      <c r="BI197" s="40"/>
      <c r="BJ197" s="29"/>
      <c r="BK197" s="22"/>
      <c r="BL197" s="23">
        <v>0.82</v>
      </c>
      <c r="BM197" s="75">
        <f t="shared" si="197"/>
        <v>0</v>
      </c>
    </row>
    <row r="198" spans="2:65" outlineLevel="1">
      <c r="B198" s="41" t="s">
        <v>514</v>
      </c>
      <c r="C198" s="41" t="s">
        <v>355</v>
      </c>
      <c r="D198" s="40"/>
      <c r="E198" s="40"/>
      <c r="F198" s="29"/>
      <c r="G198" s="22"/>
      <c r="H198" s="23">
        <v>0.82</v>
      </c>
      <c r="I198" s="75">
        <f t="shared" si="191"/>
        <v>0</v>
      </c>
      <c r="J198" s="172"/>
      <c r="L198" s="41" t="s">
        <v>514</v>
      </c>
      <c r="M198" s="41" t="s">
        <v>355</v>
      </c>
      <c r="N198" s="40"/>
      <c r="O198" s="40"/>
      <c r="P198" s="29"/>
      <c r="Q198" s="22"/>
      <c r="R198" s="23">
        <v>0.82</v>
      </c>
      <c r="S198" s="75">
        <f t="shared" si="192"/>
        <v>0</v>
      </c>
      <c r="T198" s="172"/>
      <c r="V198" s="41" t="s">
        <v>514</v>
      </c>
      <c r="W198" s="41" t="s">
        <v>355</v>
      </c>
      <c r="X198" s="40"/>
      <c r="Y198" s="40"/>
      <c r="Z198" s="29"/>
      <c r="AA198" s="22"/>
      <c r="AB198" s="23">
        <v>0.82</v>
      </c>
      <c r="AC198" s="75">
        <f t="shared" si="193"/>
        <v>0</v>
      </c>
      <c r="AE198" s="41" t="s">
        <v>514</v>
      </c>
      <c r="AF198" s="41" t="s">
        <v>355</v>
      </c>
      <c r="AG198" s="40"/>
      <c r="AH198" s="40"/>
      <c r="AI198" s="29"/>
      <c r="AJ198" s="22"/>
      <c r="AK198" s="23">
        <v>0.82</v>
      </c>
      <c r="AL198" s="75">
        <f t="shared" si="194"/>
        <v>0</v>
      </c>
      <c r="AN198" s="41" t="s">
        <v>514</v>
      </c>
      <c r="AO198" s="41" t="s">
        <v>355</v>
      </c>
      <c r="AP198" s="40"/>
      <c r="AQ198" s="40"/>
      <c r="AR198" s="29"/>
      <c r="AS198" s="22"/>
      <c r="AT198" s="23">
        <v>0.82</v>
      </c>
      <c r="AU198" s="75">
        <f t="shared" si="195"/>
        <v>0</v>
      </c>
      <c r="AW198" s="41" t="s">
        <v>514</v>
      </c>
      <c r="AX198" s="41" t="s">
        <v>355</v>
      </c>
      <c r="AY198" s="40"/>
      <c r="AZ198" s="40"/>
      <c r="BA198" s="29"/>
      <c r="BB198" s="22"/>
      <c r="BC198" s="23">
        <v>0.82</v>
      </c>
      <c r="BD198" s="75">
        <f t="shared" si="196"/>
        <v>0</v>
      </c>
      <c r="BF198" s="41" t="s">
        <v>514</v>
      </c>
      <c r="BG198" s="41" t="s">
        <v>355</v>
      </c>
      <c r="BH198" s="40"/>
      <c r="BI198" s="40"/>
      <c r="BJ198" s="29"/>
      <c r="BK198" s="22"/>
      <c r="BL198" s="23">
        <v>0.82</v>
      </c>
      <c r="BM198" s="75">
        <f t="shared" si="197"/>
        <v>0</v>
      </c>
    </row>
    <row r="199" spans="2:65" outlineLevel="1">
      <c r="B199" s="41" t="s">
        <v>514</v>
      </c>
      <c r="C199" s="41" t="s">
        <v>355</v>
      </c>
      <c r="D199" s="40"/>
      <c r="E199" s="40"/>
      <c r="F199" s="29"/>
      <c r="G199" s="22"/>
      <c r="H199" s="23">
        <v>0.82</v>
      </c>
      <c r="I199" s="75">
        <f t="shared" si="191"/>
        <v>0</v>
      </c>
      <c r="J199" s="172"/>
      <c r="L199" s="41" t="s">
        <v>514</v>
      </c>
      <c r="M199" s="41" t="s">
        <v>355</v>
      </c>
      <c r="N199" s="40"/>
      <c r="O199" s="40"/>
      <c r="P199" s="29"/>
      <c r="Q199" s="22"/>
      <c r="R199" s="23">
        <v>0.82</v>
      </c>
      <c r="S199" s="75">
        <f t="shared" si="192"/>
        <v>0</v>
      </c>
      <c r="T199" s="172"/>
      <c r="V199" s="41" t="s">
        <v>514</v>
      </c>
      <c r="W199" s="41" t="s">
        <v>355</v>
      </c>
      <c r="X199" s="40"/>
      <c r="Y199" s="40"/>
      <c r="Z199" s="29"/>
      <c r="AA199" s="22"/>
      <c r="AB199" s="23">
        <v>0.82</v>
      </c>
      <c r="AC199" s="75">
        <f t="shared" si="193"/>
        <v>0</v>
      </c>
      <c r="AE199" s="41" t="s">
        <v>514</v>
      </c>
      <c r="AF199" s="41" t="s">
        <v>355</v>
      </c>
      <c r="AG199" s="40"/>
      <c r="AH199" s="40"/>
      <c r="AI199" s="29"/>
      <c r="AJ199" s="22"/>
      <c r="AK199" s="23">
        <v>0.82</v>
      </c>
      <c r="AL199" s="75">
        <f t="shared" si="194"/>
        <v>0</v>
      </c>
      <c r="AN199" s="41" t="s">
        <v>514</v>
      </c>
      <c r="AO199" s="41" t="s">
        <v>355</v>
      </c>
      <c r="AP199" s="40"/>
      <c r="AQ199" s="40"/>
      <c r="AR199" s="29"/>
      <c r="AS199" s="22"/>
      <c r="AT199" s="23">
        <v>0.82</v>
      </c>
      <c r="AU199" s="75">
        <f t="shared" si="195"/>
        <v>0</v>
      </c>
      <c r="AW199" s="41" t="s">
        <v>514</v>
      </c>
      <c r="AX199" s="41" t="s">
        <v>355</v>
      </c>
      <c r="AY199" s="40"/>
      <c r="AZ199" s="40"/>
      <c r="BA199" s="29"/>
      <c r="BB199" s="22"/>
      <c r="BC199" s="23">
        <v>0.82</v>
      </c>
      <c r="BD199" s="75">
        <f t="shared" si="196"/>
        <v>0</v>
      </c>
      <c r="BF199" s="41" t="s">
        <v>514</v>
      </c>
      <c r="BG199" s="41" t="s">
        <v>355</v>
      </c>
      <c r="BH199" s="40"/>
      <c r="BI199" s="40"/>
      <c r="BJ199" s="29"/>
      <c r="BK199" s="22"/>
      <c r="BL199" s="23">
        <v>0.82</v>
      </c>
      <c r="BM199" s="75">
        <f t="shared" si="197"/>
        <v>0</v>
      </c>
    </row>
    <row r="200" spans="2:65" outlineLevel="1">
      <c r="B200" s="41" t="s">
        <v>514</v>
      </c>
      <c r="C200" s="41" t="s">
        <v>355</v>
      </c>
      <c r="D200" s="40"/>
      <c r="E200" s="40"/>
      <c r="F200" s="29"/>
      <c r="G200" s="22"/>
      <c r="H200" s="23">
        <v>0.82</v>
      </c>
      <c r="I200" s="75">
        <f t="shared" si="191"/>
        <v>0</v>
      </c>
      <c r="J200" s="172"/>
      <c r="L200" s="41" t="s">
        <v>514</v>
      </c>
      <c r="M200" s="41" t="s">
        <v>355</v>
      </c>
      <c r="N200" s="40"/>
      <c r="O200" s="40"/>
      <c r="P200" s="29"/>
      <c r="Q200" s="22"/>
      <c r="R200" s="23">
        <v>0.82</v>
      </c>
      <c r="S200" s="75">
        <f t="shared" si="192"/>
        <v>0</v>
      </c>
      <c r="T200" s="172"/>
      <c r="V200" s="41" t="s">
        <v>514</v>
      </c>
      <c r="W200" s="41" t="s">
        <v>355</v>
      </c>
      <c r="X200" s="40"/>
      <c r="Y200" s="40"/>
      <c r="Z200" s="29"/>
      <c r="AA200" s="22"/>
      <c r="AB200" s="23">
        <v>0.82</v>
      </c>
      <c r="AC200" s="75">
        <f t="shared" si="193"/>
        <v>0</v>
      </c>
      <c r="AE200" s="41" t="s">
        <v>514</v>
      </c>
      <c r="AF200" s="41" t="s">
        <v>355</v>
      </c>
      <c r="AG200" s="40"/>
      <c r="AH200" s="40"/>
      <c r="AI200" s="29"/>
      <c r="AJ200" s="22"/>
      <c r="AK200" s="23">
        <v>0.82</v>
      </c>
      <c r="AL200" s="75">
        <f t="shared" si="194"/>
        <v>0</v>
      </c>
      <c r="AN200" s="41" t="s">
        <v>514</v>
      </c>
      <c r="AO200" s="41" t="s">
        <v>355</v>
      </c>
      <c r="AP200" s="40"/>
      <c r="AQ200" s="40"/>
      <c r="AR200" s="29"/>
      <c r="AS200" s="22"/>
      <c r="AT200" s="23">
        <v>0.82</v>
      </c>
      <c r="AU200" s="75">
        <f t="shared" si="195"/>
        <v>0</v>
      </c>
      <c r="AW200" s="41" t="s">
        <v>514</v>
      </c>
      <c r="AX200" s="41" t="s">
        <v>355</v>
      </c>
      <c r="AY200" s="40"/>
      <c r="AZ200" s="40"/>
      <c r="BA200" s="29"/>
      <c r="BB200" s="22"/>
      <c r="BC200" s="23">
        <v>0.82</v>
      </c>
      <c r="BD200" s="75">
        <f t="shared" si="196"/>
        <v>0</v>
      </c>
      <c r="BF200" s="41" t="s">
        <v>514</v>
      </c>
      <c r="BG200" s="41" t="s">
        <v>355</v>
      </c>
      <c r="BH200" s="40"/>
      <c r="BI200" s="40"/>
      <c r="BJ200" s="29"/>
      <c r="BK200" s="22"/>
      <c r="BL200" s="23">
        <v>0.82</v>
      </c>
      <c r="BM200" s="75">
        <f t="shared" si="197"/>
        <v>0</v>
      </c>
    </row>
    <row r="201" spans="2:65" outlineLevel="1">
      <c r="B201" s="41" t="s">
        <v>514</v>
      </c>
      <c r="C201" s="41" t="s">
        <v>355</v>
      </c>
      <c r="D201" s="40"/>
      <c r="E201" s="40"/>
      <c r="F201" s="29"/>
      <c r="G201" s="22"/>
      <c r="H201" s="23">
        <v>0.82</v>
      </c>
      <c r="I201" s="75">
        <f t="shared" si="191"/>
        <v>0</v>
      </c>
      <c r="J201" s="172"/>
      <c r="L201" s="41" t="s">
        <v>514</v>
      </c>
      <c r="M201" s="41" t="s">
        <v>355</v>
      </c>
      <c r="N201" s="40"/>
      <c r="O201" s="40"/>
      <c r="P201" s="29"/>
      <c r="Q201" s="22"/>
      <c r="R201" s="23">
        <v>0.82</v>
      </c>
      <c r="S201" s="75">
        <f t="shared" si="192"/>
        <v>0</v>
      </c>
      <c r="T201" s="172"/>
      <c r="V201" s="41" t="s">
        <v>514</v>
      </c>
      <c r="W201" s="41" t="s">
        <v>355</v>
      </c>
      <c r="X201" s="40"/>
      <c r="Y201" s="40"/>
      <c r="Z201" s="29"/>
      <c r="AA201" s="22"/>
      <c r="AB201" s="23">
        <v>0.82</v>
      </c>
      <c r="AC201" s="75">
        <f t="shared" si="193"/>
        <v>0</v>
      </c>
      <c r="AE201" s="41" t="s">
        <v>514</v>
      </c>
      <c r="AF201" s="41" t="s">
        <v>355</v>
      </c>
      <c r="AG201" s="40"/>
      <c r="AH201" s="40"/>
      <c r="AI201" s="29"/>
      <c r="AJ201" s="22"/>
      <c r="AK201" s="23">
        <v>0.82</v>
      </c>
      <c r="AL201" s="75">
        <f t="shared" si="194"/>
        <v>0</v>
      </c>
      <c r="AN201" s="41" t="s">
        <v>514</v>
      </c>
      <c r="AO201" s="41" t="s">
        <v>355</v>
      </c>
      <c r="AP201" s="40"/>
      <c r="AQ201" s="40"/>
      <c r="AR201" s="29"/>
      <c r="AS201" s="22"/>
      <c r="AT201" s="23">
        <v>0.82</v>
      </c>
      <c r="AU201" s="75">
        <f t="shared" si="195"/>
        <v>0</v>
      </c>
      <c r="AW201" s="41" t="s">
        <v>514</v>
      </c>
      <c r="AX201" s="41" t="s">
        <v>355</v>
      </c>
      <c r="AY201" s="40"/>
      <c r="AZ201" s="40"/>
      <c r="BA201" s="29"/>
      <c r="BB201" s="22"/>
      <c r="BC201" s="23">
        <v>0.82</v>
      </c>
      <c r="BD201" s="75">
        <f t="shared" si="196"/>
        <v>0</v>
      </c>
      <c r="BF201" s="41" t="s">
        <v>514</v>
      </c>
      <c r="BG201" s="41" t="s">
        <v>355</v>
      </c>
      <c r="BH201" s="40"/>
      <c r="BI201" s="40"/>
      <c r="BJ201" s="29"/>
      <c r="BK201" s="22"/>
      <c r="BL201" s="23">
        <v>0.82</v>
      </c>
      <c r="BM201" s="75">
        <f t="shared" si="197"/>
        <v>0</v>
      </c>
    </row>
    <row r="202" spans="2:65" outlineLevel="1">
      <c r="B202" s="41" t="s">
        <v>514</v>
      </c>
      <c r="C202" s="41" t="s">
        <v>355</v>
      </c>
      <c r="D202" s="40"/>
      <c r="E202" s="40"/>
      <c r="F202" s="29"/>
      <c r="G202" s="22"/>
      <c r="H202" s="23">
        <v>0.82</v>
      </c>
      <c r="I202" s="75">
        <f t="shared" si="191"/>
        <v>0</v>
      </c>
      <c r="J202" s="172"/>
      <c r="L202" s="41" t="s">
        <v>514</v>
      </c>
      <c r="M202" s="41" t="s">
        <v>355</v>
      </c>
      <c r="N202" s="40"/>
      <c r="O202" s="40"/>
      <c r="P202" s="29"/>
      <c r="Q202" s="22"/>
      <c r="R202" s="23">
        <v>0.82</v>
      </c>
      <c r="S202" s="75">
        <f t="shared" si="192"/>
        <v>0</v>
      </c>
      <c r="T202" s="172"/>
      <c r="V202" s="41" t="s">
        <v>514</v>
      </c>
      <c r="W202" s="41" t="s">
        <v>355</v>
      </c>
      <c r="X202" s="40"/>
      <c r="Y202" s="40"/>
      <c r="Z202" s="29"/>
      <c r="AA202" s="22"/>
      <c r="AB202" s="23">
        <v>0.82</v>
      </c>
      <c r="AC202" s="75">
        <f t="shared" si="193"/>
        <v>0</v>
      </c>
      <c r="AE202" s="41" t="s">
        <v>514</v>
      </c>
      <c r="AF202" s="41" t="s">
        <v>355</v>
      </c>
      <c r="AG202" s="40"/>
      <c r="AH202" s="40"/>
      <c r="AI202" s="29"/>
      <c r="AJ202" s="22"/>
      <c r="AK202" s="23">
        <v>0.82</v>
      </c>
      <c r="AL202" s="75">
        <f t="shared" si="194"/>
        <v>0</v>
      </c>
      <c r="AN202" s="41" t="s">
        <v>514</v>
      </c>
      <c r="AO202" s="41" t="s">
        <v>355</v>
      </c>
      <c r="AP202" s="40"/>
      <c r="AQ202" s="40"/>
      <c r="AR202" s="29"/>
      <c r="AS202" s="22"/>
      <c r="AT202" s="23">
        <v>0.82</v>
      </c>
      <c r="AU202" s="75">
        <f t="shared" si="195"/>
        <v>0</v>
      </c>
      <c r="AW202" s="41" t="s">
        <v>514</v>
      </c>
      <c r="AX202" s="41" t="s">
        <v>355</v>
      </c>
      <c r="AY202" s="40"/>
      <c r="AZ202" s="40"/>
      <c r="BA202" s="29"/>
      <c r="BB202" s="22"/>
      <c r="BC202" s="23">
        <v>0.82</v>
      </c>
      <c r="BD202" s="75">
        <f t="shared" si="196"/>
        <v>0</v>
      </c>
      <c r="BF202" s="41" t="s">
        <v>514</v>
      </c>
      <c r="BG202" s="41" t="s">
        <v>355</v>
      </c>
      <c r="BH202" s="40"/>
      <c r="BI202" s="40"/>
      <c r="BJ202" s="29"/>
      <c r="BK202" s="22"/>
      <c r="BL202" s="23">
        <v>0.82</v>
      </c>
      <c r="BM202" s="75">
        <f t="shared" si="197"/>
        <v>0</v>
      </c>
    </row>
    <row r="203" spans="2:65" s="24" customFormat="1">
      <c r="B203" s="8" t="s">
        <v>516</v>
      </c>
      <c r="C203" s="25"/>
      <c r="D203" s="28">
        <f>SUM(D188:D202)</f>
        <v>0</v>
      </c>
      <c r="E203" s="28">
        <f>SUM(E188:E202)</f>
        <v>0</v>
      </c>
      <c r="F203" s="30"/>
      <c r="G203" s="25"/>
      <c r="H203" s="26"/>
      <c r="I203" s="28">
        <f>SUM(I188:I202)</f>
        <v>0</v>
      </c>
      <c r="J203" s="171"/>
      <c r="L203" s="8" t="s">
        <v>516</v>
      </c>
      <c r="M203" s="25"/>
      <c r="N203" s="28">
        <f>SUM(N188:N202)</f>
        <v>0</v>
      </c>
      <c r="O203" s="28">
        <f>SUM(O188:O202)</f>
        <v>0</v>
      </c>
      <c r="P203" s="30"/>
      <c r="Q203" s="25"/>
      <c r="R203" s="26"/>
      <c r="S203" s="28">
        <f>SUM(S188:S202)</f>
        <v>0</v>
      </c>
      <c r="T203" s="171"/>
      <c r="V203" s="8" t="s">
        <v>516</v>
      </c>
      <c r="W203" s="25"/>
      <c r="X203" s="28">
        <f>SUM(X188:X202)</f>
        <v>0</v>
      </c>
      <c r="Y203" s="28">
        <f>SUM(Y188:Y202)</f>
        <v>0</v>
      </c>
      <c r="Z203" s="30"/>
      <c r="AA203" s="25"/>
      <c r="AB203" s="26"/>
      <c r="AC203" s="28">
        <f>SUM(AC188:AC202)</f>
        <v>0</v>
      </c>
      <c r="AE203" s="8" t="s">
        <v>516</v>
      </c>
      <c r="AF203" s="25"/>
      <c r="AG203" s="28">
        <f>SUM(AG188:AG202)</f>
        <v>0</v>
      </c>
      <c r="AH203" s="28">
        <f>SUM(AH188:AH202)</f>
        <v>0</v>
      </c>
      <c r="AI203" s="30"/>
      <c r="AJ203" s="25"/>
      <c r="AK203" s="26"/>
      <c r="AL203" s="28">
        <f>SUM(AL188:AL202)</f>
        <v>0</v>
      </c>
      <c r="AN203" s="8" t="s">
        <v>516</v>
      </c>
      <c r="AO203" s="25"/>
      <c r="AP203" s="28">
        <f>SUM(AP188:AP202)</f>
        <v>0</v>
      </c>
      <c r="AQ203" s="28">
        <f>SUM(AQ188:AQ202)</f>
        <v>0</v>
      </c>
      <c r="AR203" s="30"/>
      <c r="AS203" s="25"/>
      <c r="AT203" s="26"/>
      <c r="AU203" s="28">
        <f>SUM(AU188:AU202)</f>
        <v>0</v>
      </c>
      <c r="AW203" s="8" t="s">
        <v>516</v>
      </c>
      <c r="AX203" s="25"/>
      <c r="AY203" s="28">
        <f>SUM(AY188:AY202)</f>
        <v>0</v>
      </c>
      <c r="AZ203" s="28">
        <f>SUM(AZ188:AZ202)</f>
        <v>0</v>
      </c>
      <c r="BA203" s="30"/>
      <c r="BB203" s="25"/>
      <c r="BC203" s="26"/>
      <c r="BD203" s="28">
        <f>SUM(BD188:BD202)</f>
        <v>0</v>
      </c>
      <c r="BF203" s="8" t="s">
        <v>516</v>
      </c>
      <c r="BG203" s="25"/>
      <c r="BH203" s="28">
        <f>SUM(BH188:BH202)</f>
        <v>0</v>
      </c>
      <c r="BI203" s="28">
        <f>SUM(BI188:BI202)</f>
        <v>0</v>
      </c>
      <c r="BJ203" s="30"/>
      <c r="BK203" s="25"/>
      <c r="BL203" s="26"/>
      <c r="BM203" s="28">
        <f>SUM(BM188:BM202)</f>
        <v>0</v>
      </c>
    </row>
    <row r="207" spans="2:65" ht="27.6">
      <c r="B207" s="227" t="s">
        <v>460</v>
      </c>
      <c r="C207" s="227" t="s">
        <v>461</v>
      </c>
      <c r="D207" s="227" t="s">
        <v>462</v>
      </c>
      <c r="E207" s="227" t="s">
        <v>463</v>
      </c>
      <c r="F207" s="227" t="s">
        <v>464</v>
      </c>
    </row>
    <row r="208" spans="2:65">
      <c r="B208" s="5" t="s">
        <v>465</v>
      </c>
      <c r="C208" s="6">
        <f>SUM(A36,A39)</f>
        <v>0</v>
      </c>
      <c r="D208" s="6">
        <f>SUM(D36,D39)</f>
        <v>0</v>
      </c>
      <c r="E208" s="6">
        <f>SUM(E36,E39)</f>
        <v>0</v>
      </c>
      <c r="F208" s="5"/>
    </row>
    <row r="209" spans="2:6">
      <c r="B209" s="5" t="s">
        <v>466</v>
      </c>
      <c r="C209" s="6">
        <f>SUM(A37)</f>
        <v>0</v>
      </c>
      <c r="D209" s="6">
        <f>SUM(D37)</f>
        <v>0</v>
      </c>
      <c r="E209" s="6">
        <f>SUM(E37)</f>
        <v>0</v>
      </c>
      <c r="F209" s="5"/>
    </row>
    <row r="210" spans="2:6">
      <c r="B210" s="5" t="s">
        <v>467</v>
      </c>
      <c r="C210" s="6">
        <f>SUM(A38)</f>
        <v>0</v>
      </c>
      <c r="D210" s="6">
        <f>SUM(D38)</f>
        <v>0</v>
      </c>
      <c r="E210" s="6">
        <f>SUM(E38)</f>
        <v>0</v>
      </c>
      <c r="F210" s="5"/>
    </row>
    <row r="211" spans="2:6">
      <c r="B211" s="5" t="s">
        <v>468</v>
      </c>
      <c r="C211" s="6">
        <f>SUM(A32:A35,A40)</f>
        <v>0</v>
      </c>
      <c r="D211" s="6">
        <f>SUM(D32:D35,D40)</f>
        <v>0</v>
      </c>
      <c r="E211" s="6">
        <f>SUM(E32:E35,E40)</f>
        <v>0</v>
      </c>
      <c r="F211" s="5"/>
    </row>
    <row r="212" spans="2:6">
      <c r="B212" s="5" t="s">
        <v>297</v>
      </c>
      <c r="C212" s="6">
        <v>0</v>
      </c>
      <c r="D212" s="6">
        <v>0</v>
      </c>
      <c r="E212" s="6">
        <v>0</v>
      </c>
      <c r="F212" s="5"/>
    </row>
    <row r="213" spans="2:6">
      <c r="B213" s="82" t="s">
        <v>179</v>
      </c>
      <c r="C213" s="74">
        <f>SUM(C208:C212)</f>
        <v>0</v>
      </c>
      <c r="D213" s="74">
        <f>SUM(D208:D212)</f>
        <v>0</v>
      </c>
      <c r="E213" s="74">
        <f>SUM(E208:E212)</f>
        <v>0</v>
      </c>
      <c r="F213" s="5"/>
    </row>
    <row r="216" spans="2:6">
      <c r="C216" s="225">
        <v>3</v>
      </c>
      <c r="D216" s="225">
        <v>2127536</v>
      </c>
      <c r="E216" s="225">
        <v>2056184</v>
      </c>
    </row>
    <row r="217" spans="2:6">
      <c r="C217" s="225">
        <v>2</v>
      </c>
      <c r="D217" s="225">
        <v>437000</v>
      </c>
      <c r="E217" s="225">
        <v>209733</v>
      </c>
    </row>
    <row r="218" spans="2:6">
      <c r="C218" s="225">
        <v>5</v>
      </c>
      <c r="D218" s="225">
        <v>226400</v>
      </c>
      <c r="E218" s="225">
        <v>119522</v>
      </c>
    </row>
    <row r="219" spans="2:6">
      <c r="C219" s="225">
        <v>1</v>
      </c>
      <c r="D219" s="225">
        <v>50000</v>
      </c>
      <c r="E219" s="225">
        <v>48355</v>
      </c>
    </row>
    <row r="220" spans="2:6">
      <c r="C220" s="225">
        <v>0</v>
      </c>
      <c r="D220" s="225">
        <v>0</v>
      </c>
      <c r="E220" s="225">
        <v>0</v>
      </c>
    </row>
    <row r="221" spans="2:6">
      <c r="C221" s="225">
        <v>11</v>
      </c>
      <c r="D221" s="225">
        <v>2840936</v>
      </c>
      <c r="E221" s="225">
        <v>2433794</v>
      </c>
    </row>
  </sheetData>
  <mergeCells count="7">
    <mergeCell ref="B29:J29"/>
    <mergeCell ref="L29:T29"/>
    <mergeCell ref="AW29:BD29"/>
    <mergeCell ref="BF29:BM29"/>
    <mergeCell ref="V29:AC29"/>
    <mergeCell ref="AE29:AL29"/>
    <mergeCell ref="AN29:AU29"/>
  </mergeCells>
  <pageMargins left="0.7" right="0.7" top="0.75" bottom="0.75" header="0.3" footer="0.3"/>
  <pageSetup paperSize="9" orientation="portrait" horizontalDpi="4294967293" r:id="rId1"/>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F2A60D-E989-4D68-B6B7-8850F9E74B91}">
  <sheetPr codeName="Sheet8">
    <tabColor rgb="FFFF0000"/>
  </sheetPr>
  <dimension ref="B2:AD214"/>
  <sheetViews>
    <sheetView topLeftCell="K97" zoomScale="85" zoomScaleNormal="85" workbookViewId="0">
      <selection activeCell="V109" sqref="V109:W109"/>
    </sheetView>
  </sheetViews>
  <sheetFormatPr defaultColWidth="9.109375" defaultRowHeight="13.8" outlineLevelCol="1"/>
  <cols>
    <col min="1" max="1" width="9.109375" style="2"/>
    <col min="2" max="2" width="34.109375" style="2" bestFit="1" customWidth="1"/>
    <col min="3" max="3" width="11.6640625" style="2" bestFit="1" customWidth="1"/>
    <col min="4" max="9" width="10.33203125" style="2" customWidth="1"/>
    <col min="10" max="10" width="3.109375" style="2" customWidth="1"/>
    <col min="11" max="11" width="34.109375" style="2" customWidth="1" outlineLevel="1"/>
    <col min="12" max="12" width="11.6640625" style="2" customWidth="1" outlineLevel="1"/>
    <col min="13" max="18" width="10.33203125" style="2" customWidth="1" outlineLevel="1"/>
    <col min="19" max="19" width="3.109375" style="2" customWidth="1" outlineLevel="1"/>
    <col min="20" max="20" width="34.109375" style="2" bestFit="1" customWidth="1"/>
    <col min="21" max="21" width="11.6640625" style="2" bestFit="1" customWidth="1"/>
    <col min="22" max="27" width="10.33203125" style="2" customWidth="1"/>
    <col min="28" max="28" width="9.6640625" style="2" customWidth="1"/>
    <col min="29" max="29" width="25.6640625" style="2" bestFit="1" customWidth="1"/>
    <col min="30" max="30" width="10.44140625" style="2" customWidth="1"/>
    <col min="31" max="32" width="9.6640625" style="2" customWidth="1"/>
    <col min="33" max="16384" width="9.109375" style="2"/>
  </cols>
  <sheetData>
    <row r="2" spans="2:6">
      <c r="B2" s="55" t="s">
        <v>405</v>
      </c>
    </row>
    <row r="3" spans="2:6">
      <c r="D3" s="50" t="s">
        <v>406</v>
      </c>
      <c r="E3" s="50" t="s">
        <v>310</v>
      </c>
      <c r="F3" s="50" t="s">
        <v>407</v>
      </c>
    </row>
    <row r="4" spans="2:6">
      <c r="B4" s="50" t="s">
        <v>408</v>
      </c>
      <c r="C4" s="84"/>
      <c r="D4" s="65">
        <f>D18/SUM(D23,D28)</f>
        <v>9.9016493237202052</v>
      </c>
      <c r="E4" s="84"/>
      <c r="F4" s="65">
        <f>F18/SUM(F23,F28)</f>
        <v>11.805505355070672</v>
      </c>
    </row>
    <row r="6" spans="2:6">
      <c r="B6" s="50" t="s">
        <v>409</v>
      </c>
      <c r="C6" s="50" t="s">
        <v>149</v>
      </c>
      <c r="D6" s="50" t="s">
        <v>406</v>
      </c>
      <c r="E6" s="50" t="s">
        <v>310</v>
      </c>
      <c r="F6" s="50" t="s">
        <v>407</v>
      </c>
    </row>
    <row r="7" spans="2:6">
      <c r="B7" s="69" t="s">
        <v>523</v>
      </c>
      <c r="C7" s="66"/>
      <c r="D7" s="70">
        <f>'N.Margin (Ind. Benchmark)'!E22</f>
        <v>0</v>
      </c>
      <c r="E7" s="21">
        <v>1.2</v>
      </c>
      <c r="F7" s="75">
        <f>D7*E7</f>
        <v>0</v>
      </c>
    </row>
    <row r="8" spans="2:6">
      <c r="B8" s="5" t="s">
        <v>410</v>
      </c>
      <c r="C8" s="5" t="s">
        <v>415</v>
      </c>
      <c r="D8" s="11">
        <v>5000000</v>
      </c>
      <c r="E8" s="21">
        <v>1.2</v>
      </c>
      <c r="F8" s="75">
        <f>D8*E8</f>
        <v>6000000</v>
      </c>
    </row>
    <row r="9" spans="2:6">
      <c r="B9" s="5" t="s">
        <v>411</v>
      </c>
      <c r="C9" s="5" t="s">
        <v>415</v>
      </c>
      <c r="D9" s="11">
        <v>30000</v>
      </c>
      <c r="E9" s="21">
        <v>1</v>
      </c>
      <c r="F9" s="75">
        <f>D9*E9</f>
        <v>30000</v>
      </c>
    </row>
    <row r="10" spans="2:6">
      <c r="B10" s="71" t="s">
        <v>524</v>
      </c>
      <c r="C10" s="5" t="s">
        <v>415</v>
      </c>
      <c r="D10" s="6">
        <f>SUM(D11:D17)</f>
        <v>175000</v>
      </c>
      <c r="E10" s="32"/>
      <c r="F10" s="75">
        <f>SUM(F11:F17)</f>
        <v>175800</v>
      </c>
    </row>
    <row r="11" spans="2:6">
      <c r="B11" s="86" t="s">
        <v>525</v>
      </c>
      <c r="C11" s="5" t="s">
        <v>415</v>
      </c>
      <c r="D11" s="11">
        <v>10000</v>
      </c>
      <c r="E11" s="21">
        <v>1.08</v>
      </c>
      <c r="F11" s="75">
        <f t="shared" ref="F11:F17" si="0">D11*E11</f>
        <v>10800</v>
      </c>
    </row>
    <row r="12" spans="2:6">
      <c r="B12" s="86" t="s">
        <v>526</v>
      </c>
      <c r="C12" s="5" t="s">
        <v>415</v>
      </c>
      <c r="D12" s="11">
        <v>15000</v>
      </c>
      <c r="E12" s="21">
        <v>1</v>
      </c>
      <c r="F12" s="75">
        <f t="shared" si="0"/>
        <v>15000</v>
      </c>
    </row>
    <row r="13" spans="2:6">
      <c r="B13" s="86" t="s">
        <v>527</v>
      </c>
      <c r="C13" s="5" t="s">
        <v>415</v>
      </c>
      <c r="D13" s="11">
        <v>20000</v>
      </c>
      <c r="E13" s="21">
        <v>1</v>
      </c>
      <c r="F13" s="75">
        <f t="shared" si="0"/>
        <v>20000</v>
      </c>
    </row>
    <row r="14" spans="2:6">
      <c r="B14" s="86" t="s">
        <v>491</v>
      </c>
      <c r="C14" s="5" t="s">
        <v>415</v>
      </c>
      <c r="D14" s="11">
        <v>25000</v>
      </c>
      <c r="E14" s="21">
        <v>1</v>
      </c>
      <c r="F14" s="75">
        <f t="shared" si="0"/>
        <v>25000</v>
      </c>
    </row>
    <row r="15" spans="2:6">
      <c r="B15" s="86" t="s">
        <v>528</v>
      </c>
      <c r="C15" s="5" t="s">
        <v>415</v>
      </c>
      <c r="D15" s="11">
        <v>30000</v>
      </c>
      <c r="E15" s="21">
        <v>1</v>
      </c>
      <c r="F15" s="75">
        <f t="shared" si="0"/>
        <v>30000</v>
      </c>
    </row>
    <row r="16" spans="2:6">
      <c r="B16" s="86" t="s">
        <v>529</v>
      </c>
      <c r="C16" s="5" t="s">
        <v>415</v>
      </c>
      <c r="D16" s="11">
        <v>35000</v>
      </c>
      <c r="E16" s="21">
        <v>1</v>
      </c>
      <c r="F16" s="75">
        <f t="shared" si="0"/>
        <v>35000</v>
      </c>
    </row>
    <row r="17" spans="2:15">
      <c r="B17" s="86" t="s">
        <v>530</v>
      </c>
      <c r="C17" s="5" t="s">
        <v>415</v>
      </c>
      <c r="D17" s="11">
        <v>40000</v>
      </c>
      <c r="E17" s="21">
        <v>1</v>
      </c>
      <c r="F17" s="75">
        <f t="shared" si="0"/>
        <v>40000</v>
      </c>
    </row>
    <row r="18" spans="2:15" s="24" customFormat="1">
      <c r="B18" s="72" t="s">
        <v>531</v>
      </c>
      <c r="C18" s="73"/>
      <c r="D18" s="74">
        <f>SUM(D8:D10)</f>
        <v>5205000</v>
      </c>
      <c r="E18" s="74"/>
      <c r="F18" s="74">
        <f>SUM(F8:F10)</f>
        <v>6205800</v>
      </c>
      <c r="K18" s="2"/>
      <c r="L18" s="2"/>
      <c r="M18" s="2"/>
      <c r="N18" s="2"/>
      <c r="O18" s="2"/>
    </row>
    <row r="20" spans="2:15">
      <c r="B20" s="82" t="s">
        <v>418</v>
      </c>
    </row>
    <row r="21" spans="2:15">
      <c r="B21" s="71" t="s">
        <v>419</v>
      </c>
      <c r="C21" s="5"/>
      <c r="D21" s="77">
        <f>H52</f>
        <v>174000</v>
      </c>
      <c r="E21" s="21">
        <v>1</v>
      </c>
      <c r="F21" s="75">
        <f>D21*E21</f>
        <v>174000</v>
      </c>
    </row>
    <row r="22" spans="2:15">
      <c r="B22" s="5" t="s">
        <v>421</v>
      </c>
      <c r="C22" s="5"/>
      <c r="D22" s="81">
        <f>G52</f>
        <v>88835</v>
      </c>
      <c r="E22" s="21">
        <v>1</v>
      </c>
      <c r="F22" s="75">
        <f>D22*E22</f>
        <v>88835</v>
      </c>
    </row>
    <row r="23" spans="2:15" s="24" customFormat="1">
      <c r="B23" s="72" t="s">
        <v>531</v>
      </c>
      <c r="C23" s="73"/>
      <c r="D23" s="74">
        <f>SUM(D21:D22)</f>
        <v>262835</v>
      </c>
      <c r="E23" s="74"/>
      <c r="F23" s="74">
        <f>SUM(F21:F22)</f>
        <v>262835</v>
      </c>
      <c r="K23" s="2"/>
      <c r="L23" s="2"/>
      <c r="M23" s="2"/>
      <c r="N23" s="2"/>
      <c r="O23" s="2"/>
    </row>
    <row r="24" spans="2:15" s="24" customFormat="1">
      <c r="K24" s="2"/>
      <c r="L24" s="2"/>
      <c r="M24" s="2"/>
      <c r="N24" s="2"/>
      <c r="O24" s="2"/>
    </row>
    <row r="25" spans="2:15">
      <c r="B25" s="82" t="s">
        <v>532</v>
      </c>
    </row>
    <row r="26" spans="2:15">
      <c r="B26" s="71" t="s">
        <v>419</v>
      </c>
      <c r="C26" s="5"/>
      <c r="D26" s="77">
        <f>Q52</f>
        <v>174000</v>
      </c>
      <c r="E26" s="21">
        <v>1</v>
      </c>
      <c r="F26" s="75">
        <f>D26*E26</f>
        <v>174000</v>
      </c>
    </row>
    <row r="27" spans="2:15">
      <c r="B27" s="5" t="s">
        <v>421</v>
      </c>
      <c r="C27" s="5"/>
      <c r="D27" s="81">
        <f>P52</f>
        <v>88835</v>
      </c>
      <c r="E27" s="21">
        <v>1</v>
      </c>
      <c r="F27" s="75">
        <f>D27*E27</f>
        <v>88835</v>
      </c>
    </row>
    <row r="28" spans="2:15" s="24" customFormat="1">
      <c r="B28" s="72" t="s">
        <v>531</v>
      </c>
      <c r="C28" s="73"/>
      <c r="D28" s="74">
        <f>SUM(D26:D27)</f>
        <v>262835</v>
      </c>
      <c r="E28" s="74"/>
      <c r="F28" s="74">
        <f>SUM(F26:F27)</f>
        <v>262835</v>
      </c>
      <c r="K28" s="2"/>
      <c r="L28" s="2"/>
      <c r="M28" s="2"/>
      <c r="N28" s="2"/>
      <c r="O28" s="2"/>
    </row>
    <row r="29" spans="2:15">
      <c r="B29" s="64" t="s">
        <v>424</v>
      </c>
    </row>
    <row r="30" spans="2:15">
      <c r="B30" s="64" t="s">
        <v>425</v>
      </c>
    </row>
    <row r="31" spans="2:15">
      <c r="B31" s="64" t="s">
        <v>426</v>
      </c>
    </row>
    <row r="32" spans="2:15">
      <c r="B32" s="67" t="s">
        <v>427</v>
      </c>
    </row>
    <row r="33" spans="2:27">
      <c r="B33" s="67" t="s">
        <v>428</v>
      </c>
      <c r="T33" s="67"/>
    </row>
    <row r="34" spans="2:27">
      <c r="B34" s="67" t="s">
        <v>429</v>
      </c>
      <c r="T34" s="67"/>
    </row>
    <row r="35" spans="2:27">
      <c r="B35" s="67" t="s">
        <v>430</v>
      </c>
      <c r="T35" s="67"/>
    </row>
    <row r="36" spans="2:27">
      <c r="B36" s="67" t="s">
        <v>431</v>
      </c>
      <c r="T36" s="67"/>
    </row>
    <row r="37" spans="2:27">
      <c r="B37" s="67" t="s">
        <v>432</v>
      </c>
      <c r="T37" s="67"/>
    </row>
    <row r="38" spans="2:27">
      <c r="T38" s="67"/>
    </row>
    <row r="40" spans="2:27">
      <c r="B40" s="1011" t="s">
        <v>433</v>
      </c>
      <c r="C40" s="1011"/>
      <c r="D40" s="1011"/>
      <c r="E40" s="1011"/>
      <c r="F40" s="1011"/>
      <c r="G40" s="1011"/>
      <c r="H40" s="1011"/>
      <c r="I40" s="1011"/>
      <c r="K40" s="1011" t="s">
        <v>533</v>
      </c>
      <c r="L40" s="1011"/>
      <c r="M40" s="1011"/>
      <c r="N40" s="1011"/>
      <c r="O40" s="1011"/>
      <c r="P40" s="1011"/>
      <c r="Q40" s="1011"/>
      <c r="R40" s="1011"/>
      <c r="T40" s="1012" t="s">
        <v>435</v>
      </c>
      <c r="U40" s="1012"/>
      <c r="V40" s="1012"/>
      <c r="W40" s="1012"/>
      <c r="X40" s="1012"/>
      <c r="Y40" s="1012"/>
      <c r="Z40" s="1012"/>
      <c r="AA40" s="1012"/>
    </row>
    <row r="42" spans="2:27" s="20" customFormat="1" ht="54" customHeight="1">
      <c r="B42" s="83" t="s">
        <v>534</v>
      </c>
      <c r="C42" s="3" t="s">
        <v>365</v>
      </c>
      <c r="D42" s="36" t="s">
        <v>368</v>
      </c>
      <c r="E42" s="36" t="s">
        <v>372</v>
      </c>
      <c r="F42" s="37" t="s">
        <v>437</v>
      </c>
      <c r="G42" s="3" t="s">
        <v>438</v>
      </c>
      <c r="H42" s="3" t="s">
        <v>439</v>
      </c>
      <c r="I42" s="38" t="s">
        <v>440</v>
      </c>
      <c r="K42" s="83" t="s">
        <v>535</v>
      </c>
      <c r="L42" s="3" t="s">
        <v>365</v>
      </c>
      <c r="M42" s="36" t="s">
        <v>368</v>
      </c>
      <c r="N42" s="36" t="s">
        <v>372</v>
      </c>
      <c r="O42" s="37" t="s">
        <v>437</v>
      </c>
      <c r="P42" s="3" t="s">
        <v>438</v>
      </c>
      <c r="Q42" s="3" t="s">
        <v>439</v>
      </c>
      <c r="R42" s="38" t="s">
        <v>440</v>
      </c>
      <c r="T42" s="3" t="s">
        <v>536</v>
      </c>
      <c r="U42" s="3" t="s">
        <v>365</v>
      </c>
      <c r="V42" s="36" t="s">
        <v>368</v>
      </c>
      <c r="W42" s="36" t="s">
        <v>372</v>
      </c>
      <c r="X42" s="37" t="s">
        <v>437</v>
      </c>
      <c r="Y42" s="3" t="s">
        <v>438</v>
      </c>
      <c r="Z42" s="3" t="s">
        <v>439</v>
      </c>
      <c r="AA42" s="38" t="s">
        <v>440</v>
      </c>
    </row>
    <row r="43" spans="2:27" ht="25.5" customHeight="1">
      <c r="B43" s="5" t="str">
        <f>B54</f>
        <v>Facility (Overdraft)</v>
      </c>
      <c r="C43" s="7" t="s">
        <v>368</v>
      </c>
      <c r="D43" s="79">
        <f>D70</f>
        <v>750000</v>
      </c>
      <c r="E43" s="79">
        <f>E70</f>
        <v>0</v>
      </c>
      <c r="F43" s="79">
        <f>F70</f>
        <v>0</v>
      </c>
      <c r="G43" s="79">
        <f>I70</f>
        <v>50625</v>
      </c>
      <c r="H43" s="79">
        <f>F43*12</f>
        <v>0</v>
      </c>
      <c r="I43" s="34">
        <f>SUM(G43:H43)</f>
        <v>50625</v>
      </c>
      <c r="K43" s="5" t="str">
        <f>K54</f>
        <v>Facility (Overdraft)</v>
      </c>
      <c r="L43" s="7" t="s">
        <v>368</v>
      </c>
      <c r="M43" s="79">
        <f>M70</f>
        <v>750000</v>
      </c>
      <c r="N43" s="79">
        <f>N70</f>
        <v>0</v>
      </c>
      <c r="O43" s="79">
        <f>O70</f>
        <v>0</v>
      </c>
      <c r="P43" s="79">
        <f>R70</f>
        <v>50625</v>
      </c>
      <c r="Q43" s="79">
        <f>O43*12</f>
        <v>0</v>
      </c>
      <c r="R43" s="34">
        <f>SUM(P43:Q43)</f>
        <v>50625</v>
      </c>
      <c r="T43" s="5" t="str">
        <f>T54</f>
        <v>Facility (Overdraft)</v>
      </c>
      <c r="U43" s="7" t="s">
        <v>368</v>
      </c>
      <c r="V43" s="79">
        <f>V70</f>
        <v>0</v>
      </c>
      <c r="W43" s="79">
        <f>W70</f>
        <v>0</v>
      </c>
      <c r="X43" s="79">
        <f>X70</f>
        <v>0</v>
      </c>
      <c r="Y43" s="79">
        <f>AA70</f>
        <v>0</v>
      </c>
      <c r="Z43" s="79">
        <f>X43*12</f>
        <v>0</v>
      </c>
      <c r="AA43" s="34">
        <f>SUM(Y43:Z43)</f>
        <v>0</v>
      </c>
    </row>
    <row r="44" spans="2:27" ht="25.5" customHeight="1">
      <c r="B44" s="5" t="str">
        <f>B72</f>
        <v>Facility (Overdraft with Reduction/ Sinking Fund)</v>
      </c>
      <c r="C44" s="7" t="s">
        <v>510</v>
      </c>
      <c r="D44" s="79">
        <f>D88</f>
        <v>0</v>
      </c>
      <c r="E44" s="79">
        <f>E88</f>
        <v>0</v>
      </c>
      <c r="F44" s="79">
        <f>F88</f>
        <v>7500</v>
      </c>
      <c r="G44" s="79">
        <f>I88</f>
        <v>0</v>
      </c>
      <c r="H44" s="79">
        <f t="shared" ref="H44:H51" si="1">F44*12</f>
        <v>90000</v>
      </c>
      <c r="I44" s="34">
        <f t="shared" ref="I44:I51" si="2">SUM(G44:H44)</f>
        <v>90000</v>
      </c>
      <c r="K44" s="5" t="str">
        <f>K72</f>
        <v>Facility (Overdraft with Reduction/ Sinking Fund)</v>
      </c>
      <c r="L44" s="7" t="s">
        <v>510</v>
      </c>
      <c r="M44" s="79">
        <f>M88</f>
        <v>0</v>
      </c>
      <c r="N44" s="79">
        <f>N88</f>
        <v>0</v>
      </c>
      <c r="O44" s="79">
        <f>O88</f>
        <v>7500</v>
      </c>
      <c r="P44" s="79">
        <f>R88</f>
        <v>0</v>
      </c>
      <c r="Q44" s="79">
        <f t="shared" ref="Q44:Q51" si="3">O44*12</f>
        <v>90000</v>
      </c>
      <c r="R44" s="34">
        <f t="shared" ref="R44:R51" si="4">SUM(P44:Q44)</f>
        <v>90000</v>
      </c>
      <c r="T44" s="5" t="str">
        <f>T72</f>
        <v>Facility (Overdraft with Reduction/ Sinking Fund)</v>
      </c>
      <c r="U44" s="7" t="s">
        <v>510</v>
      </c>
      <c r="V44" s="79">
        <f>V88</f>
        <v>0</v>
      </c>
      <c r="W44" s="79">
        <f>W88</f>
        <v>0</v>
      </c>
      <c r="X44" s="79">
        <f>X88</f>
        <v>0</v>
      </c>
      <c r="Y44" s="79">
        <f>AA88</f>
        <v>0</v>
      </c>
      <c r="Z44" s="79">
        <f t="shared" ref="Z44:Z51" si="5">X44*12</f>
        <v>0</v>
      </c>
      <c r="AA44" s="34">
        <f t="shared" ref="AA44:AA51" si="6">SUM(Y44:Z44)</f>
        <v>0</v>
      </c>
    </row>
    <row r="45" spans="2:27" ht="25.5" customHeight="1">
      <c r="B45" s="5" t="str">
        <f>B90</f>
        <v>Facility (Trade Receivable)</v>
      </c>
      <c r="C45" s="7" t="s">
        <v>368</v>
      </c>
      <c r="D45" s="79">
        <f>D106</f>
        <v>150000</v>
      </c>
      <c r="E45" s="79">
        <f>E106</f>
        <v>0</v>
      </c>
      <c r="F45" s="79">
        <f>F106</f>
        <v>0</v>
      </c>
      <c r="G45" s="79">
        <f>I106</f>
        <v>11070</v>
      </c>
      <c r="H45" s="79">
        <f t="shared" si="1"/>
        <v>0</v>
      </c>
      <c r="I45" s="34">
        <f t="shared" si="2"/>
        <v>11070</v>
      </c>
      <c r="K45" s="5" t="str">
        <f>K90</f>
        <v>Facility (Trade Receivable)</v>
      </c>
      <c r="L45" s="7" t="s">
        <v>368</v>
      </c>
      <c r="M45" s="79">
        <f>M106</f>
        <v>150000</v>
      </c>
      <c r="N45" s="79">
        <f>N106</f>
        <v>0</v>
      </c>
      <c r="O45" s="79">
        <f>O106</f>
        <v>0</v>
      </c>
      <c r="P45" s="79">
        <f>R106</f>
        <v>11070</v>
      </c>
      <c r="Q45" s="79">
        <f t="shared" si="3"/>
        <v>0</v>
      </c>
      <c r="R45" s="34">
        <f t="shared" si="4"/>
        <v>11070</v>
      </c>
      <c r="T45" s="5" t="str">
        <f>T90</f>
        <v>Facility (Trade Receivable)</v>
      </c>
      <c r="U45" s="7" t="s">
        <v>368</v>
      </c>
      <c r="V45" s="79">
        <f>V106</f>
        <v>0</v>
      </c>
      <c r="W45" s="79">
        <f>W106</f>
        <v>0</v>
      </c>
      <c r="X45" s="79">
        <f>X106</f>
        <v>0</v>
      </c>
      <c r="Y45" s="79">
        <f>AA106</f>
        <v>0</v>
      </c>
      <c r="Z45" s="79">
        <f t="shared" si="5"/>
        <v>0</v>
      </c>
      <c r="AA45" s="34">
        <f t="shared" si="6"/>
        <v>0</v>
      </c>
    </row>
    <row r="46" spans="2:27" ht="25.5" customHeight="1">
      <c r="B46" s="5" t="str">
        <f>B108</f>
        <v>Facility (BA)</v>
      </c>
      <c r="C46" s="7" t="s">
        <v>368</v>
      </c>
      <c r="D46" s="79">
        <f>D124</f>
        <v>200000</v>
      </c>
      <c r="E46" s="79">
        <f>E124</f>
        <v>0</v>
      </c>
      <c r="F46" s="79">
        <f>F124</f>
        <v>0</v>
      </c>
      <c r="G46" s="79">
        <f>I124</f>
        <v>14760</v>
      </c>
      <c r="H46" s="79">
        <f t="shared" si="1"/>
        <v>0</v>
      </c>
      <c r="I46" s="34">
        <f t="shared" si="2"/>
        <v>14760</v>
      </c>
      <c r="K46" s="5" t="str">
        <f>K108</f>
        <v>Facility (BA)</v>
      </c>
      <c r="L46" s="7" t="s">
        <v>368</v>
      </c>
      <c r="M46" s="79">
        <f>M124</f>
        <v>200000</v>
      </c>
      <c r="N46" s="79">
        <f>N124</f>
        <v>0</v>
      </c>
      <c r="O46" s="79">
        <f>O124</f>
        <v>0</v>
      </c>
      <c r="P46" s="79">
        <f>R124</f>
        <v>14760</v>
      </c>
      <c r="Q46" s="79">
        <f t="shared" si="3"/>
        <v>0</v>
      </c>
      <c r="R46" s="34">
        <f t="shared" si="4"/>
        <v>14760</v>
      </c>
      <c r="T46" s="5" t="str">
        <f>T108</f>
        <v>Facility (BA)</v>
      </c>
      <c r="U46" s="7" t="s">
        <v>368</v>
      </c>
      <c r="V46" s="79">
        <f>V124</f>
        <v>200000</v>
      </c>
      <c r="W46" s="79">
        <f>W124</f>
        <v>100000</v>
      </c>
      <c r="X46" s="79">
        <f>X124</f>
        <v>0</v>
      </c>
      <c r="Y46" s="79">
        <f>AA124</f>
        <v>13120</v>
      </c>
      <c r="Z46" s="79">
        <f t="shared" si="5"/>
        <v>0</v>
      </c>
      <c r="AA46" s="34">
        <f t="shared" si="6"/>
        <v>13120</v>
      </c>
    </row>
    <row r="47" spans="2:27" ht="25.5" customHeight="1">
      <c r="B47" s="5" t="str">
        <f>B126</f>
        <v>Facility (Term-loan)</v>
      </c>
      <c r="C47" s="7" t="s">
        <v>510</v>
      </c>
      <c r="D47" s="79">
        <f>D142</f>
        <v>0</v>
      </c>
      <c r="E47" s="79">
        <f>E142</f>
        <v>0</v>
      </c>
      <c r="F47" s="79">
        <f>F142</f>
        <v>2500</v>
      </c>
      <c r="G47" s="79">
        <f>I142</f>
        <v>0</v>
      </c>
      <c r="H47" s="79">
        <f t="shared" si="1"/>
        <v>30000</v>
      </c>
      <c r="I47" s="34">
        <f t="shared" si="2"/>
        <v>30000</v>
      </c>
      <c r="K47" s="5" t="str">
        <f>K126</f>
        <v>Facility (Term-loan)</v>
      </c>
      <c r="L47" s="7" t="s">
        <v>510</v>
      </c>
      <c r="M47" s="79">
        <f>M142</f>
        <v>0</v>
      </c>
      <c r="N47" s="79">
        <f>N142</f>
        <v>0</v>
      </c>
      <c r="O47" s="79">
        <f>O142</f>
        <v>2500</v>
      </c>
      <c r="P47" s="79">
        <f>R142</f>
        <v>0</v>
      </c>
      <c r="Q47" s="79">
        <f t="shared" si="3"/>
        <v>30000</v>
      </c>
      <c r="R47" s="34">
        <f t="shared" si="4"/>
        <v>30000</v>
      </c>
      <c r="T47" s="5" t="str">
        <f>T126</f>
        <v>Facility (Term-loan)</v>
      </c>
      <c r="U47" s="7" t="s">
        <v>510</v>
      </c>
      <c r="V47" s="79">
        <f>V142</f>
        <v>0</v>
      </c>
      <c r="W47" s="79">
        <f>W142</f>
        <v>0</v>
      </c>
      <c r="X47" s="79">
        <f>X142</f>
        <v>2500</v>
      </c>
      <c r="Y47" s="79">
        <f>AA142</f>
        <v>0</v>
      </c>
      <c r="Z47" s="79">
        <f t="shared" si="5"/>
        <v>30000</v>
      </c>
      <c r="AA47" s="34">
        <f t="shared" si="6"/>
        <v>30000</v>
      </c>
    </row>
    <row r="48" spans="2:27" ht="25.5" customHeight="1">
      <c r="B48" s="5" t="str">
        <f>B144</f>
        <v>Facility (Hire Purchase / Leasing)</v>
      </c>
      <c r="C48" s="7" t="s">
        <v>510</v>
      </c>
      <c r="D48" s="79">
        <f>D160</f>
        <v>0</v>
      </c>
      <c r="E48" s="79">
        <f>E160</f>
        <v>0</v>
      </c>
      <c r="F48" s="79">
        <f>F160</f>
        <v>3000</v>
      </c>
      <c r="G48" s="79">
        <f>I160</f>
        <v>0</v>
      </c>
      <c r="H48" s="79">
        <f t="shared" si="1"/>
        <v>36000</v>
      </c>
      <c r="I48" s="34">
        <f t="shared" si="2"/>
        <v>36000</v>
      </c>
      <c r="K48" s="5" t="str">
        <f>K144</f>
        <v>Facility (Hire Purchase / Leasing)</v>
      </c>
      <c r="L48" s="7" t="s">
        <v>510</v>
      </c>
      <c r="M48" s="79">
        <f>M160</f>
        <v>0</v>
      </c>
      <c r="N48" s="79">
        <f>N160</f>
        <v>0</v>
      </c>
      <c r="O48" s="79">
        <f>O160</f>
        <v>3000</v>
      </c>
      <c r="P48" s="79">
        <f>R160</f>
        <v>0</v>
      </c>
      <c r="Q48" s="79">
        <f t="shared" si="3"/>
        <v>36000</v>
      </c>
      <c r="R48" s="34">
        <f t="shared" si="4"/>
        <v>36000</v>
      </c>
      <c r="T48" s="5" t="str">
        <f>T144</f>
        <v>Facility (Hire Purchase / Leasing)</v>
      </c>
      <c r="U48" s="7" t="s">
        <v>510</v>
      </c>
      <c r="V48" s="79">
        <f>V160</f>
        <v>0</v>
      </c>
      <c r="W48" s="79">
        <f>W160</f>
        <v>0</v>
      </c>
      <c r="X48" s="79">
        <f>X160</f>
        <v>3000</v>
      </c>
      <c r="Y48" s="79">
        <f>AA160</f>
        <v>0</v>
      </c>
      <c r="Z48" s="79">
        <f t="shared" si="5"/>
        <v>36000</v>
      </c>
      <c r="AA48" s="34">
        <f t="shared" si="6"/>
        <v>36000</v>
      </c>
    </row>
    <row r="49" spans="2:30" ht="25.5" customHeight="1">
      <c r="B49" s="5" t="str">
        <f>B162</f>
        <v>Facility (Credit Card)</v>
      </c>
      <c r="C49" s="7" t="s">
        <v>372</v>
      </c>
      <c r="D49" s="79">
        <f>D178</f>
        <v>0</v>
      </c>
      <c r="E49" s="79">
        <f>E178</f>
        <v>100000</v>
      </c>
      <c r="F49" s="79">
        <f>F178</f>
        <v>0</v>
      </c>
      <c r="G49" s="79">
        <f>I178</f>
        <v>5000</v>
      </c>
      <c r="H49" s="79">
        <f t="shared" si="1"/>
        <v>0</v>
      </c>
      <c r="I49" s="34">
        <f t="shared" si="2"/>
        <v>5000</v>
      </c>
      <c r="K49" s="5" t="str">
        <f>K162</f>
        <v>Facility (Credit Card)</v>
      </c>
      <c r="L49" s="7" t="s">
        <v>372</v>
      </c>
      <c r="M49" s="79">
        <f>M178</f>
        <v>0</v>
      </c>
      <c r="N49" s="79">
        <f>N178</f>
        <v>100000</v>
      </c>
      <c r="O49" s="79">
        <f>O178</f>
        <v>0</v>
      </c>
      <c r="P49" s="79">
        <f>R178</f>
        <v>5000</v>
      </c>
      <c r="Q49" s="79">
        <f t="shared" si="3"/>
        <v>0</v>
      </c>
      <c r="R49" s="34">
        <f t="shared" si="4"/>
        <v>5000</v>
      </c>
      <c r="T49" s="5" t="str">
        <f>T162</f>
        <v>Facility (Credit Card)</v>
      </c>
      <c r="U49" s="7" t="s">
        <v>372</v>
      </c>
      <c r="V49" s="79">
        <f>V178</f>
        <v>0</v>
      </c>
      <c r="W49" s="79">
        <f>W178</f>
        <v>100000</v>
      </c>
      <c r="X49" s="79">
        <f>X178</f>
        <v>0</v>
      </c>
      <c r="Y49" s="79">
        <f>AA178</f>
        <v>5000</v>
      </c>
      <c r="Z49" s="79">
        <f t="shared" si="5"/>
        <v>0</v>
      </c>
      <c r="AA49" s="34">
        <f t="shared" si="6"/>
        <v>5000</v>
      </c>
      <c r="AC49" s="4"/>
      <c r="AD49" s="19"/>
    </row>
    <row r="50" spans="2:30" ht="25.5" customHeight="1">
      <c r="B50" s="5" t="str">
        <f>B180</f>
        <v>P2P - Facility (Term-loan)</v>
      </c>
      <c r="C50" s="7" t="s">
        <v>511</v>
      </c>
      <c r="D50" s="79">
        <f>D196</f>
        <v>0</v>
      </c>
      <c r="E50" s="79">
        <f t="shared" ref="E50:F50" si="7">E196</f>
        <v>0</v>
      </c>
      <c r="F50" s="79">
        <f t="shared" si="7"/>
        <v>1500</v>
      </c>
      <c r="G50" s="79">
        <f>I196</f>
        <v>0</v>
      </c>
      <c r="H50" s="79">
        <f t="shared" si="1"/>
        <v>18000</v>
      </c>
      <c r="I50" s="34">
        <f t="shared" si="2"/>
        <v>18000</v>
      </c>
      <c r="K50" s="5" t="str">
        <f>K180</f>
        <v>P2P - Facility (Term-loan)</v>
      </c>
      <c r="L50" s="7" t="s">
        <v>511</v>
      </c>
      <c r="M50" s="79">
        <f>M196</f>
        <v>0</v>
      </c>
      <c r="N50" s="79">
        <f t="shared" ref="N50:O50" si="8">N196</f>
        <v>0</v>
      </c>
      <c r="O50" s="79">
        <f t="shared" si="8"/>
        <v>1500</v>
      </c>
      <c r="P50" s="79">
        <f>R196</f>
        <v>0</v>
      </c>
      <c r="Q50" s="79">
        <f t="shared" si="3"/>
        <v>18000</v>
      </c>
      <c r="R50" s="34">
        <f t="shared" si="4"/>
        <v>18000</v>
      </c>
      <c r="T50" s="5" t="s">
        <v>512</v>
      </c>
      <c r="U50" s="7" t="s">
        <v>511</v>
      </c>
      <c r="V50" s="79">
        <f>V196</f>
        <v>0</v>
      </c>
      <c r="W50" s="79">
        <f t="shared" ref="W50:X50" si="9">W196</f>
        <v>0</v>
      </c>
      <c r="X50" s="79">
        <f t="shared" si="9"/>
        <v>1500</v>
      </c>
      <c r="Y50" s="79">
        <f>AA196</f>
        <v>0</v>
      </c>
      <c r="Z50" s="79">
        <f t="shared" si="5"/>
        <v>18000</v>
      </c>
      <c r="AA50" s="34">
        <f t="shared" si="6"/>
        <v>18000</v>
      </c>
      <c r="AC50" s="4"/>
      <c r="AD50" s="19"/>
    </row>
    <row r="51" spans="2:30" ht="25.5" customHeight="1">
      <c r="B51" s="5" t="str">
        <f>B198</f>
        <v>P2P - Facility (Trade Receivable)</v>
      </c>
      <c r="C51" s="7" t="s">
        <v>368</v>
      </c>
      <c r="D51" s="79">
        <f>D214</f>
        <v>100000</v>
      </c>
      <c r="E51" s="79">
        <f t="shared" ref="E51:F51" si="10">E214</f>
        <v>0</v>
      </c>
      <c r="F51" s="79">
        <f t="shared" si="10"/>
        <v>0</v>
      </c>
      <c r="G51" s="79">
        <f>I214</f>
        <v>7380</v>
      </c>
      <c r="H51" s="79">
        <f t="shared" si="1"/>
        <v>0</v>
      </c>
      <c r="I51" s="34">
        <f t="shared" si="2"/>
        <v>7380</v>
      </c>
      <c r="K51" s="5" t="str">
        <f>K198</f>
        <v>P2P - Facility (Trade Receivable)</v>
      </c>
      <c r="L51" s="7" t="s">
        <v>368</v>
      </c>
      <c r="M51" s="79">
        <f>M214</f>
        <v>100000</v>
      </c>
      <c r="N51" s="79">
        <f t="shared" ref="N51:O51" si="11">N214</f>
        <v>0</v>
      </c>
      <c r="O51" s="79">
        <f t="shared" si="11"/>
        <v>0</v>
      </c>
      <c r="P51" s="79">
        <f>R214</f>
        <v>7380</v>
      </c>
      <c r="Q51" s="79">
        <f t="shared" si="3"/>
        <v>0</v>
      </c>
      <c r="R51" s="34">
        <f t="shared" si="4"/>
        <v>7380</v>
      </c>
      <c r="T51" s="5" t="s">
        <v>512</v>
      </c>
      <c r="U51" s="7" t="s">
        <v>368</v>
      </c>
      <c r="V51" s="79">
        <f>V214</f>
        <v>100000</v>
      </c>
      <c r="W51" s="79">
        <f t="shared" ref="W51:X51" si="12">W214</f>
        <v>50000</v>
      </c>
      <c r="X51" s="79">
        <f t="shared" si="12"/>
        <v>0</v>
      </c>
      <c r="Y51" s="79">
        <f>AA214</f>
        <v>6560</v>
      </c>
      <c r="Z51" s="79">
        <f t="shared" si="5"/>
        <v>0</v>
      </c>
      <c r="AA51" s="34">
        <f t="shared" si="6"/>
        <v>6560</v>
      </c>
      <c r="AC51" s="4"/>
      <c r="AD51" s="19"/>
    </row>
    <row r="52" spans="2:30" ht="25.5" customHeight="1">
      <c r="B52" s="39" t="s">
        <v>513</v>
      </c>
      <c r="C52" s="33"/>
      <c r="D52" s="35">
        <f>SUM(D43:D51)</f>
        <v>1200000</v>
      </c>
      <c r="E52" s="35">
        <f t="shared" ref="E52:I52" si="13">SUM(E43:E51)</f>
        <v>100000</v>
      </c>
      <c r="F52" s="35">
        <f t="shared" si="13"/>
        <v>14500</v>
      </c>
      <c r="G52" s="35">
        <f t="shared" si="13"/>
        <v>88835</v>
      </c>
      <c r="H52" s="35">
        <f t="shared" si="13"/>
        <v>174000</v>
      </c>
      <c r="I52" s="35">
        <f t="shared" si="13"/>
        <v>262835</v>
      </c>
      <c r="K52" s="39" t="s">
        <v>513</v>
      </c>
      <c r="L52" s="33"/>
      <c r="M52" s="35">
        <f>SUM(M43:M51)</f>
        <v>1200000</v>
      </c>
      <c r="N52" s="35">
        <f t="shared" ref="N52:R52" si="14">SUM(N43:N51)</f>
        <v>100000</v>
      </c>
      <c r="O52" s="35">
        <f t="shared" si="14"/>
        <v>14500</v>
      </c>
      <c r="P52" s="35">
        <f t="shared" si="14"/>
        <v>88835</v>
      </c>
      <c r="Q52" s="35">
        <f t="shared" si="14"/>
        <v>174000</v>
      </c>
      <c r="R52" s="35">
        <f t="shared" si="14"/>
        <v>262835</v>
      </c>
      <c r="T52" s="39" t="s">
        <v>513</v>
      </c>
      <c r="U52" s="33"/>
      <c r="V52" s="35">
        <f>SUM(V43:V51)</f>
        <v>300000</v>
      </c>
      <c r="W52" s="35">
        <f t="shared" ref="W52:AA52" si="15">SUM(W43:W51)</f>
        <v>250000</v>
      </c>
      <c r="X52" s="35">
        <f t="shared" si="15"/>
        <v>7000</v>
      </c>
      <c r="Y52" s="35">
        <f t="shared" si="15"/>
        <v>24680</v>
      </c>
      <c r="Z52" s="35">
        <f t="shared" si="15"/>
        <v>84000</v>
      </c>
      <c r="AA52" s="35">
        <f t="shared" si="15"/>
        <v>108680</v>
      </c>
      <c r="AD52" s="19">
        <f>'N.Margin (Ind. Benchmark)'!E23</f>
        <v>0</v>
      </c>
    </row>
    <row r="54" spans="2:30" s="20" customFormat="1" ht="41.4">
      <c r="B54" s="27" t="s">
        <v>9</v>
      </c>
      <c r="C54" s="3" t="s">
        <v>149</v>
      </c>
      <c r="D54" s="3" t="s">
        <v>444</v>
      </c>
      <c r="E54" s="3" t="s">
        <v>445</v>
      </c>
      <c r="F54" s="3" t="s">
        <v>446</v>
      </c>
      <c r="G54" s="3" t="s">
        <v>447</v>
      </c>
      <c r="H54" s="3" t="s">
        <v>448</v>
      </c>
      <c r="I54" s="3" t="s">
        <v>449</v>
      </c>
      <c r="K54" s="27" t="s">
        <v>9</v>
      </c>
      <c r="L54" s="3" t="s">
        <v>149</v>
      </c>
      <c r="M54" s="3" t="s">
        <v>444</v>
      </c>
      <c r="N54" s="3" t="s">
        <v>445</v>
      </c>
      <c r="O54" s="3" t="s">
        <v>446</v>
      </c>
      <c r="P54" s="3" t="s">
        <v>447</v>
      </c>
      <c r="Q54" s="3" t="s">
        <v>448</v>
      </c>
      <c r="R54" s="3" t="s">
        <v>449</v>
      </c>
      <c r="T54" s="27" t="s">
        <v>9</v>
      </c>
      <c r="U54" s="3" t="s">
        <v>149</v>
      </c>
      <c r="V54" s="3" t="s">
        <v>444</v>
      </c>
      <c r="W54" s="3" t="s">
        <v>445</v>
      </c>
      <c r="X54" s="3" t="s">
        <v>446</v>
      </c>
      <c r="Y54" s="3" t="s">
        <v>447</v>
      </c>
      <c r="Z54" s="3" t="s">
        <v>448</v>
      </c>
      <c r="AA54" s="3" t="s">
        <v>449</v>
      </c>
    </row>
    <row r="55" spans="2:30">
      <c r="B55" s="5" t="s">
        <v>390</v>
      </c>
      <c r="C55" s="5" t="s">
        <v>382</v>
      </c>
      <c r="D55" s="11">
        <v>750000</v>
      </c>
      <c r="E55" s="29"/>
      <c r="F55" s="29"/>
      <c r="G55" s="22">
        <v>0.09</v>
      </c>
      <c r="H55" s="23">
        <v>0.75</v>
      </c>
      <c r="I55" s="75">
        <f>D55*G55*H55</f>
        <v>50625</v>
      </c>
      <c r="K55" s="5" t="s">
        <v>390</v>
      </c>
      <c r="L55" s="5" t="s">
        <v>382</v>
      </c>
      <c r="M55" s="11">
        <v>750000</v>
      </c>
      <c r="N55" s="29"/>
      <c r="O55" s="29"/>
      <c r="P55" s="22">
        <v>0.09</v>
      </c>
      <c r="Q55" s="23">
        <v>0.75</v>
      </c>
      <c r="R55" s="75">
        <f>M55*P55*Q55</f>
        <v>50625</v>
      </c>
      <c r="T55" s="41" t="s">
        <v>514</v>
      </c>
      <c r="U55" s="41" t="s">
        <v>355</v>
      </c>
      <c r="V55" s="40"/>
      <c r="W55" s="40"/>
      <c r="X55" s="29"/>
      <c r="Y55" s="22">
        <v>0.09</v>
      </c>
      <c r="Z55" s="23">
        <v>0.75</v>
      </c>
      <c r="AA55" s="75">
        <f>V55*Y55*Z55</f>
        <v>0</v>
      </c>
      <c r="AC55" s="20"/>
    </row>
    <row r="56" spans="2:30">
      <c r="B56" s="5" t="s">
        <v>383</v>
      </c>
      <c r="C56" s="5" t="s">
        <v>384</v>
      </c>
      <c r="D56" s="11"/>
      <c r="E56" s="29"/>
      <c r="F56" s="29"/>
      <c r="G56" s="22"/>
      <c r="H56" s="23">
        <v>0.75</v>
      </c>
      <c r="I56" s="75">
        <f t="shared" ref="I56:I69" si="16">D56*G56*H56</f>
        <v>0</v>
      </c>
      <c r="K56" s="5" t="s">
        <v>383</v>
      </c>
      <c r="L56" s="5" t="s">
        <v>384</v>
      </c>
      <c r="M56" s="11"/>
      <c r="N56" s="29"/>
      <c r="O56" s="29"/>
      <c r="P56" s="22"/>
      <c r="Q56" s="23">
        <v>0.75</v>
      </c>
      <c r="R56" s="75">
        <f t="shared" ref="R56:R69" si="17">M56*P56*Q56</f>
        <v>0</v>
      </c>
      <c r="T56" s="41" t="s">
        <v>514</v>
      </c>
      <c r="U56" s="41" t="s">
        <v>355</v>
      </c>
      <c r="V56" s="40"/>
      <c r="W56" s="40"/>
      <c r="X56" s="29"/>
      <c r="Y56" s="22"/>
      <c r="Z56" s="23">
        <v>0.75</v>
      </c>
      <c r="AA56" s="75">
        <f t="shared" ref="AA56:AA69" si="18">V56*Y56*Z56</f>
        <v>0</v>
      </c>
      <c r="AC56" s="20"/>
    </row>
    <row r="57" spans="2:30">
      <c r="B57" s="5" t="s">
        <v>383</v>
      </c>
      <c r="C57" s="5" t="s">
        <v>384</v>
      </c>
      <c r="D57" s="11"/>
      <c r="E57" s="29"/>
      <c r="F57" s="29"/>
      <c r="G57" s="22"/>
      <c r="H57" s="23">
        <v>0.75</v>
      </c>
      <c r="I57" s="75">
        <f t="shared" si="16"/>
        <v>0</v>
      </c>
      <c r="K57" s="5" t="s">
        <v>383</v>
      </c>
      <c r="L57" s="5" t="s">
        <v>384</v>
      </c>
      <c r="M57" s="11"/>
      <c r="N57" s="29"/>
      <c r="O57" s="29"/>
      <c r="P57" s="22"/>
      <c r="Q57" s="23">
        <v>0.75</v>
      </c>
      <c r="R57" s="75">
        <f t="shared" si="17"/>
        <v>0</v>
      </c>
      <c r="T57" s="41" t="s">
        <v>514</v>
      </c>
      <c r="U57" s="41" t="s">
        <v>355</v>
      </c>
      <c r="V57" s="40"/>
      <c r="W57" s="40"/>
      <c r="X57" s="29"/>
      <c r="Y57" s="22"/>
      <c r="Z57" s="23">
        <v>0.75</v>
      </c>
      <c r="AA57" s="75">
        <f t="shared" si="18"/>
        <v>0</v>
      </c>
    </row>
    <row r="58" spans="2:30">
      <c r="B58" s="5" t="s">
        <v>383</v>
      </c>
      <c r="C58" s="5" t="s">
        <v>384</v>
      </c>
      <c r="D58" s="11"/>
      <c r="E58" s="29"/>
      <c r="F58" s="29"/>
      <c r="G58" s="22"/>
      <c r="H58" s="23">
        <v>0.75</v>
      </c>
      <c r="I58" s="75">
        <f t="shared" si="16"/>
        <v>0</v>
      </c>
      <c r="K58" s="5" t="s">
        <v>383</v>
      </c>
      <c r="L58" s="5" t="s">
        <v>384</v>
      </c>
      <c r="M58" s="11"/>
      <c r="N58" s="29"/>
      <c r="O58" s="29"/>
      <c r="P58" s="22"/>
      <c r="Q58" s="23">
        <v>0.75</v>
      </c>
      <c r="R58" s="75">
        <f t="shared" si="17"/>
        <v>0</v>
      </c>
      <c r="T58" s="41" t="s">
        <v>514</v>
      </c>
      <c r="U58" s="41" t="s">
        <v>355</v>
      </c>
      <c r="V58" s="40"/>
      <c r="W58" s="40"/>
      <c r="X58" s="29"/>
      <c r="Y58" s="22"/>
      <c r="Z58" s="23">
        <v>0.75</v>
      </c>
      <c r="AA58" s="75">
        <f t="shared" si="18"/>
        <v>0</v>
      </c>
    </row>
    <row r="59" spans="2:30">
      <c r="B59" s="5" t="s">
        <v>383</v>
      </c>
      <c r="C59" s="5" t="s">
        <v>384</v>
      </c>
      <c r="D59" s="11"/>
      <c r="E59" s="29"/>
      <c r="F59" s="29"/>
      <c r="G59" s="22"/>
      <c r="H59" s="23">
        <v>0.75</v>
      </c>
      <c r="I59" s="75">
        <f t="shared" si="16"/>
        <v>0</v>
      </c>
      <c r="K59" s="5" t="s">
        <v>383</v>
      </c>
      <c r="L59" s="5" t="s">
        <v>384</v>
      </c>
      <c r="M59" s="11"/>
      <c r="N59" s="29"/>
      <c r="O59" s="29"/>
      <c r="P59" s="22"/>
      <c r="Q59" s="23">
        <v>0.75</v>
      </c>
      <c r="R59" s="75">
        <f t="shared" si="17"/>
        <v>0</v>
      </c>
      <c r="T59" s="41" t="s">
        <v>514</v>
      </c>
      <c r="U59" s="41" t="s">
        <v>355</v>
      </c>
      <c r="V59" s="40"/>
      <c r="W59" s="40"/>
      <c r="X59" s="29"/>
      <c r="Y59" s="22"/>
      <c r="Z59" s="23">
        <v>0.75</v>
      </c>
      <c r="AA59" s="75">
        <f t="shared" si="18"/>
        <v>0</v>
      </c>
    </row>
    <row r="60" spans="2:30">
      <c r="B60" s="5" t="s">
        <v>383</v>
      </c>
      <c r="C60" s="5" t="s">
        <v>384</v>
      </c>
      <c r="D60" s="11"/>
      <c r="E60" s="29"/>
      <c r="F60" s="29"/>
      <c r="G60" s="22"/>
      <c r="H60" s="23">
        <v>0.75</v>
      </c>
      <c r="I60" s="75">
        <f t="shared" si="16"/>
        <v>0</v>
      </c>
      <c r="K60" s="5" t="s">
        <v>383</v>
      </c>
      <c r="L60" s="5" t="s">
        <v>384</v>
      </c>
      <c r="M60" s="11"/>
      <c r="N60" s="29"/>
      <c r="O60" s="29"/>
      <c r="P60" s="22"/>
      <c r="Q60" s="23">
        <v>0.75</v>
      </c>
      <c r="R60" s="75">
        <f t="shared" si="17"/>
        <v>0</v>
      </c>
      <c r="T60" s="41" t="s">
        <v>514</v>
      </c>
      <c r="U60" s="41" t="s">
        <v>355</v>
      </c>
      <c r="V60" s="40"/>
      <c r="W60" s="40"/>
      <c r="X60" s="29"/>
      <c r="Y60" s="22"/>
      <c r="Z60" s="23">
        <v>0.75</v>
      </c>
      <c r="AA60" s="75">
        <f t="shared" si="18"/>
        <v>0</v>
      </c>
    </row>
    <row r="61" spans="2:30">
      <c r="B61" s="5" t="s">
        <v>383</v>
      </c>
      <c r="C61" s="5" t="s">
        <v>384</v>
      </c>
      <c r="D61" s="11"/>
      <c r="E61" s="29"/>
      <c r="F61" s="29"/>
      <c r="G61" s="22"/>
      <c r="H61" s="23">
        <v>0.75</v>
      </c>
      <c r="I61" s="75">
        <f t="shared" si="16"/>
        <v>0</v>
      </c>
      <c r="K61" s="5" t="s">
        <v>383</v>
      </c>
      <c r="L61" s="5" t="s">
        <v>384</v>
      </c>
      <c r="M61" s="11"/>
      <c r="N61" s="29"/>
      <c r="O61" s="29"/>
      <c r="P61" s="22"/>
      <c r="Q61" s="23">
        <v>0.75</v>
      </c>
      <c r="R61" s="75">
        <f t="shared" si="17"/>
        <v>0</v>
      </c>
      <c r="T61" s="41" t="s">
        <v>514</v>
      </c>
      <c r="U61" s="41" t="s">
        <v>355</v>
      </c>
      <c r="V61" s="40"/>
      <c r="W61" s="40"/>
      <c r="X61" s="29"/>
      <c r="Y61" s="22"/>
      <c r="Z61" s="23">
        <v>0.75</v>
      </c>
      <c r="AA61" s="75">
        <f t="shared" si="18"/>
        <v>0</v>
      </c>
    </row>
    <row r="62" spans="2:30">
      <c r="B62" s="5" t="s">
        <v>383</v>
      </c>
      <c r="C62" s="5" t="s">
        <v>384</v>
      </c>
      <c r="D62" s="11"/>
      <c r="E62" s="29"/>
      <c r="F62" s="29"/>
      <c r="G62" s="22"/>
      <c r="H62" s="23">
        <v>0.75</v>
      </c>
      <c r="I62" s="75">
        <f t="shared" si="16"/>
        <v>0</v>
      </c>
      <c r="K62" s="5" t="s">
        <v>383</v>
      </c>
      <c r="L62" s="5" t="s">
        <v>384</v>
      </c>
      <c r="M62" s="11"/>
      <c r="N62" s="29"/>
      <c r="O62" s="29"/>
      <c r="P62" s="22"/>
      <c r="Q62" s="23">
        <v>0.75</v>
      </c>
      <c r="R62" s="75">
        <f t="shared" si="17"/>
        <v>0</v>
      </c>
      <c r="T62" s="41" t="s">
        <v>514</v>
      </c>
      <c r="U62" s="41" t="s">
        <v>355</v>
      </c>
      <c r="V62" s="40"/>
      <c r="W62" s="40"/>
      <c r="X62" s="29"/>
      <c r="Y62" s="22"/>
      <c r="Z62" s="23">
        <v>0.75</v>
      </c>
      <c r="AA62" s="75">
        <f t="shared" si="18"/>
        <v>0</v>
      </c>
    </row>
    <row r="63" spans="2:30">
      <c r="B63" s="5" t="s">
        <v>383</v>
      </c>
      <c r="C63" s="5" t="s">
        <v>384</v>
      </c>
      <c r="D63" s="11"/>
      <c r="E63" s="29"/>
      <c r="F63" s="29"/>
      <c r="G63" s="22"/>
      <c r="H63" s="23">
        <v>0.75</v>
      </c>
      <c r="I63" s="75">
        <f t="shared" si="16"/>
        <v>0</v>
      </c>
      <c r="K63" s="5" t="s">
        <v>383</v>
      </c>
      <c r="L63" s="5" t="s">
        <v>384</v>
      </c>
      <c r="M63" s="11"/>
      <c r="N63" s="29"/>
      <c r="O63" s="29"/>
      <c r="P63" s="22"/>
      <c r="Q63" s="23">
        <v>0.75</v>
      </c>
      <c r="R63" s="75">
        <f t="shared" si="17"/>
        <v>0</v>
      </c>
      <c r="T63" s="41" t="s">
        <v>514</v>
      </c>
      <c r="U63" s="41" t="s">
        <v>355</v>
      </c>
      <c r="V63" s="40"/>
      <c r="W63" s="40"/>
      <c r="X63" s="29"/>
      <c r="Y63" s="22"/>
      <c r="Z63" s="23">
        <v>0.75</v>
      </c>
      <c r="AA63" s="75">
        <f t="shared" si="18"/>
        <v>0</v>
      </c>
    </row>
    <row r="64" spans="2:30">
      <c r="B64" s="5" t="s">
        <v>383</v>
      </c>
      <c r="C64" s="5" t="s">
        <v>384</v>
      </c>
      <c r="D64" s="11"/>
      <c r="E64" s="29"/>
      <c r="F64" s="29"/>
      <c r="G64" s="22"/>
      <c r="H64" s="23">
        <v>0.75</v>
      </c>
      <c r="I64" s="75">
        <f t="shared" si="16"/>
        <v>0</v>
      </c>
      <c r="K64" s="5" t="s">
        <v>383</v>
      </c>
      <c r="L64" s="5" t="s">
        <v>384</v>
      </c>
      <c r="M64" s="11"/>
      <c r="N64" s="29"/>
      <c r="O64" s="29"/>
      <c r="P64" s="22"/>
      <c r="Q64" s="23">
        <v>0.75</v>
      </c>
      <c r="R64" s="75">
        <f t="shared" si="17"/>
        <v>0</v>
      </c>
      <c r="T64" s="41" t="s">
        <v>514</v>
      </c>
      <c r="U64" s="41" t="s">
        <v>355</v>
      </c>
      <c r="V64" s="40"/>
      <c r="W64" s="40"/>
      <c r="X64" s="29"/>
      <c r="Y64" s="22"/>
      <c r="Z64" s="23">
        <v>0.75</v>
      </c>
      <c r="AA64" s="75">
        <f t="shared" si="18"/>
        <v>0</v>
      </c>
    </row>
    <row r="65" spans="2:27">
      <c r="B65" s="5" t="s">
        <v>383</v>
      </c>
      <c r="C65" s="5" t="s">
        <v>384</v>
      </c>
      <c r="D65" s="11"/>
      <c r="E65" s="29"/>
      <c r="F65" s="29"/>
      <c r="G65" s="22"/>
      <c r="H65" s="23">
        <v>0.75</v>
      </c>
      <c r="I65" s="75">
        <f t="shared" si="16"/>
        <v>0</v>
      </c>
      <c r="K65" s="5" t="s">
        <v>383</v>
      </c>
      <c r="L65" s="5" t="s">
        <v>384</v>
      </c>
      <c r="M65" s="11"/>
      <c r="N65" s="29"/>
      <c r="O65" s="29"/>
      <c r="P65" s="22"/>
      <c r="Q65" s="23">
        <v>0.75</v>
      </c>
      <c r="R65" s="75">
        <f t="shared" si="17"/>
        <v>0</v>
      </c>
      <c r="T65" s="41" t="s">
        <v>514</v>
      </c>
      <c r="U65" s="41" t="s">
        <v>355</v>
      </c>
      <c r="V65" s="40"/>
      <c r="W65" s="40"/>
      <c r="X65" s="29"/>
      <c r="Y65" s="22"/>
      <c r="Z65" s="23">
        <v>0.75</v>
      </c>
      <c r="AA65" s="75">
        <f t="shared" si="18"/>
        <v>0</v>
      </c>
    </row>
    <row r="66" spans="2:27">
      <c r="B66" s="5" t="s">
        <v>383</v>
      </c>
      <c r="C66" s="5" t="s">
        <v>384</v>
      </c>
      <c r="D66" s="11"/>
      <c r="E66" s="29"/>
      <c r="F66" s="29"/>
      <c r="G66" s="22"/>
      <c r="H66" s="23">
        <v>0.75</v>
      </c>
      <c r="I66" s="75">
        <f t="shared" si="16"/>
        <v>0</v>
      </c>
      <c r="K66" s="5" t="s">
        <v>383</v>
      </c>
      <c r="L66" s="5" t="s">
        <v>384</v>
      </c>
      <c r="M66" s="11"/>
      <c r="N66" s="29"/>
      <c r="O66" s="29"/>
      <c r="P66" s="22"/>
      <c r="Q66" s="23">
        <v>0.75</v>
      </c>
      <c r="R66" s="75">
        <f t="shared" si="17"/>
        <v>0</v>
      </c>
      <c r="T66" s="41" t="s">
        <v>514</v>
      </c>
      <c r="U66" s="41" t="s">
        <v>355</v>
      </c>
      <c r="V66" s="40"/>
      <c r="W66" s="40"/>
      <c r="X66" s="29"/>
      <c r="Y66" s="22"/>
      <c r="Z66" s="23">
        <v>0.75</v>
      </c>
      <c r="AA66" s="75">
        <f t="shared" si="18"/>
        <v>0</v>
      </c>
    </row>
    <row r="67" spans="2:27">
      <c r="B67" s="5" t="s">
        <v>383</v>
      </c>
      <c r="C67" s="5" t="s">
        <v>384</v>
      </c>
      <c r="D67" s="11"/>
      <c r="E67" s="29"/>
      <c r="F67" s="29"/>
      <c r="G67" s="22"/>
      <c r="H67" s="23">
        <v>0.75</v>
      </c>
      <c r="I67" s="75">
        <f t="shared" si="16"/>
        <v>0</v>
      </c>
      <c r="K67" s="5" t="s">
        <v>383</v>
      </c>
      <c r="L67" s="5" t="s">
        <v>384</v>
      </c>
      <c r="M67" s="11"/>
      <c r="N67" s="29"/>
      <c r="O67" s="29"/>
      <c r="P67" s="22"/>
      <c r="Q67" s="23">
        <v>0.75</v>
      </c>
      <c r="R67" s="75">
        <f t="shared" si="17"/>
        <v>0</v>
      </c>
      <c r="T67" s="41" t="s">
        <v>514</v>
      </c>
      <c r="U67" s="41" t="s">
        <v>355</v>
      </c>
      <c r="V67" s="40"/>
      <c r="W67" s="40"/>
      <c r="X67" s="29"/>
      <c r="Y67" s="22"/>
      <c r="Z67" s="23">
        <v>0.75</v>
      </c>
      <c r="AA67" s="75">
        <f t="shared" si="18"/>
        <v>0</v>
      </c>
    </row>
    <row r="68" spans="2:27">
      <c r="B68" s="5" t="s">
        <v>383</v>
      </c>
      <c r="C68" s="5" t="s">
        <v>384</v>
      </c>
      <c r="D68" s="11"/>
      <c r="E68" s="29"/>
      <c r="F68" s="29"/>
      <c r="G68" s="22"/>
      <c r="H68" s="23">
        <v>0.75</v>
      </c>
      <c r="I68" s="75">
        <f t="shared" si="16"/>
        <v>0</v>
      </c>
      <c r="K68" s="5" t="s">
        <v>383</v>
      </c>
      <c r="L68" s="5" t="s">
        <v>384</v>
      </c>
      <c r="M68" s="11"/>
      <c r="N68" s="29"/>
      <c r="O68" s="29"/>
      <c r="P68" s="22"/>
      <c r="Q68" s="23">
        <v>0.75</v>
      </c>
      <c r="R68" s="75">
        <f t="shared" si="17"/>
        <v>0</v>
      </c>
      <c r="T68" s="41" t="s">
        <v>514</v>
      </c>
      <c r="U68" s="41" t="s">
        <v>355</v>
      </c>
      <c r="V68" s="40"/>
      <c r="W68" s="40"/>
      <c r="X68" s="29"/>
      <c r="Y68" s="22"/>
      <c r="Z68" s="23">
        <v>0.75</v>
      </c>
      <c r="AA68" s="75">
        <f t="shared" si="18"/>
        <v>0</v>
      </c>
    </row>
    <row r="69" spans="2:27">
      <c r="B69" s="5" t="s">
        <v>383</v>
      </c>
      <c r="C69" s="5" t="s">
        <v>384</v>
      </c>
      <c r="D69" s="11"/>
      <c r="E69" s="29"/>
      <c r="F69" s="29"/>
      <c r="G69" s="22"/>
      <c r="H69" s="23">
        <v>0.75</v>
      </c>
      <c r="I69" s="75">
        <f t="shared" si="16"/>
        <v>0</v>
      </c>
      <c r="K69" s="5" t="s">
        <v>383</v>
      </c>
      <c r="L69" s="5" t="s">
        <v>384</v>
      </c>
      <c r="M69" s="11"/>
      <c r="N69" s="29"/>
      <c r="O69" s="29"/>
      <c r="P69" s="22"/>
      <c r="Q69" s="23">
        <v>0.75</v>
      </c>
      <c r="R69" s="75">
        <f t="shared" si="17"/>
        <v>0</v>
      </c>
      <c r="T69" s="41" t="s">
        <v>514</v>
      </c>
      <c r="U69" s="41" t="s">
        <v>355</v>
      </c>
      <c r="V69" s="40"/>
      <c r="W69" s="40"/>
      <c r="X69" s="29"/>
      <c r="Y69" s="22"/>
      <c r="Z69" s="23">
        <v>0.75</v>
      </c>
      <c r="AA69" s="75">
        <f t="shared" si="18"/>
        <v>0</v>
      </c>
    </row>
    <row r="70" spans="2:27" s="24" customFormat="1">
      <c r="B70" s="8" t="s">
        <v>386</v>
      </c>
      <c r="C70" s="25"/>
      <c r="D70" s="28">
        <f>SUM(D55:D69)</f>
        <v>750000</v>
      </c>
      <c r="E70" s="30"/>
      <c r="F70" s="30"/>
      <c r="G70" s="25"/>
      <c r="H70" s="26"/>
      <c r="I70" s="28">
        <f>SUM(I55:I69)</f>
        <v>50625</v>
      </c>
      <c r="K70" s="8" t="s">
        <v>386</v>
      </c>
      <c r="L70" s="25"/>
      <c r="M70" s="28">
        <f>SUM(M55:M69)</f>
        <v>750000</v>
      </c>
      <c r="N70" s="30"/>
      <c r="O70" s="30"/>
      <c r="P70" s="25"/>
      <c r="Q70" s="26"/>
      <c r="R70" s="28">
        <f>SUM(R55:R69)</f>
        <v>50625</v>
      </c>
      <c r="T70" s="8" t="s">
        <v>386</v>
      </c>
      <c r="U70" s="25"/>
      <c r="V70" s="28">
        <f>SUM(V55:V69)</f>
        <v>0</v>
      </c>
      <c r="W70" s="28">
        <f>SUM(W55:W69)</f>
        <v>0</v>
      </c>
      <c r="X70" s="30"/>
      <c r="Y70" s="25"/>
      <c r="Z70" s="26"/>
      <c r="AA70" s="28">
        <f>SUM(AA55:AA69)</f>
        <v>0</v>
      </c>
    </row>
    <row r="72" spans="2:27" s="20" customFormat="1" ht="41.4">
      <c r="B72" s="27" t="s">
        <v>11</v>
      </c>
      <c r="C72" s="3" t="str">
        <f>C$54</f>
        <v>Source</v>
      </c>
      <c r="D72" s="3" t="str">
        <f t="shared" ref="D72:I72" si="19">D$54</f>
        <v>Limit (A)</v>
      </c>
      <c r="E72" s="3" t="str">
        <f t="shared" si="19"/>
        <v>Outstanding (A1)</v>
      </c>
      <c r="F72" s="3" t="str">
        <f t="shared" si="19"/>
        <v>Monthly Repayment (B)</v>
      </c>
      <c r="G72" s="3" t="str">
        <f t="shared" si="19"/>
        <v>Interest Rate (C)</v>
      </c>
      <c r="H72" s="3" t="str">
        <f t="shared" si="19"/>
        <v>Factor (D)</v>
      </c>
      <c r="I72" s="3" t="str">
        <f t="shared" si="19"/>
        <v>Interest (E) = (A or A1) * (C) * (D)</v>
      </c>
      <c r="K72" s="27" t="s">
        <v>11</v>
      </c>
      <c r="L72" s="3" t="str">
        <f>L$54</f>
        <v>Source</v>
      </c>
      <c r="M72" s="3" t="str">
        <f t="shared" ref="M72:R72" si="20">M$54</f>
        <v>Limit (A)</v>
      </c>
      <c r="N72" s="3" t="str">
        <f t="shared" si="20"/>
        <v>Outstanding (A1)</v>
      </c>
      <c r="O72" s="3" t="str">
        <f t="shared" si="20"/>
        <v>Monthly Repayment (B)</v>
      </c>
      <c r="P72" s="3" t="str">
        <f t="shared" si="20"/>
        <v>Interest Rate (C)</v>
      </c>
      <c r="Q72" s="3" t="str">
        <f t="shared" si="20"/>
        <v>Factor (D)</v>
      </c>
      <c r="R72" s="3" t="str">
        <f t="shared" si="20"/>
        <v>Interest (E) = (A or A1) * (C) * (D)</v>
      </c>
      <c r="T72" s="27" t="s">
        <v>11</v>
      </c>
      <c r="U72" s="3" t="str">
        <f>U$54</f>
        <v>Source</v>
      </c>
      <c r="V72" s="3" t="str">
        <f t="shared" ref="V72:AA72" si="21">V$54</f>
        <v>Limit (A)</v>
      </c>
      <c r="W72" s="3" t="str">
        <f t="shared" si="21"/>
        <v>Outstanding (A1)</v>
      </c>
      <c r="X72" s="3" t="str">
        <f t="shared" si="21"/>
        <v>Monthly Repayment (B)</v>
      </c>
      <c r="Y72" s="3" t="str">
        <f t="shared" si="21"/>
        <v>Interest Rate (C)</v>
      </c>
      <c r="Z72" s="3" t="str">
        <f t="shared" si="21"/>
        <v>Factor (D)</v>
      </c>
      <c r="AA72" s="3" t="str">
        <f t="shared" si="21"/>
        <v>Interest (E) = (A or A1) * (C) * (D)</v>
      </c>
    </row>
    <row r="73" spans="2:27">
      <c r="B73" s="5" t="s">
        <v>537</v>
      </c>
      <c r="C73" s="5" t="s">
        <v>382</v>
      </c>
      <c r="D73" s="29"/>
      <c r="E73" s="29"/>
      <c r="F73" s="11">
        <v>7500</v>
      </c>
      <c r="G73" s="31"/>
      <c r="H73" s="32"/>
      <c r="I73" s="29"/>
      <c r="K73" s="5" t="s">
        <v>537</v>
      </c>
      <c r="L73" s="5" t="s">
        <v>382</v>
      </c>
      <c r="M73" s="29"/>
      <c r="N73" s="29"/>
      <c r="O73" s="11">
        <v>7500</v>
      </c>
      <c r="P73" s="31"/>
      <c r="Q73" s="32"/>
      <c r="R73" s="29"/>
      <c r="T73" s="41" t="s">
        <v>514</v>
      </c>
      <c r="U73" s="41" t="s">
        <v>355</v>
      </c>
      <c r="V73" s="40"/>
      <c r="W73" s="40"/>
      <c r="X73" s="40"/>
      <c r="Y73" s="31"/>
      <c r="Z73" s="32"/>
      <c r="AA73" s="29"/>
    </row>
    <row r="74" spans="2:27">
      <c r="B74" s="5" t="s">
        <v>383</v>
      </c>
      <c r="C74" s="5" t="s">
        <v>384</v>
      </c>
      <c r="D74" s="29"/>
      <c r="E74" s="29"/>
      <c r="F74" s="11"/>
      <c r="G74" s="31"/>
      <c r="H74" s="32"/>
      <c r="I74" s="29"/>
      <c r="K74" s="5" t="s">
        <v>383</v>
      </c>
      <c r="L74" s="5" t="s">
        <v>384</v>
      </c>
      <c r="M74" s="29"/>
      <c r="N74" s="29"/>
      <c r="O74" s="11"/>
      <c r="P74" s="31"/>
      <c r="Q74" s="32"/>
      <c r="R74" s="29"/>
      <c r="T74" s="41" t="s">
        <v>514</v>
      </c>
      <c r="U74" s="41" t="s">
        <v>355</v>
      </c>
      <c r="V74" s="40"/>
      <c r="W74" s="40"/>
      <c r="X74" s="40"/>
      <c r="Y74" s="31"/>
      <c r="Z74" s="32"/>
      <c r="AA74" s="29"/>
    </row>
    <row r="75" spans="2:27">
      <c r="B75" s="5" t="s">
        <v>383</v>
      </c>
      <c r="C75" s="5" t="s">
        <v>384</v>
      </c>
      <c r="D75" s="29"/>
      <c r="E75" s="29"/>
      <c r="F75" s="11"/>
      <c r="G75" s="31"/>
      <c r="H75" s="32"/>
      <c r="I75" s="29"/>
      <c r="K75" s="5" t="s">
        <v>383</v>
      </c>
      <c r="L75" s="5" t="s">
        <v>384</v>
      </c>
      <c r="M75" s="29"/>
      <c r="N75" s="29"/>
      <c r="O75" s="11"/>
      <c r="P75" s="31"/>
      <c r="Q75" s="32"/>
      <c r="R75" s="29"/>
      <c r="T75" s="41" t="s">
        <v>514</v>
      </c>
      <c r="U75" s="41" t="s">
        <v>355</v>
      </c>
      <c r="V75" s="40"/>
      <c r="W75" s="40"/>
      <c r="X75" s="40"/>
      <c r="Y75" s="31"/>
      <c r="Z75" s="32"/>
      <c r="AA75" s="29"/>
    </row>
    <row r="76" spans="2:27">
      <c r="B76" s="5" t="s">
        <v>383</v>
      </c>
      <c r="C76" s="5" t="s">
        <v>384</v>
      </c>
      <c r="D76" s="29"/>
      <c r="E76" s="29"/>
      <c r="F76" s="11"/>
      <c r="G76" s="31"/>
      <c r="H76" s="32"/>
      <c r="I76" s="29"/>
      <c r="K76" s="5" t="s">
        <v>383</v>
      </c>
      <c r="L76" s="5" t="s">
        <v>384</v>
      </c>
      <c r="M76" s="29"/>
      <c r="N76" s="29"/>
      <c r="O76" s="11"/>
      <c r="P76" s="31"/>
      <c r="Q76" s="32"/>
      <c r="R76" s="29"/>
      <c r="T76" s="41" t="s">
        <v>514</v>
      </c>
      <c r="U76" s="41" t="s">
        <v>355</v>
      </c>
      <c r="V76" s="40"/>
      <c r="W76" s="40"/>
      <c r="X76" s="40"/>
      <c r="Y76" s="31"/>
      <c r="Z76" s="32"/>
      <c r="AA76" s="29"/>
    </row>
    <row r="77" spans="2:27">
      <c r="B77" s="5" t="s">
        <v>383</v>
      </c>
      <c r="C77" s="5" t="s">
        <v>384</v>
      </c>
      <c r="D77" s="29"/>
      <c r="E77" s="29"/>
      <c r="F77" s="11"/>
      <c r="G77" s="31"/>
      <c r="H77" s="32"/>
      <c r="I77" s="29"/>
      <c r="K77" s="5" t="s">
        <v>383</v>
      </c>
      <c r="L77" s="5" t="s">
        <v>384</v>
      </c>
      <c r="M77" s="29"/>
      <c r="N77" s="29"/>
      <c r="O77" s="11"/>
      <c r="P77" s="31"/>
      <c r="Q77" s="32"/>
      <c r="R77" s="29"/>
      <c r="T77" s="41" t="s">
        <v>514</v>
      </c>
      <c r="U77" s="41" t="s">
        <v>355</v>
      </c>
      <c r="V77" s="40"/>
      <c r="W77" s="40"/>
      <c r="X77" s="40"/>
      <c r="Y77" s="31"/>
      <c r="Z77" s="32"/>
      <c r="AA77" s="29"/>
    </row>
    <row r="78" spans="2:27">
      <c r="B78" s="5" t="s">
        <v>383</v>
      </c>
      <c r="C78" s="5" t="s">
        <v>384</v>
      </c>
      <c r="D78" s="29"/>
      <c r="E78" s="29"/>
      <c r="F78" s="11"/>
      <c r="G78" s="31"/>
      <c r="H78" s="32"/>
      <c r="I78" s="29"/>
      <c r="K78" s="5" t="s">
        <v>383</v>
      </c>
      <c r="L78" s="5" t="s">
        <v>384</v>
      </c>
      <c r="M78" s="29"/>
      <c r="N78" s="29"/>
      <c r="O78" s="11"/>
      <c r="P78" s="31"/>
      <c r="Q78" s="32"/>
      <c r="R78" s="29"/>
      <c r="T78" s="41" t="s">
        <v>514</v>
      </c>
      <c r="U78" s="41" t="s">
        <v>355</v>
      </c>
      <c r="V78" s="40"/>
      <c r="W78" s="40"/>
      <c r="X78" s="40"/>
      <c r="Y78" s="31"/>
      <c r="Z78" s="32"/>
      <c r="AA78" s="29"/>
    </row>
    <row r="79" spans="2:27">
      <c r="B79" s="5" t="s">
        <v>383</v>
      </c>
      <c r="C79" s="5" t="s">
        <v>384</v>
      </c>
      <c r="D79" s="29"/>
      <c r="E79" s="29"/>
      <c r="F79" s="11"/>
      <c r="G79" s="31"/>
      <c r="H79" s="32"/>
      <c r="I79" s="29"/>
      <c r="K79" s="5" t="s">
        <v>383</v>
      </c>
      <c r="L79" s="5" t="s">
        <v>384</v>
      </c>
      <c r="M79" s="29"/>
      <c r="N79" s="29"/>
      <c r="O79" s="11"/>
      <c r="P79" s="31"/>
      <c r="Q79" s="32"/>
      <c r="R79" s="29"/>
      <c r="T79" s="41" t="s">
        <v>514</v>
      </c>
      <c r="U79" s="41" t="s">
        <v>355</v>
      </c>
      <c r="V79" s="40"/>
      <c r="W79" s="40"/>
      <c r="X79" s="40"/>
      <c r="Y79" s="31"/>
      <c r="Z79" s="32"/>
      <c r="AA79" s="29"/>
    </row>
    <row r="80" spans="2:27">
      <c r="B80" s="5" t="s">
        <v>383</v>
      </c>
      <c r="C80" s="5" t="s">
        <v>384</v>
      </c>
      <c r="D80" s="29"/>
      <c r="E80" s="29"/>
      <c r="F80" s="11"/>
      <c r="G80" s="31"/>
      <c r="H80" s="32"/>
      <c r="I80" s="29"/>
      <c r="K80" s="5" t="s">
        <v>383</v>
      </c>
      <c r="L80" s="5" t="s">
        <v>384</v>
      </c>
      <c r="M80" s="29"/>
      <c r="N80" s="29"/>
      <c r="O80" s="11"/>
      <c r="P80" s="31"/>
      <c r="Q80" s="32"/>
      <c r="R80" s="29"/>
      <c r="T80" s="41" t="s">
        <v>514</v>
      </c>
      <c r="U80" s="41" t="s">
        <v>355</v>
      </c>
      <c r="V80" s="40"/>
      <c r="W80" s="40"/>
      <c r="X80" s="40"/>
      <c r="Y80" s="31"/>
      <c r="Z80" s="32"/>
      <c r="AA80" s="29"/>
    </row>
    <row r="81" spans="2:27">
      <c r="B81" s="5" t="s">
        <v>383</v>
      </c>
      <c r="C81" s="5" t="s">
        <v>384</v>
      </c>
      <c r="D81" s="29"/>
      <c r="E81" s="29"/>
      <c r="F81" s="11"/>
      <c r="G81" s="31"/>
      <c r="H81" s="32"/>
      <c r="I81" s="29"/>
      <c r="K81" s="5" t="s">
        <v>383</v>
      </c>
      <c r="L81" s="5" t="s">
        <v>384</v>
      </c>
      <c r="M81" s="29"/>
      <c r="N81" s="29"/>
      <c r="O81" s="11"/>
      <c r="P81" s="31"/>
      <c r="Q81" s="32"/>
      <c r="R81" s="29"/>
      <c r="T81" s="41" t="s">
        <v>514</v>
      </c>
      <c r="U81" s="41" t="s">
        <v>355</v>
      </c>
      <c r="V81" s="40"/>
      <c r="W81" s="40"/>
      <c r="X81" s="40"/>
      <c r="Y81" s="31"/>
      <c r="Z81" s="32"/>
      <c r="AA81" s="29"/>
    </row>
    <row r="82" spans="2:27">
      <c r="B82" s="5" t="s">
        <v>383</v>
      </c>
      <c r="C82" s="5" t="s">
        <v>384</v>
      </c>
      <c r="D82" s="29"/>
      <c r="E82" s="29"/>
      <c r="F82" s="11"/>
      <c r="G82" s="31"/>
      <c r="H82" s="32"/>
      <c r="I82" s="29"/>
      <c r="K82" s="5" t="s">
        <v>383</v>
      </c>
      <c r="L82" s="5" t="s">
        <v>384</v>
      </c>
      <c r="M82" s="29"/>
      <c r="N82" s="29"/>
      <c r="O82" s="11"/>
      <c r="P82" s="31"/>
      <c r="Q82" s="32"/>
      <c r="R82" s="29"/>
      <c r="T82" s="41" t="s">
        <v>514</v>
      </c>
      <c r="U82" s="41" t="s">
        <v>355</v>
      </c>
      <c r="V82" s="40"/>
      <c r="W82" s="40"/>
      <c r="X82" s="40"/>
      <c r="Y82" s="31"/>
      <c r="Z82" s="32"/>
      <c r="AA82" s="29"/>
    </row>
    <row r="83" spans="2:27">
      <c r="B83" s="5" t="s">
        <v>383</v>
      </c>
      <c r="C83" s="5" t="s">
        <v>384</v>
      </c>
      <c r="D83" s="29"/>
      <c r="E83" s="29"/>
      <c r="F83" s="11"/>
      <c r="G83" s="31"/>
      <c r="H83" s="32"/>
      <c r="I83" s="29"/>
      <c r="K83" s="5" t="s">
        <v>383</v>
      </c>
      <c r="L83" s="5" t="s">
        <v>384</v>
      </c>
      <c r="M83" s="29"/>
      <c r="N83" s="29"/>
      <c r="O83" s="11"/>
      <c r="P83" s="31"/>
      <c r="Q83" s="32"/>
      <c r="R83" s="29"/>
      <c r="T83" s="41" t="s">
        <v>514</v>
      </c>
      <c r="U83" s="41" t="s">
        <v>355</v>
      </c>
      <c r="V83" s="40"/>
      <c r="W83" s="40"/>
      <c r="X83" s="40"/>
      <c r="Y83" s="31"/>
      <c r="Z83" s="32"/>
      <c r="AA83" s="29"/>
    </row>
    <row r="84" spans="2:27">
      <c r="B84" s="5" t="s">
        <v>383</v>
      </c>
      <c r="C84" s="5" t="s">
        <v>384</v>
      </c>
      <c r="D84" s="29"/>
      <c r="E84" s="29"/>
      <c r="F84" s="11"/>
      <c r="G84" s="31"/>
      <c r="H84" s="32"/>
      <c r="I84" s="29"/>
      <c r="K84" s="5" t="s">
        <v>383</v>
      </c>
      <c r="L84" s="5" t="s">
        <v>384</v>
      </c>
      <c r="M84" s="29"/>
      <c r="N84" s="29"/>
      <c r="O84" s="11"/>
      <c r="P84" s="31"/>
      <c r="Q84" s="32"/>
      <c r="R84" s="29"/>
      <c r="T84" s="41" t="s">
        <v>514</v>
      </c>
      <c r="U84" s="41" t="s">
        <v>355</v>
      </c>
      <c r="V84" s="40"/>
      <c r="W84" s="40"/>
      <c r="X84" s="40"/>
      <c r="Y84" s="31"/>
      <c r="Z84" s="32"/>
      <c r="AA84" s="29"/>
    </row>
    <row r="85" spans="2:27">
      <c r="B85" s="5" t="s">
        <v>383</v>
      </c>
      <c r="C85" s="5" t="s">
        <v>384</v>
      </c>
      <c r="D85" s="29"/>
      <c r="E85" s="29"/>
      <c r="F85" s="11"/>
      <c r="G85" s="31"/>
      <c r="H85" s="32"/>
      <c r="I85" s="29"/>
      <c r="K85" s="5" t="s">
        <v>383</v>
      </c>
      <c r="L85" s="5" t="s">
        <v>384</v>
      </c>
      <c r="M85" s="29"/>
      <c r="N85" s="29"/>
      <c r="O85" s="11"/>
      <c r="P85" s="31"/>
      <c r="Q85" s="32"/>
      <c r="R85" s="29"/>
      <c r="T85" s="41" t="s">
        <v>514</v>
      </c>
      <c r="U85" s="41" t="s">
        <v>355</v>
      </c>
      <c r="V85" s="40"/>
      <c r="W85" s="40"/>
      <c r="X85" s="40"/>
      <c r="Y85" s="31"/>
      <c r="Z85" s="32"/>
      <c r="AA85" s="29"/>
    </row>
    <row r="86" spans="2:27">
      <c r="B86" s="5" t="s">
        <v>383</v>
      </c>
      <c r="C86" s="5" t="s">
        <v>384</v>
      </c>
      <c r="D86" s="29"/>
      <c r="E86" s="29"/>
      <c r="F86" s="11"/>
      <c r="G86" s="31"/>
      <c r="H86" s="32"/>
      <c r="I86" s="29"/>
      <c r="K86" s="5" t="s">
        <v>383</v>
      </c>
      <c r="L86" s="5" t="s">
        <v>384</v>
      </c>
      <c r="M86" s="29"/>
      <c r="N86" s="29"/>
      <c r="O86" s="11"/>
      <c r="P86" s="31"/>
      <c r="Q86" s="32"/>
      <c r="R86" s="29"/>
      <c r="T86" s="41" t="s">
        <v>514</v>
      </c>
      <c r="U86" s="41" t="s">
        <v>355</v>
      </c>
      <c r="V86" s="40"/>
      <c r="W86" s="40"/>
      <c r="X86" s="40"/>
      <c r="Y86" s="31"/>
      <c r="Z86" s="32"/>
      <c r="AA86" s="29"/>
    </row>
    <row r="87" spans="2:27">
      <c r="B87" s="5" t="s">
        <v>383</v>
      </c>
      <c r="C87" s="5" t="s">
        <v>384</v>
      </c>
      <c r="D87" s="29"/>
      <c r="E87" s="29"/>
      <c r="F87" s="11"/>
      <c r="G87" s="31"/>
      <c r="H87" s="32"/>
      <c r="I87" s="29"/>
      <c r="K87" s="5" t="s">
        <v>383</v>
      </c>
      <c r="L87" s="5" t="s">
        <v>384</v>
      </c>
      <c r="M87" s="29"/>
      <c r="N87" s="29"/>
      <c r="O87" s="11"/>
      <c r="P87" s="31"/>
      <c r="Q87" s="32"/>
      <c r="R87" s="29"/>
      <c r="T87" s="41" t="s">
        <v>514</v>
      </c>
      <c r="U87" s="41" t="s">
        <v>355</v>
      </c>
      <c r="V87" s="40"/>
      <c r="W87" s="40"/>
      <c r="X87" s="40"/>
      <c r="Y87" s="31"/>
      <c r="Z87" s="32"/>
      <c r="AA87" s="29"/>
    </row>
    <row r="88" spans="2:27" s="24" customFormat="1">
      <c r="B88" s="8" t="s">
        <v>515</v>
      </c>
      <c r="C88" s="25"/>
      <c r="D88" s="30"/>
      <c r="E88" s="30"/>
      <c r="F88" s="28">
        <f t="shared" ref="F88" si="22">SUM(F73:F87)</f>
        <v>7500</v>
      </c>
      <c r="G88" s="25"/>
      <c r="H88" s="26"/>
      <c r="I88" s="30"/>
      <c r="K88" s="8" t="s">
        <v>515</v>
      </c>
      <c r="L88" s="25"/>
      <c r="M88" s="30"/>
      <c r="N88" s="30"/>
      <c r="O88" s="28">
        <f t="shared" ref="O88" si="23">SUM(O73:O87)</f>
        <v>7500</v>
      </c>
      <c r="P88" s="25"/>
      <c r="Q88" s="26"/>
      <c r="R88" s="30"/>
      <c r="T88" s="8" t="s">
        <v>515</v>
      </c>
      <c r="U88" s="25"/>
      <c r="V88" s="28">
        <f t="shared" ref="V88:X88" si="24">SUM(V73:V87)</f>
        <v>0</v>
      </c>
      <c r="W88" s="28">
        <f t="shared" si="24"/>
        <v>0</v>
      </c>
      <c r="X88" s="28">
        <f t="shared" si="24"/>
        <v>0</v>
      </c>
      <c r="Y88" s="25"/>
      <c r="Z88" s="26"/>
      <c r="AA88" s="30"/>
    </row>
    <row r="90" spans="2:27" s="20" customFormat="1" ht="41.4">
      <c r="B90" s="27" t="s">
        <v>14</v>
      </c>
      <c r="C90" s="3" t="str">
        <f>C$54</f>
        <v>Source</v>
      </c>
      <c r="D90" s="3" t="str">
        <f t="shared" ref="D90:I90" si="25">D$54</f>
        <v>Limit (A)</v>
      </c>
      <c r="E90" s="3" t="str">
        <f t="shared" si="25"/>
        <v>Outstanding (A1)</v>
      </c>
      <c r="F90" s="3" t="str">
        <f t="shared" si="25"/>
        <v>Monthly Repayment (B)</v>
      </c>
      <c r="G90" s="3" t="str">
        <f t="shared" si="25"/>
        <v>Interest Rate (C)</v>
      </c>
      <c r="H90" s="3" t="str">
        <f t="shared" si="25"/>
        <v>Factor (D)</v>
      </c>
      <c r="I90" s="3" t="str">
        <f t="shared" si="25"/>
        <v>Interest (E) = (A or A1) * (C) * (D)</v>
      </c>
      <c r="K90" s="27" t="s">
        <v>14</v>
      </c>
      <c r="L90" s="3" t="str">
        <f>L$54</f>
        <v>Source</v>
      </c>
      <c r="M90" s="3" t="str">
        <f t="shared" ref="M90:R90" si="26">M$54</f>
        <v>Limit (A)</v>
      </c>
      <c r="N90" s="3" t="str">
        <f t="shared" si="26"/>
        <v>Outstanding (A1)</v>
      </c>
      <c r="O90" s="3" t="str">
        <f t="shared" si="26"/>
        <v>Monthly Repayment (B)</v>
      </c>
      <c r="P90" s="3" t="str">
        <f t="shared" si="26"/>
        <v>Interest Rate (C)</v>
      </c>
      <c r="Q90" s="3" t="str">
        <f t="shared" si="26"/>
        <v>Factor (D)</v>
      </c>
      <c r="R90" s="3" t="str">
        <f t="shared" si="26"/>
        <v>Interest (E) = (A or A1) * (C) * (D)</v>
      </c>
      <c r="T90" s="27" t="s">
        <v>14</v>
      </c>
      <c r="U90" s="3" t="str">
        <f>U$54</f>
        <v>Source</v>
      </c>
      <c r="V90" s="3" t="str">
        <f t="shared" ref="V90:AA90" si="27">V$54</f>
        <v>Limit (A)</v>
      </c>
      <c r="W90" s="3" t="str">
        <f t="shared" si="27"/>
        <v>Outstanding (A1)</v>
      </c>
      <c r="X90" s="3" t="str">
        <f t="shared" si="27"/>
        <v>Monthly Repayment (B)</v>
      </c>
      <c r="Y90" s="3" t="str">
        <f t="shared" si="27"/>
        <v>Interest Rate (C)</v>
      </c>
      <c r="Z90" s="3" t="str">
        <f t="shared" si="27"/>
        <v>Factor (D)</v>
      </c>
      <c r="AA90" s="3" t="str">
        <f t="shared" si="27"/>
        <v>Interest (E) = (A or A1) * (C) * (D)</v>
      </c>
    </row>
    <row r="91" spans="2:27">
      <c r="B91" s="5" t="s">
        <v>538</v>
      </c>
      <c r="C91" s="5" t="s">
        <v>382</v>
      </c>
      <c r="D91" s="11">
        <v>150000</v>
      </c>
      <c r="E91" s="11"/>
      <c r="F91" s="29"/>
      <c r="G91" s="22">
        <v>0.09</v>
      </c>
      <c r="H91" s="23">
        <v>0.82</v>
      </c>
      <c r="I91" s="75">
        <f>D91*G91*H91</f>
        <v>11070</v>
      </c>
      <c r="K91" s="5" t="s">
        <v>538</v>
      </c>
      <c r="L91" s="5" t="s">
        <v>382</v>
      </c>
      <c r="M91" s="11">
        <v>150000</v>
      </c>
      <c r="N91" s="11"/>
      <c r="O91" s="29"/>
      <c r="P91" s="22">
        <v>0.09</v>
      </c>
      <c r="Q91" s="23">
        <v>0.82</v>
      </c>
      <c r="R91" s="75">
        <f>M91*P91*Q91</f>
        <v>11070</v>
      </c>
      <c r="T91" s="41" t="s">
        <v>514</v>
      </c>
      <c r="U91" s="41" t="s">
        <v>355</v>
      </c>
      <c r="V91" s="40"/>
      <c r="W91" s="40"/>
      <c r="X91" s="29"/>
      <c r="Y91" s="22">
        <v>0.09</v>
      </c>
      <c r="Z91" s="23">
        <v>0.82</v>
      </c>
      <c r="AA91" s="75">
        <f>V91*Y91*Z91</f>
        <v>0</v>
      </c>
    </row>
    <row r="92" spans="2:27">
      <c r="B92" s="5" t="s">
        <v>383</v>
      </c>
      <c r="C92" s="5" t="s">
        <v>384</v>
      </c>
      <c r="D92" s="11"/>
      <c r="E92" s="11"/>
      <c r="F92" s="29"/>
      <c r="G92" s="22"/>
      <c r="H92" s="23">
        <v>0.82</v>
      </c>
      <c r="I92" s="75">
        <f t="shared" ref="I92:I105" si="28">D92*G92*H92</f>
        <v>0</v>
      </c>
      <c r="K92" s="5" t="s">
        <v>383</v>
      </c>
      <c r="L92" s="5" t="s">
        <v>384</v>
      </c>
      <c r="M92" s="11"/>
      <c r="N92" s="11"/>
      <c r="O92" s="29"/>
      <c r="P92" s="22"/>
      <c r="Q92" s="23">
        <v>0.82</v>
      </c>
      <c r="R92" s="75">
        <f t="shared" ref="R92:R105" si="29">M92*P92*Q92</f>
        <v>0</v>
      </c>
      <c r="T92" s="41" t="s">
        <v>514</v>
      </c>
      <c r="U92" s="41" t="s">
        <v>355</v>
      </c>
      <c r="V92" s="40"/>
      <c r="W92" s="40"/>
      <c r="X92" s="29"/>
      <c r="Y92" s="22"/>
      <c r="Z92" s="23">
        <v>0.82</v>
      </c>
      <c r="AA92" s="75">
        <f t="shared" ref="AA92:AA105" si="30">V92*Y92*Z92</f>
        <v>0</v>
      </c>
    </row>
    <row r="93" spans="2:27">
      <c r="B93" s="5" t="s">
        <v>383</v>
      </c>
      <c r="C93" s="5" t="s">
        <v>384</v>
      </c>
      <c r="D93" s="11"/>
      <c r="E93" s="11"/>
      <c r="F93" s="29"/>
      <c r="G93" s="22"/>
      <c r="H93" s="23">
        <v>0.82</v>
      </c>
      <c r="I93" s="75">
        <f t="shared" si="28"/>
        <v>0</v>
      </c>
      <c r="K93" s="5" t="s">
        <v>383</v>
      </c>
      <c r="L93" s="5" t="s">
        <v>384</v>
      </c>
      <c r="M93" s="11"/>
      <c r="N93" s="11"/>
      <c r="O93" s="29"/>
      <c r="P93" s="22"/>
      <c r="Q93" s="23">
        <v>0.82</v>
      </c>
      <c r="R93" s="75">
        <f t="shared" si="29"/>
        <v>0</v>
      </c>
      <c r="T93" s="41" t="s">
        <v>514</v>
      </c>
      <c r="U93" s="41" t="s">
        <v>355</v>
      </c>
      <c r="V93" s="40"/>
      <c r="W93" s="40"/>
      <c r="X93" s="29"/>
      <c r="Y93" s="22"/>
      <c r="Z93" s="23">
        <v>0.82</v>
      </c>
      <c r="AA93" s="75">
        <f t="shared" si="30"/>
        <v>0</v>
      </c>
    </row>
    <row r="94" spans="2:27">
      <c r="B94" s="5" t="s">
        <v>383</v>
      </c>
      <c r="C94" s="5" t="s">
        <v>384</v>
      </c>
      <c r="D94" s="11"/>
      <c r="E94" s="11"/>
      <c r="F94" s="29"/>
      <c r="G94" s="22"/>
      <c r="H94" s="23">
        <v>0.82</v>
      </c>
      <c r="I94" s="75">
        <f t="shared" si="28"/>
        <v>0</v>
      </c>
      <c r="K94" s="5" t="s">
        <v>383</v>
      </c>
      <c r="L94" s="5" t="s">
        <v>384</v>
      </c>
      <c r="M94" s="11"/>
      <c r="N94" s="11"/>
      <c r="O94" s="29"/>
      <c r="P94" s="22"/>
      <c r="Q94" s="23">
        <v>0.82</v>
      </c>
      <c r="R94" s="75">
        <f t="shared" si="29"/>
        <v>0</v>
      </c>
      <c r="T94" s="41" t="s">
        <v>514</v>
      </c>
      <c r="U94" s="41" t="s">
        <v>355</v>
      </c>
      <c r="V94" s="40"/>
      <c r="W94" s="40"/>
      <c r="X94" s="29"/>
      <c r="Y94" s="22"/>
      <c r="Z94" s="23">
        <v>0.82</v>
      </c>
      <c r="AA94" s="75">
        <f t="shared" si="30"/>
        <v>0</v>
      </c>
    </row>
    <row r="95" spans="2:27">
      <c r="B95" s="5" t="s">
        <v>383</v>
      </c>
      <c r="C95" s="5" t="s">
        <v>384</v>
      </c>
      <c r="D95" s="11"/>
      <c r="E95" s="11"/>
      <c r="F95" s="29"/>
      <c r="G95" s="22"/>
      <c r="H95" s="23">
        <v>0.82</v>
      </c>
      <c r="I95" s="75">
        <f t="shared" si="28"/>
        <v>0</v>
      </c>
      <c r="K95" s="5" t="s">
        <v>383</v>
      </c>
      <c r="L95" s="5" t="s">
        <v>384</v>
      </c>
      <c r="M95" s="11"/>
      <c r="N95" s="11"/>
      <c r="O95" s="29"/>
      <c r="P95" s="22"/>
      <c r="Q95" s="23">
        <v>0.82</v>
      </c>
      <c r="R95" s="75">
        <f t="shared" si="29"/>
        <v>0</v>
      </c>
      <c r="T95" s="41" t="s">
        <v>514</v>
      </c>
      <c r="U95" s="41" t="s">
        <v>355</v>
      </c>
      <c r="V95" s="40"/>
      <c r="W95" s="40"/>
      <c r="X95" s="29"/>
      <c r="Y95" s="22"/>
      <c r="Z95" s="23">
        <v>0.82</v>
      </c>
      <c r="AA95" s="75">
        <f t="shared" si="30"/>
        <v>0</v>
      </c>
    </row>
    <row r="96" spans="2:27">
      <c r="B96" s="5" t="s">
        <v>383</v>
      </c>
      <c r="C96" s="5" t="s">
        <v>384</v>
      </c>
      <c r="D96" s="11"/>
      <c r="E96" s="11"/>
      <c r="F96" s="29"/>
      <c r="G96" s="22"/>
      <c r="H96" s="23">
        <v>0.82</v>
      </c>
      <c r="I96" s="75">
        <f t="shared" si="28"/>
        <v>0</v>
      </c>
      <c r="K96" s="5" t="s">
        <v>383</v>
      </c>
      <c r="L96" s="5" t="s">
        <v>384</v>
      </c>
      <c r="M96" s="11"/>
      <c r="N96" s="11"/>
      <c r="O96" s="29"/>
      <c r="P96" s="22"/>
      <c r="Q96" s="23">
        <v>0.82</v>
      </c>
      <c r="R96" s="75">
        <f t="shared" si="29"/>
        <v>0</v>
      </c>
      <c r="T96" s="41" t="s">
        <v>514</v>
      </c>
      <c r="U96" s="41" t="s">
        <v>355</v>
      </c>
      <c r="V96" s="40"/>
      <c r="W96" s="40"/>
      <c r="X96" s="29"/>
      <c r="Y96" s="22"/>
      <c r="Z96" s="23">
        <v>0.82</v>
      </c>
      <c r="AA96" s="75">
        <f t="shared" si="30"/>
        <v>0</v>
      </c>
    </row>
    <row r="97" spans="2:27">
      <c r="B97" s="5" t="s">
        <v>383</v>
      </c>
      <c r="C97" s="5" t="s">
        <v>384</v>
      </c>
      <c r="D97" s="11"/>
      <c r="E97" s="11"/>
      <c r="F97" s="29"/>
      <c r="G97" s="22"/>
      <c r="H97" s="23">
        <v>0.82</v>
      </c>
      <c r="I97" s="75">
        <f t="shared" si="28"/>
        <v>0</v>
      </c>
      <c r="K97" s="5" t="s">
        <v>383</v>
      </c>
      <c r="L97" s="5" t="s">
        <v>384</v>
      </c>
      <c r="M97" s="11"/>
      <c r="N97" s="11"/>
      <c r="O97" s="29"/>
      <c r="P97" s="22"/>
      <c r="Q97" s="23">
        <v>0.82</v>
      </c>
      <c r="R97" s="75">
        <f t="shared" si="29"/>
        <v>0</v>
      </c>
      <c r="T97" s="41" t="s">
        <v>514</v>
      </c>
      <c r="U97" s="41" t="s">
        <v>355</v>
      </c>
      <c r="V97" s="40"/>
      <c r="W97" s="40"/>
      <c r="X97" s="29"/>
      <c r="Y97" s="22"/>
      <c r="Z97" s="23">
        <v>0.82</v>
      </c>
      <c r="AA97" s="75">
        <f t="shared" si="30"/>
        <v>0</v>
      </c>
    </row>
    <row r="98" spans="2:27">
      <c r="B98" s="5" t="s">
        <v>383</v>
      </c>
      <c r="C98" s="5" t="s">
        <v>384</v>
      </c>
      <c r="D98" s="11"/>
      <c r="E98" s="11"/>
      <c r="F98" s="29"/>
      <c r="G98" s="22"/>
      <c r="H98" s="23">
        <v>0.82</v>
      </c>
      <c r="I98" s="75">
        <f t="shared" si="28"/>
        <v>0</v>
      </c>
      <c r="K98" s="5" t="s">
        <v>383</v>
      </c>
      <c r="L98" s="5" t="s">
        <v>384</v>
      </c>
      <c r="M98" s="11"/>
      <c r="N98" s="11"/>
      <c r="O98" s="29"/>
      <c r="P98" s="22"/>
      <c r="Q98" s="23">
        <v>0.82</v>
      </c>
      <c r="R98" s="75">
        <f t="shared" si="29"/>
        <v>0</v>
      </c>
      <c r="T98" s="41" t="s">
        <v>514</v>
      </c>
      <c r="U98" s="41" t="s">
        <v>355</v>
      </c>
      <c r="V98" s="40"/>
      <c r="W98" s="40"/>
      <c r="X98" s="29"/>
      <c r="Y98" s="22"/>
      <c r="Z98" s="23">
        <v>0.82</v>
      </c>
      <c r="AA98" s="75">
        <f t="shared" si="30"/>
        <v>0</v>
      </c>
    </row>
    <row r="99" spans="2:27">
      <c r="B99" s="5" t="s">
        <v>383</v>
      </c>
      <c r="C99" s="5" t="s">
        <v>384</v>
      </c>
      <c r="D99" s="11"/>
      <c r="E99" s="11"/>
      <c r="F99" s="29"/>
      <c r="G99" s="22"/>
      <c r="H99" s="23">
        <v>0.82</v>
      </c>
      <c r="I99" s="75">
        <f t="shared" si="28"/>
        <v>0</v>
      </c>
      <c r="K99" s="5" t="s">
        <v>383</v>
      </c>
      <c r="L99" s="5" t="s">
        <v>384</v>
      </c>
      <c r="M99" s="11"/>
      <c r="N99" s="11"/>
      <c r="O99" s="29"/>
      <c r="P99" s="22"/>
      <c r="Q99" s="23">
        <v>0.82</v>
      </c>
      <c r="R99" s="75">
        <f t="shared" si="29"/>
        <v>0</v>
      </c>
      <c r="T99" s="41" t="s">
        <v>514</v>
      </c>
      <c r="U99" s="41" t="s">
        <v>355</v>
      </c>
      <c r="V99" s="40"/>
      <c r="W99" s="40"/>
      <c r="X99" s="29"/>
      <c r="Y99" s="22"/>
      <c r="Z99" s="23">
        <v>0.82</v>
      </c>
      <c r="AA99" s="75">
        <f t="shared" si="30"/>
        <v>0</v>
      </c>
    </row>
    <row r="100" spans="2:27">
      <c r="B100" s="5" t="s">
        <v>383</v>
      </c>
      <c r="C100" s="5" t="s">
        <v>384</v>
      </c>
      <c r="D100" s="11"/>
      <c r="E100" s="11"/>
      <c r="F100" s="29"/>
      <c r="G100" s="22"/>
      <c r="H100" s="23">
        <v>0.82</v>
      </c>
      <c r="I100" s="75">
        <f t="shared" si="28"/>
        <v>0</v>
      </c>
      <c r="K100" s="5" t="s">
        <v>383</v>
      </c>
      <c r="L100" s="5" t="s">
        <v>384</v>
      </c>
      <c r="M100" s="11"/>
      <c r="N100" s="11"/>
      <c r="O100" s="29"/>
      <c r="P100" s="22"/>
      <c r="Q100" s="23">
        <v>0.82</v>
      </c>
      <c r="R100" s="75">
        <f t="shared" si="29"/>
        <v>0</v>
      </c>
      <c r="T100" s="41" t="s">
        <v>514</v>
      </c>
      <c r="U100" s="41" t="s">
        <v>355</v>
      </c>
      <c r="V100" s="40"/>
      <c r="W100" s="40"/>
      <c r="X100" s="29"/>
      <c r="Y100" s="22"/>
      <c r="Z100" s="23">
        <v>0.82</v>
      </c>
      <c r="AA100" s="75">
        <f t="shared" si="30"/>
        <v>0</v>
      </c>
    </row>
    <row r="101" spans="2:27">
      <c r="B101" s="5" t="s">
        <v>383</v>
      </c>
      <c r="C101" s="5" t="s">
        <v>384</v>
      </c>
      <c r="D101" s="11"/>
      <c r="E101" s="11"/>
      <c r="F101" s="29"/>
      <c r="G101" s="22"/>
      <c r="H101" s="23">
        <v>0.82</v>
      </c>
      <c r="I101" s="75">
        <f t="shared" si="28"/>
        <v>0</v>
      </c>
      <c r="K101" s="5" t="s">
        <v>383</v>
      </c>
      <c r="L101" s="5" t="s">
        <v>384</v>
      </c>
      <c r="M101" s="11"/>
      <c r="N101" s="11"/>
      <c r="O101" s="29"/>
      <c r="P101" s="22"/>
      <c r="Q101" s="23">
        <v>0.82</v>
      </c>
      <c r="R101" s="75">
        <f t="shared" si="29"/>
        <v>0</v>
      </c>
      <c r="T101" s="41" t="s">
        <v>514</v>
      </c>
      <c r="U101" s="41" t="s">
        <v>355</v>
      </c>
      <c r="V101" s="40"/>
      <c r="W101" s="40"/>
      <c r="X101" s="29"/>
      <c r="Y101" s="22"/>
      <c r="Z101" s="23">
        <v>0.82</v>
      </c>
      <c r="AA101" s="75">
        <f t="shared" si="30"/>
        <v>0</v>
      </c>
    </row>
    <row r="102" spans="2:27">
      <c r="B102" s="5" t="s">
        <v>383</v>
      </c>
      <c r="C102" s="5" t="s">
        <v>384</v>
      </c>
      <c r="D102" s="11"/>
      <c r="E102" s="11"/>
      <c r="F102" s="29"/>
      <c r="G102" s="22"/>
      <c r="H102" s="23">
        <v>0.82</v>
      </c>
      <c r="I102" s="75">
        <f t="shared" si="28"/>
        <v>0</v>
      </c>
      <c r="K102" s="5" t="s">
        <v>383</v>
      </c>
      <c r="L102" s="5" t="s">
        <v>384</v>
      </c>
      <c r="M102" s="11"/>
      <c r="N102" s="11"/>
      <c r="O102" s="29"/>
      <c r="P102" s="22"/>
      <c r="Q102" s="23">
        <v>0.82</v>
      </c>
      <c r="R102" s="75">
        <f t="shared" si="29"/>
        <v>0</v>
      </c>
      <c r="T102" s="41" t="s">
        <v>514</v>
      </c>
      <c r="U102" s="41" t="s">
        <v>355</v>
      </c>
      <c r="V102" s="40"/>
      <c r="W102" s="40"/>
      <c r="X102" s="29"/>
      <c r="Y102" s="22"/>
      <c r="Z102" s="23">
        <v>0.82</v>
      </c>
      <c r="AA102" s="75">
        <f t="shared" si="30"/>
        <v>0</v>
      </c>
    </row>
    <row r="103" spans="2:27">
      <c r="B103" s="5" t="s">
        <v>383</v>
      </c>
      <c r="C103" s="5" t="s">
        <v>384</v>
      </c>
      <c r="D103" s="11"/>
      <c r="E103" s="11"/>
      <c r="F103" s="29"/>
      <c r="G103" s="22"/>
      <c r="H103" s="23">
        <v>0.82</v>
      </c>
      <c r="I103" s="75">
        <f t="shared" si="28"/>
        <v>0</v>
      </c>
      <c r="K103" s="5" t="s">
        <v>383</v>
      </c>
      <c r="L103" s="5" t="s">
        <v>384</v>
      </c>
      <c r="M103" s="11"/>
      <c r="N103" s="11"/>
      <c r="O103" s="29"/>
      <c r="P103" s="22"/>
      <c r="Q103" s="23">
        <v>0.82</v>
      </c>
      <c r="R103" s="75">
        <f t="shared" si="29"/>
        <v>0</v>
      </c>
      <c r="T103" s="41" t="s">
        <v>514</v>
      </c>
      <c r="U103" s="41" t="s">
        <v>355</v>
      </c>
      <c r="V103" s="40"/>
      <c r="W103" s="40"/>
      <c r="X103" s="29"/>
      <c r="Y103" s="22"/>
      <c r="Z103" s="23">
        <v>0.82</v>
      </c>
      <c r="AA103" s="75">
        <f t="shared" si="30"/>
        <v>0</v>
      </c>
    </row>
    <row r="104" spans="2:27">
      <c r="B104" s="5" t="s">
        <v>383</v>
      </c>
      <c r="C104" s="5" t="s">
        <v>384</v>
      </c>
      <c r="D104" s="11"/>
      <c r="E104" s="11"/>
      <c r="F104" s="29"/>
      <c r="G104" s="22"/>
      <c r="H104" s="23">
        <v>0.82</v>
      </c>
      <c r="I104" s="75">
        <f t="shared" si="28"/>
        <v>0</v>
      </c>
      <c r="K104" s="5" t="s">
        <v>383</v>
      </c>
      <c r="L104" s="5" t="s">
        <v>384</v>
      </c>
      <c r="M104" s="11"/>
      <c r="N104" s="11"/>
      <c r="O104" s="29"/>
      <c r="P104" s="22"/>
      <c r="Q104" s="23">
        <v>0.82</v>
      </c>
      <c r="R104" s="75">
        <f t="shared" si="29"/>
        <v>0</v>
      </c>
      <c r="T104" s="41" t="s">
        <v>514</v>
      </c>
      <c r="U104" s="41" t="s">
        <v>355</v>
      </c>
      <c r="V104" s="40"/>
      <c r="W104" s="40"/>
      <c r="X104" s="29"/>
      <c r="Y104" s="22"/>
      <c r="Z104" s="23">
        <v>0.82</v>
      </c>
      <c r="AA104" s="75">
        <f t="shared" si="30"/>
        <v>0</v>
      </c>
    </row>
    <row r="105" spans="2:27">
      <c r="B105" s="5" t="s">
        <v>383</v>
      </c>
      <c r="C105" s="5" t="s">
        <v>384</v>
      </c>
      <c r="D105" s="11"/>
      <c r="E105" s="11"/>
      <c r="F105" s="29"/>
      <c r="G105" s="22"/>
      <c r="H105" s="23">
        <v>0.82</v>
      </c>
      <c r="I105" s="75">
        <f t="shared" si="28"/>
        <v>0</v>
      </c>
      <c r="K105" s="5" t="s">
        <v>383</v>
      </c>
      <c r="L105" s="5" t="s">
        <v>384</v>
      </c>
      <c r="M105" s="11"/>
      <c r="N105" s="11"/>
      <c r="O105" s="29"/>
      <c r="P105" s="22"/>
      <c r="Q105" s="23">
        <v>0.82</v>
      </c>
      <c r="R105" s="75">
        <f t="shared" si="29"/>
        <v>0</v>
      </c>
      <c r="T105" s="41" t="s">
        <v>514</v>
      </c>
      <c r="U105" s="41" t="s">
        <v>355</v>
      </c>
      <c r="V105" s="40"/>
      <c r="W105" s="40"/>
      <c r="X105" s="29"/>
      <c r="Y105" s="22"/>
      <c r="Z105" s="23">
        <v>0.82</v>
      </c>
      <c r="AA105" s="75">
        <f t="shared" si="30"/>
        <v>0</v>
      </c>
    </row>
    <row r="106" spans="2:27" s="24" customFormat="1">
      <c r="B106" s="8" t="s">
        <v>516</v>
      </c>
      <c r="C106" s="25"/>
      <c r="D106" s="28">
        <f>SUM(D91:D105)</f>
        <v>150000</v>
      </c>
      <c r="E106" s="28"/>
      <c r="F106" s="30"/>
      <c r="G106" s="25"/>
      <c r="H106" s="26"/>
      <c r="I106" s="28">
        <f>SUM(I91:I105)</f>
        <v>11070</v>
      </c>
      <c r="K106" s="8" t="s">
        <v>516</v>
      </c>
      <c r="L106" s="25"/>
      <c r="M106" s="28">
        <f>SUM(M91:M105)</f>
        <v>150000</v>
      </c>
      <c r="N106" s="28"/>
      <c r="O106" s="30"/>
      <c r="P106" s="25"/>
      <c r="Q106" s="26"/>
      <c r="R106" s="28">
        <f>SUM(R91:R105)</f>
        <v>11070</v>
      </c>
      <c r="T106" s="8" t="s">
        <v>516</v>
      </c>
      <c r="U106" s="25"/>
      <c r="V106" s="28">
        <f>SUM(V91:V105)</f>
        <v>0</v>
      </c>
      <c r="W106" s="28">
        <f>SUM(W91:W105)</f>
        <v>0</v>
      </c>
      <c r="X106" s="30"/>
      <c r="Y106" s="25"/>
      <c r="Z106" s="26"/>
      <c r="AA106" s="28">
        <f>SUM(AA91:AA105)</f>
        <v>0</v>
      </c>
    </row>
    <row r="108" spans="2:27" s="20" customFormat="1" ht="41.4">
      <c r="B108" s="27" t="s">
        <v>15</v>
      </c>
      <c r="C108" s="3" t="str">
        <f>C$54</f>
        <v>Source</v>
      </c>
      <c r="D108" s="3" t="str">
        <f t="shared" ref="D108:I108" si="31">D$54</f>
        <v>Limit (A)</v>
      </c>
      <c r="E108" s="3" t="str">
        <f t="shared" si="31"/>
        <v>Outstanding (A1)</v>
      </c>
      <c r="F108" s="3" t="str">
        <f t="shared" si="31"/>
        <v>Monthly Repayment (B)</v>
      </c>
      <c r="G108" s="3" t="str">
        <f t="shared" si="31"/>
        <v>Interest Rate (C)</v>
      </c>
      <c r="H108" s="3" t="str">
        <f t="shared" si="31"/>
        <v>Factor (D)</v>
      </c>
      <c r="I108" s="3" t="str">
        <f t="shared" si="31"/>
        <v>Interest (E) = (A or A1) * (C) * (D)</v>
      </c>
      <c r="K108" s="27" t="s">
        <v>15</v>
      </c>
      <c r="L108" s="3" t="str">
        <f>L$54</f>
        <v>Source</v>
      </c>
      <c r="M108" s="3" t="str">
        <f t="shared" ref="M108:R108" si="32">M$54</f>
        <v>Limit (A)</v>
      </c>
      <c r="N108" s="3" t="str">
        <f t="shared" si="32"/>
        <v>Outstanding (A1)</v>
      </c>
      <c r="O108" s="3" t="str">
        <f t="shared" si="32"/>
        <v>Monthly Repayment (B)</v>
      </c>
      <c r="P108" s="3" t="str">
        <f t="shared" si="32"/>
        <v>Interest Rate (C)</v>
      </c>
      <c r="Q108" s="3" t="str">
        <f t="shared" si="32"/>
        <v>Factor (D)</v>
      </c>
      <c r="R108" s="3" t="str">
        <f t="shared" si="32"/>
        <v>Interest (E) = (A or A1) * (C) * (D)</v>
      </c>
      <c r="T108" s="27" t="s">
        <v>15</v>
      </c>
      <c r="U108" s="3" t="str">
        <f>U$54</f>
        <v>Source</v>
      </c>
      <c r="V108" s="3" t="str">
        <f t="shared" ref="V108:AA108" si="33">V$54</f>
        <v>Limit (A)</v>
      </c>
      <c r="W108" s="3" t="str">
        <f t="shared" si="33"/>
        <v>Outstanding (A1)</v>
      </c>
      <c r="X108" s="3" t="str">
        <f t="shared" si="33"/>
        <v>Monthly Repayment (B)</v>
      </c>
      <c r="Y108" s="3" t="str">
        <f t="shared" si="33"/>
        <v>Interest Rate (C)</v>
      </c>
      <c r="Z108" s="3" t="str">
        <f t="shared" si="33"/>
        <v>Factor (D)</v>
      </c>
      <c r="AA108" s="3" t="str">
        <f t="shared" si="33"/>
        <v>Interest (E) = (A or A1) * (C) * (D)</v>
      </c>
    </row>
    <row r="109" spans="2:27">
      <c r="B109" s="5" t="s">
        <v>539</v>
      </c>
      <c r="C109" s="5" t="s">
        <v>382</v>
      </c>
      <c r="D109" s="11">
        <v>200000</v>
      </c>
      <c r="E109" s="11"/>
      <c r="F109" s="29"/>
      <c r="G109" s="22">
        <v>0.09</v>
      </c>
      <c r="H109" s="23">
        <v>0.82</v>
      </c>
      <c r="I109" s="75">
        <f>D109*G109*H109</f>
        <v>14760</v>
      </c>
      <c r="K109" s="5" t="s">
        <v>539</v>
      </c>
      <c r="L109" s="5" t="s">
        <v>382</v>
      </c>
      <c r="M109" s="11">
        <v>200000</v>
      </c>
      <c r="N109" s="11"/>
      <c r="O109" s="29"/>
      <c r="P109" s="22">
        <v>0.09</v>
      </c>
      <c r="Q109" s="23">
        <v>0.82</v>
      </c>
      <c r="R109" s="75">
        <f>M109*P109*Q109</f>
        <v>14760</v>
      </c>
      <c r="T109" s="41" t="s">
        <v>514</v>
      </c>
      <c r="U109" s="41" t="s">
        <v>355</v>
      </c>
      <c r="V109" s="40">
        <v>200000</v>
      </c>
      <c r="W109" s="40">
        <v>100000</v>
      </c>
      <c r="X109" s="29"/>
      <c r="Y109" s="22">
        <v>0.08</v>
      </c>
      <c r="Z109" s="23">
        <v>0.82</v>
      </c>
      <c r="AA109" s="75">
        <f>V109*Y109*Z109</f>
        <v>13120</v>
      </c>
    </row>
    <row r="110" spans="2:27">
      <c r="B110" s="5" t="s">
        <v>383</v>
      </c>
      <c r="C110" s="5" t="s">
        <v>384</v>
      </c>
      <c r="D110" s="11"/>
      <c r="E110" s="11"/>
      <c r="F110" s="29"/>
      <c r="G110" s="22"/>
      <c r="H110" s="23">
        <v>0.82</v>
      </c>
      <c r="I110" s="75">
        <f t="shared" ref="I110:I123" si="34">D110*G110*H110</f>
        <v>0</v>
      </c>
      <c r="K110" s="5" t="s">
        <v>383</v>
      </c>
      <c r="L110" s="5" t="s">
        <v>384</v>
      </c>
      <c r="M110" s="11"/>
      <c r="N110" s="11"/>
      <c r="O110" s="29"/>
      <c r="P110" s="22"/>
      <c r="Q110" s="23">
        <v>0.82</v>
      </c>
      <c r="R110" s="75">
        <f t="shared" ref="R110:R123" si="35">M110*P110*Q110</f>
        <v>0</v>
      </c>
      <c r="T110" s="41" t="s">
        <v>514</v>
      </c>
      <c r="U110" s="41" t="s">
        <v>355</v>
      </c>
      <c r="V110" s="40"/>
      <c r="W110" s="40"/>
      <c r="X110" s="29"/>
      <c r="Y110" s="22"/>
      <c r="Z110" s="23">
        <v>0.82</v>
      </c>
      <c r="AA110" s="75">
        <f t="shared" ref="AA110:AA123" si="36">V110*Y110*Z110</f>
        <v>0</v>
      </c>
    </row>
    <row r="111" spans="2:27">
      <c r="B111" s="5" t="s">
        <v>383</v>
      </c>
      <c r="C111" s="5" t="s">
        <v>384</v>
      </c>
      <c r="D111" s="11"/>
      <c r="E111" s="11"/>
      <c r="F111" s="29"/>
      <c r="G111" s="22"/>
      <c r="H111" s="23">
        <v>0.82</v>
      </c>
      <c r="I111" s="75">
        <f t="shared" si="34"/>
        <v>0</v>
      </c>
      <c r="K111" s="5" t="s">
        <v>383</v>
      </c>
      <c r="L111" s="5" t="s">
        <v>384</v>
      </c>
      <c r="M111" s="11"/>
      <c r="N111" s="11"/>
      <c r="O111" s="29"/>
      <c r="P111" s="22"/>
      <c r="Q111" s="23">
        <v>0.82</v>
      </c>
      <c r="R111" s="75">
        <f t="shared" si="35"/>
        <v>0</v>
      </c>
      <c r="T111" s="41" t="s">
        <v>514</v>
      </c>
      <c r="U111" s="41" t="s">
        <v>355</v>
      </c>
      <c r="V111" s="40"/>
      <c r="W111" s="40"/>
      <c r="X111" s="29"/>
      <c r="Y111" s="22"/>
      <c r="Z111" s="23">
        <v>0.82</v>
      </c>
      <c r="AA111" s="75">
        <f t="shared" si="36"/>
        <v>0</v>
      </c>
    </row>
    <row r="112" spans="2:27">
      <c r="B112" s="5" t="s">
        <v>383</v>
      </c>
      <c r="C112" s="5" t="s">
        <v>384</v>
      </c>
      <c r="D112" s="11"/>
      <c r="E112" s="11"/>
      <c r="F112" s="29"/>
      <c r="G112" s="22"/>
      <c r="H112" s="23">
        <v>0.82</v>
      </c>
      <c r="I112" s="75">
        <f t="shared" si="34"/>
        <v>0</v>
      </c>
      <c r="K112" s="5" t="s">
        <v>383</v>
      </c>
      <c r="L112" s="5" t="s">
        <v>384</v>
      </c>
      <c r="M112" s="11"/>
      <c r="N112" s="11"/>
      <c r="O112" s="29"/>
      <c r="P112" s="22"/>
      <c r="Q112" s="23">
        <v>0.82</v>
      </c>
      <c r="R112" s="75">
        <f t="shared" si="35"/>
        <v>0</v>
      </c>
      <c r="T112" s="41" t="s">
        <v>514</v>
      </c>
      <c r="U112" s="41" t="s">
        <v>355</v>
      </c>
      <c r="V112" s="40"/>
      <c r="W112" s="40"/>
      <c r="X112" s="29"/>
      <c r="Y112" s="22"/>
      <c r="Z112" s="23">
        <v>0.82</v>
      </c>
      <c r="AA112" s="75">
        <f t="shared" si="36"/>
        <v>0</v>
      </c>
    </row>
    <row r="113" spans="2:27">
      <c r="B113" s="5" t="s">
        <v>383</v>
      </c>
      <c r="C113" s="5" t="s">
        <v>384</v>
      </c>
      <c r="D113" s="11"/>
      <c r="E113" s="11"/>
      <c r="F113" s="29"/>
      <c r="G113" s="22"/>
      <c r="H113" s="23">
        <v>0.82</v>
      </c>
      <c r="I113" s="75">
        <f t="shared" si="34"/>
        <v>0</v>
      </c>
      <c r="K113" s="5" t="s">
        <v>383</v>
      </c>
      <c r="L113" s="5" t="s">
        <v>384</v>
      </c>
      <c r="M113" s="11"/>
      <c r="N113" s="11"/>
      <c r="O113" s="29"/>
      <c r="P113" s="22"/>
      <c r="Q113" s="23">
        <v>0.82</v>
      </c>
      <c r="R113" s="75">
        <f t="shared" si="35"/>
        <v>0</v>
      </c>
      <c r="T113" s="41" t="s">
        <v>514</v>
      </c>
      <c r="U113" s="41" t="s">
        <v>355</v>
      </c>
      <c r="V113" s="40"/>
      <c r="W113" s="40"/>
      <c r="X113" s="29"/>
      <c r="Y113" s="22"/>
      <c r="Z113" s="23">
        <v>0.82</v>
      </c>
      <c r="AA113" s="75">
        <f t="shared" si="36"/>
        <v>0</v>
      </c>
    </row>
    <row r="114" spans="2:27">
      <c r="B114" s="5" t="s">
        <v>383</v>
      </c>
      <c r="C114" s="5" t="s">
        <v>384</v>
      </c>
      <c r="D114" s="11"/>
      <c r="E114" s="11"/>
      <c r="F114" s="29"/>
      <c r="G114" s="22"/>
      <c r="H114" s="23">
        <v>0.82</v>
      </c>
      <c r="I114" s="75">
        <f t="shared" si="34"/>
        <v>0</v>
      </c>
      <c r="K114" s="5" t="s">
        <v>383</v>
      </c>
      <c r="L114" s="5" t="s">
        <v>384</v>
      </c>
      <c r="M114" s="11"/>
      <c r="N114" s="11"/>
      <c r="O114" s="29"/>
      <c r="P114" s="22"/>
      <c r="Q114" s="23">
        <v>0.82</v>
      </c>
      <c r="R114" s="75">
        <f t="shared" si="35"/>
        <v>0</v>
      </c>
      <c r="T114" s="41" t="s">
        <v>514</v>
      </c>
      <c r="U114" s="41" t="s">
        <v>355</v>
      </c>
      <c r="V114" s="40"/>
      <c r="W114" s="40"/>
      <c r="X114" s="29"/>
      <c r="Y114" s="22"/>
      <c r="Z114" s="23">
        <v>0.82</v>
      </c>
      <c r="AA114" s="75">
        <f t="shared" si="36"/>
        <v>0</v>
      </c>
    </row>
    <row r="115" spans="2:27">
      <c r="B115" s="5" t="s">
        <v>383</v>
      </c>
      <c r="C115" s="5" t="s">
        <v>384</v>
      </c>
      <c r="D115" s="11"/>
      <c r="E115" s="11"/>
      <c r="F115" s="29"/>
      <c r="G115" s="22"/>
      <c r="H115" s="23">
        <v>0.82</v>
      </c>
      <c r="I115" s="75">
        <f t="shared" si="34"/>
        <v>0</v>
      </c>
      <c r="K115" s="5" t="s">
        <v>383</v>
      </c>
      <c r="L115" s="5" t="s">
        <v>384</v>
      </c>
      <c r="M115" s="11"/>
      <c r="N115" s="11"/>
      <c r="O115" s="29"/>
      <c r="P115" s="22"/>
      <c r="Q115" s="23">
        <v>0.82</v>
      </c>
      <c r="R115" s="75">
        <f t="shared" si="35"/>
        <v>0</v>
      </c>
      <c r="T115" s="41" t="s">
        <v>514</v>
      </c>
      <c r="U115" s="41" t="s">
        <v>355</v>
      </c>
      <c r="V115" s="40"/>
      <c r="W115" s="40"/>
      <c r="X115" s="29"/>
      <c r="Y115" s="22"/>
      <c r="Z115" s="23">
        <v>0.82</v>
      </c>
      <c r="AA115" s="75">
        <f t="shared" si="36"/>
        <v>0</v>
      </c>
    </row>
    <row r="116" spans="2:27">
      <c r="B116" s="5" t="s">
        <v>383</v>
      </c>
      <c r="C116" s="5" t="s">
        <v>384</v>
      </c>
      <c r="D116" s="11"/>
      <c r="E116" s="11"/>
      <c r="F116" s="29"/>
      <c r="G116" s="22"/>
      <c r="H116" s="23">
        <v>0.82</v>
      </c>
      <c r="I116" s="75">
        <f t="shared" si="34"/>
        <v>0</v>
      </c>
      <c r="K116" s="5" t="s">
        <v>383</v>
      </c>
      <c r="L116" s="5" t="s">
        <v>384</v>
      </c>
      <c r="M116" s="11"/>
      <c r="N116" s="11"/>
      <c r="O116" s="29"/>
      <c r="P116" s="22"/>
      <c r="Q116" s="23">
        <v>0.82</v>
      </c>
      <c r="R116" s="75">
        <f t="shared" si="35"/>
        <v>0</v>
      </c>
      <c r="T116" s="41" t="s">
        <v>514</v>
      </c>
      <c r="U116" s="41" t="s">
        <v>355</v>
      </c>
      <c r="V116" s="40"/>
      <c r="W116" s="40"/>
      <c r="X116" s="29"/>
      <c r="Y116" s="22"/>
      <c r="Z116" s="23">
        <v>0.82</v>
      </c>
      <c r="AA116" s="75">
        <f t="shared" si="36"/>
        <v>0</v>
      </c>
    </row>
    <row r="117" spans="2:27">
      <c r="B117" s="5" t="s">
        <v>383</v>
      </c>
      <c r="C117" s="5" t="s">
        <v>384</v>
      </c>
      <c r="D117" s="11"/>
      <c r="E117" s="11"/>
      <c r="F117" s="29"/>
      <c r="G117" s="22"/>
      <c r="H117" s="23">
        <v>0.82</v>
      </c>
      <c r="I117" s="75">
        <f t="shared" si="34"/>
        <v>0</v>
      </c>
      <c r="K117" s="5" t="s">
        <v>383</v>
      </c>
      <c r="L117" s="5" t="s">
        <v>384</v>
      </c>
      <c r="M117" s="11"/>
      <c r="N117" s="11"/>
      <c r="O117" s="29"/>
      <c r="P117" s="22"/>
      <c r="Q117" s="23">
        <v>0.82</v>
      </c>
      <c r="R117" s="75">
        <f t="shared" si="35"/>
        <v>0</v>
      </c>
      <c r="T117" s="41" t="s">
        <v>514</v>
      </c>
      <c r="U117" s="41" t="s">
        <v>355</v>
      </c>
      <c r="V117" s="40"/>
      <c r="W117" s="40"/>
      <c r="X117" s="29"/>
      <c r="Y117" s="22"/>
      <c r="Z117" s="23">
        <v>0.82</v>
      </c>
      <c r="AA117" s="75">
        <f t="shared" si="36"/>
        <v>0</v>
      </c>
    </row>
    <row r="118" spans="2:27">
      <c r="B118" s="5" t="s">
        <v>383</v>
      </c>
      <c r="C118" s="5" t="s">
        <v>384</v>
      </c>
      <c r="D118" s="11"/>
      <c r="E118" s="11"/>
      <c r="F118" s="29"/>
      <c r="G118" s="22"/>
      <c r="H118" s="23">
        <v>0.82</v>
      </c>
      <c r="I118" s="75">
        <f t="shared" si="34"/>
        <v>0</v>
      </c>
      <c r="K118" s="5" t="s">
        <v>383</v>
      </c>
      <c r="L118" s="5" t="s">
        <v>384</v>
      </c>
      <c r="M118" s="11"/>
      <c r="N118" s="11"/>
      <c r="O118" s="29"/>
      <c r="P118" s="22"/>
      <c r="Q118" s="23">
        <v>0.82</v>
      </c>
      <c r="R118" s="75">
        <f t="shared" si="35"/>
        <v>0</v>
      </c>
      <c r="T118" s="41" t="s">
        <v>514</v>
      </c>
      <c r="U118" s="41" t="s">
        <v>355</v>
      </c>
      <c r="V118" s="40"/>
      <c r="W118" s="40"/>
      <c r="X118" s="29"/>
      <c r="Y118" s="22"/>
      <c r="Z118" s="23">
        <v>0.82</v>
      </c>
      <c r="AA118" s="75">
        <f t="shared" si="36"/>
        <v>0</v>
      </c>
    </row>
    <row r="119" spans="2:27">
      <c r="B119" s="5" t="s">
        <v>383</v>
      </c>
      <c r="C119" s="5" t="s">
        <v>384</v>
      </c>
      <c r="D119" s="11"/>
      <c r="E119" s="11"/>
      <c r="F119" s="29"/>
      <c r="G119" s="22"/>
      <c r="H119" s="23">
        <v>0.82</v>
      </c>
      <c r="I119" s="75">
        <f t="shared" si="34"/>
        <v>0</v>
      </c>
      <c r="K119" s="5" t="s">
        <v>383</v>
      </c>
      <c r="L119" s="5" t="s">
        <v>384</v>
      </c>
      <c r="M119" s="11"/>
      <c r="N119" s="11"/>
      <c r="O119" s="29"/>
      <c r="P119" s="22"/>
      <c r="Q119" s="23">
        <v>0.82</v>
      </c>
      <c r="R119" s="75">
        <f t="shared" si="35"/>
        <v>0</v>
      </c>
      <c r="T119" s="41" t="s">
        <v>514</v>
      </c>
      <c r="U119" s="41" t="s">
        <v>355</v>
      </c>
      <c r="V119" s="40"/>
      <c r="W119" s="40"/>
      <c r="X119" s="29"/>
      <c r="Y119" s="22"/>
      <c r="Z119" s="23">
        <v>0.82</v>
      </c>
      <c r="AA119" s="75">
        <f t="shared" si="36"/>
        <v>0</v>
      </c>
    </row>
    <row r="120" spans="2:27">
      <c r="B120" s="5" t="s">
        <v>383</v>
      </c>
      <c r="C120" s="5" t="s">
        <v>384</v>
      </c>
      <c r="D120" s="11"/>
      <c r="E120" s="11"/>
      <c r="F120" s="29"/>
      <c r="G120" s="22"/>
      <c r="H120" s="23">
        <v>0.82</v>
      </c>
      <c r="I120" s="75">
        <f t="shared" si="34"/>
        <v>0</v>
      </c>
      <c r="K120" s="5" t="s">
        <v>383</v>
      </c>
      <c r="L120" s="5" t="s">
        <v>384</v>
      </c>
      <c r="M120" s="11"/>
      <c r="N120" s="11"/>
      <c r="O120" s="29"/>
      <c r="P120" s="22"/>
      <c r="Q120" s="23">
        <v>0.82</v>
      </c>
      <c r="R120" s="75">
        <f t="shared" si="35"/>
        <v>0</v>
      </c>
      <c r="T120" s="41" t="s">
        <v>514</v>
      </c>
      <c r="U120" s="41" t="s">
        <v>355</v>
      </c>
      <c r="V120" s="40"/>
      <c r="W120" s="40"/>
      <c r="X120" s="29"/>
      <c r="Y120" s="22"/>
      <c r="Z120" s="23">
        <v>0.82</v>
      </c>
      <c r="AA120" s="75">
        <f t="shared" si="36"/>
        <v>0</v>
      </c>
    </row>
    <row r="121" spans="2:27">
      <c r="B121" s="5" t="s">
        <v>383</v>
      </c>
      <c r="C121" s="5" t="s">
        <v>384</v>
      </c>
      <c r="D121" s="11"/>
      <c r="E121" s="11"/>
      <c r="F121" s="29"/>
      <c r="G121" s="22"/>
      <c r="H121" s="23">
        <v>0.82</v>
      </c>
      <c r="I121" s="75">
        <f t="shared" si="34"/>
        <v>0</v>
      </c>
      <c r="K121" s="5" t="s">
        <v>383</v>
      </c>
      <c r="L121" s="5" t="s">
        <v>384</v>
      </c>
      <c r="M121" s="11"/>
      <c r="N121" s="11"/>
      <c r="O121" s="29"/>
      <c r="P121" s="22"/>
      <c r="Q121" s="23">
        <v>0.82</v>
      </c>
      <c r="R121" s="75">
        <f t="shared" si="35"/>
        <v>0</v>
      </c>
      <c r="T121" s="41" t="s">
        <v>514</v>
      </c>
      <c r="U121" s="41" t="s">
        <v>355</v>
      </c>
      <c r="V121" s="40"/>
      <c r="W121" s="40"/>
      <c r="X121" s="29"/>
      <c r="Y121" s="22"/>
      <c r="Z121" s="23">
        <v>0.82</v>
      </c>
      <c r="AA121" s="75">
        <f t="shared" si="36"/>
        <v>0</v>
      </c>
    </row>
    <row r="122" spans="2:27">
      <c r="B122" s="5" t="s">
        <v>383</v>
      </c>
      <c r="C122" s="5" t="s">
        <v>384</v>
      </c>
      <c r="D122" s="11"/>
      <c r="E122" s="11"/>
      <c r="F122" s="29"/>
      <c r="G122" s="22"/>
      <c r="H122" s="23">
        <v>0.82</v>
      </c>
      <c r="I122" s="75">
        <f t="shared" si="34"/>
        <v>0</v>
      </c>
      <c r="K122" s="5" t="s">
        <v>383</v>
      </c>
      <c r="L122" s="5" t="s">
        <v>384</v>
      </c>
      <c r="M122" s="11"/>
      <c r="N122" s="11"/>
      <c r="O122" s="29"/>
      <c r="P122" s="22"/>
      <c r="Q122" s="23">
        <v>0.82</v>
      </c>
      <c r="R122" s="75">
        <f t="shared" si="35"/>
        <v>0</v>
      </c>
      <c r="T122" s="41" t="s">
        <v>514</v>
      </c>
      <c r="U122" s="41" t="s">
        <v>355</v>
      </c>
      <c r="V122" s="40"/>
      <c r="W122" s="40"/>
      <c r="X122" s="29"/>
      <c r="Y122" s="22"/>
      <c r="Z122" s="23">
        <v>0.82</v>
      </c>
      <c r="AA122" s="75">
        <f t="shared" si="36"/>
        <v>0</v>
      </c>
    </row>
    <row r="123" spans="2:27">
      <c r="B123" s="5" t="s">
        <v>383</v>
      </c>
      <c r="C123" s="5" t="s">
        <v>384</v>
      </c>
      <c r="D123" s="11"/>
      <c r="E123" s="11"/>
      <c r="F123" s="29"/>
      <c r="G123" s="22"/>
      <c r="H123" s="23">
        <v>0.82</v>
      </c>
      <c r="I123" s="75">
        <f t="shared" si="34"/>
        <v>0</v>
      </c>
      <c r="K123" s="5" t="s">
        <v>383</v>
      </c>
      <c r="L123" s="5" t="s">
        <v>384</v>
      </c>
      <c r="M123" s="11"/>
      <c r="N123" s="11"/>
      <c r="O123" s="29"/>
      <c r="P123" s="22"/>
      <c r="Q123" s="23">
        <v>0.82</v>
      </c>
      <c r="R123" s="75">
        <f t="shared" si="35"/>
        <v>0</v>
      </c>
      <c r="T123" s="41" t="s">
        <v>514</v>
      </c>
      <c r="U123" s="41" t="s">
        <v>355</v>
      </c>
      <c r="V123" s="40"/>
      <c r="W123" s="40"/>
      <c r="X123" s="29"/>
      <c r="Y123" s="22"/>
      <c r="Z123" s="23">
        <v>0.82</v>
      </c>
      <c r="AA123" s="75">
        <f t="shared" si="36"/>
        <v>0</v>
      </c>
    </row>
    <row r="124" spans="2:27" s="24" customFormat="1">
      <c r="B124" s="8" t="s">
        <v>517</v>
      </c>
      <c r="C124" s="25"/>
      <c r="D124" s="28">
        <f>SUM(D109:D123)</f>
        <v>200000</v>
      </c>
      <c r="E124" s="28">
        <f>SUM(E109:E123)</f>
        <v>0</v>
      </c>
      <c r="F124" s="30"/>
      <c r="G124" s="25"/>
      <c r="H124" s="26"/>
      <c r="I124" s="28">
        <f>SUM(I109:I123)</f>
        <v>14760</v>
      </c>
      <c r="K124" s="8" t="s">
        <v>517</v>
      </c>
      <c r="L124" s="25"/>
      <c r="M124" s="28">
        <f>SUM(M109:M123)</f>
        <v>200000</v>
      </c>
      <c r="N124" s="28">
        <f>SUM(N109:N123)</f>
        <v>0</v>
      </c>
      <c r="O124" s="30"/>
      <c r="P124" s="25"/>
      <c r="Q124" s="26"/>
      <c r="R124" s="28">
        <f>SUM(R109:R123)</f>
        <v>14760</v>
      </c>
      <c r="T124" s="8" t="s">
        <v>517</v>
      </c>
      <c r="U124" s="25"/>
      <c r="V124" s="28">
        <f>SUM(V109:V123)</f>
        <v>200000</v>
      </c>
      <c r="W124" s="28">
        <f>SUM(W109:W123)</f>
        <v>100000</v>
      </c>
      <c r="X124" s="30"/>
      <c r="Y124" s="25"/>
      <c r="Z124" s="26"/>
      <c r="AA124" s="28">
        <f>SUM(AA109:AA123)</f>
        <v>13120</v>
      </c>
    </row>
    <row r="126" spans="2:27" s="20" customFormat="1" ht="41.4">
      <c r="B126" s="27" t="s">
        <v>16</v>
      </c>
      <c r="C126" s="3" t="str">
        <f>C$54</f>
        <v>Source</v>
      </c>
      <c r="D126" s="3" t="str">
        <f t="shared" ref="D126:I126" si="37">D$54</f>
        <v>Limit (A)</v>
      </c>
      <c r="E126" s="3" t="str">
        <f t="shared" si="37"/>
        <v>Outstanding (A1)</v>
      </c>
      <c r="F126" s="3" t="str">
        <f t="shared" si="37"/>
        <v>Monthly Repayment (B)</v>
      </c>
      <c r="G126" s="3" t="str">
        <f t="shared" si="37"/>
        <v>Interest Rate (C)</v>
      </c>
      <c r="H126" s="3" t="str">
        <f t="shared" si="37"/>
        <v>Factor (D)</v>
      </c>
      <c r="I126" s="3" t="str">
        <f t="shared" si="37"/>
        <v>Interest (E) = (A or A1) * (C) * (D)</v>
      </c>
      <c r="K126" s="27" t="s">
        <v>16</v>
      </c>
      <c r="L126" s="3" t="str">
        <f>L$54</f>
        <v>Source</v>
      </c>
      <c r="M126" s="3" t="str">
        <f t="shared" ref="M126:R126" si="38">M$54</f>
        <v>Limit (A)</v>
      </c>
      <c r="N126" s="3" t="str">
        <f t="shared" si="38"/>
        <v>Outstanding (A1)</v>
      </c>
      <c r="O126" s="3" t="str">
        <f t="shared" si="38"/>
        <v>Monthly Repayment (B)</v>
      </c>
      <c r="P126" s="3" t="str">
        <f t="shared" si="38"/>
        <v>Interest Rate (C)</v>
      </c>
      <c r="Q126" s="3" t="str">
        <f t="shared" si="38"/>
        <v>Factor (D)</v>
      </c>
      <c r="R126" s="3" t="str">
        <f t="shared" si="38"/>
        <v>Interest (E) = (A or A1) * (C) * (D)</v>
      </c>
      <c r="T126" s="27" t="s">
        <v>16</v>
      </c>
      <c r="U126" s="3" t="str">
        <f>U$54</f>
        <v>Source</v>
      </c>
      <c r="V126" s="3" t="str">
        <f t="shared" ref="V126:AA126" si="39">V$54</f>
        <v>Limit (A)</v>
      </c>
      <c r="W126" s="3" t="str">
        <f t="shared" si="39"/>
        <v>Outstanding (A1)</v>
      </c>
      <c r="X126" s="3" t="str">
        <f t="shared" si="39"/>
        <v>Monthly Repayment (B)</v>
      </c>
      <c r="Y126" s="3" t="str">
        <f t="shared" si="39"/>
        <v>Interest Rate (C)</v>
      </c>
      <c r="Z126" s="3" t="str">
        <f t="shared" si="39"/>
        <v>Factor (D)</v>
      </c>
      <c r="AA126" s="3" t="str">
        <f t="shared" si="39"/>
        <v>Interest (E) = (A or A1) * (C) * (D)</v>
      </c>
    </row>
    <row r="127" spans="2:27">
      <c r="B127" s="5" t="s">
        <v>395</v>
      </c>
      <c r="C127" s="5" t="s">
        <v>382</v>
      </c>
      <c r="D127" s="29"/>
      <c r="E127" s="29"/>
      <c r="F127" s="11">
        <v>2500</v>
      </c>
      <c r="G127" s="31"/>
      <c r="H127" s="32"/>
      <c r="I127" s="29"/>
      <c r="K127" s="5" t="s">
        <v>395</v>
      </c>
      <c r="L127" s="5" t="s">
        <v>382</v>
      </c>
      <c r="M127" s="29"/>
      <c r="N127" s="29"/>
      <c r="O127" s="11">
        <v>2500</v>
      </c>
      <c r="P127" s="31"/>
      <c r="Q127" s="32"/>
      <c r="R127" s="29"/>
      <c r="T127" s="41" t="s">
        <v>514</v>
      </c>
      <c r="U127" s="41" t="s">
        <v>355</v>
      </c>
      <c r="V127" s="40">
        <v>80000</v>
      </c>
      <c r="W127" s="40">
        <v>60000</v>
      </c>
      <c r="X127" s="40">
        <v>2500</v>
      </c>
      <c r="Y127" s="31"/>
      <c r="Z127" s="32"/>
      <c r="AA127" s="29"/>
    </row>
    <row r="128" spans="2:27">
      <c r="B128" s="5" t="s">
        <v>383</v>
      </c>
      <c r="C128" s="5" t="s">
        <v>384</v>
      </c>
      <c r="D128" s="29"/>
      <c r="E128" s="29"/>
      <c r="F128" s="11"/>
      <c r="G128" s="31"/>
      <c r="H128" s="32"/>
      <c r="I128" s="29"/>
      <c r="K128" s="5" t="s">
        <v>383</v>
      </c>
      <c r="L128" s="5" t="s">
        <v>384</v>
      </c>
      <c r="M128" s="29"/>
      <c r="N128" s="29"/>
      <c r="O128" s="11"/>
      <c r="P128" s="31"/>
      <c r="Q128" s="32"/>
      <c r="R128" s="29"/>
      <c r="T128" s="41" t="s">
        <v>514</v>
      </c>
      <c r="U128" s="41" t="s">
        <v>355</v>
      </c>
      <c r="V128" s="40"/>
      <c r="W128" s="40"/>
      <c r="X128" s="40"/>
      <c r="Y128" s="31"/>
      <c r="Z128" s="32"/>
      <c r="AA128" s="29"/>
    </row>
    <row r="129" spans="2:27">
      <c r="B129" s="5" t="s">
        <v>383</v>
      </c>
      <c r="C129" s="5" t="s">
        <v>384</v>
      </c>
      <c r="D129" s="29"/>
      <c r="E129" s="29"/>
      <c r="F129" s="11"/>
      <c r="G129" s="31"/>
      <c r="H129" s="32"/>
      <c r="I129" s="29"/>
      <c r="K129" s="5" t="s">
        <v>383</v>
      </c>
      <c r="L129" s="5" t="s">
        <v>384</v>
      </c>
      <c r="M129" s="29"/>
      <c r="N129" s="29"/>
      <c r="O129" s="11"/>
      <c r="P129" s="31"/>
      <c r="Q129" s="32"/>
      <c r="R129" s="29"/>
      <c r="T129" s="41" t="s">
        <v>514</v>
      </c>
      <c r="U129" s="41" t="s">
        <v>355</v>
      </c>
      <c r="V129" s="40"/>
      <c r="W129" s="40"/>
      <c r="X129" s="40"/>
      <c r="Y129" s="31"/>
      <c r="Z129" s="32"/>
      <c r="AA129" s="29"/>
    </row>
    <row r="130" spans="2:27">
      <c r="B130" s="5" t="s">
        <v>383</v>
      </c>
      <c r="C130" s="5" t="s">
        <v>384</v>
      </c>
      <c r="D130" s="29"/>
      <c r="E130" s="29"/>
      <c r="F130" s="11"/>
      <c r="G130" s="31"/>
      <c r="H130" s="32"/>
      <c r="I130" s="29"/>
      <c r="K130" s="5" t="s">
        <v>383</v>
      </c>
      <c r="L130" s="5" t="s">
        <v>384</v>
      </c>
      <c r="M130" s="29"/>
      <c r="N130" s="29"/>
      <c r="O130" s="11"/>
      <c r="P130" s="31"/>
      <c r="Q130" s="32"/>
      <c r="R130" s="29"/>
      <c r="T130" s="41" t="s">
        <v>514</v>
      </c>
      <c r="U130" s="41" t="s">
        <v>355</v>
      </c>
      <c r="V130" s="40"/>
      <c r="W130" s="40"/>
      <c r="X130" s="40"/>
      <c r="Y130" s="31"/>
      <c r="Z130" s="32"/>
      <c r="AA130" s="29"/>
    </row>
    <row r="131" spans="2:27">
      <c r="B131" s="5" t="s">
        <v>383</v>
      </c>
      <c r="C131" s="5" t="s">
        <v>384</v>
      </c>
      <c r="D131" s="29"/>
      <c r="E131" s="29"/>
      <c r="F131" s="11"/>
      <c r="G131" s="31"/>
      <c r="H131" s="32"/>
      <c r="I131" s="29"/>
      <c r="K131" s="5" t="s">
        <v>383</v>
      </c>
      <c r="L131" s="5" t="s">
        <v>384</v>
      </c>
      <c r="M131" s="29"/>
      <c r="N131" s="29"/>
      <c r="O131" s="11"/>
      <c r="P131" s="31"/>
      <c r="Q131" s="32"/>
      <c r="R131" s="29"/>
      <c r="T131" s="41" t="s">
        <v>514</v>
      </c>
      <c r="U131" s="41" t="s">
        <v>355</v>
      </c>
      <c r="V131" s="40"/>
      <c r="W131" s="40"/>
      <c r="X131" s="40"/>
      <c r="Y131" s="31"/>
      <c r="Z131" s="32"/>
      <c r="AA131" s="29"/>
    </row>
    <row r="132" spans="2:27">
      <c r="B132" s="5" t="s">
        <v>383</v>
      </c>
      <c r="C132" s="5" t="s">
        <v>384</v>
      </c>
      <c r="D132" s="29"/>
      <c r="E132" s="29"/>
      <c r="F132" s="11"/>
      <c r="G132" s="31"/>
      <c r="H132" s="32"/>
      <c r="I132" s="29"/>
      <c r="K132" s="5" t="s">
        <v>383</v>
      </c>
      <c r="L132" s="5" t="s">
        <v>384</v>
      </c>
      <c r="M132" s="29"/>
      <c r="N132" s="29"/>
      <c r="O132" s="11"/>
      <c r="P132" s="31"/>
      <c r="Q132" s="32"/>
      <c r="R132" s="29"/>
      <c r="T132" s="41" t="s">
        <v>514</v>
      </c>
      <c r="U132" s="41" t="s">
        <v>355</v>
      </c>
      <c r="V132" s="40"/>
      <c r="W132" s="40"/>
      <c r="X132" s="40"/>
      <c r="Y132" s="31"/>
      <c r="Z132" s="32"/>
      <c r="AA132" s="29"/>
    </row>
    <row r="133" spans="2:27">
      <c r="B133" s="5" t="s">
        <v>383</v>
      </c>
      <c r="C133" s="5" t="s">
        <v>384</v>
      </c>
      <c r="D133" s="29"/>
      <c r="E133" s="29"/>
      <c r="F133" s="11"/>
      <c r="G133" s="31"/>
      <c r="H133" s="32"/>
      <c r="I133" s="29"/>
      <c r="K133" s="5" t="s">
        <v>383</v>
      </c>
      <c r="L133" s="5" t="s">
        <v>384</v>
      </c>
      <c r="M133" s="29"/>
      <c r="N133" s="29"/>
      <c r="O133" s="11"/>
      <c r="P133" s="31"/>
      <c r="Q133" s="32"/>
      <c r="R133" s="29"/>
      <c r="T133" s="41" t="s">
        <v>514</v>
      </c>
      <c r="U133" s="41" t="s">
        <v>355</v>
      </c>
      <c r="V133" s="40"/>
      <c r="W133" s="40"/>
      <c r="X133" s="40"/>
      <c r="Y133" s="31"/>
      <c r="Z133" s="32"/>
      <c r="AA133" s="29"/>
    </row>
    <row r="134" spans="2:27">
      <c r="B134" s="5" t="s">
        <v>383</v>
      </c>
      <c r="C134" s="5" t="s">
        <v>384</v>
      </c>
      <c r="D134" s="29"/>
      <c r="E134" s="29"/>
      <c r="F134" s="11"/>
      <c r="G134" s="31"/>
      <c r="H134" s="32"/>
      <c r="I134" s="29"/>
      <c r="K134" s="5" t="s">
        <v>383</v>
      </c>
      <c r="L134" s="5" t="s">
        <v>384</v>
      </c>
      <c r="M134" s="29"/>
      <c r="N134" s="29"/>
      <c r="O134" s="11"/>
      <c r="P134" s="31"/>
      <c r="Q134" s="32"/>
      <c r="R134" s="29"/>
      <c r="T134" s="41" t="s">
        <v>514</v>
      </c>
      <c r="U134" s="41" t="s">
        <v>355</v>
      </c>
      <c r="V134" s="40"/>
      <c r="W134" s="40"/>
      <c r="X134" s="40"/>
      <c r="Y134" s="31"/>
      <c r="Z134" s="32"/>
      <c r="AA134" s="29"/>
    </row>
    <row r="135" spans="2:27">
      <c r="B135" s="5" t="s">
        <v>383</v>
      </c>
      <c r="C135" s="5" t="s">
        <v>384</v>
      </c>
      <c r="D135" s="29"/>
      <c r="E135" s="29"/>
      <c r="F135" s="11"/>
      <c r="G135" s="31"/>
      <c r="H135" s="32"/>
      <c r="I135" s="29"/>
      <c r="K135" s="5" t="s">
        <v>383</v>
      </c>
      <c r="L135" s="5" t="s">
        <v>384</v>
      </c>
      <c r="M135" s="29"/>
      <c r="N135" s="29"/>
      <c r="O135" s="11"/>
      <c r="P135" s="31"/>
      <c r="Q135" s="32"/>
      <c r="R135" s="29"/>
      <c r="T135" s="41" t="s">
        <v>514</v>
      </c>
      <c r="U135" s="41" t="s">
        <v>355</v>
      </c>
      <c r="V135" s="40"/>
      <c r="W135" s="40"/>
      <c r="X135" s="40"/>
      <c r="Y135" s="31"/>
      <c r="Z135" s="32"/>
      <c r="AA135" s="29"/>
    </row>
    <row r="136" spans="2:27">
      <c r="B136" s="5" t="s">
        <v>383</v>
      </c>
      <c r="C136" s="5" t="s">
        <v>384</v>
      </c>
      <c r="D136" s="29"/>
      <c r="E136" s="29"/>
      <c r="F136" s="11"/>
      <c r="G136" s="31"/>
      <c r="H136" s="32"/>
      <c r="I136" s="29"/>
      <c r="K136" s="5" t="s">
        <v>383</v>
      </c>
      <c r="L136" s="5" t="s">
        <v>384</v>
      </c>
      <c r="M136" s="29"/>
      <c r="N136" s="29"/>
      <c r="O136" s="11"/>
      <c r="P136" s="31"/>
      <c r="Q136" s="32"/>
      <c r="R136" s="29"/>
      <c r="T136" s="41" t="s">
        <v>514</v>
      </c>
      <c r="U136" s="41" t="s">
        <v>355</v>
      </c>
      <c r="V136" s="40"/>
      <c r="W136" s="40"/>
      <c r="X136" s="40"/>
      <c r="Y136" s="31"/>
      <c r="Z136" s="32"/>
      <c r="AA136" s="29"/>
    </row>
    <row r="137" spans="2:27">
      <c r="B137" s="5" t="s">
        <v>383</v>
      </c>
      <c r="C137" s="5" t="s">
        <v>384</v>
      </c>
      <c r="D137" s="29"/>
      <c r="E137" s="29"/>
      <c r="F137" s="11"/>
      <c r="G137" s="31"/>
      <c r="H137" s="32"/>
      <c r="I137" s="29"/>
      <c r="K137" s="5" t="s">
        <v>383</v>
      </c>
      <c r="L137" s="5" t="s">
        <v>384</v>
      </c>
      <c r="M137" s="29"/>
      <c r="N137" s="29"/>
      <c r="O137" s="11"/>
      <c r="P137" s="31"/>
      <c r="Q137" s="32"/>
      <c r="R137" s="29"/>
      <c r="T137" s="41" t="s">
        <v>514</v>
      </c>
      <c r="U137" s="41" t="s">
        <v>355</v>
      </c>
      <c r="V137" s="40"/>
      <c r="W137" s="40"/>
      <c r="X137" s="40"/>
      <c r="Y137" s="31"/>
      <c r="Z137" s="32"/>
      <c r="AA137" s="29"/>
    </row>
    <row r="138" spans="2:27">
      <c r="B138" s="5" t="s">
        <v>383</v>
      </c>
      <c r="C138" s="5" t="s">
        <v>384</v>
      </c>
      <c r="D138" s="29"/>
      <c r="E138" s="29"/>
      <c r="F138" s="11"/>
      <c r="G138" s="31"/>
      <c r="H138" s="32"/>
      <c r="I138" s="29"/>
      <c r="K138" s="5" t="s">
        <v>383</v>
      </c>
      <c r="L138" s="5" t="s">
        <v>384</v>
      </c>
      <c r="M138" s="29"/>
      <c r="N138" s="29"/>
      <c r="O138" s="11"/>
      <c r="P138" s="31"/>
      <c r="Q138" s="32"/>
      <c r="R138" s="29"/>
      <c r="T138" s="41" t="s">
        <v>514</v>
      </c>
      <c r="U138" s="41" t="s">
        <v>355</v>
      </c>
      <c r="V138" s="40"/>
      <c r="W138" s="40"/>
      <c r="X138" s="40"/>
      <c r="Y138" s="31"/>
      <c r="Z138" s="32"/>
      <c r="AA138" s="29"/>
    </row>
    <row r="139" spans="2:27">
      <c r="B139" s="5" t="s">
        <v>383</v>
      </c>
      <c r="C139" s="5" t="s">
        <v>384</v>
      </c>
      <c r="D139" s="29"/>
      <c r="E139" s="29"/>
      <c r="F139" s="11"/>
      <c r="G139" s="31"/>
      <c r="H139" s="32"/>
      <c r="I139" s="29"/>
      <c r="K139" s="5" t="s">
        <v>383</v>
      </c>
      <c r="L139" s="5" t="s">
        <v>384</v>
      </c>
      <c r="M139" s="29"/>
      <c r="N139" s="29"/>
      <c r="O139" s="11"/>
      <c r="P139" s="31"/>
      <c r="Q139" s="32"/>
      <c r="R139" s="29"/>
      <c r="T139" s="41" t="s">
        <v>514</v>
      </c>
      <c r="U139" s="41" t="s">
        <v>355</v>
      </c>
      <c r="V139" s="40"/>
      <c r="W139" s="40"/>
      <c r="X139" s="40"/>
      <c r="Y139" s="31"/>
      <c r="Z139" s="32"/>
      <c r="AA139" s="29"/>
    </row>
    <row r="140" spans="2:27">
      <c r="B140" s="5" t="s">
        <v>383</v>
      </c>
      <c r="C140" s="5" t="s">
        <v>384</v>
      </c>
      <c r="D140" s="29"/>
      <c r="E140" s="29"/>
      <c r="F140" s="11"/>
      <c r="G140" s="31"/>
      <c r="H140" s="32"/>
      <c r="I140" s="29"/>
      <c r="K140" s="5" t="s">
        <v>383</v>
      </c>
      <c r="L140" s="5" t="s">
        <v>384</v>
      </c>
      <c r="M140" s="29"/>
      <c r="N140" s="29"/>
      <c r="O140" s="11"/>
      <c r="P140" s="31"/>
      <c r="Q140" s="32"/>
      <c r="R140" s="29"/>
      <c r="T140" s="41" t="s">
        <v>514</v>
      </c>
      <c r="U140" s="41" t="s">
        <v>355</v>
      </c>
      <c r="V140" s="40"/>
      <c r="W140" s="40"/>
      <c r="X140" s="40"/>
      <c r="Y140" s="31"/>
      <c r="Z140" s="32"/>
      <c r="AA140" s="29"/>
    </row>
    <row r="141" spans="2:27">
      <c r="B141" s="5" t="s">
        <v>383</v>
      </c>
      <c r="C141" s="5" t="s">
        <v>384</v>
      </c>
      <c r="D141" s="29"/>
      <c r="E141" s="29"/>
      <c r="F141" s="11"/>
      <c r="G141" s="31"/>
      <c r="H141" s="32"/>
      <c r="I141" s="29"/>
      <c r="K141" s="5" t="s">
        <v>383</v>
      </c>
      <c r="L141" s="5" t="s">
        <v>384</v>
      </c>
      <c r="M141" s="29"/>
      <c r="N141" s="29"/>
      <c r="O141" s="11"/>
      <c r="P141" s="31"/>
      <c r="Q141" s="32"/>
      <c r="R141" s="29"/>
      <c r="T141" s="41" t="s">
        <v>514</v>
      </c>
      <c r="U141" s="41" t="s">
        <v>355</v>
      </c>
      <c r="V141" s="40"/>
      <c r="W141" s="40"/>
      <c r="X141" s="40"/>
      <c r="Y141" s="31"/>
      <c r="Z141" s="32"/>
      <c r="AA141" s="29"/>
    </row>
    <row r="142" spans="2:27" s="24" customFormat="1">
      <c r="B142" s="8" t="s">
        <v>518</v>
      </c>
      <c r="C142" s="25"/>
      <c r="D142" s="30"/>
      <c r="E142" s="30"/>
      <c r="F142" s="28">
        <f t="shared" ref="F142" si="40">SUM(F127:F141)</f>
        <v>2500</v>
      </c>
      <c r="G142" s="25"/>
      <c r="H142" s="26"/>
      <c r="I142" s="30"/>
      <c r="K142" s="8" t="s">
        <v>518</v>
      </c>
      <c r="L142" s="25"/>
      <c r="M142" s="30"/>
      <c r="N142" s="30"/>
      <c r="O142" s="28">
        <f t="shared" ref="O142" si="41">SUM(O127:O141)</f>
        <v>2500</v>
      </c>
      <c r="P142" s="25"/>
      <c r="Q142" s="26"/>
      <c r="R142" s="30"/>
      <c r="T142" s="8" t="s">
        <v>518</v>
      </c>
      <c r="U142" s="25"/>
      <c r="V142" s="30"/>
      <c r="W142" s="30"/>
      <c r="X142" s="28">
        <f t="shared" ref="X142" si="42">SUM(X127:X141)</f>
        <v>2500</v>
      </c>
      <c r="Y142" s="25"/>
      <c r="Z142" s="26"/>
      <c r="AA142" s="30"/>
    </row>
    <row r="144" spans="2:27" ht="41.4">
      <c r="B144" s="27" t="s">
        <v>17</v>
      </c>
      <c r="C144" s="3" t="str">
        <f>C$54</f>
        <v>Source</v>
      </c>
      <c r="D144" s="3" t="str">
        <f t="shared" ref="D144:I144" si="43">D$54</f>
        <v>Limit (A)</v>
      </c>
      <c r="E144" s="3" t="str">
        <f t="shared" si="43"/>
        <v>Outstanding (A1)</v>
      </c>
      <c r="F144" s="3" t="str">
        <f t="shared" si="43"/>
        <v>Monthly Repayment (B)</v>
      </c>
      <c r="G144" s="3" t="str">
        <f t="shared" si="43"/>
        <v>Interest Rate (C)</v>
      </c>
      <c r="H144" s="3" t="str">
        <f t="shared" si="43"/>
        <v>Factor (D)</v>
      </c>
      <c r="I144" s="3" t="str">
        <f t="shared" si="43"/>
        <v>Interest (E) = (A or A1) * (C) * (D)</v>
      </c>
      <c r="K144" s="27" t="s">
        <v>17</v>
      </c>
      <c r="L144" s="3" t="str">
        <f>L$54</f>
        <v>Source</v>
      </c>
      <c r="M144" s="3" t="str">
        <f t="shared" ref="M144:R144" si="44">M$54</f>
        <v>Limit (A)</v>
      </c>
      <c r="N144" s="3" t="str">
        <f t="shared" si="44"/>
        <v>Outstanding (A1)</v>
      </c>
      <c r="O144" s="3" t="str">
        <f t="shared" si="44"/>
        <v>Monthly Repayment (B)</v>
      </c>
      <c r="P144" s="3" t="str">
        <f t="shared" si="44"/>
        <v>Interest Rate (C)</v>
      </c>
      <c r="Q144" s="3" t="str">
        <f t="shared" si="44"/>
        <v>Factor (D)</v>
      </c>
      <c r="R144" s="3" t="str">
        <f t="shared" si="44"/>
        <v>Interest (E) = (A or A1) * (C) * (D)</v>
      </c>
      <c r="T144" s="27" t="s">
        <v>17</v>
      </c>
      <c r="U144" s="3" t="str">
        <f>U$54</f>
        <v>Source</v>
      </c>
      <c r="V144" s="3" t="str">
        <f t="shared" ref="V144:AA144" si="45">V$54</f>
        <v>Limit (A)</v>
      </c>
      <c r="W144" s="3" t="str">
        <f t="shared" si="45"/>
        <v>Outstanding (A1)</v>
      </c>
      <c r="X144" s="3" t="str">
        <f t="shared" si="45"/>
        <v>Monthly Repayment (B)</v>
      </c>
      <c r="Y144" s="3" t="str">
        <f t="shared" si="45"/>
        <v>Interest Rate (C)</v>
      </c>
      <c r="Z144" s="3" t="str">
        <f t="shared" si="45"/>
        <v>Factor (D)</v>
      </c>
      <c r="AA144" s="3" t="str">
        <f t="shared" si="45"/>
        <v>Interest (E) = (A or A1) * (C) * (D)</v>
      </c>
    </row>
    <row r="145" spans="2:27">
      <c r="B145" s="5" t="s">
        <v>540</v>
      </c>
      <c r="C145" s="5" t="s">
        <v>382</v>
      </c>
      <c r="D145" s="29"/>
      <c r="E145" s="29"/>
      <c r="F145" s="11">
        <v>3000</v>
      </c>
      <c r="G145" s="31"/>
      <c r="H145" s="32"/>
      <c r="I145" s="29"/>
      <c r="K145" s="5" t="s">
        <v>540</v>
      </c>
      <c r="L145" s="5" t="s">
        <v>382</v>
      </c>
      <c r="M145" s="29"/>
      <c r="N145" s="29"/>
      <c r="O145" s="11">
        <v>3000</v>
      </c>
      <c r="P145" s="31"/>
      <c r="Q145" s="32"/>
      <c r="R145" s="29"/>
      <c r="T145" s="41" t="s">
        <v>514</v>
      </c>
      <c r="U145" s="41" t="s">
        <v>355</v>
      </c>
      <c r="V145" s="40">
        <v>100000</v>
      </c>
      <c r="W145" s="40">
        <v>72000</v>
      </c>
      <c r="X145" s="40">
        <v>3000</v>
      </c>
      <c r="Y145" s="31"/>
      <c r="Z145" s="32"/>
      <c r="AA145" s="29"/>
    </row>
    <row r="146" spans="2:27">
      <c r="B146" s="5" t="s">
        <v>383</v>
      </c>
      <c r="C146" s="5" t="s">
        <v>384</v>
      </c>
      <c r="D146" s="29"/>
      <c r="E146" s="29"/>
      <c r="F146" s="11"/>
      <c r="G146" s="31"/>
      <c r="H146" s="32"/>
      <c r="I146" s="29"/>
      <c r="K146" s="5" t="s">
        <v>383</v>
      </c>
      <c r="L146" s="5" t="s">
        <v>384</v>
      </c>
      <c r="M146" s="29"/>
      <c r="N146" s="29"/>
      <c r="O146" s="11"/>
      <c r="P146" s="31"/>
      <c r="Q146" s="32"/>
      <c r="R146" s="29"/>
      <c r="T146" s="41" t="s">
        <v>514</v>
      </c>
      <c r="U146" s="41" t="s">
        <v>355</v>
      </c>
      <c r="V146" s="40"/>
      <c r="W146" s="40"/>
      <c r="X146" s="40"/>
      <c r="Y146" s="31"/>
      <c r="Z146" s="32"/>
      <c r="AA146" s="29"/>
    </row>
    <row r="147" spans="2:27">
      <c r="B147" s="5" t="s">
        <v>383</v>
      </c>
      <c r="C147" s="5" t="s">
        <v>384</v>
      </c>
      <c r="D147" s="29"/>
      <c r="E147" s="29"/>
      <c r="F147" s="11"/>
      <c r="G147" s="31"/>
      <c r="H147" s="32"/>
      <c r="I147" s="29"/>
      <c r="K147" s="5" t="s">
        <v>383</v>
      </c>
      <c r="L147" s="5" t="s">
        <v>384</v>
      </c>
      <c r="M147" s="29"/>
      <c r="N147" s="29"/>
      <c r="O147" s="11"/>
      <c r="P147" s="31"/>
      <c r="Q147" s="32"/>
      <c r="R147" s="29"/>
      <c r="T147" s="41" t="s">
        <v>514</v>
      </c>
      <c r="U147" s="41" t="s">
        <v>355</v>
      </c>
      <c r="V147" s="40"/>
      <c r="W147" s="40"/>
      <c r="X147" s="40"/>
      <c r="Y147" s="31"/>
      <c r="Z147" s="32"/>
      <c r="AA147" s="29"/>
    </row>
    <row r="148" spans="2:27">
      <c r="B148" s="5" t="s">
        <v>383</v>
      </c>
      <c r="C148" s="5" t="s">
        <v>384</v>
      </c>
      <c r="D148" s="29"/>
      <c r="E148" s="29"/>
      <c r="F148" s="11"/>
      <c r="G148" s="31"/>
      <c r="H148" s="32"/>
      <c r="I148" s="29"/>
      <c r="K148" s="5" t="s">
        <v>383</v>
      </c>
      <c r="L148" s="5" t="s">
        <v>384</v>
      </c>
      <c r="M148" s="29"/>
      <c r="N148" s="29"/>
      <c r="O148" s="11"/>
      <c r="P148" s="31"/>
      <c r="Q148" s="32"/>
      <c r="R148" s="29"/>
      <c r="T148" s="41" t="s">
        <v>514</v>
      </c>
      <c r="U148" s="41" t="s">
        <v>355</v>
      </c>
      <c r="V148" s="40"/>
      <c r="W148" s="40"/>
      <c r="X148" s="40"/>
      <c r="Y148" s="31"/>
      <c r="Z148" s="32"/>
      <c r="AA148" s="29"/>
    </row>
    <row r="149" spans="2:27">
      <c r="B149" s="5" t="s">
        <v>383</v>
      </c>
      <c r="C149" s="5" t="s">
        <v>384</v>
      </c>
      <c r="D149" s="29"/>
      <c r="E149" s="29"/>
      <c r="F149" s="11"/>
      <c r="G149" s="31"/>
      <c r="H149" s="32"/>
      <c r="I149" s="29"/>
      <c r="K149" s="5" t="s">
        <v>383</v>
      </c>
      <c r="L149" s="5" t="s">
        <v>384</v>
      </c>
      <c r="M149" s="29"/>
      <c r="N149" s="29"/>
      <c r="O149" s="11"/>
      <c r="P149" s="31"/>
      <c r="Q149" s="32"/>
      <c r="R149" s="29"/>
      <c r="T149" s="41" t="s">
        <v>514</v>
      </c>
      <c r="U149" s="41" t="s">
        <v>355</v>
      </c>
      <c r="V149" s="40"/>
      <c r="W149" s="40"/>
      <c r="X149" s="40"/>
      <c r="Y149" s="31"/>
      <c r="Z149" s="32"/>
      <c r="AA149" s="29"/>
    </row>
    <row r="150" spans="2:27">
      <c r="B150" s="5" t="s">
        <v>383</v>
      </c>
      <c r="C150" s="5" t="s">
        <v>384</v>
      </c>
      <c r="D150" s="29"/>
      <c r="E150" s="29"/>
      <c r="F150" s="11"/>
      <c r="G150" s="31"/>
      <c r="H150" s="32"/>
      <c r="I150" s="29"/>
      <c r="K150" s="5" t="s">
        <v>383</v>
      </c>
      <c r="L150" s="5" t="s">
        <v>384</v>
      </c>
      <c r="M150" s="29"/>
      <c r="N150" s="29"/>
      <c r="O150" s="11"/>
      <c r="P150" s="31"/>
      <c r="Q150" s="32"/>
      <c r="R150" s="29"/>
      <c r="T150" s="41" t="s">
        <v>514</v>
      </c>
      <c r="U150" s="41" t="s">
        <v>355</v>
      </c>
      <c r="V150" s="40"/>
      <c r="W150" s="40"/>
      <c r="X150" s="40"/>
      <c r="Y150" s="31"/>
      <c r="Z150" s="32"/>
      <c r="AA150" s="29"/>
    </row>
    <row r="151" spans="2:27">
      <c r="B151" s="5" t="s">
        <v>383</v>
      </c>
      <c r="C151" s="5" t="s">
        <v>384</v>
      </c>
      <c r="D151" s="29"/>
      <c r="E151" s="29"/>
      <c r="F151" s="11"/>
      <c r="G151" s="31"/>
      <c r="H151" s="32"/>
      <c r="I151" s="29"/>
      <c r="K151" s="5" t="s">
        <v>383</v>
      </c>
      <c r="L151" s="5" t="s">
        <v>384</v>
      </c>
      <c r="M151" s="29"/>
      <c r="N151" s="29"/>
      <c r="O151" s="11"/>
      <c r="P151" s="31"/>
      <c r="Q151" s="32"/>
      <c r="R151" s="29"/>
      <c r="T151" s="41" t="s">
        <v>514</v>
      </c>
      <c r="U151" s="41" t="s">
        <v>355</v>
      </c>
      <c r="V151" s="40"/>
      <c r="W151" s="40"/>
      <c r="X151" s="40"/>
      <c r="Y151" s="31"/>
      <c r="Z151" s="32"/>
      <c r="AA151" s="29"/>
    </row>
    <row r="152" spans="2:27">
      <c r="B152" s="5" t="s">
        <v>383</v>
      </c>
      <c r="C152" s="5" t="s">
        <v>384</v>
      </c>
      <c r="D152" s="29"/>
      <c r="E152" s="29"/>
      <c r="F152" s="11"/>
      <c r="G152" s="31"/>
      <c r="H152" s="32"/>
      <c r="I152" s="29"/>
      <c r="K152" s="5" t="s">
        <v>383</v>
      </c>
      <c r="L152" s="5" t="s">
        <v>384</v>
      </c>
      <c r="M152" s="29"/>
      <c r="N152" s="29"/>
      <c r="O152" s="11"/>
      <c r="P152" s="31"/>
      <c r="Q152" s="32"/>
      <c r="R152" s="29"/>
      <c r="T152" s="41" t="s">
        <v>514</v>
      </c>
      <c r="U152" s="41" t="s">
        <v>355</v>
      </c>
      <c r="V152" s="40"/>
      <c r="W152" s="40"/>
      <c r="X152" s="40"/>
      <c r="Y152" s="31"/>
      <c r="Z152" s="32"/>
      <c r="AA152" s="29"/>
    </row>
    <row r="153" spans="2:27">
      <c r="B153" s="5" t="s">
        <v>383</v>
      </c>
      <c r="C153" s="5" t="s">
        <v>384</v>
      </c>
      <c r="D153" s="29"/>
      <c r="E153" s="29"/>
      <c r="F153" s="11"/>
      <c r="G153" s="31"/>
      <c r="H153" s="32"/>
      <c r="I153" s="29"/>
      <c r="K153" s="5" t="s">
        <v>383</v>
      </c>
      <c r="L153" s="5" t="s">
        <v>384</v>
      </c>
      <c r="M153" s="29"/>
      <c r="N153" s="29"/>
      <c r="O153" s="11"/>
      <c r="P153" s="31"/>
      <c r="Q153" s="32"/>
      <c r="R153" s="29"/>
      <c r="T153" s="41" t="s">
        <v>514</v>
      </c>
      <c r="U153" s="41" t="s">
        <v>355</v>
      </c>
      <c r="V153" s="40"/>
      <c r="W153" s="40"/>
      <c r="X153" s="40"/>
      <c r="Y153" s="31"/>
      <c r="Z153" s="32"/>
      <c r="AA153" s="29"/>
    </row>
    <row r="154" spans="2:27">
      <c r="B154" s="5" t="s">
        <v>383</v>
      </c>
      <c r="C154" s="5" t="s">
        <v>384</v>
      </c>
      <c r="D154" s="29"/>
      <c r="E154" s="29"/>
      <c r="F154" s="11"/>
      <c r="G154" s="31"/>
      <c r="H154" s="32"/>
      <c r="I154" s="29"/>
      <c r="K154" s="5" t="s">
        <v>383</v>
      </c>
      <c r="L154" s="5" t="s">
        <v>384</v>
      </c>
      <c r="M154" s="29"/>
      <c r="N154" s="29"/>
      <c r="O154" s="11"/>
      <c r="P154" s="31"/>
      <c r="Q154" s="32"/>
      <c r="R154" s="29"/>
      <c r="T154" s="41" t="s">
        <v>514</v>
      </c>
      <c r="U154" s="41" t="s">
        <v>355</v>
      </c>
      <c r="V154" s="40"/>
      <c r="W154" s="40"/>
      <c r="X154" s="40"/>
      <c r="Y154" s="31"/>
      <c r="Z154" s="32"/>
      <c r="AA154" s="29"/>
    </row>
    <row r="155" spans="2:27">
      <c r="B155" s="5" t="s">
        <v>383</v>
      </c>
      <c r="C155" s="5" t="s">
        <v>384</v>
      </c>
      <c r="D155" s="29"/>
      <c r="E155" s="29"/>
      <c r="F155" s="11"/>
      <c r="G155" s="31"/>
      <c r="H155" s="32"/>
      <c r="I155" s="29"/>
      <c r="K155" s="5" t="s">
        <v>383</v>
      </c>
      <c r="L155" s="5" t="s">
        <v>384</v>
      </c>
      <c r="M155" s="29"/>
      <c r="N155" s="29"/>
      <c r="O155" s="11"/>
      <c r="P155" s="31"/>
      <c r="Q155" s="32"/>
      <c r="R155" s="29"/>
      <c r="T155" s="41" t="s">
        <v>514</v>
      </c>
      <c r="U155" s="41" t="s">
        <v>355</v>
      </c>
      <c r="V155" s="40"/>
      <c r="W155" s="40"/>
      <c r="X155" s="40"/>
      <c r="Y155" s="31"/>
      <c r="Z155" s="32"/>
      <c r="AA155" s="29"/>
    </row>
    <row r="156" spans="2:27">
      <c r="B156" s="5" t="s">
        <v>383</v>
      </c>
      <c r="C156" s="5" t="s">
        <v>384</v>
      </c>
      <c r="D156" s="29"/>
      <c r="E156" s="29"/>
      <c r="F156" s="11"/>
      <c r="G156" s="31"/>
      <c r="H156" s="32"/>
      <c r="I156" s="29"/>
      <c r="K156" s="5" t="s">
        <v>383</v>
      </c>
      <c r="L156" s="5" t="s">
        <v>384</v>
      </c>
      <c r="M156" s="29"/>
      <c r="N156" s="29"/>
      <c r="O156" s="11"/>
      <c r="P156" s="31"/>
      <c r="Q156" s="32"/>
      <c r="R156" s="29"/>
      <c r="T156" s="41" t="s">
        <v>514</v>
      </c>
      <c r="U156" s="41" t="s">
        <v>355</v>
      </c>
      <c r="V156" s="40"/>
      <c r="W156" s="40"/>
      <c r="X156" s="40"/>
      <c r="Y156" s="31"/>
      <c r="Z156" s="32"/>
      <c r="AA156" s="29"/>
    </row>
    <row r="157" spans="2:27">
      <c r="B157" s="5" t="s">
        <v>383</v>
      </c>
      <c r="C157" s="5" t="s">
        <v>384</v>
      </c>
      <c r="D157" s="29"/>
      <c r="E157" s="29"/>
      <c r="F157" s="11"/>
      <c r="G157" s="31"/>
      <c r="H157" s="32"/>
      <c r="I157" s="29"/>
      <c r="K157" s="5" t="s">
        <v>383</v>
      </c>
      <c r="L157" s="5" t="s">
        <v>384</v>
      </c>
      <c r="M157" s="29"/>
      <c r="N157" s="29"/>
      <c r="O157" s="11"/>
      <c r="P157" s="31"/>
      <c r="Q157" s="32"/>
      <c r="R157" s="29"/>
      <c r="T157" s="41" t="s">
        <v>514</v>
      </c>
      <c r="U157" s="41" t="s">
        <v>355</v>
      </c>
      <c r="V157" s="40"/>
      <c r="W157" s="40"/>
      <c r="X157" s="40"/>
      <c r="Y157" s="31"/>
      <c r="Z157" s="32"/>
      <c r="AA157" s="29"/>
    </row>
    <row r="158" spans="2:27">
      <c r="B158" s="5" t="s">
        <v>383</v>
      </c>
      <c r="C158" s="5" t="s">
        <v>384</v>
      </c>
      <c r="D158" s="29"/>
      <c r="E158" s="29"/>
      <c r="F158" s="11"/>
      <c r="G158" s="31"/>
      <c r="H158" s="32"/>
      <c r="I158" s="29"/>
      <c r="K158" s="5" t="s">
        <v>383</v>
      </c>
      <c r="L158" s="5" t="s">
        <v>384</v>
      </c>
      <c r="M158" s="29"/>
      <c r="N158" s="29"/>
      <c r="O158" s="11"/>
      <c r="P158" s="31"/>
      <c r="Q158" s="32"/>
      <c r="R158" s="29"/>
      <c r="T158" s="41" t="s">
        <v>514</v>
      </c>
      <c r="U158" s="41" t="s">
        <v>355</v>
      </c>
      <c r="V158" s="40"/>
      <c r="W158" s="40"/>
      <c r="X158" s="40"/>
      <c r="Y158" s="31"/>
      <c r="Z158" s="32"/>
      <c r="AA158" s="29"/>
    </row>
    <row r="159" spans="2:27">
      <c r="B159" s="5" t="s">
        <v>383</v>
      </c>
      <c r="C159" s="5" t="s">
        <v>384</v>
      </c>
      <c r="D159" s="29"/>
      <c r="E159" s="29"/>
      <c r="F159" s="11"/>
      <c r="G159" s="31"/>
      <c r="H159" s="32"/>
      <c r="I159" s="29"/>
      <c r="K159" s="5" t="s">
        <v>383</v>
      </c>
      <c r="L159" s="5" t="s">
        <v>384</v>
      </c>
      <c r="M159" s="29"/>
      <c r="N159" s="29"/>
      <c r="O159" s="11"/>
      <c r="P159" s="31"/>
      <c r="Q159" s="32"/>
      <c r="R159" s="29"/>
      <c r="T159" s="41" t="s">
        <v>514</v>
      </c>
      <c r="U159" s="41" t="s">
        <v>355</v>
      </c>
      <c r="V159" s="40"/>
      <c r="W159" s="40"/>
      <c r="X159" s="40"/>
      <c r="Y159" s="31"/>
      <c r="Z159" s="32"/>
      <c r="AA159" s="29"/>
    </row>
    <row r="160" spans="2:27">
      <c r="B160" s="8" t="s">
        <v>519</v>
      </c>
      <c r="C160" s="25"/>
      <c r="D160" s="30"/>
      <c r="E160" s="30"/>
      <c r="F160" s="28">
        <f t="shared" ref="F160" si="46">SUM(F145:F159)</f>
        <v>3000</v>
      </c>
      <c r="G160" s="25"/>
      <c r="H160" s="26"/>
      <c r="I160" s="30"/>
      <c r="K160" s="8" t="s">
        <v>519</v>
      </c>
      <c r="L160" s="25"/>
      <c r="M160" s="30"/>
      <c r="N160" s="30"/>
      <c r="O160" s="28">
        <f t="shared" ref="O160" si="47">SUM(O145:O159)</f>
        <v>3000</v>
      </c>
      <c r="P160" s="25"/>
      <c r="Q160" s="26"/>
      <c r="R160" s="30"/>
      <c r="T160" s="8" t="s">
        <v>519</v>
      </c>
      <c r="U160" s="25"/>
      <c r="V160" s="30"/>
      <c r="W160" s="30"/>
      <c r="X160" s="28">
        <f t="shared" ref="X160" si="48">SUM(X145:X159)</f>
        <v>3000</v>
      </c>
      <c r="Y160" s="25"/>
      <c r="Z160" s="26"/>
      <c r="AA160" s="30"/>
    </row>
    <row r="162" spans="2:27" s="20" customFormat="1" ht="41.4">
      <c r="B162" s="27" t="s">
        <v>18</v>
      </c>
      <c r="C162" s="3" t="str">
        <f>C$54</f>
        <v>Source</v>
      </c>
      <c r="D162" s="3" t="str">
        <f t="shared" ref="D162:I162" si="49">D$54</f>
        <v>Limit (A)</v>
      </c>
      <c r="E162" s="3" t="str">
        <f t="shared" si="49"/>
        <v>Outstanding (A1)</v>
      </c>
      <c r="F162" s="3" t="str">
        <f t="shared" si="49"/>
        <v>Monthly Repayment (B)</v>
      </c>
      <c r="G162" s="3" t="str">
        <f t="shared" si="49"/>
        <v>Interest Rate (C)</v>
      </c>
      <c r="H162" s="3" t="str">
        <f t="shared" si="49"/>
        <v>Factor (D)</v>
      </c>
      <c r="I162" s="3" t="str">
        <f t="shared" si="49"/>
        <v>Interest (E) = (A or A1) * (C) * (D)</v>
      </c>
      <c r="K162" s="27" t="s">
        <v>18</v>
      </c>
      <c r="L162" s="3" t="str">
        <f>L$54</f>
        <v>Source</v>
      </c>
      <c r="M162" s="3" t="str">
        <f t="shared" ref="M162:R162" si="50">M$54</f>
        <v>Limit (A)</v>
      </c>
      <c r="N162" s="3" t="str">
        <f t="shared" si="50"/>
        <v>Outstanding (A1)</v>
      </c>
      <c r="O162" s="3" t="str">
        <f t="shared" si="50"/>
        <v>Monthly Repayment (B)</v>
      </c>
      <c r="P162" s="3" t="str">
        <f t="shared" si="50"/>
        <v>Interest Rate (C)</v>
      </c>
      <c r="Q162" s="3" t="str">
        <f t="shared" si="50"/>
        <v>Factor (D)</v>
      </c>
      <c r="R162" s="3" t="str">
        <f t="shared" si="50"/>
        <v>Interest (E) = (A or A1) * (C) * (D)</v>
      </c>
      <c r="T162" s="27" t="s">
        <v>18</v>
      </c>
      <c r="U162" s="3" t="str">
        <f>U$54</f>
        <v>Source</v>
      </c>
      <c r="V162" s="3" t="str">
        <f t="shared" ref="V162:AA162" si="51">V$54</f>
        <v>Limit (A)</v>
      </c>
      <c r="W162" s="3" t="str">
        <f t="shared" si="51"/>
        <v>Outstanding (A1)</v>
      </c>
      <c r="X162" s="3" t="str">
        <f t="shared" si="51"/>
        <v>Monthly Repayment (B)</v>
      </c>
      <c r="Y162" s="3" t="str">
        <f t="shared" si="51"/>
        <v>Interest Rate (C)</v>
      </c>
      <c r="Z162" s="3" t="str">
        <f t="shared" si="51"/>
        <v>Factor (D)</v>
      </c>
      <c r="AA162" s="3" t="str">
        <f t="shared" si="51"/>
        <v>Interest (E) = (A or A1) * (C) * (D)</v>
      </c>
    </row>
    <row r="163" spans="2:27">
      <c r="B163" s="5" t="s">
        <v>541</v>
      </c>
      <c r="C163" s="5" t="s">
        <v>382</v>
      </c>
      <c r="D163" s="29"/>
      <c r="E163" s="11">
        <v>100000</v>
      </c>
      <c r="F163" s="29"/>
      <c r="G163" s="31"/>
      <c r="H163" s="23">
        <v>0.05</v>
      </c>
      <c r="I163" s="75">
        <f>E163*H163</f>
        <v>5000</v>
      </c>
      <c r="K163" s="5" t="s">
        <v>541</v>
      </c>
      <c r="L163" s="5" t="s">
        <v>382</v>
      </c>
      <c r="M163" s="29"/>
      <c r="N163" s="11">
        <v>100000</v>
      </c>
      <c r="O163" s="29"/>
      <c r="P163" s="31"/>
      <c r="Q163" s="23">
        <v>0.05</v>
      </c>
      <c r="R163" s="75">
        <f>N163*Q163</f>
        <v>5000</v>
      </c>
      <c r="T163" s="41" t="s">
        <v>514</v>
      </c>
      <c r="U163" s="41" t="s">
        <v>355</v>
      </c>
      <c r="V163" s="40">
        <v>180000</v>
      </c>
      <c r="W163" s="40">
        <v>100000</v>
      </c>
      <c r="X163" s="29"/>
      <c r="Y163" s="31"/>
      <c r="Z163" s="23">
        <v>0.05</v>
      </c>
      <c r="AA163" s="75">
        <f>W163*Z163</f>
        <v>5000</v>
      </c>
    </row>
    <row r="164" spans="2:27">
      <c r="B164" s="5" t="s">
        <v>383</v>
      </c>
      <c r="C164" s="5" t="s">
        <v>384</v>
      </c>
      <c r="D164" s="29"/>
      <c r="E164" s="11"/>
      <c r="F164" s="29"/>
      <c r="G164" s="31"/>
      <c r="H164" s="23">
        <v>0.05</v>
      </c>
      <c r="I164" s="75">
        <f t="shared" ref="I164:I177" si="52">E164*H164</f>
        <v>0</v>
      </c>
      <c r="K164" s="5" t="s">
        <v>383</v>
      </c>
      <c r="L164" s="5" t="s">
        <v>384</v>
      </c>
      <c r="M164" s="29"/>
      <c r="N164" s="11"/>
      <c r="O164" s="29"/>
      <c r="P164" s="31"/>
      <c r="Q164" s="23">
        <v>0.05</v>
      </c>
      <c r="R164" s="75">
        <f t="shared" ref="R164:R177" si="53">N164*Q164</f>
        <v>0</v>
      </c>
      <c r="T164" s="41" t="s">
        <v>514</v>
      </c>
      <c r="U164" s="41" t="s">
        <v>355</v>
      </c>
      <c r="V164" s="40"/>
      <c r="W164" s="40"/>
      <c r="X164" s="29"/>
      <c r="Y164" s="31"/>
      <c r="Z164" s="23">
        <v>0.05</v>
      </c>
      <c r="AA164" s="75">
        <f t="shared" ref="AA164:AA177" si="54">W164*Z164</f>
        <v>0</v>
      </c>
    </row>
    <row r="165" spans="2:27">
      <c r="B165" s="5" t="s">
        <v>383</v>
      </c>
      <c r="C165" s="5" t="s">
        <v>384</v>
      </c>
      <c r="D165" s="29"/>
      <c r="E165" s="11"/>
      <c r="F165" s="29"/>
      <c r="G165" s="31"/>
      <c r="H165" s="23">
        <v>0.05</v>
      </c>
      <c r="I165" s="75">
        <f t="shared" si="52"/>
        <v>0</v>
      </c>
      <c r="K165" s="5" t="s">
        <v>383</v>
      </c>
      <c r="L165" s="5" t="s">
        <v>384</v>
      </c>
      <c r="M165" s="29"/>
      <c r="N165" s="11"/>
      <c r="O165" s="29"/>
      <c r="P165" s="31"/>
      <c r="Q165" s="23">
        <v>0.05</v>
      </c>
      <c r="R165" s="75">
        <f t="shared" si="53"/>
        <v>0</v>
      </c>
      <c r="T165" s="41" t="s">
        <v>514</v>
      </c>
      <c r="U165" s="41" t="s">
        <v>355</v>
      </c>
      <c r="V165" s="40"/>
      <c r="W165" s="40"/>
      <c r="X165" s="29"/>
      <c r="Y165" s="31"/>
      <c r="Z165" s="23">
        <v>0.05</v>
      </c>
      <c r="AA165" s="75">
        <f t="shared" si="54"/>
        <v>0</v>
      </c>
    </row>
    <row r="166" spans="2:27">
      <c r="B166" s="5" t="s">
        <v>383</v>
      </c>
      <c r="C166" s="5" t="s">
        <v>384</v>
      </c>
      <c r="D166" s="29"/>
      <c r="E166" s="11"/>
      <c r="F166" s="29"/>
      <c r="G166" s="31"/>
      <c r="H166" s="23">
        <v>0.05</v>
      </c>
      <c r="I166" s="75">
        <f t="shared" si="52"/>
        <v>0</v>
      </c>
      <c r="K166" s="5" t="s">
        <v>383</v>
      </c>
      <c r="L166" s="5" t="s">
        <v>384</v>
      </c>
      <c r="M166" s="29"/>
      <c r="N166" s="11"/>
      <c r="O166" s="29"/>
      <c r="P166" s="31"/>
      <c r="Q166" s="23">
        <v>0.05</v>
      </c>
      <c r="R166" s="75">
        <f t="shared" si="53"/>
        <v>0</v>
      </c>
      <c r="T166" s="41" t="s">
        <v>514</v>
      </c>
      <c r="U166" s="41" t="s">
        <v>355</v>
      </c>
      <c r="V166" s="40"/>
      <c r="W166" s="40"/>
      <c r="X166" s="29"/>
      <c r="Y166" s="31"/>
      <c r="Z166" s="23">
        <v>0.05</v>
      </c>
      <c r="AA166" s="75">
        <f t="shared" si="54"/>
        <v>0</v>
      </c>
    </row>
    <row r="167" spans="2:27">
      <c r="B167" s="5" t="s">
        <v>383</v>
      </c>
      <c r="C167" s="5" t="s">
        <v>384</v>
      </c>
      <c r="D167" s="29"/>
      <c r="E167" s="11"/>
      <c r="F167" s="29"/>
      <c r="G167" s="31"/>
      <c r="H167" s="23">
        <v>0.05</v>
      </c>
      <c r="I167" s="75">
        <f t="shared" si="52"/>
        <v>0</v>
      </c>
      <c r="K167" s="5" t="s">
        <v>383</v>
      </c>
      <c r="L167" s="5" t="s">
        <v>384</v>
      </c>
      <c r="M167" s="29"/>
      <c r="N167" s="11"/>
      <c r="O167" s="29"/>
      <c r="P167" s="31"/>
      <c r="Q167" s="23">
        <v>0.05</v>
      </c>
      <c r="R167" s="75">
        <f t="shared" si="53"/>
        <v>0</v>
      </c>
      <c r="T167" s="41" t="s">
        <v>514</v>
      </c>
      <c r="U167" s="41" t="s">
        <v>355</v>
      </c>
      <c r="V167" s="40"/>
      <c r="W167" s="40"/>
      <c r="X167" s="29"/>
      <c r="Y167" s="31"/>
      <c r="Z167" s="23">
        <v>0.05</v>
      </c>
      <c r="AA167" s="75">
        <f t="shared" si="54"/>
        <v>0</v>
      </c>
    </row>
    <row r="168" spans="2:27">
      <c r="B168" s="5" t="s">
        <v>383</v>
      </c>
      <c r="C168" s="5" t="s">
        <v>384</v>
      </c>
      <c r="D168" s="29"/>
      <c r="E168" s="11"/>
      <c r="F168" s="29"/>
      <c r="G168" s="31"/>
      <c r="H168" s="23">
        <v>0.05</v>
      </c>
      <c r="I168" s="75">
        <f t="shared" si="52"/>
        <v>0</v>
      </c>
      <c r="K168" s="5" t="s">
        <v>383</v>
      </c>
      <c r="L168" s="5" t="s">
        <v>384</v>
      </c>
      <c r="M168" s="29"/>
      <c r="N168" s="11"/>
      <c r="O168" s="29"/>
      <c r="P168" s="31"/>
      <c r="Q168" s="23">
        <v>0.05</v>
      </c>
      <c r="R168" s="75">
        <f t="shared" si="53"/>
        <v>0</v>
      </c>
      <c r="T168" s="41" t="s">
        <v>514</v>
      </c>
      <c r="U168" s="41" t="s">
        <v>355</v>
      </c>
      <c r="V168" s="40"/>
      <c r="W168" s="40"/>
      <c r="X168" s="29"/>
      <c r="Y168" s="31"/>
      <c r="Z168" s="23">
        <v>0.05</v>
      </c>
      <c r="AA168" s="75">
        <f t="shared" si="54"/>
        <v>0</v>
      </c>
    </row>
    <row r="169" spans="2:27">
      <c r="B169" s="5" t="s">
        <v>383</v>
      </c>
      <c r="C169" s="5" t="s">
        <v>384</v>
      </c>
      <c r="D169" s="29"/>
      <c r="E169" s="11"/>
      <c r="F169" s="29"/>
      <c r="G169" s="31"/>
      <c r="H169" s="23">
        <v>0.05</v>
      </c>
      <c r="I169" s="75">
        <f t="shared" si="52"/>
        <v>0</v>
      </c>
      <c r="K169" s="5" t="s">
        <v>383</v>
      </c>
      <c r="L169" s="5" t="s">
        <v>384</v>
      </c>
      <c r="M169" s="29"/>
      <c r="N169" s="11"/>
      <c r="O169" s="29"/>
      <c r="P169" s="31"/>
      <c r="Q169" s="23">
        <v>0.05</v>
      </c>
      <c r="R169" s="75">
        <f t="shared" si="53"/>
        <v>0</v>
      </c>
      <c r="T169" s="41" t="s">
        <v>514</v>
      </c>
      <c r="U169" s="41" t="s">
        <v>355</v>
      </c>
      <c r="V169" s="40"/>
      <c r="W169" s="40"/>
      <c r="X169" s="29"/>
      <c r="Y169" s="31"/>
      <c r="Z169" s="23">
        <v>0.05</v>
      </c>
      <c r="AA169" s="75">
        <f t="shared" si="54"/>
        <v>0</v>
      </c>
    </row>
    <row r="170" spans="2:27">
      <c r="B170" s="5" t="s">
        <v>383</v>
      </c>
      <c r="C170" s="5" t="s">
        <v>384</v>
      </c>
      <c r="D170" s="29"/>
      <c r="E170" s="11"/>
      <c r="F170" s="29"/>
      <c r="G170" s="31"/>
      <c r="H170" s="23">
        <v>0.05</v>
      </c>
      <c r="I170" s="75">
        <f t="shared" si="52"/>
        <v>0</v>
      </c>
      <c r="K170" s="5" t="s">
        <v>383</v>
      </c>
      <c r="L170" s="5" t="s">
        <v>384</v>
      </c>
      <c r="M170" s="29"/>
      <c r="N170" s="11"/>
      <c r="O170" s="29"/>
      <c r="P170" s="31"/>
      <c r="Q170" s="23">
        <v>0.05</v>
      </c>
      <c r="R170" s="75">
        <f t="shared" si="53"/>
        <v>0</v>
      </c>
      <c r="T170" s="41" t="s">
        <v>514</v>
      </c>
      <c r="U170" s="41" t="s">
        <v>355</v>
      </c>
      <c r="V170" s="40"/>
      <c r="W170" s="40"/>
      <c r="X170" s="29"/>
      <c r="Y170" s="31"/>
      <c r="Z170" s="23">
        <v>0.05</v>
      </c>
      <c r="AA170" s="75">
        <f t="shared" si="54"/>
        <v>0</v>
      </c>
    </row>
    <row r="171" spans="2:27">
      <c r="B171" s="5" t="s">
        <v>383</v>
      </c>
      <c r="C171" s="5" t="s">
        <v>384</v>
      </c>
      <c r="D171" s="29"/>
      <c r="E171" s="11"/>
      <c r="F171" s="29"/>
      <c r="G171" s="31"/>
      <c r="H171" s="23">
        <v>0.05</v>
      </c>
      <c r="I171" s="75">
        <f t="shared" si="52"/>
        <v>0</v>
      </c>
      <c r="K171" s="5" t="s">
        <v>383</v>
      </c>
      <c r="L171" s="5" t="s">
        <v>384</v>
      </c>
      <c r="M171" s="29"/>
      <c r="N171" s="11"/>
      <c r="O171" s="29"/>
      <c r="P171" s="31"/>
      <c r="Q171" s="23">
        <v>0.05</v>
      </c>
      <c r="R171" s="75">
        <f t="shared" si="53"/>
        <v>0</v>
      </c>
      <c r="T171" s="41" t="s">
        <v>514</v>
      </c>
      <c r="U171" s="41" t="s">
        <v>355</v>
      </c>
      <c r="V171" s="40"/>
      <c r="W171" s="40"/>
      <c r="X171" s="29"/>
      <c r="Y171" s="31"/>
      <c r="Z171" s="23">
        <v>0.05</v>
      </c>
      <c r="AA171" s="75">
        <f t="shared" si="54"/>
        <v>0</v>
      </c>
    </row>
    <row r="172" spans="2:27">
      <c r="B172" s="5" t="s">
        <v>383</v>
      </c>
      <c r="C172" s="5" t="s">
        <v>384</v>
      </c>
      <c r="D172" s="29"/>
      <c r="E172" s="11"/>
      <c r="F172" s="29"/>
      <c r="G172" s="31"/>
      <c r="H172" s="23">
        <v>0.05</v>
      </c>
      <c r="I172" s="75">
        <f t="shared" si="52"/>
        <v>0</v>
      </c>
      <c r="K172" s="5" t="s">
        <v>383</v>
      </c>
      <c r="L172" s="5" t="s">
        <v>384</v>
      </c>
      <c r="M172" s="29"/>
      <c r="N172" s="11"/>
      <c r="O172" s="29"/>
      <c r="P172" s="31"/>
      <c r="Q172" s="23">
        <v>0.05</v>
      </c>
      <c r="R172" s="75">
        <f t="shared" si="53"/>
        <v>0</v>
      </c>
      <c r="T172" s="41" t="s">
        <v>514</v>
      </c>
      <c r="U172" s="41" t="s">
        <v>355</v>
      </c>
      <c r="V172" s="40"/>
      <c r="W172" s="40"/>
      <c r="X172" s="29"/>
      <c r="Y172" s="31"/>
      <c r="Z172" s="23">
        <v>0.05</v>
      </c>
      <c r="AA172" s="75">
        <f t="shared" si="54"/>
        <v>0</v>
      </c>
    </row>
    <row r="173" spans="2:27">
      <c r="B173" s="5" t="s">
        <v>383</v>
      </c>
      <c r="C173" s="5" t="s">
        <v>384</v>
      </c>
      <c r="D173" s="29"/>
      <c r="E173" s="11"/>
      <c r="F173" s="29"/>
      <c r="G173" s="31"/>
      <c r="H173" s="23">
        <v>0.05</v>
      </c>
      <c r="I173" s="75">
        <f t="shared" si="52"/>
        <v>0</v>
      </c>
      <c r="K173" s="5" t="s">
        <v>383</v>
      </c>
      <c r="L173" s="5" t="s">
        <v>384</v>
      </c>
      <c r="M173" s="29"/>
      <c r="N173" s="11"/>
      <c r="O173" s="29"/>
      <c r="P173" s="31"/>
      <c r="Q173" s="23">
        <v>0.05</v>
      </c>
      <c r="R173" s="75">
        <f t="shared" si="53"/>
        <v>0</v>
      </c>
      <c r="T173" s="41" t="s">
        <v>514</v>
      </c>
      <c r="U173" s="41" t="s">
        <v>355</v>
      </c>
      <c r="V173" s="40"/>
      <c r="W173" s="40"/>
      <c r="X173" s="29"/>
      <c r="Y173" s="31"/>
      <c r="Z173" s="23">
        <v>0.05</v>
      </c>
      <c r="AA173" s="75">
        <f t="shared" si="54"/>
        <v>0</v>
      </c>
    </row>
    <row r="174" spans="2:27">
      <c r="B174" s="5" t="s">
        <v>383</v>
      </c>
      <c r="C174" s="5" t="s">
        <v>384</v>
      </c>
      <c r="D174" s="29"/>
      <c r="E174" s="11"/>
      <c r="F174" s="29"/>
      <c r="G174" s="31"/>
      <c r="H174" s="23">
        <v>0.05</v>
      </c>
      <c r="I174" s="75">
        <f t="shared" si="52"/>
        <v>0</v>
      </c>
      <c r="K174" s="5" t="s">
        <v>383</v>
      </c>
      <c r="L174" s="5" t="s">
        <v>384</v>
      </c>
      <c r="M174" s="29"/>
      <c r="N174" s="11"/>
      <c r="O174" s="29"/>
      <c r="P174" s="31"/>
      <c r="Q174" s="23">
        <v>0.05</v>
      </c>
      <c r="R174" s="75">
        <f t="shared" si="53"/>
        <v>0</v>
      </c>
      <c r="T174" s="41" t="s">
        <v>514</v>
      </c>
      <c r="U174" s="41" t="s">
        <v>355</v>
      </c>
      <c r="V174" s="40"/>
      <c r="W174" s="40"/>
      <c r="X174" s="29"/>
      <c r="Y174" s="31"/>
      <c r="Z174" s="23">
        <v>0.05</v>
      </c>
      <c r="AA174" s="75">
        <f t="shared" si="54"/>
        <v>0</v>
      </c>
    </row>
    <row r="175" spans="2:27">
      <c r="B175" s="5" t="s">
        <v>383</v>
      </c>
      <c r="C175" s="5" t="s">
        <v>384</v>
      </c>
      <c r="D175" s="29"/>
      <c r="E175" s="11"/>
      <c r="F175" s="29"/>
      <c r="G175" s="31"/>
      <c r="H175" s="23">
        <v>0.05</v>
      </c>
      <c r="I175" s="75">
        <f t="shared" si="52"/>
        <v>0</v>
      </c>
      <c r="K175" s="5" t="s">
        <v>383</v>
      </c>
      <c r="L175" s="5" t="s">
        <v>384</v>
      </c>
      <c r="M175" s="29"/>
      <c r="N175" s="11"/>
      <c r="O175" s="29"/>
      <c r="P175" s="31"/>
      <c r="Q175" s="23">
        <v>0.05</v>
      </c>
      <c r="R175" s="75">
        <f t="shared" si="53"/>
        <v>0</v>
      </c>
      <c r="T175" s="41" t="s">
        <v>514</v>
      </c>
      <c r="U175" s="41" t="s">
        <v>355</v>
      </c>
      <c r="V175" s="40"/>
      <c r="W175" s="40"/>
      <c r="X175" s="29"/>
      <c r="Y175" s="31"/>
      <c r="Z175" s="23">
        <v>0.05</v>
      </c>
      <c r="AA175" s="75">
        <f t="shared" si="54"/>
        <v>0</v>
      </c>
    </row>
    <row r="176" spans="2:27">
      <c r="B176" s="5" t="s">
        <v>383</v>
      </c>
      <c r="C176" s="5" t="s">
        <v>384</v>
      </c>
      <c r="D176" s="29"/>
      <c r="E176" s="11"/>
      <c r="F176" s="29"/>
      <c r="G176" s="31"/>
      <c r="H176" s="23">
        <v>0.05</v>
      </c>
      <c r="I176" s="75">
        <f t="shared" si="52"/>
        <v>0</v>
      </c>
      <c r="K176" s="5" t="s">
        <v>383</v>
      </c>
      <c r="L176" s="5" t="s">
        <v>384</v>
      </c>
      <c r="M176" s="29"/>
      <c r="N176" s="11"/>
      <c r="O176" s="29"/>
      <c r="P176" s="31"/>
      <c r="Q176" s="23">
        <v>0.05</v>
      </c>
      <c r="R176" s="75">
        <f t="shared" si="53"/>
        <v>0</v>
      </c>
      <c r="T176" s="41" t="s">
        <v>514</v>
      </c>
      <c r="U176" s="41" t="s">
        <v>355</v>
      </c>
      <c r="V176" s="40"/>
      <c r="W176" s="40"/>
      <c r="X176" s="29"/>
      <c r="Y176" s="31"/>
      <c r="Z176" s="23">
        <v>0.05</v>
      </c>
      <c r="AA176" s="75">
        <f t="shared" si="54"/>
        <v>0</v>
      </c>
    </row>
    <row r="177" spans="2:27">
      <c r="B177" s="5" t="s">
        <v>383</v>
      </c>
      <c r="C177" s="5" t="s">
        <v>384</v>
      </c>
      <c r="D177" s="29"/>
      <c r="E177" s="11"/>
      <c r="F177" s="29"/>
      <c r="G177" s="31"/>
      <c r="H177" s="23">
        <v>0.05</v>
      </c>
      <c r="I177" s="75">
        <f t="shared" si="52"/>
        <v>0</v>
      </c>
      <c r="K177" s="5" t="s">
        <v>383</v>
      </c>
      <c r="L177" s="5" t="s">
        <v>384</v>
      </c>
      <c r="M177" s="29"/>
      <c r="N177" s="11"/>
      <c r="O177" s="29"/>
      <c r="P177" s="31"/>
      <c r="Q177" s="23">
        <v>0.05</v>
      </c>
      <c r="R177" s="75">
        <f t="shared" si="53"/>
        <v>0</v>
      </c>
      <c r="T177" s="41" t="s">
        <v>514</v>
      </c>
      <c r="U177" s="41" t="s">
        <v>355</v>
      </c>
      <c r="V177" s="40"/>
      <c r="W177" s="40"/>
      <c r="X177" s="29"/>
      <c r="Y177" s="31"/>
      <c r="Z177" s="23">
        <v>0.05</v>
      </c>
      <c r="AA177" s="75">
        <f t="shared" si="54"/>
        <v>0</v>
      </c>
    </row>
    <row r="178" spans="2:27" s="24" customFormat="1">
      <c r="B178" s="8" t="s">
        <v>520</v>
      </c>
      <c r="C178" s="25"/>
      <c r="D178" s="30"/>
      <c r="E178" s="28">
        <f>SUM(E163:E177)</f>
        <v>100000</v>
      </c>
      <c r="F178" s="30"/>
      <c r="G178" s="25"/>
      <c r="H178" s="26"/>
      <c r="I178" s="28">
        <f>SUM(I163:I177)</f>
        <v>5000</v>
      </c>
      <c r="K178" s="8" t="s">
        <v>520</v>
      </c>
      <c r="L178" s="25"/>
      <c r="M178" s="30"/>
      <c r="N178" s="28">
        <f>SUM(N163:N177)</f>
        <v>100000</v>
      </c>
      <c r="O178" s="30"/>
      <c r="P178" s="25"/>
      <c r="Q178" s="26"/>
      <c r="R178" s="28">
        <f>SUM(R163:R177)</f>
        <v>5000</v>
      </c>
      <c r="T178" s="8" t="s">
        <v>520</v>
      </c>
      <c r="U178" s="25"/>
      <c r="V178" s="30"/>
      <c r="W178" s="30">
        <f>SUM(W163:W177)</f>
        <v>100000</v>
      </c>
      <c r="X178" s="30"/>
      <c r="Y178" s="25"/>
      <c r="Z178" s="26"/>
      <c r="AA178" s="28">
        <f>SUM(AA163:AA177)</f>
        <v>5000</v>
      </c>
    </row>
    <row r="180" spans="2:27" s="20" customFormat="1" ht="41.4">
      <c r="B180" s="27" t="s">
        <v>19</v>
      </c>
      <c r="C180" s="3" t="str">
        <f>C$54</f>
        <v>Source</v>
      </c>
      <c r="D180" s="3" t="str">
        <f t="shared" ref="D180:I180" si="55">D$54</f>
        <v>Limit (A)</v>
      </c>
      <c r="E180" s="3" t="str">
        <f t="shared" si="55"/>
        <v>Outstanding (A1)</v>
      </c>
      <c r="F180" s="3" t="str">
        <f t="shared" si="55"/>
        <v>Monthly Repayment (B)</v>
      </c>
      <c r="G180" s="3" t="str">
        <f t="shared" si="55"/>
        <v>Interest Rate (C)</v>
      </c>
      <c r="H180" s="3" t="str">
        <f t="shared" si="55"/>
        <v>Factor (D)</v>
      </c>
      <c r="I180" s="3" t="str">
        <f t="shared" si="55"/>
        <v>Interest (E) = (A or A1) * (C) * (D)</v>
      </c>
      <c r="K180" s="27" t="s">
        <v>19</v>
      </c>
      <c r="L180" s="3" t="str">
        <f>L$54</f>
        <v>Source</v>
      </c>
      <c r="M180" s="3" t="str">
        <f t="shared" ref="M180:R180" si="56">M$54</f>
        <v>Limit (A)</v>
      </c>
      <c r="N180" s="3" t="str">
        <f t="shared" si="56"/>
        <v>Outstanding (A1)</v>
      </c>
      <c r="O180" s="3" t="str">
        <f t="shared" si="56"/>
        <v>Monthly Repayment (B)</v>
      </c>
      <c r="P180" s="3" t="str">
        <f t="shared" si="56"/>
        <v>Interest Rate (C)</v>
      </c>
      <c r="Q180" s="3" t="str">
        <f t="shared" si="56"/>
        <v>Factor (D)</v>
      </c>
      <c r="R180" s="3" t="str">
        <f t="shared" si="56"/>
        <v>Interest (E) = (A or A1) * (C) * (D)</v>
      </c>
      <c r="T180" s="27" t="s">
        <v>16</v>
      </c>
      <c r="U180" s="3" t="str">
        <f>U$54</f>
        <v>Source</v>
      </c>
      <c r="V180" s="3" t="str">
        <f t="shared" ref="V180:AA180" si="57">V$54</f>
        <v>Limit (A)</v>
      </c>
      <c r="W180" s="3" t="str">
        <f t="shared" si="57"/>
        <v>Outstanding (A1)</v>
      </c>
      <c r="X180" s="3" t="str">
        <f t="shared" si="57"/>
        <v>Monthly Repayment (B)</v>
      </c>
      <c r="Y180" s="3" t="str">
        <f t="shared" si="57"/>
        <v>Interest Rate (C)</v>
      </c>
      <c r="Z180" s="3" t="str">
        <f t="shared" si="57"/>
        <v>Factor (D)</v>
      </c>
      <c r="AA180" s="3" t="str">
        <f t="shared" si="57"/>
        <v>Interest (E) = (A or A1) * (C) * (D)</v>
      </c>
    </row>
    <row r="181" spans="2:27">
      <c r="B181" s="5" t="s">
        <v>395</v>
      </c>
      <c r="C181" s="5" t="s">
        <v>382</v>
      </c>
      <c r="D181" s="29"/>
      <c r="E181" s="29"/>
      <c r="F181" s="11">
        <v>1500</v>
      </c>
      <c r="G181" s="31"/>
      <c r="H181" s="32"/>
      <c r="I181" s="29"/>
      <c r="K181" s="5" t="s">
        <v>395</v>
      </c>
      <c r="L181" s="5" t="s">
        <v>382</v>
      </c>
      <c r="M181" s="29"/>
      <c r="N181" s="29"/>
      <c r="O181" s="11">
        <v>1500</v>
      </c>
      <c r="P181" s="31"/>
      <c r="Q181" s="32"/>
      <c r="R181" s="29"/>
      <c r="T181" s="41" t="s">
        <v>514</v>
      </c>
      <c r="U181" s="41" t="s">
        <v>355</v>
      </c>
      <c r="V181" s="40">
        <v>60000</v>
      </c>
      <c r="W181" s="40">
        <v>30000</v>
      </c>
      <c r="X181" s="40">
        <v>1500</v>
      </c>
      <c r="Y181" s="31"/>
      <c r="Z181" s="32"/>
      <c r="AA181" s="29"/>
    </row>
    <row r="182" spans="2:27">
      <c r="B182" s="5" t="s">
        <v>383</v>
      </c>
      <c r="C182" s="5" t="s">
        <v>384</v>
      </c>
      <c r="D182" s="29"/>
      <c r="E182" s="29"/>
      <c r="F182" s="11"/>
      <c r="G182" s="31"/>
      <c r="H182" s="32"/>
      <c r="I182" s="29"/>
      <c r="K182" s="5" t="s">
        <v>383</v>
      </c>
      <c r="L182" s="5" t="s">
        <v>384</v>
      </c>
      <c r="M182" s="29"/>
      <c r="N182" s="29"/>
      <c r="O182" s="11"/>
      <c r="P182" s="31"/>
      <c r="Q182" s="32"/>
      <c r="R182" s="29"/>
      <c r="T182" s="41" t="s">
        <v>514</v>
      </c>
      <c r="U182" s="41" t="s">
        <v>355</v>
      </c>
      <c r="V182" s="40"/>
      <c r="W182" s="40"/>
      <c r="X182" s="40"/>
      <c r="Y182" s="31"/>
      <c r="Z182" s="32"/>
      <c r="AA182" s="29"/>
    </row>
    <row r="183" spans="2:27">
      <c r="B183" s="5" t="s">
        <v>383</v>
      </c>
      <c r="C183" s="5" t="s">
        <v>384</v>
      </c>
      <c r="D183" s="29"/>
      <c r="E183" s="29"/>
      <c r="F183" s="11"/>
      <c r="G183" s="31"/>
      <c r="H183" s="32"/>
      <c r="I183" s="29"/>
      <c r="K183" s="5" t="s">
        <v>383</v>
      </c>
      <c r="L183" s="5" t="s">
        <v>384</v>
      </c>
      <c r="M183" s="29"/>
      <c r="N183" s="29"/>
      <c r="O183" s="11"/>
      <c r="P183" s="31"/>
      <c r="Q183" s="32"/>
      <c r="R183" s="29"/>
      <c r="T183" s="41" t="s">
        <v>514</v>
      </c>
      <c r="U183" s="41" t="s">
        <v>355</v>
      </c>
      <c r="V183" s="40"/>
      <c r="W183" s="40"/>
      <c r="X183" s="40"/>
      <c r="Y183" s="31"/>
      <c r="Z183" s="32"/>
      <c r="AA183" s="29"/>
    </row>
    <row r="184" spans="2:27">
      <c r="B184" s="5" t="s">
        <v>383</v>
      </c>
      <c r="C184" s="5" t="s">
        <v>384</v>
      </c>
      <c r="D184" s="29"/>
      <c r="E184" s="29"/>
      <c r="F184" s="11"/>
      <c r="G184" s="31"/>
      <c r="H184" s="32"/>
      <c r="I184" s="29"/>
      <c r="K184" s="5" t="s">
        <v>383</v>
      </c>
      <c r="L184" s="5" t="s">
        <v>384</v>
      </c>
      <c r="M184" s="29"/>
      <c r="N184" s="29"/>
      <c r="O184" s="11"/>
      <c r="P184" s="31"/>
      <c r="Q184" s="32"/>
      <c r="R184" s="29"/>
      <c r="T184" s="41" t="s">
        <v>514</v>
      </c>
      <c r="U184" s="41" t="s">
        <v>355</v>
      </c>
      <c r="V184" s="40"/>
      <c r="W184" s="40"/>
      <c r="X184" s="40"/>
      <c r="Y184" s="31"/>
      <c r="Z184" s="32"/>
      <c r="AA184" s="29"/>
    </row>
    <row r="185" spans="2:27">
      <c r="B185" s="5" t="s">
        <v>383</v>
      </c>
      <c r="C185" s="5" t="s">
        <v>384</v>
      </c>
      <c r="D185" s="29"/>
      <c r="E185" s="29"/>
      <c r="F185" s="11"/>
      <c r="G185" s="31"/>
      <c r="H185" s="32"/>
      <c r="I185" s="29"/>
      <c r="K185" s="5" t="s">
        <v>383</v>
      </c>
      <c r="L185" s="5" t="s">
        <v>384</v>
      </c>
      <c r="M185" s="29"/>
      <c r="N185" s="29"/>
      <c r="O185" s="11"/>
      <c r="P185" s="31"/>
      <c r="Q185" s="32"/>
      <c r="R185" s="29"/>
      <c r="T185" s="41" t="s">
        <v>514</v>
      </c>
      <c r="U185" s="41" t="s">
        <v>355</v>
      </c>
      <c r="V185" s="40"/>
      <c r="W185" s="40"/>
      <c r="X185" s="40"/>
      <c r="Y185" s="31"/>
      <c r="Z185" s="32"/>
      <c r="AA185" s="29"/>
    </row>
    <row r="186" spans="2:27">
      <c r="B186" s="5" t="s">
        <v>383</v>
      </c>
      <c r="C186" s="5" t="s">
        <v>384</v>
      </c>
      <c r="D186" s="29"/>
      <c r="E186" s="29"/>
      <c r="F186" s="11"/>
      <c r="G186" s="31"/>
      <c r="H186" s="32"/>
      <c r="I186" s="29"/>
      <c r="K186" s="5" t="s">
        <v>383</v>
      </c>
      <c r="L186" s="5" t="s">
        <v>384</v>
      </c>
      <c r="M186" s="29"/>
      <c r="N186" s="29"/>
      <c r="O186" s="11"/>
      <c r="P186" s="31"/>
      <c r="Q186" s="32"/>
      <c r="R186" s="29"/>
      <c r="T186" s="41" t="s">
        <v>514</v>
      </c>
      <c r="U186" s="41" t="s">
        <v>355</v>
      </c>
      <c r="V186" s="40"/>
      <c r="W186" s="40"/>
      <c r="X186" s="40"/>
      <c r="Y186" s="31"/>
      <c r="Z186" s="32"/>
      <c r="AA186" s="29"/>
    </row>
    <row r="187" spans="2:27">
      <c r="B187" s="5" t="s">
        <v>383</v>
      </c>
      <c r="C187" s="5" t="s">
        <v>384</v>
      </c>
      <c r="D187" s="29"/>
      <c r="E187" s="29"/>
      <c r="F187" s="11"/>
      <c r="G187" s="31"/>
      <c r="H187" s="32"/>
      <c r="I187" s="29"/>
      <c r="K187" s="5" t="s">
        <v>383</v>
      </c>
      <c r="L187" s="5" t="s">
        <v>384</v>
      </c>
      <c r="M187" s="29"/>
      <c r="N187" s="29"/>
      <c r="O187" s="11"/>
      <c r="P187" s="31"/>
      <c r="Q187" s="32"/>
      <c r="R187" s="29"/>
      <c r="T187" s="41" t="s">
        <v>514</v>
      </c>
      <c r="U187" s="41" t="s">
        <v>355</v>
      </c>
      <c r="V187" s="40"/>
      <c r="W187" s="40"/>
      <c r="X187" s="40"/>
      <c r="Y187" s="31"/>
      <c r="Z187" s="32"/>
      <c r="AA187" s="29"/>
    </row>
    <row r="188" spans="2:27">
      <c r="B188" s="5" t="s">
        <v>383</v>
      </c>
      <c r="C188" s="5" t="s">
        <v>384</v>
      </c>
      <c r="D188" s="29"/>
      <c r="E188" s="29"/>
      <c r="F188" s="11"/>
      <c r="G188" s="31"/>
      <c r="H188" s="32"/>
      <c r="I188" s="29"/>
      <c r="K188" s="5" t="s">
        <v>383</v>
      </c>
      <c r="L188" s="5" t="s">
        <v>384</v>
      </c>
      <c r="M188" s="29"/>
      <c r="N188" s="29"/>
      <c r="O188" s="11"/>
      <c r="P188" s="31"/>
      <c r="Q188" s="32"/>
      <c r="R188" s="29"/>
      <c r="T188" s="41" t="s">
        <v>514</v>
      </c>
      <c r="U188" s="41" t="s">
        <v>355</v>
      </c>
      <c r="V188" s="40"/>
      <c r="W188" s="40"/>
      <c r="X188" s="40"/>
      <c r="Y188" s="31"/>
      <c r="Z188" s="32"/>
      <c r="AA188" s="29"/>
    </row>
    <row r="189" spans="2:27">
      <c r="B189" s="5" t="s">
        <v>383</v>
      </c>
      <c r="C189" s="5" t="s">
        <v>384</v>
      </c>
      <c r="D189" s="29"/>
      <c r="E189" s="29"/>
      <c r="F189" s="11"/>
      <c r="G189" s="31"/>
      <c r="H189" s="32"/>
      <c r="I189" s="29"/>
      <c r="K189" s="5" t="s">
        <v>383</v>
      </c>
      <c r="L189" s="5" t="s">
        <v>384</v>
      </c>
      <c r="M189" s="29"/>
      <c r="N189" s="29"/>
      <c r="O189" s="11"/>
      <c r="P189" s="31"/>
      <c r="Q189" s="32"/>
      <c r="R189" s="29"/>
      <c r="T189" s="41" t="s">
        <v>514</v>
      </c>
      <c r="U189" s="41" t="s">
        <v>355</v>
      </c>
      <c r="V189" s="40"/>
      <c r="W189" s="40"/>
      <c r="X189" s="40"/>
      <c r="Y189" s="31"/>
      <c r="Z189" s="32"/>
      <c r="AA189" s="29"/>
    </row>
    <row r="190" spans="2:27">
      <c r="B190" s="5" t="s">
        <v>383</v>
      </c>
      <c r="C190" s="5" t="s">
        <v>384</v>
      </c>
      <c r="D190" s="29"/>
      <c r="E190" s="29"/>
      <c r="F190" s="11"/>
      <c r="G190" s="31"/>
      <c r="H190" s="32"/>
      <c r="I190" s="29"/>
      <c r="K190" s="5" t="s">
        <v>383</v>
      </c>
      <c r="L190" s="5" t="s">
        <v>384</v>
      </c>
      <c r="M190" s="29"/>
      <c r="N190" s="29"/>
      <c r="O190" s="11"/>
      <c r="P190" s="31"/>
      <c r="Q190" s="32"/>
      <c r="R190" s="29"/>
      <c r="T190" s="41" t="s">
        <v>514</v>
      </c>
      <c r="U190" s="41" t="s">
        <v>355</v>
      </c>
      <c r="V190" s="40"/>
      <c r="W190" s="40"/>
      <c r="X190" s="40"/>
      <c r="Y190" s="31"/>
      <c r="Z190" s="32"/>
      <c r="AA190" s="29"/>
    </row>
    <row r="191" spans="2:27">
      <c r="B191" s="5" t="s">
        <v>383</v>
      </c>
      <c r="C191" s="5" t="s">
        <v>384</v>
      </c>
      <c r="D191" s="29"/>
      <c r="E191" s="29"/>
      <c r="F191" s="11"/>
      <c r="G191" s="31"/>
      <c r="H191" s="32"/>
      <c r="I191" s="29"/>
      <c r="K191" s="5" t="s">
        <v>383</v>
      </c>
      <c r="L191" s="5" t="s">
        <v>384</v>
      </c>
      <c r="M191" s="29"/>
      <c r="N191" s="29"/>
      <c r="O191" s="11"/>
      <c r="P191" s="31"/>
      <c r="Q191" s="32"/>
      <c r="R191" s="29"/>
      <c r="T191" s="41" t="s">
        <v>514</v>
      </c>
      <c r="U191" s="41" t="s">
        <v>355</v>
      </c>
      <c r="V191" s="40"/>
      <c r="W191" s="40"/>
      <c r="X191" s="40"/>
      <c r="Y191" s="31"/>
      <c r="Z191" s="32"/>
      <c r="AA191" s="29"/>
    </row>
    <row r="192" spans="2:27">
      <c r="B192" s="5" t="s">
        <v>383</v>
      </c>
      <c r="C192" s="5" t="s">
        <v>384</v>
      </c>
      <c r="D192" s="29"/>
      <c r="E192" s="29"/>
      <c r="F192" s="11"/>
      <c r="G192" s="31"/>
      <c r="H192" s="32"/>
      <c r="I192" s="29"/>
      <c r="K192" s="5" t="s">
        <v>383</v>
      </c>
      <c r="L192" s="5" t="s">
        <v>384</v>
      </c>
      <c r="M192" s="29"/>
      <c r="N192" s="29"/>
      <c r="O192" s="11"/>
      <c r="P192" s="31"/>
      <c r="Q192" s="32"/>
      <c r="R192" s="29"/>
      <c r="T192" s="41" t="s">
        <v>514</v>
      </c>
      <c r="U192" s="41" t="s">
        <v>355</v>
      </c>
      <c r="V192" s="40"/>
      <c r="W192" s="40"/>
      <c r="X192" s="40"/>
      <c r="Y192" s="31"/>
      <c r="Z192" s="32"/>
      <c r="AA192" s="29"/>
    </row>
    <row r="193" spans="2:27">
      <c r="B193" s="5" t="s">
        <v>383</v>
      </c>
      <c r="C193" s="5" t="s">
        <v>384</v>
      </c>
      <c r="D193" s="29"/>
      <c r="E193" s="29"/>
      <c r="F193" s="11"/>
      <c r="G193" s="31"/>
      <c r="H193" s="32"/>
      <c r="I193" s="29"/>
      <c r="K193" s="5" t="s">
        <v>383</v>
      </c>
      <c r="L193" s="5" t="s">
        <v>384</v>
      </c>
      <c r="M193" s="29"/>
      <c r="N193" s="29"/>
      <c r="O193" s="11"/>
      <c r="P193" s="31"/>
      <c r="Q193" s="32"/>
      <c r="R193" s="29"/>
      <c r="T193" s="41" t="s">
        <v>514</v>
      </c>
      <c r="U193" s="41" t="s">
        <v>355</v>
      </c>
      <c r="V193" s="40"/>
      <c r="W193" s="40"/>
      <c r="X193" s="40"/>
      <c r="Y193" s="31"/>
      <c r="Z193" s="32"/>
      <c r="AA193" s="29"/>
    </row>
    <row r="194" spans="2:27">
      <c r="B194" s="5" t="s">
        <v>383</v>
      </c>
      <c r="C194" s="5" t="s">
        <v>384</v>
      </c>
      <c r="D194" s="29"/>
      <c r="E194" s="29"/>
      <c r="F194" s="11"/>
      <c r="G194" s="31"/>
      <c r="H194" s="32"/>
      <c r="I194" s="29"/>
      <c r="K194" s="5" t="s">
        <v>383</v>
      </c>
      <c r="L194" s="5" t="s">
        <v>384</v>
      </c>
      <c r="M194" s="29"/>
      <c r="N194" s="29"/>
      <c r="O194" s="11"/>
      <c r="P194" s="31"/>
      <c r="Q194" s="32"/>
      <c r="R194" s="29"/>
      <c r="T194" s="41" t="s">
        <v>514</v>
      </c>
      <c r="U194" s="41" t="s">
        <v>355</v>
      </c>
      <c r="V194" s="40"/>
      <c r="W194" s="40"/>
      <c r="X194" s="40"/>
      <c r="Y194" s="31"/>
      <c r="Z194" s="32"/>
      <c r="AA194" s="29"/>
    </row>
    <row r="195" spans="2:27">
      <c r="B195" s="5" t="s">
        <v>383</v>
      </c>
      <c r="C195" s="5" t="s">
        <v>384</v>
      </c>
      <c r="D195" s="29"/>
      <c r="E195" s="29"/>
      <c r="F195" s="11"/>
      <c r="G195" s="31"/>
      <c r="H195" s="32"/>
      <c r="I195" s="29"/>
      <c r="K195" s="5" t="s">
        <v>383</v>
      </c>
      <c r="L195" s="5" t="s">
        <v>384</v>
      </c>
      <c r="M195" s="29"/>
      <c r="N195" s="29"/>
      <c r="O195" s="11"/>
      <c r="P195" s="31"/>
      <c r="Q195" s="32"/>
      <c r="R195" s="29"/>
      <c r="T195" s="41" t="s">
        <v>514</v>
      </c>
      <c r="U195" s="41" t="s">
        <v>355</v>
      </c>
      <c r="V195" s="40"/>
      <c r="W195" s="40"/>
      <c r="X195" s="40"/>
      <c r="Y195" s="31"/>
      <c r="Z195" s="32"/>
      <c r="AA195" s="29"/>
    </row>
    <row r="196" spans="2:27" s="24" customFormat="1">
      <c r="B196" s="8" t="s">
        <v>518</v>
      </c>
      <c r="C196" s="25"/>
      <c r="D196" s="30"/>
      <c r="E196" s="30"/>
      <c r="F196" s="28">
        <f t="shared" ref="F196" si="58">SUM(F181:F195)</f>
        <v>1500</v>
      </c>
      <c r="G196" s="25"/>
      <c r="H196" s="26"/>
      <c r="I196" s="30"/>
      <c r="K196" s="8" t="s">
        <v>518</v>
      </c>
      <c r="L196" s="25"/>
      <c r="M196" s="30"/>
      <c r="N196" s="30"/>
      <c r="O196" s="28">
        <f t="shared" ref="O196" si="59">SUM(O181:O195)</f>
        <v>1500</v>
      </c>
      <c r="P196" s="25"/>
      <c r="Q196" s="26"/>
      <c r="R196" s="30"/>
      <c r="T196" s="8" t="s">
        <v>518</v>
      </c>
      <c r="U196" s="25"/>
      <c r="V196" s="30"/>
      <c r="W196" s="30"/>
      <c r="X196" s="28">
        <f t="shared" ref="X196" si="60">SUM(X181:X195)</f>
        <v>1500</v>
      </c>
      <c r="Y196" s="25"/>
      <c r="Z196" s="26"/>
      <c r="AA196" s="30"/>
    </row>
    <row r="198" spans="2:27" s="20" customFormat="1" ht="41.4">
      <c r="B198" s="27" t="s">
        <v>20</v>
      </c>
      <c r="C198" s="3" t="str">
        <f>C$54</f>
        <v>Source</v>
      </c>
      <c r="D198" s="3" t="str">
        <f t="shared" ref="D198:I198" si="61">D$54</f>
        <v>Limit (A)</v>
      </c>
      <c r="E198" s="3" t="str">
        <f t="shared" si="61"/>
        <v>Outstanding (A1)</v>
      </c>
      <c r="F198" s="3" t="str">
        <f t="shared" si="61"/>
        <v>Monthly Repayment (B)</v>
      </c>
      <c r="G198" s="3" t="str">
        <f t="shared" si="61"/>
        <v>Interest Rate (C)</v>
      </c>
      <c r="H198" s="3" t="str">
        <f t="shared" si="61"/>
        <v>Factor (D)</v>
      </c>
      <c r="I198" s="3" t="str">
        <f t="shared" si="61"/>
        <v>Interest (E) = (A or A1) * (C) * (D)</v>
      </c>
      <c r="K198" s="27" t="s">
        <v>20</v>
      </c>
      <c r="L198" s="3" t="str">
        <f>L$54</f>
        <v>Source</v>
      </c>
      <c r="M198" s="3" t="str">
        <f t="shared" ref="M198:R198" si="62">M$54</f>
        <v>Limit (A)</v>
      </c>
      <c r="N198" s="3" t="str">
        <f t="shared" si="62"/>
        <v>Outstanding (A1)</v>
      </c>
      <c r="O198" s="3" t="str">
        <f t="shared" si="62"/>
        <v>Monthly Repayment (B)</v>
      </c>
      <c r="P198" s="3" t="str">
        <f t="shared" si="62"/>
        <v>Interest Rate (C)</v>
      </c>
      <c r="Q198" s="3" t="str">
        <f t="shared" si="62"/>
        <v>Factor (D)</v>
      </c>
      <c r="R198" s="3" t="str">
        <f t="shared" si="62"/>
        <v>Interest (E) = (A or A1) * (C) * (D)</v>
      </c>
      <c r="T198" s="27" t="s">
        <v>14</v>
      </c>
      <c r="U198" s="3" t="str">
        <f>U$54</f>
        <v>Source</v>
      </c>
      <c r="V198" s="3" t="str">
        <f t="shared" ref="V198:AA198" si="63">V$54</f>
        <v>Limit (A)</v>
      </c>
      <c r="W198" s="3" t="str">
        <f t="shared" si="63"/>
        <v>Outstanding (A1)</v>
      </c>
      <c r="X198" s="3" t="str">
        <f t="shared" si="63"/>
        <v>Monthly Repayment (B)</v>
      </c>
      <c r="Y198" s="3" t="str">
        <f t="shared" si="63"/>
        <v>Interest Rate (C)</v>
      </c>
      <c r="Z198" s="3" t="str">
        <f t="shared" si="63"/>
        <v>Factor (D)</v>
      </c>
      <c r="AA198" s="3" t="str">
        <f t="shared" si="63"/>
        <v>Interest (E) = (A or A1) * (C) * (D)</v>
      </c>
    </row>
    <row r="199" spans="2:27">
      <c r="B199" s="5" t="s">
        <v>538</v>
      </c>
      <c r="C199" s="5" t="s">
        <v>382</v>
      </c>
      <c r="D199" s="11">
        <v>100000</v>
      </c>
      <c r="E199" s="11"/>
      <c r="F199" s="29"/>
      <c r="G199" s="22">
        <v>0.09</v>
      </c>
      <c r="H199" s="23">
        <v>0.82</v>
      </c>
      <c r="I199" s="75">
        <f>D199*G199*H199</f>
        <v>7380</v>
      </c>
      <c r="K199" s="5" t="s">
        <v>538</v>
      </c>
      <c r="L199" s="5" t="s">
        <v>382</v>
      </c>
      <c r="M199" s="11">
        <v>100000</v>
      </c>
      <c r="N199" s="11"/>
      <c r="O199" s="29"/>
      <c r="P199" s="22">
        <v>0.09</v>
      </c>
      <c r="Q199" s="23">
        <v>0.82</v>
      </c>
      <c r="R199" s="75">
        <f>M199*P199*Q199</f>
        <v>7380</v>
      </c>
      <c r="T199" s="41" t="s">
        <v>514</v>
      </c>
      <c r="U199" s="41" t="s">
        <v>355</v>
      </c>
      <c r="V199" s="40">
        <v>100000</v>
      </c>
      <c r="W199" s="40">
        <v>50000</v>
      </c>
      <c r="X199" s="29"/>
      <c r="Y199" s="22">
        <v>0.08</v>
      </c>
      <c r="Z199" s="23">
        <v>0.82</v>
      </c>
      <c r="AA199" s="78">
        <f>V199*Y199*Z199</f>
        <v>6560</v>
      </c>
    </row>
    <row r="200" spans="2:27">
      <c r="B200" s="5" t="s">
        <v>383</v>
      </c>
      <c r="C200" s="5" t="s">
        <v>384</v>
      </c>
      <c r="D200" s="11"/>
      <c r="E200" s="11"/>
      <c r="F200" s="29"/>
      <c r="G200" s="22"/>
      <c r="H200" s="23">
        <v>0.82</v>
      </c>
      <c r="I200" s="75">
        <f t="shared" ref="I200:I213" si="64">D200*G200*H200</f>
        <v>0</v>
      </c>
      <c r="K200" s="5" t="s">
        <v>383</v>
      </c>
      <c r="L200" s="5" t="s">
        <v>384</v>
      </c>
      <c r="M200" s="11"/>
      <c r="N200" s="11"/>
      <c r="O200" s="29"/>
      <c r="P200" s="22"/>
      <c r="Q200" s="23">
        <v>0.82</v>
      </c>
      <c r="R200" s="75">
        <f t="shared" ref="R200:R213" si="65">M200*P200*Q200</f>
        <v>0</v>
      </c>
      <c r="T200" s="41" t="s">
        <v>514</v>
      </c>
      <c r="U200" s="41" t="s">
        <v>355</v>
      </c>
      <c r="V200" s="40"/>
      <c r="W200" s="40"/>
      <c r="X200" s="29"/>
      <c r="Y200" s="22"/>
      <c r="Z200" s="23">
        <v>0.82</v>
      </c>
      <c r="AA200" s="78">
        <f t="shared" ref="AA200:AA213" si="66">V200*Y200*Z200</f>
        <v>0</v>
      </c>
    </row>
    <row r="201" spans="2:27">
      <c r="B201" s="5" t="s">
        <v>383</v>
      </c>
      <c r="C201" s="5" t="s">
        <v>384</v>
      </c>
      <c r="D201" s="11"/>
      <c r="E201" s="11"/>
      <c r="F201" s="29"/>
      <c r="G201" s="22"/>
      <c r="H201" s="23">
        <v>0.82</v>
      </c>
      <c r="I201" s="75">
        <f t="shared" si="64"/>
        <v>0</v>
      </c>
      <c r="K201" s="5" t="s">
        <v>383</v>
      </c>
      <c r="L201" s="5" t="s">
        <v>384</v>
      </c>
      <c r="M201" s="11"/>
      <c r="N201" s="11"/>
      <c r="O201" s="29"/>
      <c r="P201" s="22"/>
      <c r="Q201" s="23">
        <v>0.82</v>
      </c>
      <c r="R201" s="75">
        <f t="shared" si="65"/>
        <v>0</v>
      </c>
      <c r="T201" s="41" t="s">
        <v>514</v>
      </c>
      <c r="U201" s="41" t="s">
        <v>355</v>
      </c>
      <c r="V201" s="40"/>
      <c r="W201" s="40"/>
      <c r="X201" s="29"/>
      <c r="Y201" s="22"/>
      <c r="Z201" s="23">
        <v>0.82</v>
      </c>
      <c r="AA201" s="78">
        <f t="shared" si="66"/>
        <v>0</v>
      </c>
    </row>
    <row r="202" spans="2:27">
      <c r="B202" s="5" t="s">
        <v>383</v>
      </c>
      <c r="C202" s="5" t="s">
        <v>384</v>
      </c>
      <c r="D202" s="11"/>
      <c r="E202" s="11"/>
      <c r="F202" s="29"/>
      <c r="G202" s="22"/>
      <c r="H202" s="23">
        <v>0.82</v>
      </c>
      <c r="I202" s="75">
        <f t="shared" si="64"/>
        <v>0</v>
      </c>
      <c r="K202" s="5" t="s">
        <v>383</v>
      </c>
      <c r="L202" s="5" t="s">
        <v>384</v>
      </c>
      <c r="M202" s="11"/>
      <c r="N202" s="11"/>
      <c r="O202" s="29"/>
      <c r="P202" s="22"/>
      <c r="Q202" s="23">
        <v>0.82</v>
      </c>
      <c r="R202" s="75">
        <f t="shared" si="65"/>
        <v>0</v>
      </c>
      <c r="T202" s="41" t="s">
        <v>514</v>
      </c>
      <c r="U202" s="41" t="s">
        <v>355</v>
      </c>
      <c r="V202" s="40"/>
      <c r="W202" s="40"/>
      <c r="X202" s="29"/>
      <c r="Y202" s="22"/>
      <c r="Z202" s="23">
        <v>0.82</v>
      </c>
      <c r="AA202" s="78">
        <f t="shared" si="66"/>
        <v>0</v>
      </c>
    </row>
    <row r="203" spans="2:27">
      <c r="B203" s="5" t="s">
        <v>383</v>
      </c>
      <c r="C203" s="5" t="s">
        <v>384</v>
      </c>
      <c r="D203" s="11"/>
      <c r="E203" s="11"/>
      <c r="F203" s="29"/>
      <c r="G203" s="22"/>
      <c r="H203" s="23">
        <v>0.82</v>
      </c>
      <c r="I203" s="75">
        <f t="shared" si="64"/>
        <v>0</v>
      </c>
      <c r="K203" s="5" t="s">
        <v>383</v>
      </c>
      <c r="L203" s="5" t="s">
        <v>384</v>
      </c>
      <c r="M203" s="11"/>
      <c r="N203" s="11"/>
      <c r="O203" s="29"/>
      <c r="P203" s="22"/>
      <c r="Q203" s="23">
        <v>0.82</v>
      </c>
      <c r="R203" s="75">
        <f t="shared" si="65"/>
        <v>0</v>
      </c>
      <c r="T203" s="41" t="s">
        <v>514</v>
      </c>
      <c r="U203" s="41" t="s">
        <v>355</v>
      </c>
      <c r="V203" s="40"/>
      <c r="W203" s="40"/>
      <c r="X203" s="29"/>
      <c r="Y203" s="22"/>
      <c r="Z203" s="23">
        <v>0.82</v>
      </c>
      <c r="AA203" s="78">
        <f t="shared" si="66"/>
        <v>0</v>
      </c>
    </row>
    <row r="204" spans="2:27">
      <c r="B204" s="5" t="s">
        <v>383</v>
      </c>
      <c r="C204" s="5" t="s">
        <v>384</v>
      </c>
      <c r="D204" s="11"/>
      <c r="E204" s="11"/>
      <c r="F204" s="29"/>
      <c r="G204" s="22"/>
      <c r="H204" s="23">
        <v>0.82</v>
      </c>
      <c r="I204" s="75">
        <f t="shared" si="64"/>
        <v>0</v>
      </c>
      <c r="K204" s="5" t="s">
        <v>383</v>
      </c>
      <c r="L204" s="5" t="s">
        <v>384</v>
      </c>
      <c r="M204" s="11"/>
      <c r="N204" s="11"/>
      <c r="O204" s="29"/>
      <c r="P204" s="22"/>
      <c r="Q204" s="23">
        <v>0.82</v>
      </c>
      <c r="R204" s="75">
        <f t="shared" si="65"/>
        <v>0</v>
      </c>
      <c r="T204" s="41" t="s">
        <v>514</v>
      </c>
      <c r="U204" s="41" t="s">
        <v>355</v>
      </c>
      <c r="V204" s="40"/>
      <c r="W204" s="40"/>
      <c r="X204" s="29"/>
      <c r="Y204" s="22"/>
      <c r="Z204" s="23">
        <v>0.82</v>
      </c>
      <c r="AA204" s="78">
        <f t="shared" si="66"/>
        <v>0</v>
      </c>
    </row>
    <row r="205" spans="2:27">
      <c r="B205" s="5" t="s">
        <v>383</v>
      </c>
      <c r="C205" s="5" t="s">
        <v>384</v>
      </c>
      <c r="D205" s="11"/>
      <c r="E205" s="11"/>
      <c r="F205" s="29"/>
      <c r="G205" s="22"/>
      <c r="H205" s="23">
        <v>0.82</v>
      </c>
      <c r="I205" s="75">
        <f t="shared" si="64"/>
        <v>0</v>
      </c>
      <c r="K205" s="5" t="s">
        <v>383</v>
      </c>
      <c r="L205" s="5" t="s">
        <v>384</v>
      </c>
      <c r="M205" s="11"/>
      <c r="N205" s="11"/>
      <c r="O205" s="29"/>
      <c r="P205" s="22"/>
      <c r="Q205" s="23">
        <v>0.82</v>
      </c>
      <c r="R205" s="75">
        <f t="shared" si="65"/>
        <v>0</v>
      </c>
      <c r="T205" s="41" t="s">
        <v>514</v>
      </c>
      <c r="U205" s="41" t="s">
        <v>355</v>
      </c>
      <c r="V205" s="40"/>
      <c r="W205" s="40"/>
      <c r="X205" s="29"/>
      <c r="Y205" s="22"/>
      <c r="Z205" s="23">
        <v>0.82</v>
      </c>
      <c r="AA205" s="78">
        <f t="shared" si="66"/>
        <v>0</v>
      </c>
    </row>
    <row r="206" spans="2:27">
      <c r="B206" s="5" t="s">
        <v>383</v>
      </c>
      <c r="C206" s="5" t="s">
        <v>384</v>
      </c>
      <c r="D206" s="11"/>
      <c r="E206" s="11"/>
      <c r="F206" s="29"/>
      <c r="G206" s="22"/>
      <c r="H206" s="23">
        <v>0.82</v>
      </c>
      <c r="I206" s="75">
        <f t="shared" si="64"/>
        <v>0</v>
      </c>
      <c r="K206" s="5" t="s">
        <v>383</v>
      </c>
      <c r="L206" s="5" t="s">
        <v>384</v>
      </c>
      <c r="M206" s="11"/>
      <c r="N206" s="11"/>
      <c r="O206" s="29"/>
      <c r="P206" s="22"/>
      <c r="Q206" s="23">
        <v>0.82</v>
      </c>
      <c r="R206" s="75">
        <f t="shared" si="65"/>
        <v>0</v>
      </c>
      <c r="T206" s="41" t="s">
        <v>514</v>
      </c>
      <c r="U206" s="41" t="s">
        <v>355</v>
      </c>
      <c r="V206" s="40"/>
      <c r="W206" s="40"/>
      <c r="X206" s="29"/>
      <c r="Y206" s="22"/>
      <c r="Z206" s="23">
        <v>0.82</v>
      </c>
      <c r="AA206" s="78">
        <f t="shared" si="66"/>
        <v>0</v>
      </c>
    </row>
    <row r="207" spans="2:27">
      <c r="B207" s="5" t="s">
        <v>383</v>
      </c>
      <c r="C207" s="5" t="s">
        <v>384</v>
      </c>
      <c r="D207" s="11"/>
      <c r="E207" s="11"/>
      <c r="F207" s="29"/>
      <c r="G207" s="22"/>
      <c r="H207" s="23">
        <v>0.82</v>
      </c>
      <c r="I207" s="75">
        <f t="shared" si="64"/>
        <v>0</v>
      </c>
      <c r="K207" s="5" t="s">
        <v>383</v>
      </c>
      <c r="L207" s="5" t="s">
        <v>384</v>
      </c>
      <c r="M207" s="11"/>
      <c r="N207" s="11"/>
      <c r="O207" s="29"/>
      <c r="P207" s="22"/>
      <c r="Q207" s="23">
        <v>0.82</v>
      </c>
      <c r="R207" s="75">
        <f t="shared" si="65"/>
        <v>0</v>
      </c>
      <c r="T207" s="41" t="s">
        <v>514</v>
      </c>
      <c r="U207" s="41" t="s">
        <v>355</v>
      </c>
      <c r="V207" s="40"/>
      <c r="W207" s="40"/>
      <c r="X207" s="29"/>
      <c r="Y207" s="22"/>
      <c r="Z207" s="23">
        <v>0.82</v>
      </c>
      <c r="AA207" s="78">
        <f t="shared" si="66"/>
        <v>0</v>
      </c>
    </row>
    <row r="208" spans="2:27">
      <c r="B208" s="5" t="s">
        <v>383</v>
      </c>
      <c r="C208" s="5" t="s">
        <v>384</v>
      </c>
      <c r="D208" s="11"/>
      <c r="E208" s="11"/>
      <c r="F208" s="29"/>
      <c r="G208" s="22"/>
      <c r="H208" s="23">
        <v>0.82</v>
      </c>
      <c r="I208" s="75">
        <f t="shared" si="64"/>
        <v>0</v>
      </c>
      <c r="K208" s="5" t="s">
        <v>383</v>
      </c>
      <c r="L208" s="5" t="s">
        <v>384</v>
      </c>
      <c r="M208" s="11"/>
      <c r="N208" s="11"/>
      <c r="O208" s="29"/>
      <c r="P208" s="22"/>
      <c r="Q208" s="23">
        <v>0.82</v>
      </c>
      <c r="R208" s="75">
        <f t="shared" si="65"/>
        <v>0</v>
      </c>
      <c r="T208" s="41" t="s">
        <v>514</v>
      </c>
      <c r="U208" s="41" t="s">
        <v>355</v>
      </c>
      <c r="V208" s="40"/>
      <c r="W208" s="40"/>
      <c r="X208" s="29"/>
      <c r="Y208" s="22"/>
      <c r="Z208" s="23">
        <v>0.82</v>
      </c>
      <c r="AA208" s="78">
        <f t="shared" si="66"/>
        <v>0</v>
      </c>
    </row>
    <row r="209" spans="2:27">
      <c r="B209" s="5" t="s">
        <v>383</v>
      </c>
      <c r="C209" s="5" t="s">
        <v>384</v>
      </c>
      <c r="D209" s="11"/>
      <c r="E209" s="11"/>
      <c r="F209" s="29"/>
      <c r="G209" s="22"/>
      <c r="H209" s="23">
        <v>0.82</v>
      </c>
      <c r="I209" s="75">
        <f t="shared" si="64"/>
        <v>0</v>
      </c>
      <c r="K209" s="5" t="s">
        <v>383</v>
      </c>
      <c r="L209" s="5" t="s">
        <v>384</v>
      </c>
      <c r="M209" s="11"/>
      <c r="N209" s="11"/>
      <c r="O209" s="29"/>
      <c r="P209" s="22"/>
      <c r="Q209" s="23">
        <v>0.82</v>
      </c>
      <c r="R209" s="75">
        <f t="shared" si="65"/>
        <v>0</v>
      </c>
      <c r="T209" s="41" t="s">
        <v>514</v>
      </c>
      <c r="U209" s="41" t="s">
        <v>355</v>
      </c>
      <c r="V209" s="40"/>
      <c r="W209" s="40"/>
      <c r="X209" s="29"/>
      <c r="Y209" s="22"/>
      <c r="Z209" s="23">
        <v>0.82</v>
      </c>
      <c r="AA209" s="78">
        <f t="shared" si="66"/>
        <v>0</v>
      </c>
    </row>
    <row r="210" spans="2:27">
      <c r="B210" s="5" t="s">
        <v>383</v>
      </c>
      <c r="C210" s="5" t="s">
        <v>384</v>
      </c>
      <c r="D210" s="11"/>
      <c r="E210" s="11"/>
      <c r="F210" s="29"/>
      <c r="G210" s="22"/>
      <c r="H210" s="23">
        <v>0.82</v>
      </c>
      <c r="I210" s="75">
        <f t="shared" si="64"/>
        <v>0</v>
      </c>
      <c r="K210" s="5" t="s">
        <v>383</v>
      </c>
      <c r="L210" s="5" t="s">
        <v>384</v>
      </c>
      <c r="M210" s="11"/>
      <c r="N210" s="11"/>
      <c r="O210" s="29"/>
      <c r="P210" s="22"/>
      <c r="Q210" s="23">
        <v>0.82</v>
      </c>
      <c r="R210" s="75">
        <f t="shared" si="65"/>
        <v>0</v>
      </c>
      <c r="T210" s="41" t="s">
        <v>514</v>
      </c>
      <c r="U210" s="41" t="s">
        <v>355</v>
      </c>
      <c r="V210" s="40"/>
      <c r="W210" s="40"/>
      <c r="X210" s="29"/>
      <c r="Y210" s="22"/>
      <c r="Z210" s="23">
        <v>0.82</v>
      </c>
      <c r="AA210" s="78">
        <f t="shared" si="66"/>
        <v>0</v>
      </c>
    </row>
    <row r="211" spans="2:27">
      <c r="B211" s="5" t="s">
        <v>383</v>
      </c>
      <c r="C211" s="5" t="s">
        <v>384</v>
      </c>
      <c r="D211" s="11"/>
      <c r="E211" s="11"/>
      <c r="F211" s="29"/>
      <c r="G211" s="22"/>
      <c r="H211" s="23">
        <v>0.82</v>
      </c>
      <c r="I211" s="75">
        <f t="shared" si="64"/>
        <v>0</v>
      </c>
      <c r="K211" s="5" t="s">
        <v>383</v>
      </c>
      <c r="L211" s="5" t="s">
        <v>384</v>
      </c>
      <c r="M211" s="11"/>
      <c r="N211" s="11"/>
      <c r="O211" s="29"/>
      <c r="P211" s="22"/>
      <c r="Q211" s="23">
        <v>0.82</v>
      </c>
      <c r="R211" s="75">
        <f t="shared" si="65"/>
        <v>0</v>
      </c>
      <c r="T211" s="41" t="s">
        <v>514</v>
      </c>
      <c r="U211" s="41" t="s">
        <v>355</v>
      </c>
      <c r="V211" s="40"/>
      <c r="W211" s="40"/>
      <c r="X211" s="29"/>
      <c r="Y211" s="22"/>
      <c r="Z211" s="23">
        <v>0.82</v>
      </c>
      <c r="AA211" s="78">
        <f t="shared" si="66"/>
        <v>0</v>
      </c>
    </row>
    <row r="212" spans="2:27">
      <c r="B212" s="5" t="s">
        <v>383</v>
      </c>
      <c r="C212" s="5" t="s">
        <v>384</v>
      </c>
      <c r="D212" s="11"/>
      <c r="E212" s="11"/>
      <c r="F212" s="29"/>
      <c r="G212" s="22"/>
      <c r="H212" s="23">
        <v>0.82</v>
      </c>
      <c r="I212" s="75">
        <f t="shared" si="64"/>
        <v>0</v>
      </c>
      <c r="K212" s="5" t="s">
        <v>383</v>
      </c>
      <c r="L212" s="5" t="s">
        <v>384</v>
      </c>
      <c r="M212" s="11"/>
      <c r="N212" s="11"/>
      <c r="O212" s="29"/>
      <c r="P212" s="22"/>
      <c r="Q212" s="23">
        <v>0.82</v>
      </c>
      <c r="R212" s="75">
        <f t="shared" si="65"/>
        <v>0</v>
      </c>
      <c r="T212" s="41" t="s">
        <v>514</v>
      </c>
      <c r="U212" s="41" t="s">
        <v>355</v>
      </c>
      <c r="V212" s="40"/>
      <c r="W212" s="40"/>
      <c r="X212" s="29"/>
      <c r="Y212" s="22"/>
      <c r="Z212" s="23">
        <v>0.82</v>
      </c>
      <c r="AA212" s="78">
        <f t="shared" si="66"/>
        <v>0</v>
      </c>
    </row>
    <row r="213" spans="2:27">
      <c r="B213" s="5" t="s">
        <v>383</v>
      </c>
      <c r="C213" s="5" t="s">
        <v>384</v>
      </c>
      <c r="D213" s="11"/>
      <c r="E213" s="11"/>
      <c r="F213" s="29"/>
      <c r="G213" s="22"/>
      <c r="H213" s="23">
        <v>0.82</v>
      </c>
      <c r="I213" s="75">
        <f t="shared" si="64"/>
        <v>0</v>
      </c>
      <c r="K213" s="5" t="s">
        <v>383</v>
      </c>
      <c r="L213" s="5" t="s">
        <v>384</v>
      </c>
      <c r="M213" s="11"/>
      <c r="N213" s="11"/>
      <c r="O213" s="29"/>
      <c r="P213" s="22"/>
      <c r="Q213" s="23">
        <v>0.82</v>
      </c>
      <c r="R213" s="75">
        <f t="shared" si="65"/>
        <v>0</v>
      </c>
      <c r="T213" s="41" t="s">
        <v>514</v>
      </c>
      <c r="U213" s="41" t="s">
        <v>355</v>
      </c>
      <c r="V213" s="40"/>
      <c r="W213" s="40"/>
      <c r="X213" s="29"/>
      <c r="Y213" s="22"/>
      <c r="Z213" s="23">
        <v>0.82</v>
      </c>
      <c r="AA213" s="78">
        <f t="shared" si="66"/>
        <v>0</v>
      </c>
    </row>
    <row r="214" spans="2:27" s="24" customFormat="1">
      <c r="B214" s="8" t="s">
        <v>516</v>
      </c>
      <c r="C214" s="25"/>
      <c r="D214" s="28">
        <f>SUM(D199:D213)</f>
        <v>100000</v>
      </c>
      <c r="E214" s="28">
        <f>SUM(E199:E213)</f>
        <v>0</v>
      </c>
      <c r="F214" s="30"/>
      <c r="G214" s="25"/>
      <c r="H214" s="26"/>
      <c r="I214" s="28">
        <f>SUM(I199:I213)</f>
        <v>7380</v>
      </c>
      <c r="K214" s="8" t="s">
        <v>516</v>
      </c>
      <c r="L214" s="25"/>
      <c r="M214" s="28">
        <f>SUM(M199:M213)</f>
        <v>100000</v>
      </c>
      <c r="N214" s="28">
        <f>SUM(N199:N213)</f>
        <v>0</v>
      </c>
      <c r="O214" s="30"/>
      <c r="P214" s="25"/>
      <c r="Q214" s="26"/>
      <c r="R214" s="28">
        <f>SUM(R199:R213)</f>
        <v>7380</v>
      </c>
      <c r="T214" s="8" t="s">
        <v>516</v>
      </c>
      <c r="U214" s="25"/>
      <c r="V214" s="28">
        <f>SUM(V199:V213)</f>
        <v>100000</v>
      </c>
      <c r="W214" s="28">
        <f>SUM(W199:W213)</f>
        <v>50000</v>
      </c>
      <c r="X214" s="30"/>
      <c r="Y214" s="25"/>
      <c r="Z214" s="26"/>
      <c r="AA214" s="28">
        <f>SUM(AA199:AA213)</f>
        <v>6560</v>
      </c>
    </row>
  </sheetData>
  <mergeCells count="3">
    <mergeCell ref="B40:I40"/>
    <mergeCell ref="K40:R40"/>
    <mergeCell ref="T40:AA40"/>
  </mergeCells>
  <pageMargins left="0.7" right="0.7" top="0.75" bottom="0.75" header="0.3" footer="0.3"/>
  <pageSetup paperSize="9" orientation="portrait" horizontalDpi="4294967293" r:id="rId1"/>
  <drawing r:id="rId2"/>
  <legacyDrawing r:id="rId3"/>
  <extLst>
    <ext xmlns:x14="http://schemas.microsoft.com/office/spreadsheetml/2009/9/main" uri="{CCE6A557-97BC-4b89-ADB6-D9C93CAAB3DF}">
      <x14:dataValidations xmlns:xm="http://schemas.microsoft.com/office/excel/2006/main" count="11">
        <x14:dataValidation type="list" allowBlank="1" showInputMessage="1" showErrorMessage="1" xr:uid="{2C0C30C4-0955-4C6D-975D-DBD714A54B97}">
          <x14:formula1>
            <xm:f>'Mapping &amp; Selection'!$C$12:$C$19</xm:f>
          </x14:formula1>
          <xm:sqref>C7:C17</xm:sqref>
        </x14:dataValidation>
        <x14:dataValidation type="list" allowBlank="1" showInputMessage="1" showErrorMessage="1" xr:uid="{E8117768-28A5-45FA-B5E9-5BD1807062B6}">
          <x14:formula1>
            <xm:f>'Mapping &amp; Selection'!$U$3:$U$18</xm:f>
          </x14:formula1>
          <xm:sqref>B163:B177 K163:K177</xm:sqref>
        </x14:dataValidation>
        <x14:dataValidation type="list" allowBlank="1" showInputMessage="1" showErrorMessage="1" xr:uid="{F01ADBA2-F03C-4CA9-8088-B3454C37BDA7}">
          <x14:formula1>
            <xm:f>'Mapping &amp; Selection'!$S$3:$S$18</xm:f>
          </x14:formula1>
          <xm:sqref>B145:B159 K145:K159</xm:sqref>
        </x14:dataValidation>
        <x14:dataValidation type="list" allowBlank="1" showInputMessage="1" showErrorMessage="1" xr:uid="{82723F4A-E4D2-4F34-953B-DF61F590E9C1}">
          <x14:formula1>
            <xm:f>'Mapping &amp; Selection'!$K$3:$K$18</xm:f>
          </x14:formula1>
          <xm:sqref>B127:B141 B181:B195 K127:K141 K181:K195</xm:sqref>
        </x14:dataValidation>
        <x14:dataValidation type="list" allowBlank="1" showInputMessage="1" showErrorMessage="1" xr:uid="{90079EBC-7A38-42E6-8010-968976B502F5}">
          <x14:formula1>
            <xm:f>'Mapping &amp; Selection'!$Q$3:$Q$18</xm:f>
          </x14:formula1>
          <xm:sqref>B109:B123 K109:K123</xm:sqref>
        </x14:dataValidation>
        <x14:dataValidation type="list" allowBlank="1" showInputMessage="1" showErrorMessage="1" xr:uid="{E1035605-675B-4225-9A2B-4DA67587E18F}">
          <x14:formula1>
            <xm:f>'Mapping &amp; Selection'!$O$3:$O$18</xm:f>
          </x14:formula1>
          <xm:sqref>B91:B105 B199:B213 K91:K105 K199:K213</xm:sqref>
        </x14:dataValidation>
        <x14:dataValidation type="list" allowBlank="1" showInputMessage="1" showErrorMessage="1" xr:uid="{AB1B80CD-6790-4E96-AD0A-7B244EB118E0}">
          <x14:formula1>
            <xm:f>'Mapping &amp; Selection'!$M$3:$M$18</xm:f>
          </x14:formula1>
          <xm:sqref>B73:B87 K73:K87</xm:sqref>
        </x14:dataValidation>
        <x14:dataValidation type="list" allowBlank="1" showInputMessage="1" showErrorMessage="1" xr:uid="{A0A59DF3-FA30-4FE9-BD3E-A396C882ED0B}">
          <x14:formula1>
            <xm:f>'Mapping &amp; Selection'!$C$3:$C$9</xm:f>
          </x14:formula1>
          <xm:sqref>C55:C69 C73:C87 C91:C105 C109:C123 C127:C141 C145:C159 C163:C177 C181:C195 C199:C213 L55:L69 L73:L87 L91:L105 L109:L123 L127:L141 L145:L159 L163:L177 L181:L195 L199:L213</xm:sqref>
        </x14:dataValidation>
        <x14:dataValidation type="list" allowBlank="1" showInputMessage="1" showErrorMessage="1" xr:uid="{83C74601-2D43-4A09-9A75-7FCADABEC9D4}">
          <x14:formula1>
            <xm:f>'Mapping &amp; Selection'!G8:G22</xm:f>
          </x14:formula1>
          <xm:sqref>B60:B69 K60:K69</xm:sqref>
        </x14:dataValidation>
        <x14:dataValidation type="list" allowBlank="1" showInputMessage="1" showErrorMessage="1" xr:uid="{0B7B2A43-D2CD-4481-A76B-E70A4AC4B395}">
          <x14:formula1>
            <xm:f>'Mapping &amp; Selection'!G3:G18</xm:f>
          </x14:formula1>
          <xm:sqref>B58:B59 K55:K56 B55:B56 K58:K59</xm:sqref>
        </x14:dataValidation>
        <x14:dataValidation type="list" allowBlank="1" showInputMessage="1" showErrorMessage="1" xr:uid="{4E16387D-7624-41A7-9367-39B45EE4D707}">
          <x14:formula1>
            <xm:f>'Mapping &amp; Selection'!G5:G21</xm:f>
          </x14:formula1>
          <xm:sqref>B57 K57</xm:sqref>
        </x14:dataValidation>
      </x14:dataValidations>
    </ext>
  </extLst>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D6974C-24A4-4090-8B00-BC295FA79390}">
  <sheetPr codeName="Sheet9">
    <tabColor rgb="FFFF0000"/>
  </sheetPr>
  <dimension ref="B2:BK203"/>
  <sheetViews>
    <sheetView zoomScale="85" zoomScaleNormal="85" workbookViewId="0">
      <selection activeCell="C12" sqref="C12:H12"/>
    </sheetView>
  </sheetViews>
  <sheetFormatPr defaultColWidth="9.109375" defaultRowHeight="13.8"/>
  <cols>
    <col min="1" max="1" width="9.109375" style="2"/>
    <col min="2" max="2" width="40.33203125" style="2" bestFit="1" customWidth="1"/>
    <col min="3" max="3" width="11.6640625" style="2" bestFit="1" customWidth="1"/>
    <col min="4" max="9" width="10.33203125" style="2" customWidth="1"/>
    <col min="10" max="10" width="10.33203125" style="2" bestFit="1" customWidth="1"/>
    <col min="11" max="11" width="40.33203125" style="2" bestFit="1" customWidth="1"/>
    <col min="12" max="12" width="11.6640625" style="2" bestFit="1" customWidth="1"/>
    <col min="13" max="18" width="10.33203125" style="2" customWidth="1"/>
    <col min="19" max="19" width="9.6640625" style="2" customWidth="1"/>
    <col min="20" max="20" width="40.33203125" style="2" bestFit="1" customWidth="1"/>
    <col min="21" max="21" width="11.6640625" style="2" bestFit="1" customWidth="1"/>
    <col min="22" max="27" width="10.33203125" style="2" customWidth="1"/>
    <col min="28" max="28" width="9.109375" style="2"/>
    <col min="29" max="29" width="40.33203125" style="2" bestFit="1" customWidth="1"/>
    <col min="30" max="30" width="11.6640625" style="2" bestFit="1" customWidth="1"/>
    <col min="31" max="36" width="10.33203125" style="2" customWidth="1"/>
    <col min="37" max="37" width="9.109375" style="2"/>
    <col min="38" max="38" width="40.33203125" style="2" bestFit="1" customWidth="1"/>
    <col min="39" max="39" width="11.6640625" style="2" bestFit="1" customWidth="1"/>
    <col min="40" max="45" width="10.33203125" style="2" customWidth="1"/>
    <col min="46" max="46" width="9.109375" style="2"/>
    <col min="47" max="47" width="40.33203125" style="2" bestFit="1" customWidth="1"/>
    <col min="48" max="48" width="11.6640625" style="2" bestFit="1" customWidth="1"/>
    <col min="49" max="54" width="10.33203125" style="2" customWidth="1"/>
    <col min="55" max="55" width="9.109375" style="2"/>
    <col min="56" max="56" width="40.33203125" style="2" bestFit="1" customWidth="1"/>
    <col min="57" max="57" width="11.6640625" style="2" bestFit="1" customWidth="1"/>
    <col min="58" max="63" width="10.33203125" style="2" customWidth="1"/>
    <col min="64" max="16384" width="9.109375" style="2"/>
  </cols>
  <sheetData>
    <row r="2" spans="2:10">
      <c r="B2" s="55" t="s">
        <v>469</v>
      </c>
      <c r="C2" s="1"/>
      <c r="D2" s="1"/>
      <c r="E2" s="1"/>
      <c r="F2" s="1"/>
      <c r="G2" s="1"/>
      <c r="H2" s="1"/>
      <c r="I2" s="1"/>
      <c r="J2" s="1"/>
    </row>
    <row r="3" spans="2:10">
      <c r="B3" s="1"/>
      <c r="C3" s="1"/>
      <c r="D3" s="1"/>
      <c r="E3" s="1"/>
      <c r="F3" s="1"/>
      <c r="G3" s="1"/>
      <c r="H3" s="1"/>
      <c r="I3" s="1"/>
      <c r="J3" s="1"/>
    </row>
    <row r="4" spans="2:10">
      <c r="B4" s="17" t="s">
        <v>471</v>
      </c>
      <c r="C4" s="17" t="s">
        <v>472</v>
      </c>
      <c r="D4" s="17" t="s">
        <v>473</v>
      </c>
      <c r="E4" s="17" t="s">
        <v>474</v>
      </c>
      <c r="F4" s="17" t="s">
        <v>475</v>
      </c>
      <c r="G4" s="17" t="s">
        <v>476</v>
      </c>
      <c r="H4" s="17" t="s">
        <v>477</v>
      </c>
      <c r="I4" s="17" t="s">
        <v>478</v>
      </c>
      <c r="J4" s="58" t="s">
        <v>179</v>
      </c>
    </row>
    <row r="5" spans="2:10">
      <c r="B5" s="18" t="s">
        <v>479</v>
      </c>
      <c r="C5" s="62">
        <f>C27</f>
        <v>250000</v>
      </c>
      <c r="D5" s="62">
        <f t="shared" ref="D5:I5" si="0">D27</f>
        <v>160000</v>
      </c>
      <c r="E5" s="62">
        <f t="shared" si="0"/>
        <v>370000</v>
      </c>
      <c r="F5" s="62">
        <f t="shared" si="0"/>
        <v>180000</v>
      </c>
      <c r="G5" s="62">
        <f t="shared" si="0"/>
        <v>290000</v>
      </c>
      <c r="H5" s="62">
        <f t="shared" si="0"/>
        <v>200000</v>
      </c>
      <c r="I5" s="62">
        <f t="shared" si="0"/>
        <v>410000</v>
      </c>
      <c r="J5" s="57">
        <f t="shared" ref="J5:J8" si="1">SUM(C5:I5)</f>
        <v>1860000</v>
      </c>
    </row>
    <row r="6" spans="2:10">
      <c r="B6" s="18" t="s">
        <v>480</v>
      </c>
      <c r="C6" s="85">
        <f>SUM(C7:C8)</f>
        <v>253520</v>
      </c>
      <c r="D6" s="85">
        <f t="shared" ref="D6:I6" si="2">SUM(D7:D8)</f>
        <v>253520</v>
      </c>
      <c r="E6" s="85">
        <f t="shared" si="2"/>
        <v>253520</v>
      </c>
      <c r="F6" s="85">
        <f t="shared" si="2"/>
        <v>253520</v>
      </c>
      <c r="G6" s="85">
        <f t="shared" si="2"/>
        <v>253520</v>
      </c>
      <c r="H6" s="85">
        <f t="shared" si="2"/>
        <v>253520</v>
      </c>
      <c r="I6" s="85">
        <f t="shared" si="2"/>
        <v>253520</v>
      </c>
      <c r="J6" s="57">
        <f t="shared" si="1"/>
        <v>1774640</v>
      </c>
    </row>
    <row r="7" spans="2:10">
      <c r="B7" s="59" t="s">
        <v>419</v>
      </c>
      <c r="C7" s="62">
        <f>H41</f>
        <v>174000</v>
      </c>
      <c r="D7" s="62">
        <f>Q41</f>
        <v>174000</v>
      </c>
      <c r="E7" s="62">
        <f>Z41</f>
        <v>174000</v>
      </c>
      <c r="F7" s="62">
        <f>AI41</f>
        <v>174000</v>
      </c>
      <c r="G7" s="62">
        <f>AR41</f>
        <v>174000</v>
      </c>
      <c r="H7" s="62">
        <f>BA41</f>
        <v>174000</v>
      </c>
      <c r="I7" s="62">
        <f>BJ41</f>
        <v>174000</v>
      </c>
      <c r="J7" s="57">
        <f t="shared" si="1"/>
        <v>1218000</v>
      </c>
    </row>
    <row r="8" spans="2:10">
      <c r="B8" s="59" t="s">
        <v>421</v>
      </c>
      <c r="C8" s="62">
        <f>G41</f>
        <v>79520</v>
      </c>
      <c r="D8" s="62">
        <f>P41</f>
        <v>79520</v>
      </c>
      <c r="E8" s="62">
        <f>Y41</f>
        <v>79520</v>
      </c>
      <c r="F8" s="62">
        <f>AH41</f>
        <v>79520</v>
      </c>
      <c r="G8" s="62">
        <f>AQ41</f>
        <v>79520</v>
      </c>
      <c r="H8" s="62">
        <f>AZ41</f>
        <v>79520</v>
      </c>
      <c r="I8" s="62">
        <f>BI41</f>
        <v>79520</v>
      </c>
      <c r="J8" s="57">
        <f t="shared" si="1"/>
        <v>556640</v>
      </c>
    </row>
    <row r="9" spans="2:10">
      <c r="B9" s="18" t="s">
        <v>481</v>
      </c>
      <c r="C9" s="61">
        <f>C5/C6</f>
        <v>0.98611549384663932</v>
      </c>
      <c r="D9" s="61">
        <f t="shared" ref="D9:J9" si="3">D5/D6</f>
        <v>0.63111391606184919</v>
      </c>
      <c r="E9" s="61">
        <f t="shared" si="3"/>
        <v>1.4594509308930261</v>
      </c>
      <c r="F9" s="61">
        <f t="shared" si="3"/>
        <v>0.71000315556958027</v>
      </c>
      <c r="G9" s="61">
        <f t="shared" si="3"/>
        <v>1.1438939728621016</v>
      </c>
      <c r="H9" s="61">
        <f t="shared" si="3"/>
        <v>0.78889239507731146</v>
      </c>
      <c r="I9" s="61">
        <f t="shared" si="3"/>
        <v>1.6172294099084885</v>
      </c>
      <c r="J9" s="61">
        <f t="shared" si="3"/>
        <v>1.0480998963169994</v>
      </c>
    </row>
    <row r="10" spans="2:10">
      <c r="B10" s="1"/>
      <c r="C10" s="1"/>
      <c r="D10" s="1"/>
      <c r="E10" s="1"/>
      <c r="F10" s="1"/>
      <c r="G10" s="1"/>
      <c r="H10" s="1"/>
      <c r="I10" s="1"/>
      <c r="J10" s="1"/>
    </row>
    <row r="11" spans="2:10">
      <c r="B11" s="17" t="s">
        <v>471</v>
      </c>
      <c r="C11" s="17" t="s">
        <v>472</v>
      </c>
      <c r="D11" s="17" t="s">
        <v>473</v>
      </c>
      <c r="E11" s="17" t="s">
        <v>474</v>
      </c>
      <c r="F11" s="17" t="s">
        <v>475</v>
      </c>
      <c r="G11" s="17" t="s">
        <v>476</v>
      </c>
      <c r="H11" s="17" t="s">
        <v>477</v>
      </c>
      <c r="I11" s="17" t="s">
        <v>478</v>
      </c>
      <c r="J11" s="58" t="s">
        <v>179</v>
      </c>
    </row>
    <row r="12" spans="2:10">
      <c r="B12" s="18" t="s">
        <v>482</v>
      </c>
      <c r="C12" s="60">
        <v>250000</v>
      </c>
      <c r="D12" s="60">
        <v>160000</v>
      </c>
      <c r="E12" s="60">
        <v>370000</v>
      </c>
      <c r="F12" s="60">
        <v>180000</v>
      </c>
      <c r="G12" s="60">
        <v>290000</v>
      </c>
      <c r="H12" s="60">
        <v>200000</v>
      </c>
      <c r="I12" s="60">
        <v>410000</v>
      </c>
      <c r="J12" s="57">
        <f>SUM(C12:I12)</f>
        <v>1860000</v>
      </c>
    </row>
    <row r="13" spans="2:10">
      <c r="B13" s="18" t="s">
        <v>484</v>
      </c>
      <c r="C13" s="60"/>
      <c r="D13" s="60"/>
      <c r="E13" s="60"/>
      <c r="F13" s="60"/>
      <c r="G13" s="60"/>
      <c r="H13" s="60"/>
      <c r="I13" s="60"/>
      <c r="J13" s="57">
        <f t="shared" ref="J13:J26" si="4">SUM(C13:I13)</f>
        <v>0</v>
      </c>
    </row>
    <row r="14" spans="2:10">
      <c r="B14" s="18" t="s">
        <v>485</v>
      </c>
      <c r="C14" s="60"/>
      <c r="D14" s="60"/>
      <c r="E14" s="60"/>
      <c r="F14" s="60"/>
      <c r="G14" s="60"/>
      <c r="H14" s="60"/>
      <c r="I14" s="60"/>
      <c r="J14" s="57">
        <f t="shared" si="4"/>
        <v>0</v>
      </c>
    </row>
    <row r="15" spans="2:10">
      <c r="B15" s="18" t="s">
        <v>486</v>
      </c>
      <c r="C15" s="60"/>
      <c r="D15" s="60"/>
      <c r="E15" s="60"/>
      <c r="F15" s="60"/>
      <c r="G15" s="60"/>
      <c r="H15" s="60"/>
      <c r="I15" s="60"/>
      <c r="J15" s="57">
        <f t="shared" si="4"/>
        <v>0</v>
      </c>
    </row>
    <row r="16" spans="2:10">
      <c r="B16" s="18" t="s">
        <v>487</v>
      </c>
      <c r="C16" s="60"/>
      <c r="D16" s="60"/>
      <c r="E16" s="60"/>
      <c r="F16" s="60"/>
      <c r="G16" s="60"/>
      <c r="H16" s="60"/>
      <c r="I16" s="60"/>
      <c r="J16" s="57">
        <f t="shared" si="4"/>
        <v>0</v>
      </c>
    </row>
    <row r="17" spans="2:63">
      <c r="B17" s="18" t="s">
        <v>488</v>
      </c>
      <c r="C17" s="60"/>
      <c r="D17" s="60"/>
      <c r="E17" s="60"/>
      <c r="F17" s="60"/>
      <c r="G17" s="60"/>
      <c r="H17" s="60"/>
      <c r="I17" s="60"/>
      <c r="J17" s="57">
        <f t="shared" si="4"/>
        <v>0</v>
      </c>
    </row>
    <row r="18" spans="2:63">
      <c r="B18" s="18" t="s">
        <v>491</v>
      </c>
      <c r="C18" s="60"/>
      <c r="D18" s="60"/>
      <c r="E18" s="60"/>
      <c r="F18" s="60"/>
      <c r="G18" s="60"/>
      <c r="H18" s="60"/>
      <c r="I18" s="60"/>
      <c r="J18" s="57">
        <f t="shared" si="4"/>
        <v>0</v>
      </c>
    </row>
    <row r="19" spans="2:63">
      <c r="B19" s="18" t="s">
        <v>494</v>
      </c>
      <c r="C19" s="60"/>
      <c r="D19" s="60"/>
      <c r="E19" s="60"/>
      <c r="F19" s="60"/>
      <c r="G19" s="60"/>
      <c r="H19" s="60"/>
      <c r="I19" s="60"/>
      <c r="J19" s="57">
        <f t="shared" si="4"/>
        <v>0</v>
      </c>
    </row>
    <row r="20" spans="2:63">
      <c r="B20" s="18" t="s">
        <v>496</v>
      </c>
      <c r="C20" s="60"/>
      <c r="D20" s="60"/>
      <c r="E20" s="60"/>
      <c r="F20" s="60"/>
      <c r="G20" s="60"/>
      <c r="H20" s="60"/>
      <c r="I20" s="60"/>
      <c r="J20" s="57">
        <f t="shared" si="4"/>
        <v>0</v>
      </c>
    </row>
    <row r="21" spans="2:63">
      <c r="B21" s="18" t="s">
        <v>497</v>
      </c>
      <c r="C21" s="60"/>
      <c r="D21" s="60"/>
      <c r="E21" s="60"/>
      <c r="F21" s="60"/>
      <c r="G21" s="60"/>
      <c r="H21" s="60"/>
      <c r="I21" s="60"/>
      <c r="J21" s="57">
        <f t="shared" si="4"/>
        <v>0</v>
      </c>
    </row>
    <row r="22" spans="2:63">
      <c r="B22" s="18" t="s">
        <v>498</v>
      </c>
      <c r="C22" s="60"/>
      <c r="D22" s="60"/>
      <c r="E22" s="60"/>
      <c r="F22" s="60"/>
      <c r="G22" s="60"/>
      <c r="H22" s="60"/>
      <c r="I22" s="60"/>
      <c r="J22" s="57">
        <f t="shared" si="4"/>
        <v>0</v>
      </c>
    </row>
    <row r="23" spans="2:63">
      <c r="B23" s="18" t="s">
        <v>499</v>
      </c>
      <c r="C23" s="60"/>
      <c r="D23" s="60"/>
      <c r="E23" s="60"/>
      <c r="F23" s="60"/>
      <c r="G23" s="60"/>
      <c r="H23" s="60"/>
      <c r="I23" s="60"/>
      <c r="J23" s="57">
        <f t="shared" si="4"/>
        <v>0</v>
      </c>
    </row>
    <row r="24" spans="2:63">
      <c r="B24" s="18" t="s">
        <v>500</v>
      </c>
      <c r="C24" s="60"/>
      <c r="D24" s="60"/>
      <c r="E24" s="60"/>
      <c r="F24" s="60"/>
      <c r="G24" s="60"/>
      <c r="H24" s="60"/>
      <c r="I24" s="60"/>
      <c r="J24" s="57">
        <f t="shared" si="4"/>
        <v>0</v>
      </c>
    </row>
    <row r="25" spans="2:63">
      <c r="B25" s="18" t="s">
        <v>501</v>
      </c>
      <c r="C25" s="60"/>
      <c r="D25" s="60"/>
      <c r="E25" s="60"/>
      <c r="F25" s="60"/>
      <c r="G25" s="60"/>
      <c r="H25" s="60"/>
      <c r="I25" s="60"/>
      <c r="J25" s="57">
        <f t="shared" si="4"/>
        <v>0</v>
      </c>
    </row>
    <row r="26" spans="2:63">
      <c r="B26" s="18" t="s">
        <v>502</v>
      </c>
      <c r="C26" s="60"/>
      <c r="D26" s="60"/>
      <c r="E26" s="60"/>
      <c r="F26" s="60"/>
      <c r="G26" s="60"/>
      <c r="H26" s="60"/>
      <c r="I26" s="60"/>
      <c r="J26" s="57">
        <f t="shared" si="4"/>
        <v>0</v>
      </c>
    </row>
    <row r="27" spans="2:63">
      <c r="B27" s="54" t="s">
        <v>179</v>
      </c>
      <c r="C27" s="56">
        <f>SUM(C12:C26)</f>
        <v>250000</v>
      </c>
      <c r="D27" s="56">
        <f t="shared" ref="D27:J27" si="5">SUM(D12:D26)</f>
        <v>160000</v>
      </c>
      <c r="E27" s="56">
        <f t="shared" si="5"/>
        <v>370000</v>
      </c>
      <c r="F27" s="56">
        <f t="shared" si="5"/>
        <v>180000</v>
      </c>
      <c r="G27" s="56">
        <f t="shared" si="5"/>
        <v>290000</v>
      </c>
      <c r="H27" s="56">
        <f t="shared" si="5"/>
        <v>200000</v>
      </c>
      <c r="I27" s="56">
        <f t="shared" si="5"/>
        <v>410000</v>
      </c>
      <c r="J27" s="56">
        <f t="shared" si="5"/>
        <v>1860000</v>
      </c>
    </row>
    <row r="29" spans="2:63">
      <c r="B29" s="1012" t="s">
        <v>503</v>
      </c>
      <c r="C29" s="1012"/>
      <c r="D29" s="1012"/>
      <c r="E29" s="1012"/>
      <c r="F29" s="1012"/>
      <c r="G29" s="1012"/>
      <c r="H29" s="1012"/>
      <c r="I29" s="1012"/>
      <c r="K29" s="1012" t="s">
        <v>504</v>
      </c>
      <c r="L29" s="1012"/>
      <c r="M29" s="1012"/>
      <c r="N29" s="1012"/>
      <c r="O29" s="1012"/>
      <c r="P29" s="1012"/>
      <c r="Q29" s="1012"/>
      <c r="R29" s="1012"/>
      <c r="T29" s="1012" t="s">
        <v>505</v>
      </c>
      <c r="U29" s="1012"/>
      <c r="V29" s="1012"/>
      <c r="W29" s="1012"/>
      <c r="X29" s="1012"/>
      <c r="Y29" s="1012"/>
      <c r="Z29" s="1012"/>
      <c r="AA29" s="1012"/>
      <c r="AC29" s="1012" t="s">
        <v>506</v>
      </c>
      <c r="AD29" s="1012"/>
      <c r="AE29" s="1012"/>
      <c r="AF29" s="1012"/>
      <c r="AG29" s="1012"/>
      <c r="AH29" s="1012"/>
      <c r="AI29" s="1012"/>
      <c r="AJ29" s="1012"/>
      <c r="AL29" s="1012" t="s">
        <v>507</v>
      </c>
      <c r="AM29" s="1012"/>
      <c r="AN29" s="1012"/>
      <c r="AO29" s="1012"/>
      <c r="AP29" s="1012"/>
      <c r="AQ29" s="1012"/>
      <c r="AR29" s="1012"/>
      <c r="AS29" s="1012"/>
      <c r="AU29" s="1012" t="s">
        <v>508</v>
      </c>
      <c r="AV29" s="1012"/>
      <c r="AW29" s="1012"/>
      <c r="AX29" s="1012"/>
      <c r="AY29" s="1012"/>
      <c r="AZ29" s="1012"/>
      <c r="BA29" s="1012"/>
      <c r="BB29" s="1012"/>
      <c r="BD29" s="1012" t="s">
        <v>509</v>
      </c>
      <c r="BE29" s="1012"/>
      <c r="BF29" s="1012"/>
      <c r="BG29" s="1012"/>
      <c r="BH29" s="1012"/>
      <c r="BI29" s="1012"/>
      <c r="BJ29" s="1012"/>
      <c r="BK29" s="1012"/>
    </row>
    <row r="31" spans="2:63" s="20" customFormat="1" ht="54" customHeight="1">
      <c r="B31" s="3" t="s">
        <v>6</v>
      </c>
      <c r="C31" s="3" t="s">
        <v>365</v>
      </c>
      <c r="D31" s="36" t="s">
        <v>368</v>
      </c>
      <c r="E31" s="36" t="s">
        <v>372</v>
      </c>
      <c r="F31" s="37" t="s">
        <v>437</v>
      </c>
      <c r="G31" s="3" t="s">
        <v>438</v>
      </c>
      <c r="H31" s="3" t="s">
        <v>439</v>
      </c>
      <c r="I31" s="38" t="s">
        <v>440</v>
      </c>
      <c r="K31" s="3" t="s">
        <v>6</v>
      </c>
      <c r="L31" s="3" t="s">
        <v>365</v>
      </c>
      <c r="M31" s="36" t="s">
        <v>368</v>
      </c>
      <c r="N31" s="36" t="s">
        <v>372</v>
      </c>
      <c r="O31" s="37" t="s">
        <v>437</v>
      </c>
      <c r="P31" s="3" t="s">
        <v>438</v>
      </c>
      <c r="Q31" s="3" t="s">
        <v>439</v>
      </c>
      <c r="R31" s="38" t="s">
        <v>440</v>
      </c>
      <c r="T31" s="3" t="s">
        <v>6</v>
      </c>
      <c r="U31" s="3" t="s">
        <v>365</v>
      </c>
      <c r="V31" s="36" t="s">
        <v>368</v>
      </c>
      <c r="W31" s="36" t="s">
        <v>372</v>
      </c>
      <c r="X31" s="37" t="s">
        <v>437</v>
      </c>
      <c r="Y31" s="3" t="s">
        <v>438</v>
      </c>
      <c r="Z31" s="3" t="s">
        <v>439</v>
      </c>
      <c r="AA31" s="38" t="s">
        <v>440</v>
      </c>
      <c r="AC31" s="3" t="s">
        <v>6</v>
      </c>
      <c r="AD31" s="3" t="s">
        <v>365</v>
      </c>
      <c r="AE31" s="36" t="s">
        <v>368</v>
      </c>
      <c r="AF31" s="36" t="s">
        <v>372</v>
      </c>
      <c r="AG31" s="37" t="s">
        <v>437</v>
      </c>
      <c r="AH31" s="3" t="s">
        <v>438</v>
      </c>
      <c r="AI31" s="3" t="s">
        <v>439</v>
      </c>
      <c r="AJ31" s="38" t="s">
        <v>440</v>
      </c>
      <c r="AL31" s="3" t="s">
        <v>6</v>
      </c>
      <c r="AM31" s="3" t="s">
        <v>365</v>
      </c>
      <c r="AN31" s="36" t="s">
        <v>368</v>
      </c>
      <c r="AO31" s="36" t="s">
        <v>372</v>
      </c>
      <c r="AP31" s="37" t="s">
        <v>437</v>
      </c>
      <c r="AQ31" s="3" t="s">
        <v>438</v>
      </c>
      <c r="AR31" s="3" t="s">
        <v>439</v>
      </c>
      <c r="AS31" s="38" t="s">
        <v>440</v>
      </c>
      <c r="AU31" s="3" t="s">
        <v>6</v>
      </c>
      <c r="AV31" s="3" t="s">
        <v>365</v>
      </c>
      <c r="AW31" s="36" t="s">
        <v>368</v>
      </c>
      <c r="AX31" s="36" t="s">
        <v>372</v>
      </c>
      <c r="AY31" s="37" t="s">
        <v>437</v>
      </c>
      <c r="AZ31" s="3" t="s">
        <v>438</v>
      </c>
      <c r="BA31" s="3" t="s">
        <v>439</v>
      </c>
      <c r="BB31" s="38" t="s">
        <v>440</v>
      </c>
      <c r="BD31" s="3" t="s">
        <v>6</v>
      </c>
      <c r="BE31" s="3" t="s">
        <v>365</v>
      </c>
      <c r="BF31" s="36" t="s">
        <v>368</v>
      </c>
      <c r="BG31" s="36" t="s">
        <v>372</v>
      </c>
      <c r="BH31" s="37" t="s">
        <v>437</v>
      </c>
      <c r="BI31" s="3" t="s">
        <v>438</v>
      </c>
      <c r="BJ31" s="3" t="s">
        <v>439</v>
      </c>
      <c r="BK31" s="38" t="s">
        <v>440</v>
      </c>
    </row>
    <row r="32" spans="2:63" ht="25.5" customHeight="1">
      <c r="B32" s="5" t="str">
        <f>B43</f>
        <v>Facility (Overdraft)</v>
      </c>
      <c r="C32" s="7" t="s">
        <v>368</v>
      </c>
      <c r="D32" s="79">
        <f>D59</f>
        <v>750000</v>
      </c>
      <c r="E32" s="79">
        <f>E59</f>
        <v>500000</v>
      </c>
      <c r="F32" s="79">
        <f>F59</f>
        <v>0</v>
      </c>
      <c r="G32" s="79">
        <f>I59</f>
        <v>45000</v>
      </c>
      <c r="H32" s="79">
        <f>F32*12</f>
        <v>0</v>
      </c>
      <c r="I32" s="34">
        <f>SUM(G32:H32)</f>
        <v>45000</v>
      </c>
      <c r="K32" s="5" t="str">
        <f>K43</f>
        <v>Facility (Overdraft)</v>
      </c>
      <c r="L32" s="7" t="s">
        <v>368</v>
      </c>
      <c r="M32" s="79">
        <f>M59</f>
        <v>750000</v>
      </c>
      <c r="N32" s="79">
        <f>N59</f>
        <v>500000</v>
      </c>
      <c r="O32" s="79">
        <f>O59</f>
        <v>0</v>
      </c>
      <c r="P32" s="79">
        <f>R59</f>
        <v>45000</v>
      </c>
      <c r="Q32" s="79">
        <f>O32*12</f>
        <v>0</v>
      </c>
      <c r="R32" s="34">
        <f>SUM(P32:Q32)</f>
        <v>45000</v>
      </c>
      <c r="T32" s="5" t="str">
        <f>T43</f>
        <v>Facility (Overdraft)</v>
      </c>
      <c r="U32" s="7" t="s">
        <v>368</v>
      </c>
      <c r="V32" s="79">
        <f>V59</f>
        <v>750000</v>
      </c>
      <c r="W32" s="79">
        <f>W59</f>
        <v>500000</v>
      </c>
      <c r="X32" s="79">
        <f>X59</f>
        <v>0</v>
      </c>
      <c r="Y32" s="79">
        <f>AA59</f>
        <v>45000</v>
      </c>
      <c r="Z32" s="79">
        <f>X32*12</f>
        <v>0</v>
      </c>
      <c r="AA32" s="34">
        <f>SUM(Y32:Z32)</f>
        <v>45000</v>
      </c>
      <c r="AC32" s="5" t="str">
        <f>AC43</f>
        <v>Facility (Overdraft)</v>
      </c>
      <c r="AD32" s="7" t="s">
        <v>368</v>
      </c>
      <c r="AE32" s="79">
        <f>AE59</f>
        <v>750000</v>
      </c>
      <c r="AF32" s="79">
        <f>AF59</f>
        <v>500000</v>
      </c>
      <c r="AG32" s="79">
        <f>AG59</f>
        <v>0</v>
      </c>
      <c r="AH32" s="79">
        <f>AJ59</f>
        <v>45000</v>
      </c>
      <c r="AI32" s="79">
        <f>AG32*12</f>
        <v>0</v>
      </c>
      <c r="AJ32" s="34">
        <f>SUM(AH32:AI32)</f>
        <v>45000</v>
      </c>
      <c r="AL32" s="5" t="str">
        <f>AL43</f>
        <v>Facility (Overdraft)</v>
      </c>
      <c r="AM32" s="7" t="s">
        <v>368</v>
      </c>
      <c r="AN32" s="79">
        <f>AN59</f>
        <v>750000</v>
      </c>
      <c r="AO32" s="79">
        <f>AO59</f>
        <v>500000</v>
      </c>
      <c r="AP32" s="79">
        <f>AP59</f>
        <v>0</v>
      </c>
      <c r="AQ32" s="79">
        <f>AS59</f>
        <v>45000</v>
      </c>
      <c r="AR32" s="79">
        <f>AP32*12</f>
        <v>0</v>
      </c>
      <c r="AS32" s="34">
        <f>SUM(AQ32:AR32)</f>
        <v>45000</v>
      </c>
      <c r="AU32" s="5" t="str">
        <f>AU43</f>
        <v>Facility (Overdraft)</v>
      </c>
      <c r="AV32" s="7" t="s">
        <v>368</v>
      </c>
      <c r="AW32" s="79">
        <f>AW59</f>
        <v>750000</v>
      </c>
      <c r="AX32" s="79">
        <f>AX59</f>
        <v>500000</v>
      </c>
      <c r="AY32" s="79">
        <f>AY59</f>
        <v>0</v>
      </c>
      <c r="AZ32" s="79">
        <f>BB59</f>
        <v>45000</v>
      </c>
      <c r="BA32" s="79">
        <f>AY32*12</f>
        <v>0</v>
      </c>
      <c r="BB32" s="34">
        <f>SUM(AZ32:BA32)</f>
        <v>45000</v>
      </c>
      <c r="BD32" s="5" t="str">
        <f>BD43</f>
        <v>Facility (Overdraft)</v>
      </c>
      <c r="BE32" s="7" t="s">
        <v>368</v>
      </c>
      <c r="BF32" s="79">
        <f>BF59</f>
        <v>750000</v>
      </c>
      <c r="BG32" s="79">
        <f>BG59</f>
        <v>500000</v>
      </c>
      <c r="BH32" s="79">
        <f>BH59</f>
        <v>0</v>
      </c>
      <c r="BI32" s="79">
        <f>BK59</f>
        <v>45000</v>
      </c>
      <c r="BJ32" s="79">
        <f>BH32*12</f>
        <v>0</v>
      </c>
      <c r="BK32" s="34">
        <f>SUM(BI32:BJ32)</f>
        <v>45000</v>
      </c>
    </row>
    <row r="33" spans="2:63" ht="25.5" customHeight="1">
      <c r="B33" s="5" t="str">
        <f>B61</f>
        <v>Facility (Overdraft with Reduction/ Sinking Fund)</v>
      </c>
      <c r="C33" s="7" t="s">
        <v>510</v>
      </c>
      <c r="D33" s="79">
        <f>D77</f>
        <v>750000</v>
      </c>
      <c r="E33" s="79">
        <f>E77</f>
        <v>300000</v>
      </c>
      <c r="F33" s="79">
        <f>F77</f>
        <v>7500</v>
      </c>
      <c r="G33" s="79">
        <f>I77</f>
        <v>0</v>
      </c>
      <c r="H33" s="79">
        <f t="shared" ref="H33:H40" si="6">F33*12</f>
        <v>90000</v>
      </c>
      <c r="I33" s="34">
        <f t="shared" ref="I33:I40" si="7">SUM(G33:H33)</f>
        <v>90000</v>
      </c>
      <c r="K33" s="5" t="str">
        <f>K61</f>
        <v>Facility (Overdraft with Reduction/ Sinking Fund)</v>
      </c>
      <c r="L33" s="7" t="s">
        <v>510</v>
      </c>
      <c r="M33" s="79">
        <f>M77</f>
        <v>750000</v>
      </c>
      <c r="N33" s="79">
        <f>N77</f>
        <v>300000</v>
      </c>
      <c r="O33" s="79">
        <f>O77</f>
        <v>7500</v>
      </c>
      <c r="P33" s="79">
        <f>R77</f>
        <v>0</v>
      </c>
      <c r="Q33" s="79">
        <f t="shared" ref="Q33:Q40" si="8">O33*12</f>
        <v>90000</v>
      </c>
      <c r="R33" s="34">
        <f t="shared" ref="R33:R40" si="9">SUM(P33:Q33)</f>
        <v>90000</v>
      </c>
      <c r="T33" s="5" t="str">
        <f>T61</f>
        <v>Facility (Overdraft with Reduction/ Sinking Fund)</v>
      </c>
      <c r="U33" s="7" t="s">
        <v>510</v>
      </c>
      <c r="V33" s="79">
        <f>V77</f>
        <v>750000</v>
      </c>
      <c r="W33" s="79">
        <f>W77</f>
        <v>300000</v>
      </c>
      <c r="X33" s="79">
        <f>X77</f>
        <v>7500</v>
      </c>
      <c r="Y33" s="79">
        <f>AA77</f>
        <v>0</v>
      </c>
      <c r="Z33" s="79">
        <f t="shared" ref="Z33:Z40" si="10">X33*12</f>
        <v>90000</v>
      </c>
      <c r="AA33" s="34">
        <f t="shared" ref="AA33:AA40" si="11">SUM(Y33:Z33)</f>
        <v>90000</v>
      </c>
      <c r="AC33" s="5" t="str">
        <f>AC61</f>
        <v>Facility (Overdraft with Reduction/ Sinking Fund)</v>
      </c>
      <c r="AD33" s="7" t="s">
        <v>510</v>
      </c>
      <c r="AE33" s="79">
        <f>AE77</f>
        <v>750000</v>
      </c>
      <c r="AF33" s="79">
        <f>AF77</f>
        <v>300000</v>
      </c>
      <c r="AG33" s="79">
        <f>AG77</f>
        <v>7500</v>
      </c>
      <c r="AH33" s="79">
        <f>AJ77</f>
        <v>0</v>
      </c>
      <c r="AI33" s="79">
        <f t="shared" ref="AI33:AI40" si="12">AG33*12</f>
        <v>90000</v>
      </c>
      <c r="AJ33" s="34">
        <f t="shared" ref="AJ33:AJ40" si="13">SUM(AH33:AI33)</f>
        <v>90000</v>
      </c>
      <c r="AL33" s="5" t="str">
        <f>AL61</f>
        <v>Facility (Overdraft with Reduction/ Sinking Fund)</v>
      </c>
      <c r="AM33" s="7" t="s">
        <v>510</v>
      </c>
      <c r="AN33" s="79">
        <f>AN77</f>
        <v>750000</v>
      </c>
      <c r="AO33" s="79">
        <f>AO77</f>
        <v>300000</v>
      </c>
      <c r="AP33" s="79">
        <f>AP77</f>
        <v>7500</v>
      </c>
      <c r="AQ33" s="79">
        <f>AS77</f>
        <v>0</v>
      </c>
      <c r="AR33" s="79">
        <f t="shared" ref="AR33:AR40" si="14">AP33*12</f>
        <v>90000</v>
      </c>
      <c r="AS33" s="34">
        <f t="shared" ref="AS33:AS40" si="15">SUM(AQ33:AR33)</f>
        <v>90000</v>
      </c>
      <c r="AU33" s="5" t="str">
        <f>AU61</f>
        <v>Facility (Overdraft with Reduction/ Sinking Fund)</v>
      </c>
      <c r="AV33" s="7" t="s">
        <v>510</v>
      </c>
      <c r="AW33" s="79">
        <f>AW77</f>
        <v>750000</v>
      </c>
      <c r="AX33" s="79">
        <f>AX77</f>
        <v>300000</v>
      </c>
      <c r="AY33" s="79">
        <f>AY77</f>
        <v>7500</v>
      </c>
      <c r="AZ33" s="79">
        <f>BB77</f>
        <v>0</v>
      </c>
      <c r="BA33" s="79">
        <f t="shared" ref="BA33:BA40" si="16">AY33*12</f>
        <v>90000</v>
      </c>
      <c r="BB33" s="34">
        <f t="shared" ref="BB33:BB40" si="17">SUM(AZ33:BA33)</f>
        <v>90000</v>
      </c>
      <c r="BD33" s="5" t="str">
        <f>BD61</f>
        <v>Facility (Overdraft with Reduction/ Sinking Fund)</v>
      </c>
      <c r="BE33" s="7" t="s">
        <v>510</v>
      </c>
      <c r="BF33" s="79">
        <f>BF77</f>
        <v>750000</v>
      </c>
      <c r="BG33" s="79">
        <f>BG77</f>
        <v>300000</v>
      </c>
      <c r="BH33" s="79">
        <f>BH77</f>
        <v>7500</v>
      </c>
      <c r="BI33" s="79">
        <f>BK77</f>
        <v>0</v>
      </c>
      <c r="BJ33" s="79">
        <f t="shared" ref="BJ33:BJ40" si="18">BH33*12</f>
        <v>90000</v>
      </c>
      <c r="BK33" s="34">
        <f t="shared" ref="BK33:BK40" si="19">SUM(BI33:BJ33)</f>
        <v>90000</v>
      </c>
    </row>
    <row r="34" spans="2:63" ht="25.5" customHeight="1">
      <c r="B34" s="5" t="str">
        <f>B79</f>
        <v>Facility (Trade Receivable)</v>
      </c>
      <c r="C34" s="7" t="s">
        <v>368</v>
      </c>
      <c r="D34" s="79">
        <f>D95</f>
        <v>150000</v>
      </c>
      <c r="E34" s="79">
        <f>E95</f>
        <v>50000</v>
      </c>
      <c r="F34" s="79">
        <f>F95</f>
        <v>0</v>
      </c>
      <c r="G34" s="79">
        <f>I95</f>
        <v>9840</v>
      </c>
      <c r="H34" s="79">
        <f t="shared" si="6"/>
        <v>0</v>
      </c>
      <c r="I34" s="34">
        <f t="shared" si="7"/>
        <v>9840</v>
      </c>
      <c r="K34" s="5" t="str">
        <f>K79</f>
        <v>Facility (Trade Receivable)</v>
      </c>
      <c r="L34" s="7" t="s">
        <v>368</v>
      </c>
      <c r="M34" s="79">
        <f>M95</f>
        <v>150000</v>
      </c>
      <c r="N34" s="79">
        <f>N95</f>
        <v>50000</v>
      </c>
      <c r="O34" s="79">
        <f>O95</f>
        <v>0</v>
      </c>
      <c r="P34" s="79">
        <f>R95</f>
        <v>9840</v>
      </c>
      <c r="Q34" s="79">
        <f t="shared" si="8"/>
        <v>0</v>
      </c>
      <c r="R34" s="34">
        <f t="shared" si="9"/>
        <v>9840</v>
      </c>
      <c r="T34" s="5" t="str">
        <f>T79</f>
        <v>Facility (Trade Receivable)</v>
      </c>
      <c r="U34" s="7" t="s">
        <v>368</v>
      </c>
      <c r="V34" s="79">
        <f>V95</f>
        <v>150000</v>
      </c>
      <c r="W34" s="79">
        <f>W95</f>
        <v>50000</v>
      </c>
      <c r="X34" s="79">
        <f>X95</f>
        <v>0</v>
      </c>
      <c r="Y34" s="79">
        <f>AA95</f>
        <v>9840</v>
      </c>
      <c r="Z34" s="79">
        <f t="shared" si="10"/>
        <v>0</v>
      </c>
      <c r="AA34" s="34">
        <f t="shared" si="11"/>
        <v>9840</v>
      </c>
      <c r="AC34" s="5" t="str">
        <f>AC79</f>
        <v>Facility (Trade Receivable)</v>
      </c>
      <c r="AD34" s="7" t="s">
        <v>368</v>
      </c>
      <c r="AE34" s="79">
        <f>AE95</f>
        <v>150000</v>
      </c>
      <c r="AF34" s="79">
        <f>AF95</f>
        <v>50000</v>
      </c>
      <c r="AG34" s="79">
        <f>AG95</f>
        <v>0</v>
      </c>
      <c r="AH34" s="79">
        <f>AJ95</f>
        <v>9840</v>
      </c>
      <c r="AI34" s="79">
        <f t="shared" si="12"/>
        <v>0</v>
      </c>
      <c r="AJ34" s="34">
        <f t="shared" si="13"/>
        <v>9840</v>
      </c>
      <c r="AL34" s="5" t="str">
        <f>AL79</f>
        <v>Facility (Trade Receivable)</v>
      </c>
      <c r="AM34" s="7" t="s">
        <v>368</v>
      </c>
      <c r="AN34" s="79">
        <f>AN95</f>
        <v>150000</v>
      </c>
      <c r="AO34" s="79">
        <f>AO95</f>
        <v>50000</v>
      </c>
      <c r="AP34" s="79">
        <f>AP95</f>
        <v>0</v>
      </c>
      <c r="AQ34" s="79">
        <f>AS95</f>
        <v>9840</v>
      </c>
      <c r="AR34" s="79">
        <f t="shared" si="14"/>
        <v>0</v>
      </c>
      <c r="AS34" s="34">
        <f t="shared" si="15"/>
        <v>9840</v>
      </c>
      <c r="AU34" s="5" t="str">
        <f>AU79</f>
        <v>Facility (Trade Receivable)</v>
      </c>
      <c r="AV34" s="7" t="s">
        <v>368</v>
      </c>
      <c r="AW34" s="79">
        <f>AW95</f>
        <v>150000</v>
      </c>
      <c r="AX34" s="79">
        <f>AX95</f>
        <v>50000</v>
      </c>
      <c r="AY34" s="79">
        <f>AY95</f>
        <v>0</v>
      </c>
      <c r="AZ34" s="79">
        <f>BB95</f>
        <v>9840</v>
      </c>
      <c r="BA34" s="79">
        <f t="shared" si="16"/>
        <v>0</v>
      </c>
      <c r="BB34" s="34">
        <f t="shared" si="17"/>
        <v>9840</v>
      </c>
      <c r="BD34" s="5" t="str">
        <f>BD79</f>
        <v>Facility (Trade Receivable)</v>
      </c>
      <c r="BE34" s="7" t="s">
        <v>368</v>
      </c>
      <c r="BF34" s="79">
        <f>BF95</f>
        <v>150000</v>
      </c>
      <c r="BG34" s="79">
        <f>BG95</f>
        <v>50000</v>
      </c>
      <c r="BH34" s="79">
        <f>BH95</f>
        <v>0</v>
      </c>
      <c r="BI34" s="79">
        <f>BK95</f>
        <v>9840</v>
      </c>
      <c r="BJ34" s="79">
        <f t="shared" si="18"/>
        <v>0</v>
      </c>
      <c r="BK34" s="34">
        <f t="shared" si="19"/>
        <v>9840</v>
      </c>
    </row>
    <row r="35" spans="2:63" ht="25.5" customHeight="1">
      <c r="B35" s="5" t="str">
        <f>B97</f>
        <v>Facility (BA)</v>
      </c>
      <c r="C35" s="7" t="s">
        <v>368</v>
      </c>
      <c r="D35" s="79">
        <f>D113</f>
        <v>200000</v>
      </c>
      <c r="E35" s="79">
        <f>E113</f>
        <v>100000</v>
      </c>
      <c r="F35" s="79">
        <f>F113</f>
        <v>0</v>
      </c>
      <c r="G35" s="79">
        <f>I113</f>
        <v>13120</v>
      </c>
      <c r="H35" s="79">
        <f t="shared" si="6"/>
        <v>0</v>
      </c>
      <c r="I35" s="34">
        <f t="shared" si="7"/>
        <v>13120</v>
      </c>
      <c r="K35" s="5" t="str">
        <f>K97</f>
        <v>Facility (BA)</v>
      </c>
      <c r="L35" s="7" t="s">
        <v>368</v>
      </c>
      <c r="M35" s="79">
        <f>M113</f>
        <v>200000</v>
      </c>
      <c r="N35" s="79">
        <f>N113</f>
        <v>100000</v>
      </c>
      <c r="O35" s="79">
        <f>O113</f>
        <v>0</v>
      </c>
      <c r="P35" s="79">
        <f>R113</f>
        <v>13120</v>
      </c>
      <c r="Q35" s="79">
        <f t="shared" si="8"/>
        <v>0</v>
      </c>
      <c r="R35" s="34">
        <f t="shared" si="9"/>
        <v>13120</v>
      </c>
      <c r="T35" s="5" t="str">
        <f>T97</f>
        <v>Facility (BA)</v>
      </c>
      <c r="U35" s="7" t="s">
        <v>368</v>
      </c>
      <c r="V35" s="79">
        <f>V113</f>
        <v>200000</v>
      </c>
      <c r="W35" s="79">
        <f>W113</f>
        <v>100000</v>
      </c>
      <c r="X35" s="79">
        <f>X113</f>
        <v>0</v>
      </c>
      <c r="Y35" s="79">
        <f>AA113</f>
        <v>13120</v>
      </c>
      <c r="Z35" s="79">
        <f t="shared" si="10"/>
        <v>0</v>
      </c>
      <c r="AA35" s="34">
        <f t="shared" si="11"/>
        <v>13120</v>
      </c>
      <c r="AC35" s="5" t="str">
        <f>AC97</f>
        <v>Facility (BA)</v>
      </c>
      <c r="AD35" s="7" t="s">
        <v>368</v>
      </c>
      <c r="AE35" s="79">
        <f>AE113</f>
        <v>200000</v>
      </c>
      <c r="AF35" s="79">
        <f>AF113</f>
        <v>100000</v>
      </c>
      <c r="AG35" s="79">
        <f>AG113</f>
        <v>0</v>
      </c>
      <c r="AH35" s="79">
        <f>AJ113</f>
        <v>13120</v>
      </c>
      <c r="AI35" s="79">
        <f t="shared" si="12"/>
        <v>0</v>
      </c>
      <c r="AJ35" s="34">
        <f t="shared" si="13"/>
        <v>13120</v>
      </c>
      <c r="AL35" s="5" t="str">
        <f>AL97</f>
        <v>Facility (BA)</v>
      </c>
      <c r="AM35" s="7" t="s">
        <v>368</v>
      </c>
      <c r="AN35" s="79">
        <f>AN113</f>
        <v>200000</v>
      </c>
      <c r="AO35" s="79">
        <f>AO113</f>
        <v>100000</v>
      </c>
      <c r="AP35" s="79">
        <f>AP113</f>
        <v>0</v>
      </c>
      <c r="AQ35" s="79">
        <f>AS113</f>
        <v>13120</v>
      </c>
      <c r="AR35" s="79">
        <f t="shared" si="14"/>
        <v>0</v>
      </c>
      <c r="AS35" s="34">
        <f t="shared" si="15"/>
        <v>13120</v>
      </c>
      <c r="AU35" s="5" t="str">
        <f>AU97</f>
        <v>Facility (BA)</v>
      </c>
      <c r="AV35" s="7" t="s">
        <v>368</v>
      </c>
      <c r="AW35" s="79">
        <f>AW113</f>
        <v>200000</v>
      </c>
      <c r="AX35" s="79">
        <f>AX113</f>
        <v>100000</v>
      </c>
      <c r="AY35" s="79">
        <f>AY113</f>
        <v>0</v>
      </c>
      <c r="AZ35" s="79">
        <f>BB113</f>
        <v>13120</v>
      </c>
      <c r="BA35" s="79">
        <f t="shared" si="16"/>
        <v>0</v>
      </c>
      <c r="BB35" s="34">
        <f t="shared" si="17"/>
        <v>13120</v>
      </c>
      <c r="BD35" s="5" t="str">
        <f>BD97</f>
        <v>Facility (BA)</v>
      </c>
      <c r="BE35" s="7" t="s">
        <v>368</v>
      </c>
      <c r="BF35" s="79">
        <f>BF113</f>
        <v>200000</v>
      </c>
      <c r="BG35" s="79">
        <f>BG113</f>
        <v>100000</v>
      </c>
      <c r="BH35" s="79">
        <f>BH113</f>
        <v>0</v>
      </c>
      <c r="BI35" s="79">
        <f>BK113</f>
        <v>13120</v>
      </c>
      <c r="BJ35" s="79">
        <f t="shared" si="18"/>
        <v>0</v>
      </c>
      <c r="BK35" s="34">
        <f t="shared" si="19"/>
        <v>13120</v>
      </c>
    </row>
    <row r="36" spans="2:63" ht="25.5" customHeight="1">
      <c r="B36" s="5" t="str">
        <f>B115</f>
        <v>Facility (Term-loan)</v>
      </c>
      <c r="C36" s="7" t="s">
        <v>510</v>
      </c>
      <c r="D36" s="79">
        <f>D131</f>
        <v>0</v>
      </c>
      <c r="E36" s="79">
        <f>E131</f>
        <v>0</v>
      </c>
      <c r="F36" s="79">
        <f>F131</f>
        <v>2500</v>
      </c>
      <c r="G36" s="79">
        <f>I131</f>
        <v>0</v>
      </c>
      <c r="H36" s="79">
        <f t="shared" si="6"/>
        <v>30000</v>
      </c>
      <c r="I36" s="34">
        <f t="shared" si="7"/>
        <v>30000</v>
      </c>
      <c r="K36" s="5" t="str">
        <f>K115</f>
        <v>Facility (Term-loan)</v>
      </c>
      <c r="L36" s="7" t="s">
        <v>510</v>
      </c>
      <c r="M36" s="79">
        <f>M131</f>
        <v>0</v>
      </c>
      <c r="N36" s="79">
        <f>N131</f>
        <v>0</v>
      </c>
      <c r="O36" s="79">
        <f>O131</f>
        <v>2500</v>
      </c>
      <c r="P36" s="79">
        <f>R131</f>
        <v>0</v>
      </c>
      <c r="Q36" s="79">
        <f t="shared" si="8"/>
        <v>30000</v>
      </c>
      <c r="R36" s="34">
        <f t="shared" si="9"/>
        <v>30000</v>
      </c>
      <c r="T36" s="5" t="str">
        <f>T115</f>
        <v>Facility (Term-loan)</v>
      </c>
      <c r="U36" s="7" t="s">
        <v>510</v>
      </c>
      <c r="V36" s="79">
        <f>V131</f>
        <v>0</v>
      </c>
      <c r="W36" s="79">
        <f>W131</f>
        <v>0</v>
      </c>
      <c r="X36" s="79">
        <f>X131</f>
        <v>2500</v>
      </c>
      <c r="Y36" s="79">
        <f>AA131</f>
        <v>0</v>
      </c>
      <c r="Z36" s="79">
        <f t="shared" si="10"/>
        <v>30000</v>
      </c>
      <c r="AA36" s="34">
        <f t="shared" si="11"/>
        <v>30000</v>
      </c>
      <c r="AC36" s="5" t="str">
        <f>AC115</f>
        <v>Facility (Term-loan)</v>
      </c>
      <c r="AD36" s="7" t="s">
        <v>510</v>
      </c>
      <c r="AE36" s="79">
        <f>AE131</f>
        <v>0</v>
      </c>
      <c r="AF36" s="79">
        <f>AF131</f>
        <v>0</v>
      </c>
      <c r="AG36" s="79">
        <f>AG131</f>
        <v>2500</v>
      </c>
      <c r="AH36" s="79">
        <f>AJ131</f>
        <v>0</v>
      </c>
      <c r="AI36" s="79">
        <f t="shared" si="12"/>
        <v>30000</v>
      </c>
      <c r="AJ36" s="34">
        <f t="shared" si="13"/>
        <v>30000</v>
      </c>
      <c r="AL36" s="5" t="str">
        <f>AL115</f>
        <v>Facility (Term-loan)</v>
      </c>
      <c r="AM36" s="7" t="s">
        <v>510</v>
      </c>
      <c r="AN36" s="79">
        <f>AN131</f>
        <v>0</v>
      </c>
      <c r="AO36" s="79">
        <f>AO131</f>
        <v>0</v>
      </c>
      <c r="AP36" s="79">
        <f>AP131</f>
        <v>2500</v>
      </c>
      <c r="AQ36" s="79">
        <f>AS131</f>
        <v>0</v>
      </c>
      <c r="AR36" s="79">
        <f t="shared" si="14"/>
        <v>30000</v>
      </c>
      <c r="AS36" s="34">
        <f t="shared" si="15"/>
        <v>30000</v>
      </c>
      <c r="AU36" s="5" t="str">
        <f>AU115</f>
        <v>Facility (Term-loan)</v>
      </c>
      <c r="AV36" s="7" t="s">
        <v>510</v>
      </c>
      <c r="AW36" s="79">
        <f>AW131</f>
        <v>0</v>
      </c>
      <c r="AX36" s="79">
        <f>AX131</f>
        <v>0</v>
      </c>
      <c r="AY36" s="79">
        <f>AY131</f>
        <v>2500</v>
      </c>
      <c r="AZ36" s="79">
        <f>BB131</f>
        <v>0</v>
      </c>
      <c r="BA36" s="79">
        <f t="shared" si="16"/>
        <v>30000</v>
      </c>
      <c r="BB36" s="34">
        <f t="shared" si="17"/>
        <v>30000</v>
      </c>
      <c r="BD36" s="5" t="str">
        <f>BD115</f>
        <v>Facility (Term-loan)</v>
      </c>
      <c r="BE36" s="7" t="s">
        <v>510</v>
      </c>
      <c r="BF36" s="79">
        <f>BF131</f>
        <v>0</v>
      </c>
      <c r="BG36" s="79">
        <f>BG131</f>
        <v>0</v>
      </c>
      <c r="BH36" s="79">
        <f>BH131</f>
        <v>2500</v>
      </c>
      <c r="BI36" s="79">
        <f>BK131</f>
        <v>0</v>
      </c>
      <c r="BJ36" s="79">
        <f t="shared" si="18"/>
        <v>30000</v>
      </c>
      <c r="BK36" s="34">
        <f t="shared" si="19"/>
        <v>30000</v>
      </c>
    </row>
    <row r="37" spans="2:63" ht="25.5" customHeight="1">
      <c r="B37" s="5" t="str">
        <f>B133</f>
        <v>Facility (Hire Purchase / Leasing)</v>
      </c>
      <c r="C37" s="7" t="s">
        <v>510</v>
      </c>
      <c r="D37" s="79">
        <f>D149</f>
        <v>0</v>
      </c>
      <c r="E37" s="79">
        <f>E149</f>
        <v>0</v>
      </c>
      <c r="F37" s="79">
        <f>F149</f>
        <v>3000</v>
      </c>
      <c r="G37" s="79">
        <f>I149</f>
        <v>0</v>
      </c>
      <c r="H37" s="79">
        <f t="shared" si="6"/>
        <v>36000</v>
      </c>
      <c r="I37" s="34">
        <f t="shared" si="7"/>
        <v>36000</v>
      </c>
      <c r="K37" s="5" t="str">
        <f>K133</f>
        <v>Facility (Hire Purchase / Leasing)</v>
      </c>
      <c r="L37" s="7" t="s">
        <v>510</v>
      </c>
      <c r="M37" s="79">
        <f>M149</f>
        <v>0</v>
      </c>
      <c r="N37" s="79">
        <f>N149</f>
        <v>0</v>
      </c>
      <c r="O37" s="79">
        <f>O149</f>
        <v>3000</v>
      </c>
      <c r="P37" s="79">
        <f>R149</f>
        <v>0</v>
      </c>
      <c r="Q37" s="79">
        <f t="shared" si="8"/>
        <v>36000</v>
      </c>
      <c r="R37" s="34">
        <f t="shared" si="9"/>
        <v>36000</v>
      </c>
      <c r="T37" s="5" t="str">
        <f>T133</f>
        <v>Facility (Hire Purchase / Leasing)</v>
      </c>
      <c r="U37" s="7" t="s">
        <v>510</v>
      </c>
      <c r="V37" s="79">
        <f>V149</f>
        <v>0</v>
      </c>
      <c r="W37" s="79">
        <f>W149</f>
        <v>0</v>
      </c>
      <c r="X37" s="79">
        <f>X149</f>
        <v>3000</v>
      </c>
      <c r="Y37" s="79">
        <f>AA149</f>
        <v>0</v>
      </c>
      <c r="Z37" s="79">
        <f t="shared" si="10"/>
        <v>36000</v>
      </c>
      <c r="AA37" s="34">
        <f t="shared" si="11"/>
        <v>36000</v>
      </c>
      <c r="AC37" s="5" t="str">
        <f>AC133</f>
        <v>Facility (Hire Purchase / Leasing)</v>
      </c>
      <c r="AD37" s="7" t="s">
        <v>510</v>
      </c>
      <c r="AE37" s="79">
        <f>AE149</f>
        <v>0</v>
      </c>
      <c r="AF37" s="79">
        <f>AF149</f>
        <v>0</v>
      </c>
      <c r="AG37" s="79">
        <f>AG149</f>
        <v>3000</v>
      </c>
      <c r="AH37" s="79">
        <f>AJ149</f>
        <v>0</v>
      </c>
      <c r="AI37" s="79">
        <f t="shared" si="12"/>
        <v>36000</v>
      </c>
      <c r="AJ37" s="34">
        <f t="shared" si="13"/>
        <v>36000</v>
      </c>
      <c r="AL37" s="5" t="str">
        <f>AL133</f>
        <v>Facility (Hire Purchase / Leasing)</v>
      </c>
      <c r="AM37" s="7" t="s">
        <v>510</v>
      </c>
      <c r="AN37" s="79">
        <f>AN149</f>
        <v>0</v>
      </c>
      <c r="AO37" s="79">
        <f>AO149</f>
        <v>0</v>
      </c>
      <c r="AP37" s="79">
        <f>AP149</f>
        <v>3000</v>
      </c>
      <c r="AQ37" s="79">
        <f>AS149</f>
        <v>0</v>
      </c>
      <c r="AR37" s="79">
        <f t="shared" si="14"/>
        <v>36000</v>
      </c>
      <c r="AS37" s="34">
        <f t="shared" si="15"/>
        <v>36000</v>
      </c>
      <c r="AU37" s="5" t="str">
        <f>AU133</f>
        <v>Facility (Hire Purchase / Leasing)</v>
      </c>
      <c r="AV37" s="7" t="s">
        <v>510</v>
      </c>
      <c r="AW37" s="79">
        <f>AW149</f>
        <v>0</v>
      </c>
      <c r="AX37" s="79">
        <f>AX149</f>
        <v>0</v>
      </c>
      <c r="AY37" s="79">
        <f>AY149</f>
        <v>3000</v>
      </c>
      <c r="AZ37" s="79">
        <f>BB149</f>
        <v>0</v>
      </c>
      <c r="BA37" s="79">
        <f t="shared" si="16"/>
        <v>36000</v>
      </c>
      <c r="BB37" s="34">
        <f t="shared" si="17"/>
        <v>36000</v>
      </c>
      <c r="BD37" s="5" t="str">
        <f>BD133</f>
        <v>Facility (Hire Purchase / Leasing)</v>
      </c>
      <c r="BE37" s="7" t="s">
        <v>510</v>
      </c>
      <c r="BF37" s="79">
        <f>BF149</f>
        <v>0</v>
      </c>
      <c r="BG37" s="79">
        <f>BG149</f>
        <v>0</v>
      </c>
      <c r="BH37" s="79">
        <f>BH149</f>
        <v>3000</v>
      </c>
      <c r="BI37" s="79">
        <f>BK149</f>
        <v>0</v>
      </c>
      <c r="BJ37" s="79">
        <f t="shared" si="18"/>
        <v>36000</v>
      </c>
      <c r="BK37" s="34">
        <f t="shared" si="19"/>
        <v>36000</v>
      </c>
    </row>
    <row r="38" spans="2:63" ht="25.5" customHeight="1">
      <c r="B38" s="5" t="str">
        <f>B151</f>
        <v>Facility (Credit Card)</v>
      </c>
      <c r="C38" s="7" t="s">
        <v>372</v>
      </c>
      <c r="D38" s="79">
        <f>D167</f>
        <v>0</v>
      </c>
      <c r="E38" s="79">
        <f>E167</f>
        <v>100000</v>
      </c>
      <c r="F38" s="79">
        <f>F167</f>
        <v>0</v>
      </c>
      <c r="G38" s="79">
        <f>I167</f>
        <v>5000</v>
      </c>
      <c r="H38" s="79">
        <f t="shared" si="6"/>
        <v>0</v>
      </c>
      <c r="I38" s="34">
        <f t="shared" si="7"/>
        <v>5000</v>
      </c>
      <c r="K38" s="5" t="str">
        <f>K151</f>
        <v>Facility (Credit Card)</v>
      </c>
      <c r="L38" s="7" t="s">
        <v>372</v>
      </c>
      <c r="M38" s="79">
        <f>M167</f>
        <v>0</v>
      </c>
      <c r="N38" s="79">
        <f>N167</f>
        <v>100000</v>
      </c>
      <c r="O38" s="79">
        <f>O167</f>
        <v>0</v>
      </c>
      <c r="P38" s="79">
        <f>R167</f>
        <v>5000</v>
      </c>
      <c r="Q38" s="79">
        <f t="shared" si="8"/>
        <v>0</v>
      </c>
      <c r="R38" s="34">
        <f t="shared" si="9"/>
        <v>5000</v>
      </c>
      <c r="T38" s="5" t="str">
        <f>T151</f>
        <v>Facility (Credit Card)</v>
      </c>
      <c r="U38" s="7" t="s">
        <v>372</v>
      </c>
      <c r="V38" s="79">
        <f>V167</f>
        <v>0</v>
      </c>
      <c r="W38" s="79">
        <f>W167</f>
        <v>100000</v>
      </c>
      <c r="X38" s="79">
        <f>X167</f>
        <v>0</v>
      </c>
      <c r="Y38" s="79">
        <f>AA167</f>
        <v>5000</v>
      </c>
      <c r="Z38" s="79">
        <f t="shared" si="10"/>
        <v>0</v>
      </c>
      <c r="AA38" s="34">
        <f t="shared" si="11"/>
        <v>5000</v>
      </c>
      <c r="AC38" s="5" t="str">
        <f>AC151</f>
        <v>Facility (Credit Card)</v>
      </c>
      <c r="AD38" s="7" t="s">
        <v>372</v>
      </c>
      <c r="AE38" s="79">
        <f>AE167</f>
        <v>0</v>
      </c>
      <c r="AF38" s="79">
        <f>AF167</f>
        <v>100000</v>
      </c>
      <c r="AG38" s="79">
        <f>AG167</f>
        <v>0</v>
      </c>
      <c r="AH38" s="79">
        <f>AJ167</f>
        <v>5000</v>
      </c>
      <c r="AI38" s="79">
        <f t="shared" si="12"/>
        <v>0</v>
      </c>
      <c r="AJ38" s="34">
        <f t="shared" si="13"/>
        <v>5000</v>
      </c>
      <c r="AL38" s="5" t="str">
        <f>AL151</f>
        <v>Facility (Credit Card)</v>
      </c>
      <c r="AM38" s="7" t="s">
        <v>372</v>
      </c>
      <c r="AN38" s="79">
        <f>AN167</f>
        <v>0</v>
      </c>
      <c r="AO38" s="79">
        <f>AO167</f>
        <v>100000</v>
      </c>
      <c r="AP38" s="79">
        <f>AP167</f>
        <v>0</v>
      </c>
      <c r="AQ38" s="79">
        <f>AS167</f>
        <v>5000</v>
      </c>
      <c r="AR38" s="79">
        <f t="shared" si="14"/>
        <v>0</v>
      </c>
      <c r="AS38" s="34">
        <f t="shared" si="15"/>
        <v>5000</v>
      </c>
      <c r="AU38" s="5" t="str">
        <f>AU151</f>
        <v>Facility (Credit Card)</v>
      </c>
      <c r="AV38" s="7" t="s">
        <v>372</v>
      </c>
      <c r="AW38" s="79">
        <f>AW167</f>
        <v>0</v>
      </c>
      <c r="AX38" s="79">
        <f>AX167</f>
        <v>100000</v>
      </c>
      <c r="AY38" s="79">
        <f>AY167</f>
        <v>0</v>
      </c>
      <c r="AZ38" s="79">
        <f>BB167</f>
        <v>5000</v>
      </c>
      <c r="BA38" s="79">
        <f t="shared" si="16"/>
        <v>0</v>
      </c>
      <c r="BB38" s="34">
        <f t="shared" si="17"/>
        <v>5000</v>
      </c>
      <c r="BD38" s="5" t="str">
        <f>BD151</f>
        <v>Facility (Credit Card)</v>
      </c>
      <c r="BE38" s="7" t="s">
        <v>372</v>
      </c>
      <c r="BF38" s="79">
        <f>BF167</f>
        <v>0</v>
      </c>
      <c r="BG38" s="79">
        <f>BG167</f>
        <v>100000</v>
      </c>
      <c r="BH38" s="79">
        <f>BH167</f>
        <v>0</v>
      </c>
      <c r="BI38" s="79">
        <f>BK167</f>
        <v>5000</v>
      </c>
      <c r="BJ38" s="79">
        <f t="shared" si="18"/>
        <v>0</v>
      </c>
      <c r="BK38" s="34">
        <f t="shared" si="19"/>
        <v>5000</v>
      </c>
    </row>
    <row r="39" spans="2:63" ht="25.5" customHeight="1">
      <c r="B39" s="5" t="s">
        <v>512</v>
      </c>
      <c r="C39" s="7" t="s">
        <v>511</v>
      </c>
      <c r="D39" s="79">
        <f>D185</f>
        <v>0</v>
      </c>
      <c r="E39" s="79">
        <f t="shared" ref="E39:F39" si="20">E185</f>
        <v>0</v>
      </c>
      <c r="F39" s="79">
        <f t="shared" si="20"/>
        <v>1500</v>
      </c>
      <c r="G39" s="79">
        <f>I185</f>
        <v>0</v>
      </c>
      <c r="H39" s="79">
        <f t="shared" si="6"/>
        <v>18000</v>
      </c>
      <c r="I39" s="34">
        <f t="shared" si="7"/>
        <v>18000</v>
      </c>
      <c r="K39" s="5" t="s">
        <v>512</v>
      </c>
      <c r="L39" s="7" t="s">
        <v>511</v>
      </c>
      <c r="M39" s="79">
        <f>M185</f>
        <v>0</v>
      </c>
      <c r="N39" s="79">
        <f t="shared" ref="N39:O39" si="21">N185</f>
        <v>0</v>
      </c>
      <c r="O39" s="79">
        <f t="shared" si="21"/>
        <v>1500</v>
      </c>
      <c r="P39" s="79">
        <f>R185</f>
        <v>0</v>
      </c>
      <c r="Q39" s="79">
        <f t="shared" si="8"/>
        <v>18000</v>
      </c>
      <c r="R39" s="34">
        <f t="shared" si="9"/>
        <v>18000</v>
      </c>
      <c r="T39" s="5" t="s">
        <v>512</v>
      </c>
      <c r="U39" s="7" t="s">
        <v>511</v>
      </c>
      <c r="V39" s="79">
        <f>V185</f>
        <v>0</v>
      </c>
      <c r="W39" s="79">
        <f t="shared" ref="W39:X39" si="22">W185</f>
        <v>0</v>
      </c>
      <c r="X39" s="79">
        <f t="shared" si="22"/>
        <v>1500</v>
      </c>
      <c r="Y39" s="79">
        <f>AA185</f>
        <v>0</v>
      </c>
      <c r="Z39" s="79">
        <f t="shared" si="10"/>
        <v>18000</v>
      </c>
      <c r="AA39" s="34">
        <f t="shared" si="11"/>
        <v>18000</v>
      </c>
      <c r="AC39" s="5" t="s">
        <v>512</v>
      </c>
      <c r="AD39" s="7" t="s">
        <v>511</v>
      </c>
      <c r="AE39" s="79">
        <f>AE185</f>
        <v>0</v>
      </c>
      <c r="AF39" s="79">
        <f t="shared" ref="AF39:AG39" si="23">AF185</f>
        <v>0</v>
      </c>
      <c r="AG39" s="79">
        <f t="shared" si="23"/>
        <v>1500</v>
      </c>
      <c r="AH39" s="79">
        <f>AJ185</f>
        <v>0</v>
      </c>
      <c r="AI39" s="79">
        <f t="shared" si="12"/>
        <v>18000</v>
      </c>
      <c r="AJ39" s="34">
        <f t="shared" si="13"/>
        <v>18000</v>
      </c>
      <c r="AL39" s="5" t="s">
        <v>512</v>
      </c>
      <c r="AM39" s="7" t="s">
        <v>511</v>
      </c>
      <c r="AN39" s="79">
        <f>AN185</f>
        <v>0</v>
      </c>
      <c r="AO39" s="79">
        <f t="shared" ref="AO39:AP39" si="24">AO185</f>
        <v>0</v>
      </c>
      <c r="AP39" s="79">
        <f t="shared" si="24"/>
        <v>1500</v>
      </c>
      <c r="AQ39" s="79">
        <f>AS185</f>
        <v>0</v>
      </c>
      <c r="AR39" s="79">
        <f t="shared" si="14"/>
        <v>18000</v>
      </c>
      <c r="AS39" s="34">
        <f t="shared" si="15"/>
        <v>18000</v>
      </c>
      <c r="AU39" s="5" t="s">
        <v>512</v>
      </c>
      <c r="AV39" s="7" t="s">
        <v>511</v>
      </c>
      <c r="AW39" s="79">
        <f>AW185</f>
        <v>0</v>
      </c>
      <c r="AX39" s="79">
        <f t="shared" ref="AX39:AY39" si="25">AX185</f>
        <v>0</v>
      </c>
      <c r="AY39" s="79">
        <f t="shared" si="25"/>
        <v>1500</v>
      </c>
      <c r="AZ39" s="79">
        <f>BB185</f>
        <v>0</v>
      </c>
      <c r="BA39" s="79">
        <f t="shared" si="16"/>
        <v>18000</v>
      </c>
      <c r="BB39" s="34">
        <f t="shared" si="17"/>
        <v>18000</v>
      </c>
      <c r="BD39" s="5" t="s">
        <v>512</v>
      </c>
      <c r="BE39" s="7" t="s">
        <v>511</v>
      </c>
      <c r="BF39" s="79">
        <f>BF185</f>
        <v>0</v>
      </c>
      <c r="BG39" s="79">
        <f t="shared" ref="BG39:BH39" si="26">BG185</f>
        <v>0</v>
      </c>
      <c r="BH39" s="79">
        <f t="shared" si="26"/>
        <v>1500</v>
      </c>
      <c r="BI39" s="79">
        <f>BK185</f>
        <v>0</v>
      </c>
      <c r="BJ39" s="79">
        <f t="shared" si="18"/>
        <v>18000</v>
      </c>
      <c r="BK39" s="34">
        <f t="shared" si="19"/>
        <v>18000</v>
      </c>
    </row>
    <row r="40" spans="2:63" ht="25.5" customHeight="1">
      <c r="B40" s="5" t="s">
        <v>512</v>
      </c>
      <c r="C40" s="7" t="s">
        <v>368</v>
      </c>
      <c r="D40" s="79">
        <f>D203</f>
        <v>100000</v>
      </c>
      <c r="E40" s="79">
        <f t="shared" ref="E40:F40" si="27">E203</f>
        <v>50000</v>
      </c>
      <c r="F40" s="79">
        <f t="shared" si="27"/>
        <v>0</v>
      </c>
      <c r="G40" s="79">
        <f>I203</f>
        <v>6560</v>
      </c>
      <c r="H40" s="79">
        <f t="shared" si="6"/>
        <v>0</v>
      </c>
      <c r="I40" s="34">
        <f t="shared" si="7"/>
        <v>6560</v>
      </c>
      <c r="K40" s="5" t="s">
        <v>512</v>
      </c>
      <c r="L40" s="7" t="s">
        <v>368</v>
      </c>
      <c r="M40" s="79">
        <f>M203</f>
        <v>100000</v>
      </c>
      <c r="N40" s="79">
        <f t="shared" ref="N40:O40" si="28">N203</f>
        <v>50000</v>
      </c>
      <c r="O40" s="79">
        <f t="shared" si="28"/>
        <v>0</v>
      </c>
      <c r="P40" s="79">
        <f>R203</f>
        <v>6560</v>
      </c>
      <c r="Q40" s="79">
        <f t="shared" si="8"/>
        <v>0</v>
      </c>
      <c r="R40" s="34">
        <f t="shared" si="9"/>
        <v>6560</v>
      </c>
      <c r="T40" s="5" t="s">
        <v>512</v>
      </c>
      <c r="U40" s="7" t="s">
        <v>368</v>
      </c>
      <c r="V40" s="79">
        <f>V203</f>
        <v>100000</v>
      </c>
      <c r="W40" s="79">
        <f t="shared" ref="W40:X40" si="29">W203</f>
        <v>50000</v>
      </c>
      <c r="X40" s="79">
        <f t="shared" si="29"/>
        <v>0</v>
      </c>
      <c r="Y40" s="79">
        <f>AA203</f>
        <v>6560</v>
      </c>
      <c r="Z40" s="79">
        <f t="shared" si="10"/>
        <v>0</v>
      </c>
      <c r="AA40" s="34">
        <f t="shared" si="11"/>
        <v>6560</v>
      </c>
      <c r="AC40" s="5" t="s">
        <v>512</v>
      </c>
      <c r="AD40" s="7" t="s">
        <v>368</v>
      </c>
      <c r="AE40" s="79">
        <f>AE203</f>
        <v>100000</v>
      </c>
      <c r="AF40" s="79">
        <f t="shared" ref="AF40:AG40" si="30">AF203</f>
        <v>50000</v>
      </c>
      <c r="AG40" s="79">
        <f t="shared" si="30"/>
        <v>0</v>
      </c>
      <c r="AH40" s="79">
        <f>AJ203</f>
        <v>6560</v>
      </c>
      <c r="AI40" s="79">
        <f t="shared" si="12"/>
        <v>0</v>
      </c>
      <c r="AJ40" s="34">
        <f t="shared" si="13"/>
        <v>6560</v>
      </c>
      <c r="AL40" s="5" t="s">
        <v>512</v>
      </c>
      <c r="AM40" s="7" t="s">
        <v>368</v>
      </c>
      <c r="AN40" s="79">
        <f>AN203</f>
        <v>100000</v>
      </c>
      <c r="AO40" s="79">
        <f t="shared" ref="AO40:AP40" si="31">AO203</f>
        <v>50000</v>
      </c>
      <c r="AP40" s="79">
        <f t="shared" si="31"/>
        <v>0</v>
      </c>
      <c r="AQ40" s="79">
        <f>AS203</f>
        <v>6560</v>
      </c>
      <c r="AR40" s="79">
        <f t="shared" si="14"/>
        <v>0</v>
      </c>
      <c r="AS40" s="34">
        <f t="shared" si="15"/>
        <v>6560</v>
      </c>
      <c r="AU40" s="5" t="s">
        <v>512</v>
      </c>
      <c r="AV40" s="7" t="s">
        <v>368</v>
      </c>
      <c r="AW40" s="79">
        <f>AW203</f>
        <v>100000</v>
      </c>
      <c r="AX40" s="79">
        <f t="shared" ref="AX40:AY40" si="32">AX203</f>
        <v>50000</v>
      </c>
      <c r="AY40" s="79">
        <f t="shared" si="32"/>
        <v>0</v>
      </c>
      <c r="AZ40" s="79">
        <f>BB203</f>
        <v>6560</v>
      </c>
      <c r="BA40" s="79">
        <f t="shared" si="16"/>
        <v>0</v>
      </c>
      <c r="BB40" s="34">
        <f t="shared" si="17"/>
        <v>6560</v>
      </c>
      <c r="BD40" s="5" t="s">
        <v>512</v>
      </c>
      <c r="BE40" s="7" t="s">
        <v>368</v>
      </c>
      <c r="BF40" s="79">
        <f>BF203</f>
        <v>100000</v>
      </c>
      <c r="BG40" s="79">
        <f t="shared" ref="BG40:BH40" si="33">BG203</f>
        <v>50000</v>
      </c>
      <c r="BH40" s="79">
        <f t="shared" si="33"/>
        <v>0</v>
      </c>
      <c r="BI40" s="79">
        <f>BK203</f>
        <v>6560</v>
      </c>
      <c r="BJ40" s="79">
        <f t="shared" si="18"/>
        <v>0</v>
      </c>
      <c r="BK40" s="34">
        <f t="shared" si="19"/>
        <v>6560</v>
      </c>
    </row>
    <row r="41" spans="2:63" ht="25.5" customHeight="1">
      <c r="B41" s="39" t="s">
        <v>513</v>
      </c>
      <c r="C41" s="33"/>
      <c r="D41" s="35">
        <f>SUM(D32:D40)</f>
        <v>1950000</v>
      </c>
      <c r="E41" s="35">
        <f t="shared" ref="E41:I41" si="34">SUM(E32:E40)</f>
        <v>1100000</v>
      </c>
      <c r="F41" s="35">
        <f t="shared" si="34"/>
        <v>14500</v>
      </c>
      <c r="G41" s="35">
        <f t="shared" si="34"/>
        <v>79520</v>
      </c>
      <c r="H41" s="35">
        <f t="shared" si="34"/>
        <v>174000</v>
      </c>
      <c r="I41" s="35">
        <f t="shared" si="34"/>
        <v>253520</v>
      </c>
      <c r="K41" s="39" t="s">
        <v>513</v>
      </c>
      <c r="L41" s="33"/>
      <c r="M41" s="35">
        <f>SUM(M32:M40)</f>
        <v>1950000</v>
      </c>
      <c r="N41" s="35">
        <f t="shared" ref="N41:R41" si="35">SUM(N32:N40)</f>
        <v>1100000</v>
      </c>
      <c r="O41" s="35">
        <f t="shared" si="35"/>
        <v>14500</v>
      </c>
      <c r="P41" s="35">
        <f t="shared" si="35"/>
        <v>79520</v>
      </c>
      <c r="Q41" s="35">
        <f t="shared" si="35"/>
        <v>174000</v>
      </c>
      <c r="R41" s="35">
        <f t="shared" si="35"/>
        <v>253520</v>
      </c>
      <c r="T41" s="39" t="s">
        <v>513</v>
      </c>
      <c r="U41" s="33"/>
      <c r="V41" s="35">
        <f>SUM(V32:V40)</f>
        <v>1950000</v>
      </c>
      <c r="W41" s="35">
        <f t="shared" ref="W41:AA41" si="36">SUM(W32:W40)</f>
        <v>1100000</v>
      </c>
      <c r="X41" s="35">
        <f t="shared" si="36"/>
        <v>14500</v>
      </c>
      <c r="Y41" s="35">
        <f t="shared" si="36"/>
        <v>79520</v>
      </c>
      <c r="Z41" s="35">
        <f t="shared" si="36"/>
        <v>174000</v>
      </c>
      <c r="AA41" s="35">
        <f t="shared" si="36"/>
        <v>253520</v>
      </c>
      <c r="AC41" s="39" t="s">
        <v>513</v>
      </c>
      <c r="AD41" s="33"/>
      <c r="AE41" s="35">
        <f>SUM(AE32:AE40)</f>
        <v>1950000</v>
      </c>
      <c r="AF41" s="35">
        <f t="shared" ref="AF41:AJ41" si="37">SUM(AF32:AF40)</f>
        <v>1100000</v>
      </c>
      <c r="AG41" s="35">
        <f t="shared" si="37"/>
        <v>14500</v>
      </c>
      <c r="AH41" s="35">
        <f t="shared" si="37"/>
        <v>79520</v>
      </c>
      <c r="AI41" s="35">
        <f t="shared" si="37"/>
        <v>174000</v>
      </c>
      <c r="AJ41" s="35">
        <f t="shared" si="37"/>
        <v>253520</v>
      </c>
      <c r="AL41" s="39" t="s">
        <v>513</v>
      </c>
      <c r="AM41" s="33"/>
      <c r="AN41" s="35">
        <f>SUM(AN32:AN40)</f>
        <v>1950000</v>
      </c>
      <c r="AO41" s="35">
        <f t="shared" ref="AO41:AS41" si="38">SUM(AO32:AO40)</f>
        <v>1100000</v>
      </c>
      <c r="AP41" s="35">
        <f t="shared" si="38"/>
        <v>14500</v>
      </c>
      <c r="AQ41" s="35">
        <f t="shared" si="38"/>
        <v>79520</v>
      </c>
      <c r="AR41" s="35">
        <f t="shared" si="38"/>
        <v>174000</v>
      </c>
      <c r="AS41" s="35">
        <f t="shared" si="38"/>
        <v>253520</v>
      </c>
      <c r="AU41" s="39" t="s">
        <v>513</v>
      </c>
      <c r="AV41" s="33"/>
      <c r="AW41" s="35">
        <f>SUM(AW32:AW40)</f>
        <v>1950000</v>
      </c>
      <c r="AX41" s="35">
        <f t="shared" ref="AX41:BB41" si="39">SUM(AX32:AX40)</f>
        <v>1100000</v>
      </c>
      <c r="AY41" s="35">
        <f t="shared" si="39"/>
        <v>14500</v>
      </c>
      <c r="AZ41" s="35">
        <f t="shared" si="39"/>
        <v>79520</v>
      </c>
      <c r="BA41" s="35">
        <f t="shared" si="39"/>
        <v>174000</v>
      </c>
      <c r="BB41" s="35">
        <f t="shared" si="39"/>
        <v>253520</v>
      </c>
      <c r="BD41" s="39" t="s">
        <v>513</v>
      </c>
      <c r="BE41" s="33"/>
      <c r="BF41" s="35">
        <f>SUM(BF32:BF40)</f>
        <v>1950000</v>
      </c>
      <c r="BG41" s="35">
        <f t="shared" ref="BG41:BK41" si="40">SUM(BG32:BG40)</f>
        <v>1100000</v>
      </c>
      <c r="BH41" s="35">
        <f t="shared" si="40"/>
        <v>14500</v>
      </c>
      <c r="BI41" s="35">
        <f t="shared" si="40"/>
        <v>79520</v>
      </c>
      <c r="BJ41" s="35">
        <f t="shared" si="40"/>
        <v>174000</v>
      </c>
      <c r="BK41" s="35">
        <f t="shared" si="40"/>
        <v>253520</v>
      </c>
    </row>
    <row r="43" spans="2:63" s="20" customFormat="1" ht="41.4">
      <c r="B43" s="27" t="s">
        <v>9</v>
      </c>
      <c r="C43" s="3" t="s">
        <v>149</v>
      </c>
      <c r="D43" s="3" t="s">
        <v>444</v>
      </c>
      <c r="E43" s="3" t="s">
        <v>445</v>
      </c>
      <c r="F43" s="3" t="s">
        <v>446</v>
      </c>
      <c r="G43" s="3" t="s">
        <v>447</v>
      </c>
      <c r="H43" s="3" t="s">
        <v>448</v>
      </c>
      <c r="I43" s="3" t="s">
        <v>449</v>
      </c>
      <c r="K43" s="27" t="s">
        <v>9</v>
      </c>
      <c r="L43" s="3" t="s">
        <v>149</v>
      </c>
      <c r="M43" s="3" t="s">
        <v>444</v>
      </c>
      <c r="N43" s="3" t="s">
        <v>445</v>
      </c>
      <c r="O43" s="3" t="s">
        <v>446</v>
      </c>
      <c r="P43" s="3" t="s">
        <v>447</v>
      </c>
      <c r="Q43" s="3" t="s">
        <v>448</v>
      </c>
      <c r="R43" s="3" t="s">
        <v>449</v>
      </c>
      <c r="T43" s="27" t="s">
        <v>9</v>
      </c>
      <c r="U43" s="3" t="s">
        <v>149</v>
      </c>
      <c r="V43" s="3" t="s">
        <v>444</v>
      </c>
      <c r="W43" s="3" t="s">
        <v>445</v>
      </c>
      <c r="X43" s="3" t="s">
        <v>446</v>
      </c>
      <c r="Y43" s="3" t="s">
        <v>447</v>
      </c>
      <c r="Z43" s="3" t="s">
        <v>448</v>
      </c>
      <c r="AA43" s="3" t="s">
        <v>449</v>
      </c>
      <c r="AC43" s="27" t="s">
        <v>9</v>
      </c>
      <c r="AD43" s="3" t="s">
        <v>149</v>
      </c>
      <c r="AE43" s="3" t="s">
        <v>444</v>
      </c>
      <c r="AF43" s="3" t="s">
        <v>445</v>
      </c>
      <c r="AG43" s="3" t="s">
        <v>446</v>
      </c>
      <c r="AH43" s="3" t="s">
        <v>447</v>
      </c>
      <c r="AI43" s="3" t="s">
        <v>448</v>
      </c>
      <c r="AJ43" s="3" t="s">
        <v>449</v>
      </c>
      <c r="AL43" s="27" t="s">
        <v>9</v>
      </c>
      <c r="AM43" s="3" t="s">
        <v>149</v>
      </c>
      <c r="AN43" s="3" t="s">
        <v>444</v>
      </c>
      <c r="AO43" s="3" t="s">
        <v>445</v>
      </c>
      <c r="AP43" s="3" t="s">
        <v>446</v>
      </c>
      <c r="AQ43" s="3" t="s">
        <v>447</v>
      </c>
      <c r="AR43" s="3" t="s">
        <v>448</v>
      </c>
      <c r="AS43" s="3" t="s">
        <v>449</v>
      </c>
      <c r="AU43" s="27" t="s">
        <v>9</v>
      </c>
      <c r="AV43" s="3" t="s">
        <v>149</v>
      </c>
      <c r="AW43" s="3" t="s">
        <v>444</v>
      </c>
      <c r="AX43" s="3" t="s">
        <v>445</v>
      </c>
      <c r="AY43" s="3" t="s">
        <v>446</v>
      </c>
      <c r="AZ43" s="3" t="s">
        <v>447</v>
      </c>
      <c r="BA43" s="3" t="s">
        <v>448</v>
      </c>
      <c r="BB43" s="3" t="s">
        <v>449</v>
      </c>
      <c r="BD43" s="27" t="s">
        <v>9</v>
      </c>
      <c r="BE43" s="3" t="s">
        <v>149</v>
      </c>
      <c r="BF43" s="3" t="s">
        <v>444</v>
      </c>
      <c r="BG43" s="3" t="s">
        <v>445</v>
      </c>
      <c r="BH43" s="3" t="s">
        <v>446</v>
      </c>
      <c r="BI43" s="3" t="s">
        <v>447</v>
      </c>
      <c r="BJ43" s="3" t="s">
        <v>448</v>
      </c>
      <c r="BK43" s="3" t="s">
        <v>449</v>
      </c>
    </row>
    <row r="44" spans="2:63">
      <c r="B44" s="41" t="s">
        <v>514</v>
      </c>
      <c r="C44" s="41" t="s">
        <v>355</v>
      </c>
      <c r="D44" s="40">
        <v>750000</v>
      </c>
      <c r="E44" s="40">
        <v>500000</v>
      </c>
      <c r="F44" s="29"/>
      <c r="G44" s="22">
        <v>0.08</v>
      </c>
      <c r="H44" s="23">
        <v>0.75</v>
      </c>
      <c r="I44" s="75">
        <f>D44*G44*H44</f>
        <v>45000</v>
      </c>
      <c r="K44" s="41" t="s">
        <v>514</v>
      </c>
      <c r="L44" s="41" t="s">
        <v>355</v>
      </c>
      <c r="M44" s="40">
        <v>750000</v>
      </c>
      <c r="N44" s="40">
        <v>500000</v>
      </c>
      <c r="O44" s="29"/>
      <c r="P44" s="22">
        <v>0.08</v>
      </c>
      <c r="Q44" s="23">
        <v>0.75</v>
      </c>
      <c r="R44" s="6">
        <f>M44*P44*Q44</f>
        <v>45000</v>
      </c>
      <c r="T44" s="41" t="s">
        <v>514</v>
      </c>
      <c r="U44" s="41" t="s">
        <v>355</v>
      </c>
      <c r="V44" s="40">
        <v>750000</v>
      </c>
      <c r="W44" s="40">
        <v>500000</v>
      </c>
      <c r="X44" s="29"/>
      <c r="Y44" s="22">
        <v>0.08</v>
      </c>
      <c r="Z44" s="23">
        <v>0.75</v>
      </c>
      <c r="AA44" s="6">
        <f>V44*Y44*Z44</f>
        <v>45000</v>
      </c>
      <c r="AC44" s="41" t="s">
        <v>514</v>
      </c>
      <c r="AD44" s="41" t="s">
        <v>355</v>
      </c>
      <c r="AE44" s="40">
        <v>750000</v>
      </c>
      <c r="AF44" s="40">
        <v>500000</v>
      </c>
      <c r="AG44" s="29"/>
      <c r="AH44" s="22">
        <v>0.08</v>
      </c>
      <c r="AI44" s="23">
        <v>0.75</v>
      </c>
      <c r="AJ44" s="6">
        <f>AE44*AH44*AI44</f>
        <v>45000</v>
      </c>
      <c r="AL44" s="41" t="s">
        <v>514</v>
      </c>
      <c r="AM44" s="41" t="s">
        <v>355</v>
      </c>
      <c r="AN44" s="40">
        <v>750000</v>
      </c>
      <c r="AO44" s="40">
        <v>500000</v>
      </c>
      <c r="AP44" s="29"/>
      <c r="AQ44" s="22">
        <v>0.08</v>
      </c>
      <c r="AR44" s="23">
        <v>0.75</v>
      </c>
      <c r="AS44" s="6">
        <f>AN44*AQ44*AR44</f>
        <v>45000</v>
      </c>
      <c r="AU44" s="41" t="s">
        <v>514</v>
      </c>
      <c r="AV44" s="41" t="s">
        <v>355</v>
      </c>
      <c r="AW44" s="40">
        <v>750000</v>
      </c>
      <c r="AX44" s="40">
        <v>500000</v>
      </c>
      <c r="AY44" s="29"/>
      <c r="AZ44" s="22">
        <v>0.08</v>
      </c>
      <c r="BA44" s="23">
        <v>0.75</v>
      </c>
      <c r="BB44" s="6">
        <f>AW44*AZ44*BA44</f>
        <v>45000</v>
      </c>
      <c r="BD44" s="41" t="s">
        <v>514</v>
      </c>
      <c r="BE44" s="41" t="s">
        <v>355</v>
      </c>
      <c r="BF44" s="40">
        <v>750000</v>
      </c>
      <c r="BG44" s="40">
        <v>500000</v>
      </c>
      <c r="BH44" s="29"/>
      <c r="BI44" s="22">
        <v>0.08</v>
      </c>
      <c r="BJ44" s="23">
        <v>0.75</v>
      </c>
      <c r="BK44" s="6">
        <f>BF44*BI44*BJ44</f>
        <v>45000</v>
      </c>
    </row>
    <row r="45" spans="2:63">
      <c r="B45" s="41" t="s">
        <v>514</v>
      </c>
      <c r="C45" s="41" t="s">
        <v>355</v>
      </c>
      <c r="D45" s="40"/>
      <c r="E45" s="40"/>
      <c r="F45" s="29"/>
      <c r="G45" s="22"/>
      <c r="H45" s="23">
        <v>0.75</v>
      </c>
      <c r="I45" s="75">
        <f t="shared" ref="I45:I58" si="41">D45*G45*H45</f>
        <v>0</v>
      </c>
      <c r="K45" s="41" t="s">
        <v>514</v>
      </c>
      <c r="L45" s="41" t="s">
        <v>355</v>
      </c>
      <c r="M45" s="40"/>
      <c r="N45" s="40"/>
      <c r="O45" s="29"/>
      <c r="P45" s="22"/>
      <c r="Q45" s="23">
        <v>0.75</v>
      </c>
      <c r="R45" s="6">
        <f t="shared" ref="R45:R58" si="42">M45*P45*Q45</f>
        <v>0</v>
      </c>
      <c r="T45" s="41" t="s">
        <v>514</v>
      </c>
      <c r="U45" s="41" t="s">
        <v>355</v>
      </c>
      <c r="V45" s="40"/>
      <c r="W45" s="40"/>
      <c r="X45" s="29"/>
      <c r="Y45" s="22"/>
      <c r="Z45" s="23">
        <v>0.75</v>
      </c>
      <c r="AA45" s="6">
        <f t="shared" ref="AA45:AA58" si="43">V45*Y45*Z45</f>
        <v>0</v>
      </c>
      <c r="AC45" s="41" t="s">
        <v>514</v>
      </c>
      <c r="AD45" s="41" t="s">
        <v>355</v>
      </c>
      <c r="AE45" s="40"/>
      <c r="AF45" s="40"/>
      <c r="AG45" s="29"/>
      <c r="AH45" s="22"/>
      <c r="AI45" s="23">
        <v>0.75</v>
      </c>
      <c r="AJ45" s="6">
        <f t="shared" ref="AJ45:AJ58" si="44">AE45*AH45*AI45</f>
        <v>0</v>
      </c>
      <c r="AL45" s="41" t="s">
        <v>514</v>
      </c>
      <c r="AM45" s="41" t="s">
        <v>355</v>
      </c>
      <c r="AN45" s="40"/>
      <c r="AO45" s="40"/>
      <c r="AP45" s="29"/>
      <c r="AQ45" s="22"/>
      <c r="AR45" s="23">
        <v>0.75</v>
      </c>
      <c r="AS45" s="6">
        <f t="shared" ref="AS45:AS58" si="45">AN45*AQ45*AR45</f>
        <v>0</v>
      </c>
      <c r="AU45" s="41" t="s">
        <v>514</v>
      </c>
      <c r="AV45" s="41" t="s">
        <v>355</v>
      </c>
      <c r="AW45" s="40"/>
      <c r="AX45" s="40"/>
      <c r="AY45" s="29"/>
      <c r="AZ45" s="22"/>
      <c r="BA45" s="23">
        <v>0.75</v>
      </c>
      <c r="BB45" s="6">
        <f t="shared" ref="BB45:BB58" si="46">AW45*AZ45*BA45</f>
        <v>0</v>
      </c>
      <c r="BD45" s="41" t="s">
        <v>514</v>
      </c>
      <c r="BE45" s="41" t="s">
        <v>355</v>
      </c>
      <c r="BF45" s="40"/>
      <c r="BG45" s="40"/>
      <c r="BH45" s="29"/>
      <c r="BI45" s="22"/>
      <c r="BJ45" s="23">
        <v>0.75</v>
      </c>
      <c r="BK45" s="6">
        <f t="shared" ref="BK45:BK58" si="47">BF45*BI45*BJ45</f>
        <v>0</v>
      </c>
    </row>
    <row r="46" spans="2:63">
      <c r="B46" s="41" t="s">
        <v>514</v>
      </c>
      <c r="C46" s="41" t="s">
        <v>355</v>
      </c>
      <c r="D46" s="40"/>
      <c r="E46" s="40"/>
      <c r="F46" s="29"/>
      <c r="G46" s="22"/>
      <c r="H46" s="23">
        <v>0.75</v>
      </c>
      <c r="I46" s="75">
        <f t="shared" si="41"/>
        <v>0</v>
      </c>
      <c r="K46" s="41" t="s">
        <v>514</v>
      </c>
      <c r="L46" s="41" t="s">
        <v>355</v>
      </c>
      <c r="M46" s="40"/>
      <c r="N46" s="40"/>
      <c r="O46" s="29"/>
      <c r="P46" s="22"/>
      <c r="Q46" s="23">
        <v>0.75</v>
      </c>
      <c r="R46" s="6">
        <f t="shared" si="42"/>
        <v>0</v>
      </c>
      <c r="T46" s="41" t="s">
        <v>514</v>
      </c>
      <c r="U46" s="41" t="s">
        <v>355</v>
      </c>
      <c r="V46" s="40"/>
      <c r="W46" s="40"/>
      <c r="X46" s="29"/>
      <c r="Y46" s="22"/>
      <c r="Z46" s="23">
        <v>0.75</v>
      </c>
      <c r="AA46" s="6">
        <f t="shared" si="43"/>
        <v>0</v>
      </c>
      <c r="AC46" s="41" t="s">
        <v>514</v>
      </c>
      <c r="AD46" s="41" t="s">
        <v>355</v>
      </c>
      <c r="AE46" s="40"/>
      <c r="AF46" s="40"/>
      <c r="AG46" s="29"/>
      <c r="AH46" s="22"/>
      <c r="AI46" s="23">
        <v>0.75</v>
      </c>
      <c r="AJ46" s="6">
        <f t="shared" si="44"/>
        <v>0</v>
      </c>
      <c r="AL46" s="41" t="s">
        <v>514</v>
      </c>
      <c r="AM46" s="41" t="s">
        <v>355</v>
      </c>
      <c r="AN46" s="40"/>
      <c r="AO46" s="40"/>
      <c r="AP46" s="29"/>
      <c r="AQ46" s="22"/>
      <c r="AR46" s="23">
        <v>0.75</v>
      </c>
      <c r="AS46" s="6">
        <f t="shared" si="45"/>
        <v>0</v>
      </c>
      <c r="AU46" s="41" t="s">
        <v>514</v>
      </c>
      <c r="AV46" s="41" t="s">
        <v>355</v>
      </c>
      <c r="AW46" s="40"/>
      <c r="AX46" s="40"/>
      <c r="AY46" s="29"/>
      <c r="AZ46" s="22"/>
      <c r="BA46" s="23">
        <v>0.75</v>
      </c>
      <c r="BB46" s="6">
        <f t="shared" si="46"/>
        <v>0</v>
      </c>
      <c r="BD46" s="41" t="s">
        <v>514</v>
      </c>
      <c r="BE46" s="41" t="s">
        <v>355</v>
      </c>
      <c r="BF46" s="40"/>
      <c r="BG46" s="40"/>
      <c r="BH46" s="29"/>
      <c r="BI46" s="22"/>
      <c r="BJ46" s="23">
        <v>0.75</v>
      </c>
      <c r="BK46" s="6">
        <f t="shared" si="47"/>
        <v>0</v>
      </c>
    </row>
    <row r="47" spans="2:63">
      <c r="B47" s="41" t="s">
        <v>514</v>
      </c>
      <c r="C47" s="41" t="s">
        <v>355</v>
      </c>
      <c r="D47" s="40"/>
      <c r="E47" s="40"/>
      <c r="F47" s="29"/>
      <c r="G47" s="22"/>
      <c r="H47" s="23">
        <v>0.75</v>
      </c>
      <c r="I47" s="75">
        <f t="shared" si="41"/>
        <v>0</v>
      </c>
      <c r="K47" s="41" t="s">
        <v>514</v>
      </c>
      <c r="L47" s="41" t="s">
        <v>355</v>
      </c>
      <c r="M47" s="40"/>
      <c r="N47" s="40"/>
      <c r="O47" s="29"/>
      <c r="P47" s="22"/>
      <c r="Q47" s="23">
        <v>0.75</v>
      </c>
      <c r="R47" s="6">
        <f t="shared" si="42"/>
        <v>0</v>
      </c>
      <c r="T47" s="41" t="s">
        <v>514</v>
      </c>
      <c r="U47" s="41" t="s">
        <v>355</v>
      </c>
      <c r="V47" s="40"/>
      <c r="W47" s="40"/>
      <c r="X47" s="29"/>
      <c r="Y47" s="22"/>
      <c r="Z47" s="23">
        <v>0.75</v>
      </c>
      <c r="AA47" s="6">
        <f t="shared" si="43"/>
        <v>0</v>
      </c>
      <c r="AC47" s="41" t="s">
        <v>514</v>
      </c>
      <c r="AD47" s="41" t="s">
        <v>355</v>
      </c>
      <c r="AE47" s="40"/>
      <c r="AF47" s="40"/>
      <c r="AG47" s="29"/>
      <c r="AH47" s="22"/>
      <c r="AI47" s="23">
        <v>0.75</v>
      </c>
      <c r="AJ47" s="6">
        <f t="shared" si="44"/>
        <v>0</v>
      </c>
      <c r="AL47" s="41" t="s">
        <v>514</v>
      </c>
      <c r="AM47" s="41" t="s">
        <v>355</v>
      </c>
      <c r="AN47" s="40"/>
      <c r="AO47" s="40"/>
      <c r="AP47" s="29"/>
      <c r="AQ47" s="22"/>
      <c r="AR47" s="23">
        <v>0.75</v>
      </c>
      <c r="AS47" s="6">
        <f t="shared" si="45"/>
        <v>0</v>
      </c>
      <c r="AU47" s="41" t="s">
        <v>514</v>
      </c>
      <c r="AV47" s="41" t="s">
        <v>355</v>
      </c>
      <c r="AW47" s="40"/>
      <c r="AX47" s="40"/>
      <c r="AY47" s="29"/>
      <c r="AZ47" s="22"/>
      <c r="BA47" s="23">
        <v>0.75</v>
      </c>
      <c r="BB47" s="6">
        <f t="shared" si="46"/>
        <v>0</v>
      </c>
      <c r="BD47" s="41" t="s">
        <v>514</v>
      </c>
      <c r="BE47" s="41" t="s">
        <v>355</v>
      </c>
      <c r="BF47" s="40"/>
      <c r="BG47" s="40"/>
      <c r="BH47" s="29"/>
      <c r="BI47" s="22"/>
      <c r="BJ47" s="23">
        <v>0.75</v>
      </c>
      <c r="BK47" s="6">
        <f t="shared" si="47"/>
        <v>0</v>
      </c>
    </row>
    <row r="48" spans="2:63">
      <c r="B48" s="41" t="s">
        <v>514</v>
      </c>
      <c r="C48" s="41" t="s">
        <v>355</v>
      </c>
      <c r="D48" s="40"/>
      <c r="E48" s="40"/>
      <c r="F48" s="29"/>
      <c r="G48" s="22"/>
      <c r="H48" s="23">
        <v>0.75</v>
      </c>
      <c r="I48" s="75">
        <f t="shared" si="41"/>
        <v>0</v>
      </c>
      <c r="K48" s="41" t="s">
        <v>514</v>
      </c>
      <c r="L48" s="41" t="s">
        <v>355</v>
      </c>
      <c r="M48" s="40"/>
      <c r="N48" s="40"/>
      <c r="O48" s="29"/>
      <c r="P48" s="22"/>
      <c r="Q48" s="23">
        <v>0.75</v>
      </c>
      <c r="R48" s="6">
        <f t="shared" si="42"/>
        <v>0</v>
      </c>
      <c r="T48" s="41" t="s">
        <v>514</v>
      </c>
      <c r="U48" s="41" t="s">
        <v>355</v>
      </c>
      <c r="V48" s="40"/>
      <c r="W48" s="40"/>
      <c r="X48" s="29"/>
      <c r="Y48" s="22"/>
      <c r="Z48" s="23">
        <v>0.75</v>
      </c>
      <c r="AA48" s="6">
        <f t="shared" si="43"/>
        <v>0</v>
      </c>
      <c r="AC48" s="41" t="s">
        <v>514</v>
      </c>
      <c r="AD48" s="41" t="s">
        <v>355</v>
      </c>
      <c r="AE48" s="40"/>
      <c r="AF48" s="40"/>
      <c r="AG48" s="29"/>
      <c r="AH48" s="22"/>
      <c r="AI48" s="23">
        <v>0.75</v>
      </c>
      <c r="AJ48" s="6">
        <f t="shared" si="44"/>
        <v>0</v>
      </c>
      <c r="AL48" s="41" t="s">
        <v>514</v>
      </c>
      <c r="AM48" s="41" t="s">
        <v>355</v>
      </c>
      <c r="AN48" s="40"/>
      <c r="AO48" s="40"/>
      <c r="AP48" s="29"/>
      <c r="AQ48" s="22"/>
      <c r="AR48" s="23">
        <v>0.75</v>
      </c>
      <c r="AS48" s="6">
        <f t="shared" si="45"/>
        <v>0</v>
      </c>
      <c r="AU48" s="41" t="s">
        <v>514</v>
      </c>
      <c r="AV48" s="41" t="s">
        <v>355</v>
      </c>
      <c r="AW48" s="40"/>
      <c r="AX48" s="40"/>
      <c r="AY48" s="29"/>
      <c r="AZ48" s="22"/>
      <c r="BA48" s="23">
        <v>0.75</v>
      </c>
      <c r="BB48" s="6">
        <f t="shared" si="46"/>
        <v>0</v>
      </c>
      <c r="BD48" s="41" t="s">
        <v>514</v>
      </c>
      <c r="BE48" s="41" t="s">
        <v>355</v>
      </c>
      <c r="BF48" s="40"/>
      <c r="BG48" s="40"/>
      <c r="BH48" s="29"/>
      <c r="BI48" s="22"/>
      <c r="BJ48" s="23">
        <v>0.75</v>
      </c>
      <c r="BK48" s="6">
        <f t="shared" si="47"/>
        <v>0</v>
      </c>
    </row>
    <row r="49" spans="2:63">
      <c r="B49" s="41" t="s">
        <v>514</v>
      </c>
      <c r="C49" s="41" t="s">
        <v>355</v>
      </c>
      <c r="D49" s="40"/>
      <c r="E49" s="40"/>
      <c r="F49" s="29"/>
      <c r="G49" s="22"/>
      <c r="H49" s="23">
        <v>0.75</v>
      </c>
      <c r="I49" s="75">
        <f t="shared" si="41"/>
        <v>0</v>
      </c>
      <c r="K49" s="41" t="s">
        <v>514</v>
      </c>
      <c r="L49" s="41" t="s">
        <v>355</v>
      </c>
      <c r="M49" s="40"/>
      <c r="N49" s="40"/>
      <c r="O49" s="29"/>
      <c r="P49" s="22"/>
      <c r="Q49" s="23">
        <v>0.75</v>
      </c>
      <c r="R49" s="6">
        <f t="shared" si="42"/>
        <v>0</v>
      </c>
      <c r="T49" s="41" t="s">
        <v>514</v>
      </c>
      <c r="U49" s="41" t="s">
        <v>355</v>
      </c>
      <c r="V49" s="40"/>
      <c r="W49" s="40"/>
      <c r="X49" s="29"/>
      <c r="Y49" s="22"/>
      <c r="Z49" s="23">
        <v>0.75</v>
      </c>
      <c r="AA49" s="6">
        <f t="shared" si="43"/>
        <v>0</v>
      </c>
      <c r="AC49" s="41" t="s">
        <v>514</v>
      </c>
      <c r="AD49" s="41" t="s">
        <v>355</v>
      </c>
      <c r="AE49" s="40"/>
      <c r="AF49" s="40"/>
      <c r="AG49" s="29"/>
      <c r="AH49" s="22"/>
      <c r="AI49" s="23">
        <v>0.75</v>
      </c>
      <c r="AJ49" s="6">
        <f t="shared" si="44"/>
        <v>0</v>
      </c>
      <c r="AL49" s="41" t="s">
        <v>514</v>
      </c>
      <c r="AM49" s="41" t="s">
        <v>355</v>
      </c>
      <c r="AN49" s="40"/>
      <c r="AO49" s="40"/>
      <c r="AP49" s="29"/>
      <c r="AQ49" s="22"/>
      <c r="AR49" s="23">
        <v>0.75</v>
      </c>
      <c r="AS49" s="6">
        <f t="shared" si="45"/>
        <v>0</v>
      </c>
      <c r="AU49" s="41" t="s">
        <v>514</v>
      </c>
      <c r="AV49" s="41" t="s">
        <v>355</v>
      </c>
      <c r="AW49" s="40"/>
      <c r="AX49" s="40"/>
      <c r="AY49" s="29"/>
      <c r="AZ49" s="22"/>
      <c r="BA49" s="23">
        <v>0.75</v>
      </c>
      <c r="BB49" s="6">
        <f t="shared" si="46"/>
        <v>0</v>
      </c>
      <c r="BD49" s="41" t="s">
        <v>514</v>
      </c>
      <c r="BE49" s="41" t="s">
        <v>355</v>
      </c>
      <c r="BF49" s="40"/>
      <c r="BG49" s="40"/>
      <c r="BH49" s="29"/>
      <c r="BI49" s="22"/>
      <c r="BJ49" s="23">
        <v>0.75</v>
      </c>
      <c r="BK49" s="6">
        <f t="shared" si="47"/>
        <v>0</v>
      </c>
    </row>
    <row r="50" spans="2:63">
      <c r="B50" s="41" t="s">
        <v>514</v>
      </c>
      <c r="C50" s="41" t="s">
        <v>355</v>
      </c>
      <c r="D50" s="40"/>
      <c r="E50" s="40"/>
      <c r="F50" s="29"/>
      <c r="G50" s="22"/>
      <c r="H50" s="23">
        <v>0.75</v>
      </c>
      <c r="I50" s="75">
        <f t="shared" si="41"/>
        <v>0</v>
      </c>
      <c r="K50" s="41" t="s">
        <v>514</v>
      </c>
      <c r="L50" s="41" t="s">
        <v>355</v>
      </c>
      <c r="M50" s="40"/>
      <c r="N50" s="40"/>
      <c r="O50" s="29"/>
      <c r="P50" s="22"/>
      <c r="Q50" s="23">
        <v>0.75</v>
      </c>
      <c r="R50" s="6">
        <f t="shared" si="42"/>
        <v>0</v>
      </c>
      <c r="T50" s="41" t="s">
        <v>514</v>
      </c>
      <c r="U50" s="41" t="s">
        <v>355</v>
      </c>
      <c r="V50" s="40"/>
      <c r="W50" s="40"/>
      <c r="X50" s="29"/>
      <c r="Y50" s="22"/>
      <c r="Z50" s="23">
        <v>0.75</v>
      </c>
      <c r="AA50" s="6">
        <f t="shared" si="43"/>
        <v>0</v>
      </c>
      <c r="AC50" s="41" t="s">
        <v>514</v>
      </c>
      <c r="AD50" s="41" t="s">
        <v>355</v>
      </c>
      <c r="AE50" s="40"/>
      <c r="AF50" s="40"/>
      <c r="AG50" s="29"/>
      <c r="AH50" s="22"/>
      <c r="AI50" s="23">
        <v>0.75</v>
      </c>
      <c r="AJ50" s="6">
        <f t="shared" si="44"/>
        <v>0</v>
      </c>
      <c r="AL50" s="41" t="s">
        <v>514</v>
      </c>
      <c r="AM50" s="41" t="s">
        <v>355</v>
      </c>
      <c r="AN50" s="40"/>
      <c r="AO50" s="40"/>
      <c r="AP50" s="29"/>
      <c r="AQ50" s="22"/>
      <c r="AR50" s="23">
        <v>0.75</v>
      </c>
      <c r="AS50" s="6">
        <f t="shared" si="45"/>
        <v>0</v>
      </c>
      <c r="AU50" s="41" t="s">
        <v>514</v>
      </c>
      <c r="AV50" s="41" t="s">
        <v>355</v>
      </c>
      <c r="AW50" s="40"/>
      <c r="AX50" s="40"/>
      <c r="AY50" s="29"/>
      <c r="AZ50" s="22"/>
      <c r="BA50" s="23">
        <v>0.75</v>
      </c>
      <c r="BB50" s="6">
        <f t="shared" si="46"/>
        <v>0</v>
      </c>
      <c r="BD50" s="41" t="s">
        <v>514</v>
      </c>
      <c r="BE50" s="41" t="s">
        <v>355</v>
      </c>
      <c r="BF50" s="40"/>
      <c r="BG50" s="40"/>
      <c r="BH50" s="29"/>
      <c r="BI50" s="22"/>
      <c r="BJ50" s="23">
        <v>0.75</v>
      </c>
      <c r="BK50" s="6">
        <f t="shared" si="47"/>
        <v>0</v>
      </c>
    </row>
    <row r="51" spans="2:63">
      <c r="B51" s="41" t="s">
        <v>514</v>
      </c>
      <c r="C51" s="41" t="s">
        <v>355</v>
      </c>
      <c r="D51" s="40"/>
      <c r="E51" s="40"/>
      <c r="F51" s="29"/>
      <c r="G51" s="22"/>
      <c r="H51" s="23">
        <v>0.75</v>
      </c>
      <c r="I51" s="75">
        <f t="shared" si="41"/>
        <v>0</v>
      </c>
      <c r="K51" s="41" t="s">
        <v>514</v>
      </c>
      <c r="L51" s="41" t="s">
        <v>355</v>
      </c>
      <c r="M51" s="40"/>
      <c r="N51" s="40"/>
      <c r="O51" s="29"/>
      <c r="P51" s="22"/>
      <c r="Q51" s="23">
        <v>0.75</v>
      </c>
      <c r="R51" s="6">
        <f t="shared" si="42"/>
        <v>0</v>
      </c>
      <c r="T51" s="41" t="s">
        <v>514</v>
      </c>
      <c r="U51" s="41" t="s">
        <v>355</v>
      </c>
      <c r="V51" s="40"/>
      <c r="W51" s="40"/>
      <c r="X51" s="29"/>
      <c r="Y51" s="22"/>
      <c r="Z51" s="23">
        <v>0.75</v>
      </c>
      <c r="AA51" s="6">
        <f t="shared" si="43"/>
        <v>0</v>
      </c>
      <c r="AC51" s="41" t="s">
        <v>514</v>
      </c>
      <c r="AD51" s="41" t="s">
        <v>355</v>
      </c>
      <c r="AE51" s="40"/>
      <c r="AF51" s="40"/>
      <c r="AG51" s="29"/>
      <c r="AH51" s="22"/>
      <c r="AI51" s="23">
        <v>0.75</v>
      </c>
      <c r="AJ51" s="6">
        <f t="shared" si="44"/>
        <v>0</v>
      </c>
      <c r="AL51" s="41" t="s">
        <v>514</v>
      </c>
      <c r="AM51" s="41" t="s">
        <v>355</v>
      </c>
      <c r="AN51" s="40"/>
      <c r="AO51" s="40"/>
      <c r="AP51" s="29"/>
      <c r="AQ51" s="22"/>
      <c r="AR51" s="23">
        <v>0.75</v>
      </c>
      <c r="AS51" s="6">
        <f t="shared" si="45"/>
        <v>0</v>
      </c>
      <c r="AU51" s="41" t="s">
        <v>514</v>
      </c>
      <c r="AV51" s="41" t="s">
        <v>355</v>
      </c>
      <c r="AW51" s="40"/>
      <c r="AX51" s="40"/>
      <c r="AY51" s="29"/>
      <c r="AZ51" s="22"/>
      <c r="BA51" s="23">
        <v>0.75</v>
      </c>
      <c r="BB51" s="6">
        <f t="shared" si="46"/>
        <v>0</v>
      </c>
      <c r="BD51" s="41" t="s">
        <v>514</v>
      </c>
      <c r="BE51" s="41" t="s">
        <v>355</v>
      </c>
      <c r="BF51" s="40"/>
      <c r="BG51" s="40"/>
      <c r="BH51" s="29"/>
      <c r="BI51" s="22"/>
      <c r="BJ51" s="23">
        <v>0.75</v>
      </c>
      <c r="BK51" s="6">
        <f t="shared" si="47"/>
        <v>0</v>
      </c>
    </row>
    <row r="52" spans="2:63">
      <c r="B52" s="41" t="s">
        <v>514</v>
      </c>
      <c r="C52" s="41" t="s">
        <v>355</v>
      </c>
      <c r="D52" s="40"/>
      <c r="E52" s="40"/>
      <c r="F52" s="29"/>
      <c r="G52" s="22"/>
      <c r="H52" s="23">
        <v>0.75</v>
      </c>
      <c r="I52" s="75">
        <f t="shared" si="41"/>
        <v>0</v>
      </c>
      <c r="K52" s="41" t="s">
        <v>514</v>
      </c>
      <c r="L52" s="41" t="s">
        <v>355</v>
      </c>
      <c r="M52" s="40"/>
      <c r="N52" s="40"/>
      <c r="O52" s="29"/>
      <c r="P52" s="22"/>
      <c r="Q52" s="23">
        <v>0.75</v>
      </c>
      <c r="R52" s="6">
        <f t="shared" si="42"/>
        <v>0</v>
      </c>
      <c r="T52" s="41" t="s">
        <v>514</v>
      </c>
      <c r="U52" s="41" t="s">
        <v>355</v>
      </c>
      <c r="V52" s="40"/>
      <c r="W52" s="40"/>
      <c r="X52" s="29"/>
      <c r="Y52" s="22"/>
      <c r="Z52" s="23">
        <v>0.75</v>
      </c>
      <c r="AA52" s="6">
        <f t="shared" si="43"/>
        <v>0</v>
      </c>
      <c r="AC52" s="41" t="s">
        <v>514</v>
      </c>
      <c r="AD52" s="41" t="s">
        <v>355</v>
      </c>
      <c r="AE52" s="40"/>
      <c r="AF52" s="40"/>
      <c r="AG52" s="29"/>
      <c r="AH52" s="22"/>
      <c r="AI52" s="23">
        <v>0.75</v>
      </c>
      <c r="AJ52" s="6">
        <f t="shared" si="44"/>
        <v>0</v>
      </c>
      <c r="AL52" s="41" t="s">
        <v>514</v>
      </c>
      <c r="AM52" s="41" t="s">
        <v>355</v>
      </c>
      <c r="AN52" s="40"/>
      <c r="AO52" s="40"/>
      <c r="AP52" s="29"/>
      <c r="AQ52" s="22"/>
      <c r="AR52" s="23">
        <v>0.75</v>
      </c>
      <c r="AS52" s="6">
        <f t="shared" si="45"/>
        <v>0</v>
      </c>
      <c r="AU52" s="41" t="s">
        <v>514</v>
      </c>
      <c r="AV52" s="41" t="s">
        <v>355</v>
      </c>
      <c r="AW52" s="40"/>
      <c r="AX52" s="40"/>
      <c r="AY52" s="29"/>
      <c r="AZ52" s="22"/>
      <c r="BA52" s="23">
        <v>0.75</v>
      </c>
      <c r="BB52" s="6">
        <f t="shared" si="46"/>
        <v>0</v>
      </c>
      <c r="BD52" s="41" t="s">
        <v>514</v>
      </c>
      <c r="BE52" s="41" t="s">
        <v>355</v>
      </c>
      <c r="BF52" s="40"/>
      <c r="BG52" s="40"/>
      <c r="BH52" s="29"/>
      <c r="BI52" s="22"/>
      <c r="BJ52" s="23">
        <v>0.75</v>
      </c>
      <c r="BK52" s="6">
        <f t="shared" si="47"/>
        <v>0</v>
      </c>
    </row>
    <row r="53" spans="2:63">
      <c r="B53" s="41" t="s">
        <v>514</v>
      </c>
      <c r="C53" s="41" t="s">
        <v>355</v>
      </c>
      <c r="D53" s="40"/>
      <c r="E53" s="40"/>
      <c r="F53" s="29"/>
      <c r="G53" s="22"/>
      <c r="H53" s="23">
        <v>0.75</v>
      </c>
      <c r="I53" s="75">
        <f t="shared" si="41"/>
        <v>0</v>
      </c>
      <c r="K53" s="41" t="s">
        <v>514</v>
      </c>
      <c r="L53" s="41" t="s">
        <v>355</v>
      </c>
      <c r="M53" s="40"/>
      <c r="N53" s="40"/>
      <c r="O53" s="29"/>
      <c r="P53" s="22"/>
      <c r="Q53" s="23">
        <v>0.75</v>
      </c>
      <c r="R53" s="6">
        <f t="shared" si="42"/>
        <v>0</v>
      </c>
      <c r="T53" s="41" t="s">
        <v>514</v>
      </c>
      <c r="U53" s="41" t="s">
        <v>355</v>
      </c>
      <c r="V53" s="40"/>
      <c r="W53" s="40"/>
      <c r="X53" s="29"/>
      <c r="Y53" s="22"/>
      <c r="Z53" s="23">
        <v>0.75</v>
      </c>
      <c r="AA53" s="6">
        <f t="shared" si="43"/>
        <v>0</v>
      </c>
      <c r="AC53" s="41" t="s">
        <v>514</v>
      </c>
      <c r="AD53" s="41" t="s">
        <v>355</v>
      </c>
      <c r="AE53" s="40"/>
      <c r="AF53" s="40"/>
      <c r="AG53" s="29"/>
      <c r="AH53" s="22"/>
      <c r="AI53" s="23">
        <v>0.75</v>
      </c>
      <c r="AJ53" s="6">
        <f t="shared" si="44"/>
        <v>0</v>
      </c>
      <c r="AL53" s="41" t="s">
        <v>514</v>
      </c>
      <c r="AM53" s="41" t="s">
        <v>355</v>
      </c>
      <c r="AN53" s="40"/>
      <c r="AO53" s="40"/>
      <c r="AP53" s="29"/>
      <c r="AQ53" s="22"/>
      <c r="AR53" s="23">
        <v>0.75</v>
      </c>
      <c r="AS53" s="6">
        <f t="shared" si="45"/>
        <v>0</v>
      </c>
      <c r="AU53" s="41" t="s">
        <v>514</v>
      </c>
      <c r="AV53" s="41" t="s">
        <v>355</v>
      </c>
      <c r="AW53" s="40"/>
      <c r="AX53" s="40"/>
      <c r="AY53" s="29"/>
      <c r="AZ53" s="22"/>
      <c r="BA53" s="23">
        <v>0.75</v>
      </c>
      <c r="BB53" s="6">
        <f t="shared" si="46"/>
        <v>0</v>
      </c>
      <c r="BD53" s="41" t="s">
        <v>514</v>
      </c>
      <c r="BE53" s="41" t="s">
        <v>355</v>
      </c>
      <c r="BF53" s="40"/>
      <c r="BG53" s="40"/>
      <c r="BH53" s="29"/>
      <c r="BI53" s="22"/>
      <c r="BJ53" s="23">
        <v>0.75</v>
      </c>
      <c r="BK53" s="6">
        <f t="shared" si="47"/>
        <v>0</v>
      </c>
    </row>
    <row r="54" spans="2:63">
      <c r="B54" s="41" t="s">
        <v>514</v>
      </c>
      <c r="C54" s="41" t="s">
        <v>355</v>
      </c>
      <c r="D54" s="40"/>
      <c r="E54" s="40"/>
      <c r="F54" s="29"/>
      <c r="G54" s="22"/>
      <c r="H54" s="23">
        <v>0.75</v>
      </c>
      <c r="I54" s="75">
        <f t="shared" si="41"/>
        <v>0</v>
      </c>
      <c r="K54" s="41" t="s">
        <v>514</v>
      </c>
      <c r="L54" s="41" t="s">
        <v>355</v>
      </c>
      <c r="M54" s="40"/>
      <c r="N54" s="40"/>
      <c r="O54" s="29"/>
      <c r="P54" s="22"/>
      <c r="Q54" s="23">
        <v>0.75</v>
      </c>
      <c r="R54" s="6">
        <f t="shared" si="42"/>
        <v>0</v>
      </c>
      <c r="T54" s="41" t="s">
        <v>514</v>
      </c>
      <c r="U54" s="41" t="s">
        <v>355</v>
      </c>
      <c r="V54" s="40"/>
      <c r="W54" s="40"/>
      <c r="X54" s="29"/>
      <c r="Y54" s="22"/>
      <c r="Z54" s="23">
        <v>0.75</v>
      </c>
      <c r="AA54" s="6">
        <f t="shared" si="43"/>
        <v>0</v>
      </c>
      <c r="AC54" s="41" t="s">
        <v>514</v>
      </c>
      <c r="AD54" s="41" t="s">
        <v>355</v>
      </c>
      <c r="AE54" s="40"/>
      <c r="AF54" s="40"/>
      <c r="AG54" s="29"/>
      <c r="AH54" s="22"/>
      <c r="AI54" s="23">
        <v>0.75</v>
      </c>
      <c r="AJ54" s="6">
        <f t="shared" si="44"/>
        <v>0</v>
      </c>
      <c r="AL54" s="41" t="s">
        <v>514</v>
      </c>
      <c r="AM54" s="41" t="s">
        <v>355</v>
      </c>
      <c r="AN54" s="40"/>
      <c r="AO54" s="40"/>
      <c r="AP54" s="29"/>
      <c r="AQ54" s="22"/>
      <c r="AR54" s="23">
        <v>0.75</v>
      </c>
      <c r="AS54" s="6">
        <f t="shared" si="45"/>
        <v>0</v>
      </c>
      <c r="AU54" s="41" t="s">
        <v>514</v>
      </c>
      <c r="AV54" s="41" t="s">
        <v>355</v>
      </c>
      <c r="AW54" s="40"/>
      <c r="AX54" s="40"/>
      <c r="AY54" s="29"/>
      <c r="AZ54" s="22"/>
      <c r="BA54" s="23">
        <v>0.75</v>
      </c>
      <c r="BB54" s="6">
        <f t="shared" si="46"/>
        <v>0</v>
      </c>
      <c r="BD54" s="41" t="s">
        <v>514</v>
      </c>
      <c r="BE54" s="41" t="s">
        <v>355</v>
      </c>
      <c r="BF54" s="40"/>
      <c r="BG54" s="40"/>
      <c r="BH54" s="29"/>
      <c r="BI54" s="22"/>
      <c r="BJ54" s="23">
        <v>0.75</v>
      </c>
      <c r="BK54" s="6">
        <f t="shared" si="47"/>
        <v>0</v>
      </c>
    </row>
    <row r="55" spans="2:63">
      <c r="B55" s="41" t="s">
        <v>514</v>
      </c>
      <c r="C55" s="41" t="s">
        <v>355</v>
      </c>
      <c r="D55" s="40"/>
      <c r="E55" s="40"/>
      <c r="F55" s="29"/>
      <c r="G55" s="22"/>
      <c r="H55" s="23">
        <v>0.75</v>
      </c>
      <c r="I55" s="75">
        <f t="shared" si="41"/>
        <v>0</v>
      </c>
      <c r="K55" s="41" t="s">
        <v>514</v>
      </c>
      <c r="L55" s="41" t="s">
        <v>355</v>
      </c>
      <c r="M55" s="40"/>
      <c r="N55" s="40"/>
      <c r="O55" s="29"/>
      <c r="P55" s="22"/>
      <c r="Q55" s="23">
        <v>0.75</v>
      </c>
      <c r="R55" s="6">
        <f t="shared" si="42"/>
        <v>0</v>
      </c>
      <c r="T55" s="41" t="s">
        <v>514</v>
      </c>
      <c r="U55" s="41" t="s">
        <v>355</v>
      </c>
      <c r="V55" s="40"/>
      <c r="W55" s="40"/>
      <c r="X55" s="29"/>
      <c r="Y55" s="22"/>
      <c r="Z55" s="23">
        <v>0.75</v>
      </c>
      <c r="AA55" s="6">
        <f t="shared" si="43"/>
        <v>0</v>
      </c>
      <c r="AC55" s="41" t="s">
        <v>514</v>
      </c>
      <c r="AD55" s="41" t="s">
        <v>355</v>
      </c>
      <c r="AE55" s="40"/>
      <c r="AF55" s="40"/>
      <c r="AG55" s="29"/>
      <c r="AH55" s="22"/>
      <c r="AI55" s="23">
        <v>0.75</v>
      </c>
      <c r="AJ55" s="6">
        <f t="shared" si="44"/>
        <v>0</v>
      </c>
      <c r="AL55" s="41" t="s">
        <v>514</v>
      </c>
      <c r="AM55" s="41" t="s">
        <v>355</v>
      </c>
      <c r="AN55" s="40"/>
      <c r="AO55" s="40"/>
      <c r="AP55" s="29"/>
      <c r="AQ55" s="22"/>
      <c r="AR55" s="23">
        <v>0.75</v>
      </c>
      <c r="AS55" s="6">
        <f t="shared" si="45"/>
        <v>0</v>
      </c>
      <c r="AU55" s="41" t="s">
        <v>514</v>
      </c>
      <c r="AV55" s="41" t="s">
        <v>355</v>
      </c>
      <c r="AW55" s="40"/>
      <c r="AX55" s="40"/>
      <c r="AY55" s="29"/>
      <c r="AZ55" s="22"/>
      <c r="BA55" s="23">
        <v>0.75</v>
      </c>
      <c r="BB55" s="6">
        <f t="shared" si="46"/>
        <v>0</v>
      </c>
      <c r="BD55" s="41" t="s">
        <v>514</v>
      </c>
      <c r="BE55" s="41" t="s">
        <v>355</v>
      </c>
      <c r="BF55" s="40"/>
      <c r="BG55" s="40"/>
      <c r="BH55" s="29"/>
      <c r="BI55" s="22"/>
      <c r="BJ55" s="23">
        <v>0.75</v>
      </c>
      <c r="BK55" s="6">
        <f t="shared" si="47"/>
        <v>0</v>
      </c>
    </row>
    <row r="56" spans="2:63">
      <c r="B56" s="41" t="s">
        <v>514</v>
      </c>
      <c r="C56" s="41" t="s">
        <v>355</v>
      </c>
      <c r="D56" s="40"/>
      <c r="E56" s="40"/>
      <c r="F56" s="29"/>
      <c r="G56" s="22"/>
      <c r="H56" s="23">
        <v>0.75</v>
      </c>
      <c r="I56" s="75">
        <f t="shared" si="41"/>
        <v>0</v>
      </c>
      <c r="K56" s="41" t="s">
        <v>514</v>
      </c>
      <c r="L56" s="41" t="s">
        <v>355</v>
      </c>
      <c r="M56" s="40"/>
      <c r="N56" s="40"/>
      <c r="O56" s="29"/>
      <c r="P56" s="22"/>
      <c r="Q56" s="23">
        <v>0.75</v>
      </c>
      <c r="R56" s="6">
        <f t="shared" si="42"/>
        <v>0</v>
      </c>
      <c r="T56" s="41" t="s">
        <v>514</v>
      </c>
      <c r="U56" s="41" t="s">
        <v>355</v>
      </c>
      <c r="V56" s="40"/>
      <c r="W56" s="40"/>
      <c r="X56" s="29"/>
      <c r="Y56" s="22"/>
      <c r="Z56" s="23">
        <v>0.75</v>
      </c>
      <c r="AA56" s="6">
        <f t="shared" si="43"/>
        <v>0</v>
      </c>
      <c r="AC56" s="41" t="s">
        <v>514</v>
      </c>
      <c r="AD56" s="41" t="s">
        <v>355</v>
      </c>
      <c r="AE56" s="40"/>
      <c r="AF56" s="40"/>
      <c r="AG56" s="29"/>
      <c r="AH56" s="22"/>
      <c r="AI56" s="23">
        <v>0.75</v>
      </c>
      <c r="AJ56" s="6">
        <f t="shared" si="44"/>
        <v>0</v>
      </c>
      <c r="AL56" s="41" t="s">
        <v>514</v>
      </c>
      <c r="AM56" s="41" t="s">
        <v>355</v>
      </c>
      <c r="AN56" s="40"/>
      <c r="AO56" s="40"/>
      <c r="AP56" s="29"/>
      <c r="AQ56" s="22"/>
      <c r="AR56" s="23">
        <v>0.75</v>
      </c>
      <c r="AS56" s="6">
        <f t="shared" si="45"/>
        <v>0</v>
      </c>
      <c r="AU56" s="41" t="s">
        <v>514</v>
      </c>
      <c r="AV56" s="41" t="s">
        <v>355</v>
      </c>
      <c r="AW56" s="40"/>
      <c r="AX56" s="40"/>
      <c r="AY56" s="29"/>
      <c r="AZ56" s="22"/>
      <c r="BA56" s="23">
        <v>0.75</v>
      </c>
      <c r="BB56" s="6">
        <f t="shared" si="46"/>
        <v>0</v>
      </c>
      <c r="BD56" s="41" t="s">
        <v>514</v>
      </c>
      <c r="BE56" s="41" t="s">
        <v>355</v>
      </c>
      <c r="BF56" s="40"/>
      <c r="BG56" s="40"/>
      <c r="BH56" s="29"/>
      <c r="BI56" s="22"/>
      <c r="BJ56" s="23">
        <v>0.75</v>
      </c>
      <c r="BK56" s="6">
        <f t="shared" si="47"/>
        <v>0</v>
      </c>
    </row>
    <row r="57" spans="2:63">
      <c r="B57" s="41" t="s">
        <v>514</v>
      </c>
      <c r="C57" s="41" t="s">
        <v>355</v>
      </c>
      <c r="D57" s="40"/>
      <c r="E57" s="40"/>
      <c r="F57" s="29"/>
      <c r="G57" s="22"/>
      <c r="H57" s="23">
        <v>0.75</v>
      </c>
      <c r="I57" s="75">
        <f t="shared" si="41"/>
        <v>0</v>
      </c>
      <c r="K57" s="41" t="s">
        <v>514</v>
      </c>
      <c r="L57" s="41" t="s">
        <v>355</v>
      </c>
      <c r="M57" s="40"/>
      <c r="N57" s="40"/>
      <c r="O57" s="29"/>
      <c r="P57" s="22"/>
      <c r="Q57" s="23">
        <v>0.75</v>
      </c>
      <c r="R57" s="6">
        <f t="shared" si="42"/>
        <v>0</v>
      </c>
      <c r="T57" s="41" t="s">
        <v>514</v>
      </c>
      <c r="U57" s="41" t="s">
        <v>355</v>
      </c>
      <c r="V57" s="40"/>
      <c r="W57" s="40"/>
      <c r="X57" s="29"/>
      <c r="Y57" s="22"/>
      <c r="Z57" s="23">
        <v>0.75</v>
      </c>
      <c r="AA57" s="6">
        <f t="shared" si="43"/>
        <v>0</v>
      </c>
      <c r="AC57" s="41" t="s">
        <v>514</v>
      </c>
      <c r="AD57" s="41" t="s">
        <v>355</v>
      </c>
      <c r="AE57" s="40"/>
      <c r="AF57" s="40"/>
      <c r="AG57" s="29"/>
      <c r="AH57" s="22"/>
      <c r="AI57" s="23">
        <v>0.75</v>
      </c>
      <c r="AJ57" s="6">
        <f t="shared" si="44"/>
        <v>0</v>
      </c>
      <c r="AL57" s="41" t="s">
        <v>514</v>
      </c>
      <c r="AM57" s="41" t="s">
        <v>355</v>
      </c>
      <c r="AN57" s="40"/>
      <c r="AO57" s="40"/>
      <c r="AP57" s="29"/>
      <c r="AQ57" s="22"/>
      <c r="AR57" s="23">
        <v>0.75</v>
      </c>
      <c r="AS57" s="6">
        <f t="shared" si="45"/>
        <v>0</v>
      </c>
      <c r="AU57" s="41" t="s">
        <v>514</v>
      </c>
      <c r="AV57" s="41" t="s">
        <v>355</v>
      </c>
      <c r="AW57" s="40"/>
      <c r="AX57" s="40"/>
      <c r="AY57" s="29"/>
      <c r="AZ57" s="22"/>
      <c r="BA57" s="23">
        <v>0.75</v>
      </c>
      <c r="BB57" s="6">
        <f t="shared" si="46"/>
        <v>0</v>
      </c>
      <c r="BD57" s="41" t="s">
        <v>514</v>
      </c>
      <c r="BE57" s="41" t="s">
        <v>355</v>
      </c>
      <c r="BF57" s="40"/>
      <c r="BG57" s="40"/>
      <c r="BH57" s="29"/>
      <c r="BI57" s="22"/>
      <c r="BJ57" s="23">
        <v>0.75</v>
      </c>
      <c r="BK57" s="6">
        <f t="shared" si="47"/>
        <v>0</v>
      </c>
    </row>
    <row r="58" spans="2:63">
      <c r="B58" s="41" t="s">
        <v>514</v>
      </c>
      <c r="C58" s="41" t="s">
        <v>355</v>
      </c>
      <c r="D58" s="40"/>
      <c r="E58" s="40"/>
      <c r="F58" s="29"/>
      <c r="G58" s="22"/>
      <c r="H58" s="23">
        <v>0.75</v>
      </c>
      <c r="I58" s="75">
        <f t="shared" si="41"/>
        <v>0</v>
      </c>
      <c r="K58" s="41" t="s">
        <v>514</v>
      </c>
      <c r="L58" s="41" t="s">
        <v>355</v>
      </c>
      <c r="M58" s="40"/>
      <c r="N58" s="40"/>
      <c r="O58" s="29"/>
      <c r="P58" s="22"/>
      <c r="Q58" s="23">
        <v>0.75</v>
      </c>
      <c r="R58" s="6">
        <f t="shared" si="42"/>
        <v>0</v>
      </c>
      <c r="T58" s="41" t="s">
        <v>514</v>
      </c>
      <c r="U58" s="41" t="s">
        <v>355</v>
      </c>
      <c r="V58" s="40"/>
      <c r="W58" s="40"/>
      <c r="X58" s="29"/>
      <c r="Y58" s="22"/>
      <c r="Z58" s="23">
        <v>0.75</v>
      </c>
      <c r="AA58" s="6">
        <f t="shared" si="43"/>
        <v>0</v>
      </c>
      <c r="AC58" s="41" t="s">
        <v>514</v>
      </c>
      <c r="AD58" s="41" t="s">
        <v>355</v>
      </c>
      <c r="AE58" s="40"/>
      <c r="AF58" s="40"/>
      <c r="AG58" s="29"/>
      <c r="AH58" s="22"/>
      <c r="AI58" s="23">
        <v>0.75</v>
      </c>
      <c r="AJ58" s="6">
        <f t="shared" si="44"/>
        <v>0</v>
      </c>
      <c r="AL58" s="41" t="s">
        <v>514</v>
      </c>
      <c r="AM58" s="41" t="s">
        <v>355</v>
      </c>
      <c r="AN58" s="40"/>
      <c r="AO58" s="40"/>
      <c r="AP58" s="29"/>
      <c r="AQ58" s="22"/>
      <c r="AR58" s="23">
        <v>0.75</v>
      </c>
      <c r="AS58" s="6">
        <f t="shared" si="45"/>
        <v>0</v>
      </c>
      <c r="AU58" s="41" t="s">
        <v>514</v>
      </c>
      <c r="AV58" s="41" t="s">
        <v>355</v>
      </c>
      <c r="AW58" s="40"/>
      <c r="AX58" s="40"/>
      <c r="AY58" s="29"/>
      <c r="AZ58" s="22"/>
      <c r="BA58" s="23">
        <v>0.75</v>
      </c>
      <c r="BB58" s="6">
        <f t="shared" si="46"/>
        <v>0</v>
      </c>
      <c r="BD58" s="41" t="s">
        <v>514</v>
      </c>
      <c r="BE58" s="41" t="s">
        <v>355</v>
      </c>
      <c r="BF58" s="40"/>
      <c r="BG58" s="40"/>
      <c r="BH58" s="29"/>
      <c r="BI58" s="22"/>
      <c r="BJ58" s="23">
        <v>0.75</v>
      </c>
      <c r="BK58" s="6">
        <f t="shared" si="47"/>
        <v>0</v>
      </c>
    </row>
    <row r="59" spans="2:63" s="24" customFormat="1">
      <c r="B59" s="8" t="s">
        <v>386</v>
      </c>
      <c r="C59" s="25"/>
      <c r="D59" s="28">
        <f>SUM(D44:D58)</f>
        <v>750000</v>
      </c>
      <c r="E59" s="28">
        <f>SUM(E44:E58)</f>
        <v>500000</v>
      </c>
      <c r="F59" s="30"/>
      <c r="G59" s="25"/>
      <c r="H59" s="26"/>
      <c r="I59" s="28">
        <f>SUM(I44:I58)</f>
        <v>45000</v>
      </c>
      <c r="K59" s="8" t="s">
        <v>386</v>
      </c>
      <c r="L59" s="25"/>
      <c r="M59" s="28">
        <f>SUM(M44:M58)</f>
        <v>750000</v>
      </c>
      <c r="N59" s="28">
        <f>SUM(N44:N58)</f>
        <v>500000</v>
      </c>
      <c r="O59" s="30"/>
      <c r="P59" s="25"/>
      <c r="Q59" s="26"/>
      <c r="R59" s="28">
        <f>SUM(R44:R58)</f>
        <v>45000</v>
      </c>
      <c r="T59" s="8" t="s">
        <v>386</v>
      </c>
      <c r="U59" s="25"/>
      <c r="V59" s="28">
        <f>SUM(V44:V58)</f>
        <v>750000</v>
      </c>
      <c r="W59" s="28">
        <f>SUM(W44:W58)</f>
        <v>500000</v>
      </c>
      <c r="X59" s="30"/>
      <c r="Y59" s="25"/>
      <c r="Z59" s="26"/>
      <c r="AA59" s="28">
        <f>SUM(AA44:AA58)</f>
        <v>45000</v>
      </c>
      <c r="AC59" s="8" t="s">
        <v>386</v>
      </c>
      <c r="AD59" s="25"/>
      <c r="AE59" s="28">
        <f>SUM(AE44:AE58)</f>
        <v>750000</v>
      </c>
      <c r="AF59" s="28">
        <f>SUM(AF44:AF58)</f>
        <v>500000</v>
      </c>
      <c r="AG59" s="30"/>
      <c r="AH59" s="25"/>
      <c r="AI59" s="26"/>
      <c r="AJ59" s="28">
        <f>SUM(AJ44:AJ58)</f>
        <v>45000</v>
      </c>
      <c r="AL59" s="8" t="s">
        <v>386</v>
      </c>
      <c r="AM59" s="25"/>
      <c r="AN59" s="28">
        <f>SUM(AN44:AN58)</f>
        <v>750000</v>
      </c>
      <c r="AO59" s="28">
        <f>SUM(AO44:AO58)</f>
        <v>500000</v>
      </c>
      <c r="AP59" s="30"/>
      <c r="AQ59" s="25"/>
      <c r="AR59" s="26"/>
      <c r="AS59" s="28">
        <f>SUM(AS44:AS58)</f>
        <v>45000</v>
      </c>
      <c r="AU59" s="8" t="s">
        <v>386</v>
      </c>
      <c r="AV59" s="25"/>
      <c r="AW59" s="28">
        <f>SUM(AW44:AW58)</f>
        <v>750000</v>
      </c>
      <c r="AX59" s="28">
        <f>SUM(AX44:AX58)</f>
        <v>500000</v>
      </c>
      <c r="AY59" s="30"/>
      <c r="AZ59" s="25"/>
      <c r="BA59" s="26"/>
      <c r="BB59" s="28">
        <f>SUM(BB44:BB58)</f>
        <v>45000</v>
      </c>
      <c r="BD59" s="8" t="s">
        <v>386</v>
      </c>
      <c r="BE59" s="25"/>
      <c r="BF59" s="28">
        <f>SUM(BF44:BF58)</f>
        <v>750000</v>
      </c>
      <c r="BG59" s="28">
        <f>SUM(BG44:BG58)</f>
        <v>500000</v>
      </c>
      <c r="BH59" s="30"/>
      <c r="BI59" s="25"/>
      <c r="BJ59" s="26"/>
      <c r="BK59" s="28">
        <f>SUM(BK44:BK58)</f>
        <v>45000</v>
      </c>
    </row>
    <row r="61" spans="2:63" s="20" customFormat="1" ht="41.4">
      <c r="B61" s="27" t="s">
        <v>11</v>
      </c>
      <c r="C61" s="3" t="str">
        <f>C$43</f>
        <v>Source</v>
      </c>
      <c r="D61" s="3" t="str">
        <f t="shared" ref="D61:I61" si="48">D$43</f>
        <v>Limit (A)</v>
      </c>
      <c r="E61" s="3" t="str">
        <f t="shared" si="48"/>
        <v>Outstanding (A1)</v>
      </c>
      <c r="F61" s="3" t="str">
        <f t="shared" si="48"/>
        <v>Monthly Repayment (B)</v>
      </c>
      <c r="G61" s="3" t="str">
        <f t="shared" si="48"/>
        <v>Interest Rate (C)</v>
      </c>
      <c r="H61" s="3" t="str">
        <f t="shared" si="48"/>
        <v>Factor (D)</v>
      </c>
      <c r="I61" s="3" t="str">
        <f t="shared" si="48"/>
        <v>Interest (E) = (A or A1) * (C) * (D)</v>
      </c>
      <c r="K61" s="27" t="s">
        <v>11</v>
      </c>
      <c r="L61" s="3" t="str">
        <f>L$43</f>
        <v>Source</v>
      </c>
      <c r="M61" s="3" t="str">
        <f t="shared" ref="M61:R61" si="49">M$43</f>
        <v>Limit (A)</v>
      </c>
      <c r="N61" s="3" t="str">
        <f t="shared" si="49"/>
        <v>Outstanding (A1)</v>
      </c>
      <c r="O61" s="3" t="str">
        <f t="shared" si="49"/>
        <v>Monthly Repayment (B)</v>
      </c>
      <c r="P61" s="3" t="str">
        <f t="shared" si="49"/>
        <v>Interest Rate (C)</v>
      </c>
      <c r="Q61" s="3" t="str">
        <f t="shared" si="49"/>
        <v>Factor (D)</v>
      </c>
      <c r="R61" s="3" t="str">
        <f t="shared" si="49"/>
        <v>Interest (E) = (A or A1) * (C) * (D)</v>
      </c>
      <c r="T61" s="27" t="s">
        <v>11</v>
      </c>
      <c r="U61" s="3" t="str">
        <f>U$43</f>
        <v>Source</v>
      </c>
      <c r="V61" s="3" t="str">
        <f t="shared" ref="V61:AA61" si="50">V$43</f>
        <v>Limit (A)</v>
      </c>
      <c r="W61" s="3" t="str">
        <f t="shared" si="50"/>
        <v>Outstanding (A1)</v>
      </c>
      <c r="X61" s="3" t="str">
        <f t="shared" si="50"/>
        <v>Monthly Repayment (B)</v>
      </c>
      <c r="Y61" s="3" t="str">
        <f t="shared" si="50"/>
        <v>Interest Rate (C)</v>
      </c>
      <c r="Z61" s="3" t="str">
        <f t="shared" si="50"/>
        <v>Factor (D)</v>
      </c>
      <c r="AA61" s="3" t="str">
        <f t="shared" si="50"/>
        <v>Interest (E) = (A or A1) * (C) * (D)</v>
      </c>
      <c r="AC61" s="27" t="s">
        <v>11</v>
      </c>
      <c r="AD61" s="3" t="str">
        <f>AD$43</f>
        <v>Source</v>
      </c>
      <c r="AE61" s="3" t="str">
        <f t="shared" ref="AE61:AJ61" si="51">AE$43</f>
        <v>Limit (A)</v>
      </c>
      <c r="AF61" s="3" t="str">
        <f t="shared" si="51"/>
        <v>Outstanding (A1)</v>
      </c>
      <c r="AG61" s="3" t="str">
        <f t="shared" si="51"/>
        <v>Monthly Repayment (B)</v>
      </c>
      <c r="AH61" s="3" t="str">
        <f t="shared" si="51"/>
        <v>Interest Rate (C)</v>
      </c>
      <c r="AI61" s="3" t="str">
        <f t="shared" si="51"/>
        <v>Factor (D)</v>
      </c>
      <c r="AJ61" s="3" t="str">
        <f t="shared" si="51"/>
        <v>Interest (E) = (A or A1) * (C) * (D)</v>
      </c>
      <c r="AL61" s="27" t="s">
        <v>11</v>
      </c>
      <c r="AM61" s="3" t="str">
        <f>AM$43</f>
        <v>Source</v>
      </c>
      <c r="AN61" s="3" t="str">
        <f t="shared" ref="AN61:AS61" si="52">AN$43</f>
        <v>Limit (A)</v>
      </c>
      <c r="AO61" s="3" t="str">
        <f t="shared" si="52"/>
        <v>Outstanding (A1)</v>
      </c>
      <c r="AP61" s="3" t="str">
        <f t="shared" si="52"/>
        <v>Monthly Repayment (B)</v>
      </c>
      <c r="AQ61" s="3" t="str">
        <f t="shared" si="52"/>
        <v>Interest Rate (C)</v>
      </c>
      <c r="AR61" s="3" t="str">
        <f t="shared" si="52"/>
        <v>Factor (D)</v>
      </c>
      <c r="AS61" s="3" t="str">
        <f t="shared" si="52"/>
        <v>Interest (E) = (A or A1) * (C) * (D)</v>
      </c>
      <c r="AU61" s="27" t="s">
        <v>11</v>
      </c>
      <c r="AV61" s="3" t="str">
        <f>AV$43</f>
        <v>Source</v>
      </c>
      <c r="AW61" s="3" t="str">
        <f t="shared" ref="AW61:BB61" si="53">AW$43</f>
        <v>Limit (A)</v>
      </c>
      <c r="AX61" s="3" t="str">
        <f t="shared" si="53"/>
        <v>Outstanding (A1)</v>
      </c>
      <c r="AY61" s="3" t="str">
        <f t="shared" si="53"/>
        <v>Monthly Repayment (B)</v>
      </c>
      <c r="AZ61" s="3" t="str">
        <f t="shared" si="53"/>
        <v>Interest Rate (C)</v>
      </c>
      <c r="BA61" s="3" t="str">
        <f t="shared" si="53"/>
        <v>Factor (D)</v>
      </c>
      <c r="BB61" s="3" t="str">
        <f t="shared" si="53"/>
        <v>Interest (E) = (A or A1) * (C) * (D)</v>
      </c>
      <c r="BD61" s="27" t="s">
        <v>11</v>
      </c>
      <c r="BE61" s="3" t="str">
        <f>BE$43</f>
        <v>Source</v>
      </c>
      <c r="BF61" s="3" t="str">
        <f t="shared" ref="BF61:BK61" si="54">BF$43</f>
        <v>Limit (A)</v>
      </c>
      <c r="BG61" s="3" t="str">
        <f t="shared" si="54"/>
        <v>Outstanding (A1)</v>
      </c>
      <c r="BH61" s="3" t="str">
        <f t="shared" si="54"/>
        <v>Monthly Repayment (B)</v>
      </c>
      <c r="BI61" s="3" t="str">
        <f t="shared" si="54"/>
        <v>Interest Rate (C)</v>
      </c>
      <c r="BJ61" s="3" t="str">
        <f t="shared" si="54"/>
        <v>Factor (D)</v>
      </c>
      <c r="BK61" s="3" t="str">
        <f t="shared" si="54"/>
        <v>Interest (E) = (A or A1) * (C) * (D)</v>
      </c>
    </row>
    <row r="62" spans="2:63">
      <c r="B62" s="41" t="s">
        <v>514</v>
      </c>
      <c r="C62" s="41" t="s">
        <v>355</v>
      </c>
      <c r="D62" s="40">
        <v>750000</v>
      </c>
      <c r="E62" s="40">
        <v>300000</v>
      </c>
      <c r="F62" s="40">
        <v>7500</v>
      </c>
      <c r="G62" s="31"/>
      <c r="H62" s="32"/>
      <c r="I62" s="29"/>
      <c r="K62" s="41" t="s">
        <v>514</v>
      </c>
      <c r="L62" s="41" t="s">
        <v>355</v>
      </c>
      <c r="M62" s="40">
        <v>750000</v>
      </c>
      <c r="N62" s="40">
        <v>300000</v>
      </c>
      <c r="O62" s="40">
        <v>7500</v>
      </c>
      <c r="P62" s="31"/>
      <c r="Q62" s="32"/>
      <c r="R62" s="29"/>
      <c r="T62" s="41" t="s">
        <v>514</v>
      </c>
      <c r="U62" s="41" t="s">
        <v>355</v>
      </c>
      <c r="V62" s="40">
        <v>750000</v>
      </c>
      <c r="W62" s="40">
        <v>300000</v>
      </c>
      <c r="X62" s="40">
        <v>7500</v>
      </c>
      <c r="Y62" s="31"/>
      <c r="Z62" s="32"/>
      <c r="AA62" s="29"/>
      <c r="AC62" s="41" t="s">
        <v>514</v>
      </c>
      <c r="AD62" s="41" t="s">
        <v>355</v>
      </c>
      <c r="AE62" s="40">
        <v>750000</v>
      </c>
      <c r="AF62" s="40">
        <v>300000</v>
      </c>
      <c r="AG62" s="40">
        <v>7500</v>
      </c>
      <c r="AH62" s="31"/>
      <c r="AI62" s="32"/>
      <c r="AJ62" s="29"/>
      <c r="AL62" s="41" t="s">
        <v>514</v>
      </c>
      <c r="AM62" s="41" t="s">
        <v>355</v>
      </c>
      <c r="AN62" s="40">
        <v>750000</v>
      </c>
      <c r="AO62" s="40">
        <v>300000</v>
      </c>
      <c r="AP62" s="40">
        <v>7500</v>
      </c>
      <c r="AQ62" s="31"/>
      <c r="AR62" s="32"/>
      <c r="AS62" s="29"/>
      <c r="AU62" s="41" t="s">
        <v>514</v>
      </c>
      <c r="AV62" s="41" t="s">
        <v>355</v>
      </c>
      <c r="AW62" s="40">
        <v>750000</v>
      </c>
      <c r="AX62" s="40">
        <v>300000</v>
      </c>
      <c r="AY62" s="40">
        <v>7500</v>
      </c>
      <c r="AZ62" s="31"/>
      <c r="BA62" s="32"/>
      <c r="BB62" s="29"/>
      <c r="BD62" s="41" t="s">
        <v>514</v>
      </c>
      <c r="BE62" s="41" t="s">
        <v>355</v>
      </c>
      <c r="BF62" s="40">
        <v>750000</v>
      </c>
      <c r="BG62" s="40">
        <v>300000</v>
      </c>
      <c r="BH62" s="40">
        <v>7500</v>
      </c>
      <c r="BI62" s="31"/>
      <c r="BJ62" s="32"/>
      <c r="BK62" s="29"/>
    </row>
    <row r="63" spans="2:63">
      <c r="B63" s="41" t="s">
        <v>514</v>
      </c>
      <c r="C63" s="41" t="s">
        <v>355</v>
      </c>
      <c r="D63" s="40"/>
      <c r="E63" s="40"/>
      <c r="F63" s="40"/>
      <c r="G63" s="31"/>
      <c r="H63" s="32"/>
      <c r="I63" s="29"/>
      <c r="K63" s="41" t="s">
        <v>514</v>
      </c>
      <c r="L63" s="41" t="s">
        <v>355</v>
      </c>
      <c r="M63" s="40"/>
      <c r="N63" s="40"/>
      <c r="O63" s="40"/>
      <c r="P63" s="31"/>
      <c r="Q63" s="32"/>
      <c r="R63" s="29"/>
      <c r="T63" s="41" t="s">
        <v>514</v>
      </c>
      <c r="U63" s="41" t="s">
        <v>355</v>
      </c>
      <c r="V63" s="40"/>
      <c r="W63" s="40"/>
      <c r="X63" s="40"/>
      <c r="Y63" s="31"/>
      <c r="Z63" s="32"/>
      <c r="AA63" s="29"/>
      <c r="AC63" s="41" t="s">
        <v>514</v>
      </c>
      <c r="AD63" s="41" t="s">
        <v>355</v>
      </c>
      <c r="AE63" s="40"/>
      <c r="AF63" s="40"/>
      <c r="AG63" s="40"/>
      <c r="AH63" s="31"/>
      <c r="AI63" s="32"/>
      <c r="AJ63" s="29"/>
      <c r="AL63" s="41" t="s">
        <v>514</v>
      </c>
      <c r="AM63" s="41" t="s">
        <v>355</v>
      </c>
      <c r="AN63" s="40"/>
      <c r="AO63" s="40"/>
      <c r="AP63" s="40"/>
      <c r="AQ63" s="31"/>
      <c r="AR63" s="32"/>
      <c r="AS63" s="29"/>
      <c r="AU63" s="41" t="s">
        <v>514</v>
      </c>
      <c r="AV63" s="41" t="s">
        <v>355</v>
      </c>
      <c r="AW63" s="40"/>
      <c r="AX63" s="40"/>
      <c r="AY63" s="40"/>
      <c r="AZ63" s="31"/>
      <c r="BA63" s="32"/>
      <c r="BB63" s="29"/>
      <c r="BD63" s="41" t="s">
        <v>514</v>
      </c>
      <c r="BE63" s="41" t="s">
        <v>355</v>
      </c>
      <c r="BF63" s="40"/>
      <c r="BG63" s="40"/>
      <c r="BH63" s="40"/>
      <c r="BI63" s="31"/>
      <c r="BJ63" s="32"/>
      <c r="BK63" s="29"/>
    </row>
    <row r="64" spans="2:63">
      <c r="B64" s="41" t="s">
        <v>514</v>
      </c>
      <c r="C64" s="41" t="s">
        <v>355</v>
      </c>
      <c r="D64" s="40"/>
      <c r="E64" s="40"/>
      <c r="F64" s="40"/>
      <c r="G64" s="31"/>
      <c r="H64" s="32"/>
      <c r="I64" s="29"/>
      <c r="K64" s="41" t="s">
        <v>514</v>
      </c>
      <c r="L64" s="41" t="s">
        <v>355</v>
      </c>
      <c r="M64" s="40"/>
      <c r="N64" s="40"/>
      <c r="O64" s="40"/>
      <c r="P64" s="31"/>
      <c r="Q64" s="32"/>
      <c r="R64" s="29"/>
      <c r="T64" s="41" t="s">
        <v>514</v>
      </c>
      <c r="U64" s="41" t="s">
        <v>355</v>
      </c>
      <c r="V64" s="40"/>
      <c r="W64" s="40"/>
      <c r="X64" s="40"/>
      <c r="Y64" s="31"/>
      <c r="Z64" s="32"/>
      <c r="AA64" s="29"/>
      <c r="AC64" s="41" t="s">
        <v>514</v>
      </c>
      <c r="AD64" s="41" t="s">
        <v>355</v>
      </c>
      <c r="AE64" s="40"/>
      <c r="AF64" s="40"/>
      <c r="AG64" s="40"/>
      <c r="AH64" s="31"/>
      <c r="AI64" s="32"/>
      <c r="AJ64" s="29"/>
      <c r="AL64" s="41" t="s">
        <v>514</v>
      </c>
      <c r="AM64" s="41" t="s">
        <v>355</v>
      </c>
      <c r="AN64" s="40"/>
      <c r="AO64" s="40"/>
      <c r="AP64" s="40"/>
      <c r="AQ64" s="31"/>
      <c r="AR64" s="32"/>
      <c r="AS64" s="29"/>
      <c r="AU64" s="41" t="s">
        <v>514</v>
      </c>
      <c r="AV64" s="41" t="s">
        <v>355</v>
      </c>
      <c r="AW64" s="40"/>
      <c r="AX64" s="40"/>
      <c r="AY64" s="40"/>
      <c r="AZ64" s="31"/>
      <c r="BA64" s="32"/>
      <c r="BB64" s="29"/>
      <c r="BD64" s="41" t="s">
        <v>514</v>
      </c>
      <c r="BE64" s="41" t="s">
        <v>355</v>
      </c>
      <c r="BF64" s="40"/>
      <c r="BG64" s="40"/>
      <c r="BH64" s="40"/>
      <c r="BI64" s="31"/>
      <c r="BJ64" s="32"/>
      <c r="BK64" s="29"/>
    </row>
    <row r="65" spans="2:63">
      <c r="B65" s="41" t="s">
        <v>514</v>
      </c>
      <c r="C65" s="41" t="s">
        <v>355</v>
      </c>
      <c r="D65" s="40"/>
      <c r="E65" s="40"/>
      <c r="F65" s="40"/>
      <c r="G65" s="31"/>
      <c r="H65" s="32"/>
      <c r="I65" s="29"/>
      <c r="K65" s="41" t="s">
        <v>514</v>
      </c>
      <c r="L65" s="41" t="s">
        <v>355</v>
      </c>
      <c r="M65" s="40"/>
      <c r="N65" s="40"/>
      <c r="O65" s="40"/>
      <c r="P65" s="31"/>
      <c r="Q65" s="32"/>
      <c r="R65" s="29"/>
      <c r="T65" s="41" t="s">
        <v>514</v>
      </c>
      <c r="U65" s="41" t="s">
        <v>355</v>
      </c>
      <c r="V65" s="40"/>
      <c r="W65" s="40"/>
      <c r="X65" s="40"/>
      <c r="Y65" s="31"/>
      <c r="Z65" s="32"/>
      <c r="AA65" s="29"/>
      <c r="AC65" s="41" t="s">
        <v>514</v>
      </c>
      <c r="AD65" s="41" t="s">
        <v>355</v>
      </c>
      <c r="AE65" s="40"/>
      <c r="AF65" s="40"/>
      <c r="AG65" s="40"/>
      <c r="AH65" s="31"/>
      <c r="AI65" s="32"/>
      <c r="AJ65" s="29"/>
      <c r="AL65" s="41" t="s">
        <v>514</v>
      </c>
      <c r="AM65" s="41" t="s">
        <v>355</v>
      </c>
      <c r="AN65" s="40"/>
      <c r="AO65" s="40"/>
      <c r="AP65" s="40"/>
      <c r="AQ65" s="31"/>
      <c r="AR65" s="32"/>
      <c r="AS65" s="29"/>
      <c r="AU65" s="41" t="s">
        <v>514</v>
      </c>
      <c r="AV65" s="41" t="s">
        <v>355</v>
      </c>
      <c r="AW65" s="40"/>
      <c r="AX65" s="40"/>
      <c r="AY65" s="40"/>
      <c r="AZ65" s="31"/>
      <c r="BA65" s="32"/>
      <c r="BB65" s="29"/>
      <c r="BD65" s="41" t="s">
        <v>514</v>
      </c>
      <c r="BE65" s="41" t="s">
        <v>355</v>
      </c>
      <c r="BF65" s="40"/>
      <c r="BG65" s="40"/>
      <c r="BH65" s="40"/>
      <c r="BI65" s="31"/>
      <c r="BJ65" s="32"/>
      <c r="BK65" s="29"/>
    </row>
    <row r="66" spans="2:63">
      <c r="B66" s="41" t="s">
        <v>514</v>
      </c>
      <c r="C66" s="41" t="s">
        <v>355</v>
      </c>
      <c r="D66" s="40"/>
      <c r="E66" s="40"/>
      <c r="F66" s="40"/>
      <c r="G66" s="31"/>
      <c r="H66" s="32"/>
      <c r="I66" s="29"/>
      <c r="K66" s="41" t="s">
        <v>514</v>
      </c>
      <c r="L66" s="41" t="s">
        <v>355</v>
      </c>
      <c r="M66" s="40"/>
      <c r="N66" s="40"/>
      <c r="O66" s="40"/>
      <c r="P66" s="31"/>
      <c r="Q66" s="32"/>
      <c r="R66" s="29"/>
      <c r="T66" s="41" t="s">
        <v>514</v>
      </c>
      <c r="U66" s="41" t="s">
        <v>355</v>
      </c>
      <c r="V66" s="40"/>
      <c r="W66" s="40"/>
      <c r="X66" s="40"/>
      <c r="Y66" s="31"/>
      <c r="Z66" s="32"/>
      <c r="AA66" s="29"/>
      <c r="AC66" s="41" t="s">
        <v>514</v>
      </c>
      <c r="AD66" s="41" t="s">
        <v>355</v>
      </c>
      <c r="AE66" s="40"/>
      <c r="AF66" s="40"/>
      <c r="AG66" s="40"/>
      <c r="AH66" s="31"/>
      <c r="AI66" s="32"/>
      <c r="AJ66" s="29"/>
      <c r="AL66" s="41" t="s">
        <v>514</v>
      </c>
      <c r="AM66" s="41" t="s">
        <v>355</v>
      </c>
      <c r="AN66" s="40"/>
      <c r="AO66" s="40"/>
      <c r="AP66" s="40"/>
      <c r="AQ66" s="31"/>
      <c r="AR66" s="32"/>
      <c r="AS66" s="29"/>
      <c r="AU66" s="41" t="s">
        <v>514</v>
      </c>
      <c r="AV66" s="41" t="s">
        <v>355</v>
      </c>
      <c r="AW66" s="40"/>
      <c r="AX66" s="40"/>
      <c r="AY66" s="40"/>
      <c r="AZ66" s="31"/>
      <c r="BA66" s="32"/>
      <c r="BB66" s="29"/>
      <c r="BD66" s="41" t="s">
        <v>514</v>
      </c>
      <c r="BE66" s="41" t="s">
        <v>355</v>
      </c>
      <c r="BF66" s="40"/>
      <c r="BG66" s="40"/>
      <c r="BH66" s="40"/>
      <c r="BI66" s="31"/>
      <c r="BJ66" s="32"/>
      <c r="BK66" s="29"/>
    </row>
    <row r="67" spans="2:63">
      <c r="B67" s="41" t="s">
        <v>514</v>
      </c>
      <c r="C67" s="41" t="s">
        <v>355</v>
      </c>
      <c r="D67" s="40"/>
      <c r="E67" s="40"/>
      <c r="F67" s="40"/>
      <c r="G67" s="31"/>
      <c r="H67" s="32"/>
      <c r="I67" s="29"/>
      <c r="K67" s="41" t="s">
        <v>514</v>
      </c>
      <c r="L67" s="41" t="s">
        <v>355</v>
      </c>
      <c r="M67" s="40"/>
      <c r="N67" s="40"/>
      <c r="O67" s="40"/>
      <c r="P67" s="31"/>
      <c r="Q67" s="32"/>
      <c r="R67" s="29"/>
      <c r="T67" s="41" t="s">
        <v>514</v>
      </c>
      <c r="U67" s="41" t="s">
        <v>355</v>
      </c>
      <c r="V67" s="40"/>
      <c r="W67" s="40"/>
      <c r="X67" s="40"/>
      <c r="Y67" s="31"/>
      <c r="Z67" s="32"/>
      <c r="AA67" s="29"/>
      <c r="AC67" s="41" t="s">
        <v>514</v>
      </c>
      <c r="AD67" s="41" t="s">
        <v>355</v>
      </c>
      <c r="AE67" s="40"/>
      <c r="AF67" s="40"/>
      <c r="AG67" s="40"/>
      <c r="AH67" s="31"/>
      <c r="AI67" s="32"/>
      <c r="AJ67" s="29"/>
      <c r="AL67" s="41" t="s">
        <v>514</v>
      </c>
      <c r="AM67" s="41" t="s">
        <v>355</v>
      </c>
      <c r="AN67" s="40"/>
      <c r="AO67" s="40"/>
      <c r="AP67" s="40"/>
      <c r="AQ67" s="31"/>
      <c r="AR67" s="32"/>
      <c r="AS67" s="29"/>
      <c r="AU67" s="41" t="s">
        <v>514</v>
      </c>
      <c r="AV67" s="41" t="s">
        <v>355</v>
      </c>
      <c r="AW67" s="40"/>
      <c r="AX67" s="40"/>
      <c r="AY67" s="40"/>
      <c r="AZ67" s="31"/>
      <c r="BA67" s="32"/>
      <c r="BB67" s="29"/>
      <c r="BD67" s="41" t="s">
        <v>514</v>
      </c>
      <c r="BE67" s="41" t="s">
        <v>355</v>
      </c>
      <c r="BF67" s="40"/>
      <c r="BG67" s="40"/>
      <c r="BH67" s="40"/>
      <c r="BI67" s="31"/>
      <c r="BJ67" s="32"/>
      <c r="BK67" s="29"/>
    </row>
    <row r="68" spans="2:63">
      <c r="B68" s="41" t="s">
        <v>514</v>
      </c>
      <c r="C68" s="41" t="s">
        <v>355</v>
      </c>
      <c r="D68" s="40"/>
      <c r="E68" s="40"/>
      <c r="F68" s="40"/>
      <c r="G68" s="31"/>
      <c r="H68" s="32"/>
      <c r="I68" s="29"/>
      <c r="K68" s="41" t="s">
        <v>514</v>
      </c>
      <c r="L68" s="41" t="s">
        <v>355</v>
      </c>
      <c r="M68" s="40"/>
      <c r="N68" s="40"/>
      <c r="O68" s="40"/>
      <c r="P68" s="31"/>
      <c r="Q68" s="32"/>
      <c r="R68" s="29"/>
      <c r="T68" s="41" t="s">
        <v>514</v>
      </c>
      <c r="U68" s="41" t="s">
        <v>355</v>
      </c>
      <c r="V68" s="40"/>
      <c r="W68" s="40"/>
      <c r="X68" s="40"/>
      <c r="Y68" s="31"/>
      <c r="Z68" s="32"/>
      <c r="AA68" s="29"/>
      <c r="AC68" s="41" t="s">
        <v>514</v>
      </c>
      <c r="AD68" s="41" t="s">
        <v>355</v>
      </c>
      <c r="AE68" s="40"/>
      <c r="AF68" s="40"/>
      <c r="AG68" s="40"/>
      <c r="AH68" s="31"/>
      <c r="AI68" s="32"/>
      <c r="AJ68" s="29"/>
      <c r="AL68" s="41" t="s">
        <v>514</v>
      </c>
      <c r="AM68" s="41" t="s">
        <v>355</v>
      </c>
      <c r="AN68" s="40"/>
      <c r="AO68" s="40"/>
      <c r="AP68" s="40"/>
      <c r="AQ68" s="31"/>
      <c r="AR68" s="32"/>
      <c r="AS68" s="29"/>
      <c r="AU68" s="41" t="s">
        <v>514</v>
      </c>
      <c r="AV68" s="41" t="s">
        <v>355</v>
      </c>
      <c r="AW68" s="40"/>
      <c r="AX68" s="40"/>
      <c r="AY68" s="40"/>
      <c r="AZ68" s="31"/>
      <c r="BA68" s="32"/>
      <c r="BB68" s="29"/>
      <c r="BD68" s="41" t="s">
        <v>514</v>
      </c>
      <c r="BE68" s="41" t="s">
        <v>355</v>
      </c>
      <c r="BF68" s="40"/>
      <c r="BG68" s="40"/>
      <c r="BH68" s="40"/>
      <c r="BI68" s="31"/>
      <c r="BJ68" s="32"/>
      <c r="BK68" s="29"/>
    </row>
    <row r="69" spans="2:63">
      <c r="B69" s="41" t="s">
        <v>514</v>
      </c>
      <c r="C69" s="41" t="s">
        <v>355</v>
      </c>
      <c r="D69" s="40"/>
      <c r="E69" s="40"/>
      <c r="F69" s="40"/>
      <c r="G69" s="31"/>
      <c r="H69" s="32"/>
      <c r="I69" s="29"/>
      <c r="K69" s="41" t="s">
        <v>514</v>
      </c>
      <c r="L69" s="41" t="s">
        <v>355</v>
      </c>
      <c r="M69" s="40"/>
      <c r="N69" s="40"/>
      <c r="O69" s="40"/>
      <c r="P69" s="31"/>
      <c r="Q69" s="32"/>
      <c r="R69" s="29"/>
      <c r="T69" s="41" t="s">
        <v>514</v>
      </c>
      <c r="U69" s="41" t="s">
        <v>355</v>
      </c>
      <c r="V69" s="40"/>
      <c r="W69" s="40"/>
      <c r="X69" s="40"/>
      <c r="Y69" s="31"/>
      <c r="Z69" s="32"/>
      <c r="AA69" s="29"/>
      <c r="AC69" s="41" t="s">
        <v>514</v>
      </c>
      <c r="AD69" s="41" t="s">
        <v>355</v>
      </c>
      <c r="AE69" s="40"/>
      <c r="AF69" s="40"/>
      <c r="AG69" s="40"/>
      <c r="AH69" s="31"/>
      <c r="AI69" s="32"/>
      <c r="AJ69" s="29"/>
      <c r="AL69" s="41" t="s">
        <v>514</v>
      </c>
      <c r="AM69" s="41" t="s">
        <v>355</v>
      </c>
      <c r="AN69" s="40"/>
      <c r="AO69" s="40"/>
      <c r="AP69" s="40"/>
      <c r="AQ69" s="31"/>
      <c r="AR69" s="32"/>
      <c r="AS69" s="29"/>
      <c r="AU69" s="41" t="s">
        <v>514</v>
      </c>
      <c r="AV69" s="41" t="s">
        <v>355</v>
      </c>
      <c r="AW69" s="40"/>
      <c r="AX69" s="40"/>
      <c r="AY69" s="40"/>
      <c r="AZ69" s="31"/>
      <c r="BA69" s="32"/>
      <c r="BB69" s="29"/>
      <c r="BD69" s="41" t="s">
        <v>514</v>
      </c>
      <c r="BE69" s="41" t="s">
        <v>355</v>
      </c>
      <c r="BF69" s="40"/>
      <c r="BG69" s="40"/>
      <c r="BH69" s="40"/>
      <c r="BI69" s="31"/>
      <c r="BJ69" s="32"/>
      <c r="BK69" s="29"/>
    </row>
    <row r="70" spans="2:63">
      <c r="B70" s="41" t="s">
        <v>514</v>
      </c>
      <c r="C70" s="41" t="s">
        <v>355</v>
      </c>
      <c r="D70" s="40"/>
      <c r="E70" s="40"/>
      <c r="F70" s="40"/>
      <c r="G70" s="31"/>
      <c r="H70" s="32"/>
      <c r="I70" s="29"/>
      <c r="K70" s="41" t="s">
        <v>514</v>
      </c>
      <c r="L70" s="41" t="s">
        <v>355</v>
      </c>
      <c r="M70" s="40"/>
      <c r="N70" s="40"/>
      <c r="O70" s="40"/>
      <c r="P70" s="31"/>
      <c r="Q70" s="32"/>
      <c r="R70" s="29"/>
      <c r="T70" s="41" t="s">
        <v>514</v>
      </c>
      <c r="U70" s="41" t="s">
        <v>355</v>
      </c>
      <c r="V70" s="40"/>
      <c r="W70" s="40"/>
      <c r="X70" s="40"/>
      <c r="Y70" s="31"/>
      <c r="Z70" s="32"/>
      <c r="AA70" s="29"/>
      <c r="AC70" s="41" t="s">
        <v>514</v>
      </c>
      <c r="AD70" s="41" t="s">
        <v>355</v>
      </c>
      <c r="AE70" s="40"/>
      <c r="AF70" s="40"/>
      <c r="AG70" s="40"/>
      <c r="AH70" s="31"/>
      <c r="AI70" s="32"/>
      <c r="AJ70" s="29"/>
      <c r="AL70" s="41" t="s">
        <v>514</v>
      </c>
      <c r="AM70" s="41" t="s">
        <v>355</v>
      </c>
      <c r="AN70" s="40"/>
      <c r="AO70" s="40"/>
      <c r="AP70" s="40"/>
      <c r="AQ70" s="31"/>
      <c r="AR70" s="32"/>
      <c r="AS70" s="29"/>
      <c r="AU70" s="41" t="s">
        <v>514</v>
      </c>
      <c r="AV70" s="41" t="s">
        <v>355</v>
      </c>
      <c r="AW70" s="40"/>
      <c r="AX70" s="40"/>
      <c r="AY70" s="40"/>
      <c r="AZ70" s="31"/>
      <c r="BA70" s="32"/>
      <c r="BB70" s="29"/>
      <c r="BD70" s="41" t="s">
        <v>514</v>
      </c>
      <c r="BE70" s="41" t="s">
        <v>355</v>
      </c>
      <c r="BF70" s="40"/>
      <c r="BG70" s="40"/>
      <c r="BH70" s="40"/>
      <c r="BI70" s="31"/>
      <c r="BJ70" s="32"/>
      <c r="BK70" s="29"/>
    </row>
    <row r="71" spans="2:63">
      <c r="B71" s="41" t="s">
        <v>514</v>
      </c>
      <c r="C71" s="41" t="s">
        <v>355</v>
      </c>
      <c r="D71" s="40"/>
      <c r="E71" s="40"/>
      <c r="F71" s="40"/>
      <c r="G71" s="31"/>
      <c r="H71" s="32"/>
      <c r="I71" s="29"/>
      <c r="K71" s="41" t="s">
        <v>514</v>
      </c>
      <c r="L71" s="41" t="s">
        <v>355</v>
      </c>
      <c r="M71" s="40"/>
      <c r="N71" s="40"/>
      <c r="O71" s="40"/>
      <c r="P71" s="31"/>
      <c r="Q71" s="32"/>
      <c r="R71" s="29"/>
      <c r="T71" s="41" t="s">
        <v>514</v>
      </c>
      <c r="U71" s="41" t="s">
        <v>355</v>
      </c>
      <c r="V71" s="40"/>
      <c r="W71" s="40"/>
      <c r="X71" s="40"/>
      <c r="Y71" s="31"/>
      <c r="Z71" s="32"/>
      <c r="AA71" s="29"/>
      <c r="AC71" s="41" t="s">
        <v>514</v>
      </c>
      <c r="AD71" s="41" t="s">
        <v>355</v>
      </c>
      <c r="AE71" s="40"/>
      <c r="AF71" s="40"/>
      <c r="AG71" s="40"/>
      <c r="AH71" s="31"/>
      <c r="AI71" s="32"/>
      <c r="AJ71" s="29"/>
      <c r="AL71" s="41" t="s">
        <v>514</v>
      </c>
      <c r="AM71" s="41" t="s">
        <v>355</v>
      </c>
      <c r="AN71" s="40"/>
      <c r="AO71" s="40"/>
      <c r="AP71" s="40"/>
      <c r="AQ71" s="31"/>
      <c r="AR71" s="32"/>
      <c r="AS71" s="29"/>
      <c r="AU71" s="41" t="s">
        <v>514</v>
      </c>
      <c r="AV71" s="41" t="s">
        <v>355</v>
      </c>
      <c r="AW71" s="40"/>
      <c r="AX71" s="40"/>
      <c r="AY71" s="40"/>
      <c r="AZ71" s="31"/>
      <c r="BA71" s="32"/>
      <c r="BB71" s="29"/>
      <c r="BD71" s="41" t="s">
        <v>514</v>
      </c>
      <c r="BE71" s="41" t="s">
        <v>355</v>
      </c>
      <c r="BF71" s="40"/>
      <c r="BG71" s="40"/>
      <c r="BH71" s="40"/>
      <c r="BI71" s="31"/>
      <c r="BJ71" s="32"/>
      <c r="BK71" s="29"/>
    </row>
    <row r="72" spans="2:63">
      <c r="B72" s="41" t="s">
        <v>514</v>
      </c>
      <c r="C72" s="41" t="s">
        <v>355</v>
      </c>
      <c r="D72" s="40"/>
      <c r="E72" s="40"/>
      <c r="F72" s="40"/>
      <c r="G72" s="31"/>
      <c r="H72" s="32"/>
      <c r="I72" s="29"/>
      <c r="K72" s="41" t="s">
        <v>514</v>
      </c>
      <c r="L72" s="41" t="s">
        <v>355</v>
      </c>
      <c r="M72" s="40"/>
      <c r="N72" s="40"/>
      <c r="O72" s="40"/>
      <c r="P72" s="31"/>
      <c r="Q72" s="32"/>
      <c r="R72" s="29"/>
      <c r="T72" s="41" t="s">
        <v>514</v>
      </c>
      <c r="U72" s="41" t="s">
        <v>355</v>
      </c>
      <c r="V72" s="40"/>
      <c r="W72" s="40"/>
      <c r="X72" s="40"/>
      <c r="Y72" s="31"/>
      <c r="Z72" s="32"/>
      <c r="AA72" s="29"/>
      <c r="AC72" s="41" t="s">
        <v>514</v>
      </c>
      <c r="AD72" s="41" t="s">
        <v>355</v>
      </c>
      <c r="AE72" s="40"/>
      <c r="AF72" s="40"/>
      <c r="AG72" s="40"/>
      <c r="AH72" s="31"/>
      <c r="AI72" s="32"/>
      <c r="AJ72" s="29"/>
      <c r="AL72" s="41" t="s">
        <v>514</v>
      </c>
      <c r="AM72" s="41" t="s">
        <v>355</v>
      </c>
      <c r="AN72" s="40"/>
      <c r="AO72" s="40"/>
      <c r="AP72" s="40"/>
      <c r="AQ72" s="31"/>
      <c r="AR72" s="32"/>
      <c r="AS72" s="29"/>
      <c r="AU72" s="41" t="s">
        <v>514</v>
      </c>
      <c r="AV72" s="41" t="s">
        <v>355</v>
      </c>
      <c r="AW72" s="40"/>
      <c r="AX72" s="40"/>
      <c r="AY72" s="40"/>
      <c r="AZ72" s="31"/>
      <c r="BA72" s="32"/>
      <c r="BB72" s="29"/>
      <c r="BD72" s="41" t="s">
        <v>514</v>
      </c>
      <c r="BE72" s="41" t="s">
        <v>355</v>
      </c>
      <c r="BF72" s="40"/>
      <c r="BG72" s="40"/>
      <c r="BH72" s="40"/>
      <c r="BI72" s="31"/>
      <c r="BJ72" s="32"/>
      <c r="BK72" s="29"/>
    </row>
    <row r="73" spans="2:63">
      <c r="B73" s="41" t="s">
        <v>514</v>
      </c>
      <c r="C73" s="41" t="s">
        <v>355</v>
      </c>
      <c r="D73" s="40"/>
      <c r="E73" s="40"/>
      <c r="F73" s="40"/>
      <c r="G73" s="31"/>
      <c r="H73" s="32"/>
      <c r="I73" s="29"/>
      <c r="K73" s="41" t="s">
        <v>514</v>
      </c>
      <c r="L73" s="41" t="s">
        <v>355</v>
      </c>
      <c r="M73" s="40"/>
      <c r="N73" s="40"/>
      <c r="O73" s="40"/>
      <c r="P73" s="31"/>
      <c r="Q73" s="32"/>
      <c r="R73" s="29"/>
      <c r="T73" s="41" t="s">
        <v>514</v>
      </c>
      <c r="U73" s="41" t="s">
        <v>355</v>
      </c>
      <c r="V73" s="40"/>
      <c r="W73" s="40"/>
      <c r="X73" s="40"/>
      <c r="Y73" s="31"/>
      <c r="Z73" s="32"/>
      <c r="AA73" s="29"/>
      <c r="AC73" s="41" t="s">
        <v>514</v>
      </c>
      <c r="AD73" s="41" t="s">
        <v>355</v>
      </c>
      <c r="AE73" s="40"/>
      <c r="AF73" s="40"/>
      <c r="AG73" s="40"/>
      <c r="AH73" s="31"/>
      <c r="AI73" s="32"/>
      <c r="AJ73" s="29"/>
      <c r="AL73" s="41" t="s">
        <v>514</v>
      </c>
      <c r="AM73" s="41" t="s">
        <v>355</v>
      </c>
      <c r="AN73" s="40"/>
      <c r="AO73" s="40"/>
      <c r="AP73" s="40"/>
      <c r="AQ73" s="31"/>
      <c r="AR73" s="32"/>
      <c r="AS73" s="29"/>
      <c r="AU73" s="41" t="s">
        <v>514</v>
      </c>
      <c r="AV73" s="41" t="s">
        <v>355</v>
      </c>
      <c r="AW73" s="40"/>
      <c r="AX73" s="40"/>
      <c r="AY73" s="40"/>
      <c r="AZ73" s="31"/>
      <c r="BA73" s="32"/>
      <c r="BB73" s="29"/>
      <c r="BD73" s="41" t="s">
        <v>514</v>
      </c>
      <c r="BE73" s="41" t="s">
        <v>355</v>
      </c>
      <c r="BF73" s="40"/>
      <c r="BG73" s="40"/>
      <c r="BH73" s="40"/>
      <c r="BI73" s="31"/>
      <c r="BJ73" s="32"/>
      <c r="BK73" s="29"/>
    </row>
    <row r="74" spans="2:63">
      <c r="B74" s="41" t="s">
        <v>514</v>
      </c>
      <c r="C74" s="41" t="s">
        <v>355</v>
      </c>
      <c r="D74" s="40"/>
      <c r="E74" s="40"/>
      <c r="F74" s="40"/>
      <c r="G74" s="31"/>
      <c r="H74" s="32"/>
      <c r="I74" s="29"/>
      <c r="K74" s="41" t="s">
        <v>514</v>
      </c>
      <c r="L74" s="41" t="s">
        <v>355</v>
      </c>
      <c r="M74" s="40"/>
      <c r="N74" s="40"/>
      <c r="O74" s="40"/>
      <c r="P74" s="31"/>
      <c r="Q74" s="32"/>
      <c r="R74" s="29"/>
      <c r="T74" s="41" t="s">
        <v>514</v>
      </c>
      <c r="U74" s="41" t="s">
        <v>355</v>
      </c>
      <c r="V74" s="40"/>
      <c r="W74" s="40"/>
      <c r="X74" s="40"/>
      <c r="Y74" s="31"/>
      <c r="Z74" s="32"/>
      <c r="AA74" s="29"/>
      <c r="AC74" s="41" t="s">
        <v>514</v>
      </c>
      <c r="AD74" s="41" t="s">
        <v>355</v>
      </c>
      <c r="AE74" s="40"/>
      <c r="AF74" s="40"/>
      <c r="AG74" s="40"/>
      <c r="AH74" s="31"/>
      <c r="AI74" s="32"/>
      <c r="AJ74" s="29"/>
      <c r="AL74" s="41" t="s">
        <v>514</v>
      </c>
      <c r="AM74" s="41" t="s">
        <v>355</v>
      </c>
      <c r="AN74" s="40"/>
      <c r="AO74" s="40"/>
      <c r="AP74" s="40"/>
      <c r="AQ74" s="31"/>
      <c r="AR74" s="32"/>
      <c r="AS74" s="29"/>
      <c r="AU74" s="41" t="s">
        <v>514</v>
      </c>
      <c r="AV74" s="41" t="s">
        <v>355</v>
      </c>
      <c r="AW74" s="40"/>
      <c r="AX74" s="40"/>
      <c r="AY74" s="40"/>
      <c r="AZ74" s="31"/>
      <c r="BA74" s="32"/>
      <c r="BB74" s="29"/>
      <c r="BD74" s="41" t="s">
        <v>514</v>
      </c>
      <c r="BE74" s="41" t="s">
        <v>355</v>
      </c>
      <c r="BF74" s="40"/>
      <c r="BG74" s="40"/>
      <c r="BH74" s="40"/>
      <c r="BI74" s="31"/>
      <c r="BJ74" s="32"/>
      <c r="BK74" s="29"/>
    </row>
    <row r="75" spans="2:63">
      <c r="B75" s="41" t="s">
        <v>514</v>
      </c>
      <c r="C75" s="41" t="s">
        <v>355</v>
      </c>
      <c r="D75" s="40"/>
      <c r="E75" s="40"/>
      <c r="F75" s="40"/>
      <c r="G75" s="31"/>
      <c r="H75" s="32"/>
      <c r="I75" s="29"/>
      <c r="K75" s="41" t="s">
        <v>514</v>
      </c>
      <c r="L75" s="41" t="s">
        <v>355</v>
      </c>
      <c r="M75" s="40"/>
      <c r="N75" s="40"/>
      <c r="O75" s="40"/>
      <c r="P75" s="31"/>
      <c r="Q75" s="32"/>
      <c r="R75" s="29"/>
      <c r="T75" s="41" t="s">
        <v>514</v>
      </c>
      <c r="U75" s="41" t="s">
        <v>355</v>
      </c>
      <c r="V75" s="40"/>
      <c r="W75" s="40"/>
      <c r="X75" s="40"/>
      <c r="Y75" s="31"/>
      <c r="Z75" s="32"/>
      <c r="AA75" s="29"/>
      <c r="AC75" s="41" t="s">
        <v>514</v>
      </c>
      <c r="AD75" s="41" t="s">
        <v>355</v>
      </c>
      <c r="AE75" s="40"/>
      <c r="AF75" s="40"/>
      <c r="AG75" s="40"/>
      <c r="AH75" s="31"/>
      <c r="AI75" s="32"/>
      <c r="AJ75" s="29"/>
      <c r="AL75" s="41" t="s">
        <v>514</v>
      </c>
      <c r="AM75" s="41" t="s">
        <v>355</v>
      </c>
      <c r="AN75" s="40"/>
      <c r="AO75" s="40"/>
      <c r="AP75" s="40"/>
      <c r="AQ75" s="31"/>
      <c r="AR75" s="32"/>
      <c r="AS75" s="29"/>
      <c r="AU75" s="41" t="s">
        <v>514</v>
      </c>
      <c r="AV75" s="41" t="s">
        <v>355</v>
      </c>
      <c r="AW75" s="40"/>
      <c r="AX75" s="40"/>
      <c r="AY75" s="40"/>
      <c r="AZ75" s="31"/>
      <c r="BA75" s="32"/>
      <c r="BB75" s="29"/>
      <c r="BD75" s="41" t="s">
        <v>514</v>
      </c>
      <c r="BE75" s="41" t="s">
        <v>355</v>
      </c>
      <c r="BF75" s="40"/>
      <c r="BG75" s="40"/>
      <c r="BH75" s="40"/>
      <c r="BI75" s="31"/>
      <c r="BJ75" s="32"/>
      <c r="BK75" s="29"/>
    </row>
    <row r="76" spans="2:63">
      <c r="B76" s="41" t="s">
        <v>514</v>
      </c>
      <c r="C76" s="41" t="s">
        <v>355</v>
      </c>
      <c r="D76" s="40"/>
      <c r="E76" s="40"/>
      <c r="F76" s="40"/>
      <c r="G76" s="31"/>
      <c r="H76" s="32"/>
      <c r="I76" s="29"/>
      <c r="K76" s="41" t="s">
        <v>514</v>
      </c>
      <c r="L76" s="41" t="s">
        <v>355</v>
      </c>
      <c r="M76" s="40"/>
      <c r="N76" s="40"/>
      <c r="O76" s="40"/>
      <c r="P76" s="31"/>
      <c r="Q76" s="32"/>
      <c r="R76" s="29"/>
      <c r="T76" s="41" t="s">
        <v>514</v>
      </c>
      <c r="U76" s="41" t="s">
        <v>355</v>
      </c>
      <c r="V76" s="40"/>
      <c r="W76" s="40"/>
      <c r="X76" s="40"/>
      <c r="Y76" s="31"/>
      <c r="Z76" s="32"/>
      <c r="AA76" s="29"/>
      <c r="AC76" s="41" t="s">
        <v>514</v>
      </c>
      <c r="AD76" s="41" t="s">
        <v>355</v>
      </c>
      <c r="AE76" s="40"/>
      <c r="AF76" s="40"/>
      <c r="AG76" s="40"/>
      <c r="AH76" s="31"/>
      <c r="AI76" s="32"/>
      <c r="AJ76" s="29"/>
      <c r="AL76" s="41" t="s">
        <v>514</v>
      </c>
      <c r="AM76" s="41" t="s">
        <v>355</v>
      </c>
      <c r="AN76" s="40"/>
      <c r="AO76" s="40"/>
      <c r="AP76" s="40"/>
      <c r="AQ76" s="31"/>
      <c r="AR76" s="32"/>
      <c r="AS76" s="29"/>
      <c r="AU76" s="41" t="s">
        <v>514</v>
      </c>
      <c r="AV76" s="41" t="s">
        <v>355</v>
      </c>
      <c r="AW76" s="40"/>
      <c r="AX76" s="40"/>
      <c r="AY76" s="40"/>
      <c r="AZ76" s="31"/>
      <c r="BA76" s="32"/>
      <c r="BB76" s="29"/>
      <c r="BD76" s="41" t="s">
        <v>514</v>
      </c>
      <c r="BE76" s="41" t="s">
        <v>355</v>
      </c>
      <c r="BF76" s="40"/>
      <c r="BG76" s="40"/>
      <c r="BH76" s="40"/>
      <c r="BI76" s="31"/>
      <c r="BJ76" s="32"/>
      <c r="BK76" s="29"/>
    </row>
    <row r="77" spans="2:63" s="24" customFormat="1">
      <c r="B77" s="8" t="s">
        <v>515</v>
      </c>
      <c r="C77" s="25"/>
      <c r="D77" s="28">
        <f t="shared" ref="D77:F77" si="55">SUM(D62:D76)</f>
        <v>750000</v>
      </c>
      <c r="E77" s="28">
        <f t="shared" si="55"/>
        <v>300000</v>
      </c>
      <c r="F77" s="28">
        <f t="shared" si="55"/>
        <v>7500</v>
      </c>
      <c r="G77" s="25"/>
      <c r="H77" s="26"/>
      <c r="I77" s="30"/>
      <c r="K77" s="8" t="s">
        <v>515</v>
      </c>
      <c r="L77" s="25"/>
      <c r="M77" s="28">
        <f t="shared" ref="M77:O77" si="56">SUM(M62:M76)</f>
        <v>750000</v>
      </c>
      <c r="N77" s="28">
        <f t="shared" si="56"/>
        <v>300000</v>
      </c>
      <c r="O77" s="28">
        <f t="shared" si="56"/>
        <v>7500</v>
      </c>
      <c r="P77" s="25"/>
      <c r="Q77" s="26"/>
      <c r="R77" s="30"/>
      <c r="T77" s="8" t="s">
        <v>515</v>
      </c>
      <c r="U77" s="25"/>
      <c r="V77" s="28">
        <f t="shared" ref="V77:X77" si="57">SUM(V62:V76)</f>
        <v>750000</v>
      </c>
      <c r="W77" s="28">
        <f t="shared" si="57"/>
        <v>300000</v>
      </c>
      <c r="X77" s="28">
        <f t="shared" si="57"/>
        <v>7500</v>
      </c>
      <c r="Y77" s="25"/>
      <c r="Z77" s="26"/>
      <c r="AA77" s="30"/>
      <c r="AC77" s="8" t="s">
        <v>515</v>
      </c>
      <c r="AD77" s="25"/>
      <c r="AE77" s="28">
        <f t="shared" ref="AE77:AG77" si="58">SUM(AE62:AE76)</f>
        <v>750000</v>
      </c>
      <c r="AF77" s="28">
        <f t="shared" si="58"/>
        <v>300000</v>
      </c>
      <c r="AG77" s="28">
        <f t="shared" si="58"/>
        <v>7500</v>
      </c>
      <c r="AH77" s="25"/>
      <c r="AI77" s="26"/>
      <c r="AJ77" s="30"/>
      <c r="AL77" s="8" t="s">
        <v>515</v>
      </c>
      <c r="AM77" s="25"/>
      <c r="AN77" s="28">
        <f t="shared" ref="AN77:AP77" si="59">SUM(AN62:AN76)</f>
        <v>750000</v>
      </c>
      <c r="AO77" s="28">
        <f t="shared" si="59"/>
        <v>300000</v>
      </c>
      <c r="AP77" s="28">
        <f t="shared" si="59"/>
        <v>7500</v>
      </c>
      <c r="AQ77" s="25"/>
      <c r="AR77" s="26"/>
      <c r="AS77" s="30"/>
      <c r="AU77" s="8" t="s">
        <v>515</v>
      </c>
      <c r="AV77" s="25"/>
      <c r="AW77" s="28">
        <f t="shared" ref="AW77:AY77" si="60">SUM(AW62:AW76)</f>
        <v>750000</v>
      </c>
      <c r="AX77" s="28">
        <f t="shared" si="60"/>
        <v>300000</v>
      </c>
      <c r="AY77" s="28">
        <f t="shared" si="60"/>
        <v>7500</v>
      </c>
      <c r="AZ77" s="25"/>
      <c r="BA77" s="26"/>
      <c r="BB77" s="30"/>
      <c r="BD77" s="8" t="s">
        <v>515</v>
      </c>
      <c r="BE77" s="25"/>
      <c r="BF77" s="28">
        <f t="shared" ref="BF77:BH77" si="61">SUM(BF62:BF76)</f>
        <v>750000</v>
      </c>
      <c r="BG77" s="28">
        <f t="shared" si="61"/>
        <v>300000</v>
      </c>
      <c r="BH77" s="28">
        <f t="shared" si="61"/>
        <v>7500</v>
      </c>
      <c r="BI77" s="25"/>
      <c r="BJ77" s="26"/>
      <c r="BK77" s="30"/>
    </row>
    <row r="79" spans="2:63" s="20" customFormat="1" ht="41.4">
      <c r="B79" s="27" t="s">
        <v>14</v>
      </c>
      <c r="C79" s="3" t="str">
        <f>C$43</f>
        <v>Source</v>
      </c>
      <c r="D79" s="3" t="str">
        <f t="shared" ref="D79:I79" si="62">D$43</f>
        <v>Limit (A)</v>
      </c>
      <c r="E79" s="3" t="str">
        <f t="shared" si="62"/>
        <v>Outstanding (A1)</v>
      </c>
      <c r="F79" s="3" t="str">
        <f t="shared" si="62"/>
        <v>Monthly Repayment (B)</v>
      </c>
      <c r="G79" s="3" t="str">
        <f t="shared" si="62"/>
        <v>Interest Rate (C)</v>
      </c>
      <c r="H79" s="3" t="str">
        <f t="shared" si="62"/>
        <v>Factor (D)</v>
      </c>
      <c r="I79" s="3" t="str">
        <f t="shared" si="62"/>
        <v>Interest (E) = (A or A1) * (C) * (D)</v>
      </c>
      <c r="K79" s="27" t="s">
        <v>14</v>
      </c>
      <c r="L79" s="3" t="str">
        <f>L$43</f>
        <v>Source</v>
      </c>
      <c r="M79" s="3" t="str">
        <f t="shared" ref="M79:R79" si="63">M$43</f>
        <v>Limit (A)</v>
      </c>
      <c r="N79" s="3" t="str">
        <f t="shared" si="63"/>
        <v>Outstanding (A1)</v>
      </c>
      <c r="O79" s="3" t="str">
        <f t="shared" si="63"/>
        <v>Monthly Repayment (B)</v>
      </c>
      <c r="P79" s="3" t="str">
        <f t="shared" si="63"/>
        <v>Interest Rate (C)</v>
      </c>
      <c r="Q79" s="3" t="str">
        <f t="shared" si="63"/>
        <v>Factor (D)</v>
      </c>
      <c r="R79" s="3" t="str">
        <f t="shared" si="63"/>
        <v>Interest (E) = (A or A1) * (C) * (D)</v>
      </c>
      <c r="T79" s="27" t="s">
        <v>14</v>
      </c>
      <c r="U79" s="3" t="str">
        <f>U$43</f>
        <v>Source</v>
      </c>
      <c r="V79" s="3" t="str">
        <f t="shared" ref="V79:AA79" si="64">V$43</f>
        <v>Limit (A)</v>
      </c>
      <c r="W79" s="3" t="str">
        <f t="shared" si="64"/>
        <v>Outstanding (A1)</v>
      </c>
      <c r="X79" s="3" t="str">
        <f t="shared" si="64"/>
        <v>Monthly Repayment (B)</v>
      </c>
      <c r="Y79" s="3" t="str">
        <f t="shared" si="64"/>
        <v>Interest Rate (C)</v>
      </c>
      <c r="Z79" s="3" t="str">
        <f t="shared" si="64"/>
        <v>Factor (D)</v>
      </c>
      <c r="AA79" s="3" t="str">
        <f t="shared" si="64"/>
        <v>Interest (E) = (A or A1) * (C) * (D)</v>
      </c>
      <c r="AC79" s="27" t="s">
        <v>14</v>
      </c>
      <c r="AD79" s="3" t="str">
        <f>AD$43</f>
        <v>Source</v>
      </c>
      <c r="AE79" s="3" t="str">
        <f t="shared" ref="AE79:AJ79" si="65">AE$43</f>
        <v>Limit (A)</v>
      </c>
      <c r="AF79" s="3" t="str">
        <f t="shared" si="65"/>
        <v>Outstanding (A1)</v>
      </c>
      <c r="AG79" s="3" t="str">
        <f t="shared" si="65"/>
        <v>Monthly Repayment (B)</v>
      </c>
      <c r="AH79" s="3" t="str">
        <f t="shared" si="65"/>
        <v>Interest Rate (C)</v>
      </c>
      <c r="AI79" s="3" t="str">
        <f t="shared" si="65"/>
        <v>Factor (D)</v>
      </c>
      <c r="AJ79" s="3" t="str">
        <f t="shared" si="65"/>
        <v>Interest (E) = (A or A1) * (C) * (D)</v>
      </c>
      <c r="AL79" s="27" t="s">
        <v>14</v>
      </c>
      <c r="AM79" s="3" t="str">
        <f>AM$43</f>
        <v>Source</v>
      </c>
      <c r="AN79" s="3" t="str">
        <f t="shared" ref="AN79:AS79" si="66">AN$43</f>
        <v>Limit (A)</v>
      </c>
      <c r="AO79" s="3" t="str">
        <f t="shared" si="66"/>
        <v>Outstanding (A1)</v>
      </c>
      <c r="AP79" s="3" t="str">
        <f t="shared" si="66"/>
        <v>Monthly Repayment (B)</v>
      </c>
      <c r="AQ79" s="3" t="str">
        <f t="shared" si="66"/>
        <v>Interest Rate (C)</v>
      </c>
      <c r="AR79" s="3" t="str">
        <f t="shared" si="66"/>
        <v>Factor (D)</v>
      </c>
      <c r="AS79" s="3" t="str">
        <f t="shared" si="66"/>
        <v>Interest (E) = (A or A1) * (C) * (D)</v>
      </c>
      <c r="AU79" s="27" t="s">
        <v>14</v>
      </c>
      <c r="AV79" s="3" t="str">
        <f>AV$43</f>
        <v>Source</v>
      </c>
      <c r="AW79" s="3" t="str">
        <f t="shared" ref="AW79:BB79" si="67">AW$43</f>
        <v>Limit (A)</v>
      </c>
      <c r="AX79" s="3" t="str">
        <f t="shared" si="67"/>
        <v>Outstanding (A1)</v>
      </c>
      <c r="AY79" s="3" t="str">
        <f t="shared" si="67"/>
        <v>Monthly Repayment (B)</v>
      </c>
      <c r="AZ79" s="3" t="str">
        <f t="shared" si="67"/>
        <v>Interest Rate (C)</v>
      </c>
      <c r="BA79" s="3" t="str">
        <f t="shared" si="67"/>
        <v>Factor (D)</v>
      </c>
      <c r="BB79" s="3" t="str">
        <f t="shared" si="67"/>
        <v>Interest (E) = (A or A1) * (C) * (D)</v>
      </c>
      <c r="BD79" s="27" t="s">
        <v>14</v>
      </c>
      <c r="BE79" s="3" t="str">
        <f>BE$43</f>
        <v>Source</v>
      </c>
      <c r="BF79" s="3" t="str">
        <f t="shared" ref="BF79:BK79" si="68">BF$43</f>
        <v>Limit (A)</v>
      </c>
      <c r="BG79" s="3" t="str">
        <f t="shared" si="68"/>
        <v>Outstanding (A1)</v>
      </c>
      <c r="BH79" s="3" t="str">
        <f t="shared" si="68"/>
        <v>Monthly Repayment (B)</v>
      </c>
      <c r="BI79" s="3" t="str">
        <f t="shared" si="68"/>
        <v>Interest Rate (C)</v>
      </c>
      <c r="BJ79" s="3" t="str">
        <f t="shared" si="68"/>
        <v>Factor (D)</v>
      </c>
      <c r="BK79" s="3" t="str">
        <f t="shared" si="68"/>
        <v>Interest (E) = (A or A1) * (C) * (D)</v>
      </c>
    </row>
    <row r="80" spans="2:63">
      <c r="B80" s="41" t="s">
        <v>514</v>
      </c>
      <c r="C80" s="41" t="s">
        <v>355</v>
      </c>
      <c r="D80" s="40">
        <v>150000</v>
      </c>
      <c r="E80" s="40">
        <v>50000</v>
      </c>
      <c r="F80" s="29"/>
      <c r="G80" s="22">
        <v>0.08</v>
      </c>
      <c r="H80" s="23">
        <v>0.82</v>
      </c>
      <c r="I80" s="75">
        <f>D80*G80*H80</f>
        <v>9840</v>
      </c>
      <c r="K80" s="41" t="s">
        <v>514</v>
      </c>
      <c r="L80" s="41" t="s">
        <v>355</v>
      </c>
      <c r="M80" s="40">
        <v>150000</v>
      </c>
      <c r="N80" s="40">
        <v>50000</v>
      </c>
      <c r="O80" s="29"/>
      <c r="P80" s="22">
        <v>0.08</v>
      </c>
      <c r="Q80" s="23">
        <v>0.82</v>
      </c>
      <c r="R80" s="75">
        <f>M80*P80*Q80</f>
        <v>9840</v>
      </c>
      <c r="T80" s="41" t="s">
        <v>514</v>
      </c>
      <c r="U80" s="41" t="s">
        <v>355</v>
      </c>
      <c r="V80" s="40">
        <v>150000</v>
      </c>
      <c r="W80" s="40">
        <v>50000</v>
      </c>
      <c r="X80" s="29"/>
      <c r="Y80" s="22">
        <v>0.08</v>
      </c>
      <c r="Z80" s="23">
        <v>0.82</v>
      </c>
      <c r="AA80" s="75">
        <f>V80*Y80*Z80</f>
        <v>9840</v>
      </c>
      <c r="AC80" s="41" t="s">
        <v>514</v>
      </c>
      <c r="AD80" s="41" t="s">
        <v>355</v>
      </c>
      <c r="AE80" s="40">
        <v>150000</v>
      </c>
      <c r="AF80" s="40">
        <v>50000</v>
      </c>
      <c r="AG80" s="29"/>
      <c r="AH80" s="22">
        <v>0.08</v>
      </c>
      <c r="AI80" s="23">
        <v>0.82</v>
      </c>
      <c r="AJ80" s="75">
        <f>AE80*AH80*AI80</f>
        <v>9840</v>
      </c>
      <c r="AL80" s="41" t="s">
        <v>514</v>
      </c>
      <c r="AM80" s="41" t="s">
        <v>355</v>
      </c>
      <c r="AN80" s="40">
        <v>150000</v>
      </c>
      <c r="AO80" s="40">
        <v>50000</v>
      </c>
      <c r="AP80" s="29"/>
      <c r="AQ80" s="22">
        <v>0.08</v>
      </c>
      <c r="AR80" s="23">
        <v>0.82</v>
      </c>
      <c r="AS80" s="75">
        <f>AN80*AQ80*AR80</f>
        <v>9840</v>
      </c>
      <c r="AU80" s="41" t="s">
        <v>514</v>
      </c>
      <c r="AV80" s="41" t="s">
        <v>355</v>
      </c>
      <c r="AW80" s="40">
        <v>150000</v>
      </c>
      <c r="AX80" s="40">
        <v>50000</v>
      </c>
      <c r="AY80" s="29"/>
      <c r="AZ80" s="22">
        <v>0.08</v>
      </c>
      <c r="BA80" s="23">
        <v>0.82</v>
      </c>
      <c r="BB80" s="75">
        <f>AW80*AZ80*BA80</f>
        <v>9840</v>
      </c>
      <c r="BD80" s="41" t="s">
        <v>514</v>
      </c>
      <c r="BE80" s="41" t="s">
        <v>355</v>
      </c>
      <c r="BF80" s="40">
        <v>150000</v>
      </c>
      <c r="BG80" s="40">
        <v>50000</v>
      </c>
      <c r="BH80" s="29"/>
      <c r="BI80" s="22">
        <v>0.08</v>
      </c>
      <c r="BJ80" s="23">
        <v>0.82</v>
      </c>
      <c r="BK80" s="75">
        <f>BF80*BI80*BJ80</f>
        <v>9840</v>
      </c>
    </row>
    <row r="81" spans="2:63">
      <c r="B81" s="41" t="s">
        <v>514</v>
      </c>
      <c r="C81" s="41" t="s">
        <v>355</v>
      </c>
      <c r="D81" s="40"/>
      <c r="E81" s="40"/>
      <c r="F81" s="29"/>
      <c r="G81" s="22"/>
      <c r="H81" s="23">
        <v>0.82</v>
      </c>
      <c r="I81" s="75">
        <f t="shared" ref="I81:I94" si="69">D81*G81*H81</f>
        <v>0</v>
      </c>
      <c r="K81" s="41" t="s">
        <v>514</v>
      </c>
      <c r="L81" s="41" t="s">
        <v>355</v>
      </c>
      <c r="M81" s="40"/>
      <c r="N81" s="40"/>
      <c r="O81" s="29"/>
      <c r="P81" s="22"/>
      <c r="Q81" s="23">
        <v>0.82</v>
      </c>
      <c r="R81" s="75">
        <f t="shared" ref="R81:R94" si="70">M81*P81*Q81</f>
        <v>0</v>
      </c>
      <c r="T81" s="41" t="s">
        <v>514</v>
      </c>
      <c r="U81" s="41" t="s">
        <v>355</v>
      </c>
      <c r="V81" s="40"/>
      <c r="W81" s="40"/>
      <c r="X81" s="29"/>
      <c r="Y81" s="22"/>
      <c r="Z81" s="23">
        <v>0.82</v>
      </c>
      <c r="AA81" s="75">
        <f t="shared" ref="AA81:AA94" si="71">V81*Y81*Z81</f>
        <v>0</v>
      </c>
      <c r="AC81" s="41" t="s">
        <v>514</v>
      </c>
      <c r="AD81" s="41" t="s">
        <v>355</v>
      </c>
      <c r="AE81" s="40"/>
      <c r="AF81" s="40"/>
      <c r="AG81" s="29"/>
      <c r="AH81" s="22"/>
      <c r="AI81" s="23">
        <v>0.82</v>
      </c>
      <c r="AJ81" s="75">
        <f t="shared" ref="AJ81:AJ94" si="72">AE81*AH81*AI81</f>
        <v>0</v>
      </c>
      <c r="AL81" s="41" t="s">
        <v>514</v>
      </c>
      <c r="AM81" s="41" t="s">
        <v>355</v>
      </c>
      <c r="AN81" s="40"/>
      <c r="AO81" s="40"/>
      <c r="AP81" s="29"/>
      <c r="AQ81" s="22"/>
      <c r="AR81" s="23">
        <v>0.82</v>
      </c>
      <c r="AS81" s="75">
        <f t="shared" ref="AS81:AS94" si="73">AN81*AQ81*AR81</f>
        <v>0</v>
      </c>
      <c r="AU81" s="41" t="s">
        <v>514</v>
      </c>
      <c r="AV81" s="41" t="s">
        <v>355</v>
      </c>
      <c r="AW81" s="40"/>
      <c r="AX81" s="40"/>
      <c r="AY81" s="29"/>
      <c r="AZ81" s="22"/>
      <c r="BA81" s="23">
        <v>0.82</v>
      </c>
      <c r="BB81" s="75">
        <f t="shared" ref="BB81:BB94" si="74">AW81*AZ81*BA81</f>
        <v>0</v>
      </c>
      <c r="BD81" s="41" t="s">
        <v>514</v>
      </c>
      <c r="BE81" s="41" t="s">
        <v>355</v>
      </c>
      <c r="BF81" s="40"/>
      <c r="BG81" s="40"/>
      <c r="BH81" s="29"/>
      <c r="BI81" s="22"/>
      <c r="BJ81" s="23">
        <v>0.82</v>
      </c>
      <c r="BK81" s="75">
        <f t="shared" ref="BK81:BK94" si="75">BF81*BI81*BJ81</f>
        <v>0</v>
      </c>
    </row>
    <row r="82" spans="2:63">
      <c r="B82" s="41" t="s">
        <v>514</v>
      </c>
      <c r="C82" s="41" t="s">
        <v>355</v>
      </c>
      <c r="D82" s="40"/>
      <c r="E82" s="40"/>
      <c r="F82" s="29"/>
      <c r="G82" s="22"/>
      <c r="H82" s="23">
        <v>0.82</v>
      </c>
      <c r="I82" s="75">
        <f t="shared" si="69"/>
        <v>0</v>
      </c>
      <c r="K82" s="41" t="s">
        <v>514</v>
      </c>
      <c r="L82" s="41" t="s">
        <v>355</v>
      </c>
      <c r="M82" s="40"/>
      <c r="N82" s="40"/>
      <c r="O82" s="29"/>
      <c r="P82" s="22"/>
      <c r="Q82" s="23">
        <v>0.82</v>
      </c>
      <c r="R82" s="75">
        <f t="shared" si="70"/>
        <v>0</v>
      </c>
      <c r="T82" s="41" t="s">
        <v>514</v>
      </c>
      <c r="U82" s="41" t="s">
        <v>355</v>
      </c>
      <c r="V82" s="40"/>
      <c r="W82" s="40"/>
      <c r="X82" s="29"/>
      <c r="Y82" s="22"/>
      <c r="Z82" s="23">
        <v>0.82</v>
      </c>
      <c r="AA82" s="75">
        <f t="shared" si="71"/>
        <v>0</v>
      </c>
      <c r="AC82" s="41" t="s">
        <v>514</v>
      </c>
      <c r="AD82" s="41" t="s">
        <v>355</v>
      </c>
      <c r="AE82" s="40"/>
      <c r="AF82" s="40"/>
      <c r="AG82" s="29"/>
      <c r="AH82" s="22"/>
      <c r="AI82" s="23">
        <v>0.82</v>
      </c>
      <c r="AJ82" s="75">
        <f t="shared" si="72"/>
        <v>0</v>
      </c>
      <c r="AL82" s="41" t="s">
        <v>514</v>
      </c>
      <c r="AM82" s="41" t="s">
        <v>355</v>
      </c>
      <c r="AN82" s="40"/>
      <c r="AO82" s="40"/>
      <c r="AP82" s="29"/>
      <c r="AQ82" s="22"/>
      <c r="AR82" s="23">
        <v>0.82</v>
      </c>
      <c r="AS82" s="75">
        <f t="shared" si="73"/>
        <v>0</v>
      </c>
      <c r="AU82" s="41" t="s">
        <v>514</v>
      </c>
      <c r="AV82" s="41" t="s">
        <v>355</v>
      </c>
      <c r="AW82" s="40"/>
      <c r="AX82" s="40"/>
      <c r="AY82" s="29"/>
      <c r="AZ82" s="22"/>
      <c r="BA82" s="23">
        <v>0.82</v>
      </c>
      <c r="BB82" s="75">
        <f t="shared" si="74"/>
        <v>0</v>
      </c>
      <c r="BD82" s="41" t="s">
        <v>514</v>
      </c>
      <c r="BE82" s="41" t="s">
        <v>355</v>
      </c>
      <c r="BF82" s="40"/>
      <c r="BG82" s="40"/>
      <c r="BH82" s="29"/>
      <c r="BI82" s="22"/>
      <c r="BJ82" s="23">
        <v>0.82</v>
      </c>
      <c r="BK82" s="75">
        <f t="shared" si="75"/>
        <v>0</v>
      </c>
    </row>
    <row r="83" spans="2:63">
      <c r="B83" s="41" t="s">
        <v>514</v>
      </c>
      <c r="C83" s="41" t="s">
        <v>355</v>
      </c>
      <c r="D83" s="40"/>
      <c r="E83" s="40"/>
      <c r="F83" s="29"/>
      <c r="G83" s="22"/>
      <c r="H83" s="23">
        <v>0.82</v>
      </c>
      <c r="I83" s="75">
        <f t="shared" si="69"/>
        <v>0</v>
      </c>
      <c r="K83" s="41" t="s">
        <v>514</v>
      </c>
      <c r="L83" s="41" t="s">
        <v>355</v>
      </c>
      <c r="M83" s="40"/>
      <c r="N83" s="40"/>
      <c r="O83" s="29"/>
      <c r="P83" s="22"/>
      <c r="Q83" s="23">
        <v>0.82</v>
      </c>
      <c r="R83" s="75">
        <f t="shared" si="70"/>
        <v>0</v>
      </c>
      <c r="T83" s="41" t="s">
        <v>514</v>
      </c>
      <c r="U83" s="41" t="s">
        <v>355</v>
      </c>
      <c r="V83" s="40"/>
      <c r="W83" s="40"/>
      <c r="X83" s="29"/>
      <c r="Y83" s="22"/>
      <c r="Z83" s="23">
        <v>0.82</v>
      </c>
      <c r="AA83" s="75">
        <f t="shared" si="71"/>
        <v>0</v>
      </c>
      <c r="AC83" s="41" t="s">
        <v>514</v>
      </c>
      <c r="AD83" s="41" t="s">
        <v>355</v>
      </c>
      <c r="AE83" s="40"/>
      <c r="AF83" s="40"/>
      <c r="AG83" s="29"/>
      <c r="AH83" s="22"/>
      <c r="AI83" s="23">
        <v>0.82</v>
      </c>
      <c r="AJ83" s="75">
        <f t="shared" si="72"/>
        <v>0</v>
      </c>
      <c r="AL83" s="41" t="s">
        <v>514</v>
      </c>
      <c r="AM83" s="41" t="s">
        <v>355</v>
      </c>
      <c r="AN83" s="40"/>
      <c r="AO83" s="40"/>
      <c r="AP83" s="29"/>
      <c r="AQ83" s="22"/>
      <c r="AR83" s="23">
        <v>0.82</v>
      </c>
      <c r="AS83" s="75">
        <f t="shared" si="73"/>
        <v>0</v>
      </c>
      <c r="AU83" s="41" t="s">
        <v>514</v>
      </c>
      <c r="AV83" s="41" t="s">
        <v>355</v>
      </c>
      <c r="AW83" s="40"/>
      <c r="AX83" s="40"/>
      <c r="AY83" s="29"/>
      <c r="AZ83" s="22"/>
      <c r="BA83" s="23">
        <v>0.82</v>
      </c>
      <c r="BB83" s="75">
        <f t="shared" si="74"/>
        <v>0</v>
      </c>
      <c r="BD83" s="41" t="s">
        <v>514</v>
      </c>
      <c r="BE83" s="41" t="s">
        <v>355</v>
      </c>
      <c r="BF83" s="40"/>
      <c r="BG83" s="40"/>
      <c r="BH83" s="29"/>
      <c r="BI83" s="22"/>
      <c r="BJ83" s="23">
        <v>0.82</v>
      </c>
      <c r="BK83" s="75">
        <f t="shared" si="75"/>
        <v>0</v>
      </c>
    </row>
    <row r="84" spans="2:63">
      <c r="B84" s="41" t="s">
        <v>514</v>
      </c>
      <c r="C84" s="41" t="s">
        <v>355</v>
      </c>
      <c r="D84" s="40"/>
      <c r="E84" s="40"/>
      <c r="F84" s="29"/>
      <c r="G84" s="22"/>
      <c r="H84" s="23">
        <v>0.82</v>
      </c>
      <c r="I84" s="75">
        <f t="shared" si="69"/>
        <v>0</v>
      </c>
      <c r="K84" s="41" t="s">
        <v>514</v>
      </c>
      <c r="L84" s="41" t="s">
        <v>355</v>
      </c>
      <c r="M84" s="40"/>
      <c r="N84" s="40"/>
      <c r="O84" s="29"/>
      <c r="P84" s="22"/>
      <c r="Q84" s="23">
        <v>0.82</v>
      </c>
      <c r="R84" s="75">
        <f t="shared" si="70"/>
        <v>0</v>
      </c>
      <c r="T84" s="41" t="s">
        <v>514</v>
      </c>
      <c r="U84" s="41" t="s">
        <v>355</v>
      </c>
      <c r="V84" s="40"/>
      <c r="W84" s="40"/>
      <c r="X84" s="29"/>
      <c r="Y84" s="22"/>
      <c r="Z84" s="23">
        <v>0.82</v>
      </c>
      <c r="AA84" s="75">
        <f t="shared" si="71"/>
        <v>0</v>
      </c>
      <c r="AC84" s="41" t="s">
        <v>514</v>
      </c>
      <c r="AD84" s="41" t="s">
        <v>355</v>
      </c>
      <c r="AE84" s="40"/>
      <c r="AF84" s="40"/>
      <c r="AG84" s="29"/>
      <c r="AH84" s="22"/>
      <c r="AI84" s="23">
        <v>0.82</v>
      </c>
      <c r="AJ84" s="75">
        <f t="shared" si="72"/>
        <v>0</v>
      </c>
      <c r="AL84" s="41" t="s">
        <v>514</v>
      </c>
      <c r="AM84" s="41" t="s">
        <v>355</v>
      </c>
      <c r="AN84" s="40"/>
      <c r="AO84" s="40"/>
      <c r="AP84" s="29"/>
      <c r="AQ84" s="22"/>
      <c r="AR84" s="23">
        <v>0.82</v>
      </c>
      <c r="AS84" s="75">
        <f t="shared" si="73"/>
        <v>0</v>
      </c>
      <c r="AU84" s="41" t="s">
        <v>514</v>
      </c>
      <c r="AV84" s="41" t="s">
        <v>355</v>
      </c>
      <c r="AW84" s="40"/>
      <c r="AX84" s="40"/>
      <c r="AY84" s="29"/>
      <c r="AZ84" s="22"/>
      <c r="BA84" s="23">
        <v>0.82</v>
      </c>
      <c r="BB84" s="75">
        <f t="shared" si="74"/>
        <v>0</v>
      </c>
      <c r="BD84" s="41" t="s">
        <v>514</v>
      </c>
      <c r="BE84" s="41" t="s">
        <v>355</v>
      </c>
      <c r="BF84" s="40"/>
      <c r="BG84" s="40"/>
      <c r="BH84" s="29"/>
      <c r="BI84" s="22"/>
      <c r="BJ84" s="23">
        <v>0.82</v>
      </c>
      <c r="BK84" s="75">
        <f t="shared" si="75"/>
        <v>0</v>
      </c>
    </row>
    <row r="85" spans="2:63">
      <c r="B85" s="41" t="s">
        <v>514</v>
      </c>
      <c r="C85" s="41" t="s">
        <v>355</v>
      </c>
      <c r="D85" s="40"/>
      <c r="E85" s="40"/>
      <c r="F85" s="29"/>
      <c r="G85" s="22"/>
      <c r="H85" s="23">
        <v>0.82</v>
      </c>
      <c r="I85" s="75">
        <f t="shared" si="69"/>
        <v>0</v>
      </c>
      <c r="K85" s="41" t="s">
        <v>514</v>
      </c>
      <c r="L85" s="41" t="s">
        <v>355</v>
      </c>
      <c r="M85" s="40"/>
      <c r="N85" s="40"/>
      <c r="O85" s="29"/>
      <c r="P85" s="22"/>
      <c r="Q85" s="23">
        <v>0.82</v>
      </c>
      <c r="R85" s="75">
        <f t="shared" si="70"/>
        <v>0</v>
      </c>
      <c r="T85" s="41" t="s">
        <v>514</v>
      </c>
      <c r="U85" s="41" t="s">
        <v>355</v>
      </c>
      <c r="V85" s="40"/>
      <c r="W85" s="40"/>
      <c r="X85" s="29"/>
      <c r="Y85" s="22"/>
      <c r="Z85" s="23">
        <v>0.82</v>
      </c>
      <c r="AA85" s="75">
        <f t="shared" si="71"/>
        <v>0</v>
      </c>
      <c r="AC85" s="41" t="s">
        <v>514</v>
      </c>
      <c r="AD85" s="41" t="s">
        <v>355</v>
      </c>
      <c r="AE85" s="40"/>
      <c r="AF85" s="40"/>
      <c r="AG85" s="29"/>
      <c r="AH85" s="22"/>
      <c r="AI85" s="23">
        <v>0.82</v>
      </c>
      <c r="AJ85" s="75">
        <f t="shared" si="72"/>
        <v>0</v>
      </c>
      <c r="AL85" s="41" t="s">
        <v>514</v>
      </c>
      <c r="AM85" s="41" t="s">
        <v>355</v>
      </c>
      <c r="AN85" s="40"/>
      <c r="AO85" s="40"/>
      <c r="AP85" s="29"/>
      <c r="AQ85" s="22"/>
      <c r="AR85" s="23">
        <v>0.82</v>
      </c>
      <c r="AS85" s="75">
        <f t="shared" si="73"/>
        <v>0</v>
      </c>
      <c r="AU85" s="41" t="s">
        <v>514</v>
      </c>
      <c r="AV85" s="41" t="s">
        <v>355</v>
      </c>
      <c r="AW85" s="40"/>
      <c r="AX85" s="40"/>
      <c r="AY85" s="29"/>
      <c r="AZ85" s="22"/>
      <c r="BA85" s="23">
        <v>0.82</v>
      </c>
      <c r="BB85" s="75">
        <f t="shared" si="74"/>
        <v>0</v>
      </c>
      <c r="BD85" s="41" t="s">
        <v>514</v>
      </c>
      <c r="BE85" s="41" t="s">
        <v>355</v>
      </c>
      <c r="BF85" s="40"/>
      <c r="BG85" s="40"/>
      <c r="BH85" s="29"/>
      <c r="BI85" s="22"/>
      <c r="BJ85" s="23">
        <v>0.82</v>
      </c>
      <c r="BK85" s="75">
        <f t="shared" si="75"/>
        <v>0</v>
      </c>
    </row>
    <row r="86" spans="2:63">
      <c r="B86" s="41" t="s">
        <v>514</v>
      </c>
      <c r="C86" s="41" t="s">
        <v>355</v>
      </c>
      <c r="D86" s="40"/>
      <c r="E86" s="40"/>
      <c r="F86" s="29"/>
      <c r="G86" s="22"/>
      <c r="H86" s="23">
        <v>0.82</v>
      </c>
      <c r="I86" s="75">
        <f t="shared" si="69"/>
        <v>0</v>
      </c>
      <c r="K86" s="41" t="s">
        <v>514</v>
      </c>
      <c r="L86" s="41" t="s">
        <v>355</v>
      </c>
      <c r="M86" s="40"/>
      <c r="N86" s="40"/>
      <c r="O86" s="29"/>
      <c r="P86" s="22"/>
      <c r="Q86" s="23">
        <v>0.82</v>
      </c>
      <c r="R86" s="75">
        <f t="shared" si="70"/>
        <v>0</v>
      </c>
      <c r="T86" s="41" t="s">
        <v>514</v>
      </c>
      <c r="U86" s="41" t="s">
        <v>355</v>
      </c>
      <c r="V86" s="40"/>
      <c r="W86" s="40"/>
      <c r="X86" s="29"/>
      <c r="Y86" s="22"/>
      <c r="Z86" s="23">
        <v>0.82</v>
      </c>
      <c r="AA86" s="75">
        <f t="shared" si="71"/>
        <v>0</v>
      </c>
      <c r="AC86" s="41" t="s">
        <v>514</v>
      </c>
      <c r="AD86" s="41" t="s">
        <v>355</v>
      </c>
      <c r="AE86" s="40"/>
      <c r="AF86" s="40"/>
      <c r="AG86" s="29"/>
      <c r="AH86" s="22"/>
      <c r="AI86" s="23">
        <v>0.82</v>
      </c>
      <c r="AJ86" s="75">
        <f t="shared" si="72"/>
        <v>0</v>
      </c>
      <c r="AL86" s="41" t="s">
        <v>514</v>
      </c>
      <c r="AM86" s="41" t="s">
        <v>355</v>
      </c>
      <c r="AN86" s="40"/>
      <c r="AO86" s="40"/>
      <c r="AP86" s="29"/>
      <c r="AQ86" s="22"/>
      <c r="AR86" s="23">
        <v>0.82</v>
      </c>
      <c r="AS86" s="75">
        <f t="shared" si="73"/>
        <v>0</v>
      </c>
      <c r="AU86" s="41" t="s">
        <v>514</v>
      </c>
      <c r="AV86" s="41" t="s">
        <v>355</v>
      </c>
      <c r="AW86" s="40"/>
      <c r="AX86" s="40"/>
      <c r="AY86" s="29"/>
      <c r="AZ86" s="22"/>
      <c r="BA86" s="23">
        <v>0.82</v>
      </c>
      <c r="BB86" s="75">
        <f t="shared" si="74"/>
        <v>0</v>
      </c>
      <c r="BD86" s="41" t="s">
        <v>514</v>
      </c>
      <c r="BE86" s="41" t="s">
        <v>355</v>
      </c>
      <c r="BF86" s="40"/>
      <c r="BG86" s="40"/>
      <c r="BH86" s="29"/>
      <c r="BI86" s="22"/>
      <c r="BJ86" s="23">
        <v>0.82</v>
      </c>
      <c r="BK86" s="75">
        <f t="shared" si="75"/>
        <v>0</v>
      </c>
    </row>
    <row r="87" spans="2:63">
      <c r="B87" s="41" t="s">
        <v>514</v>
      </c>
      <c r="C87" s="41" t="s">
        <v>355</v>
      </c>
      <c r="D87" s="40"/>
      <c r="E87" s="40"/>
      <c r="F87" s="29"/>
      <c r="G87" s="22"/>
      <c r="H87" s="23">
        <v>0.82</v>
      </c>
      <c r="I87" s="75">
        <f t="shared" si="69"/>
        <v>0</v>
      </c>
      <c r="K87" s="41" t="s">
        <v>514</v>
      </c>
      <c r="L87" s="41" t="s">
        <v>355</v>
      </c>
      <c r="M87" s="40"/>
      <c r="N87" s="40"/>
      <c r="O87" s="29"/>
      <c r="P87" s="22"/>
      <c r="Q87" s="23">
        <v>0.82</v>
      </c>
      <c r="R87" s="75">
        <f t="shared" si="70"/>
        <v>0</v>
      </c>
      <c r="T87" s="41" t="s">
        <v>514</v>
      </c>
      <c r="U87" s="41" t="s">
        <v>355</v>
      </c>
      <c r="V87" s="40"/>
      <c r="W87" s="40"/>
      <c r="X87" s="29"/>
      <c r="Y87" s="22"/>
      <c r="Z87" s="23">
        <v>0.82</v>
      </c>
      <c r="AA87" s="75">
        <f t="shared" si="71"/>
        <v>0</v>
      </c>
      <c r="AC87" s="41" t="s">
        <v>514</v>
      </c>
      <c r="AD87" s="41" t="s">
        <v>355</v>
      </c>
      <c r="AE87" s="40"/>
      <c r="AF87" s="40"/>
      <c r="AG87" s="29"/>
      <c r="AH87" s="22"/>
      <c r="AI87" s="23">
        <v>0.82</v>
      </c>
      <c r="AJ87" s="75">
        <f t="shared" si="72"/>
        <v>0</v>
      </c>
      <c r="AL87" s="41" t="s">
        <v>514</v>
      </c>
      <c r="AM87" s="41" t="s">
        <v>355</v>
      </c>
      <c r="AN87" s="40"/>
      <c r="AO87" s="40"/>
      <c r="AP87" s="29"/>
      <c r="AQ87" s="22"/>
      <c r="AR87" s="23">
        <v>0.82</v>
      </c>
      <c r="AS87" s="75">
        <f t="shared" si="73"/>
        <v>0</v>
      </c>
      <c r="AU87" s="41" t="s">
        <v>514</v>
      </c>
      <c r="AV87" s="41" t="s">
        <v>355</v>
      </c>
      <c r="AW87" s="40"/>
      <c r="AX87" s="40"/>
      <c r="AY87" s="29"/>
      <c r="AZ87" s="22"/>
      <c r="BA87" s="23">
        <v>0.82</v>
      </c>
      <c r="BB87" s="75">
        <f t="shared" si="74"/>
        <v>0</v>
      </c>
      <c r="BD87" s="41" t="s">
        <v>514</v>
      </c>
      <c r="BE87" s="41" t="s">
        <v>355</v>
      </c>
      <c r="BF87" s="40"/>
      <c r="BG87" s="40"/>
      <c r="BH87" s="29"/>
      <c r="BI87" s="22"/>
      <c r="BJ87" s="23">
        <v>0.82</v>
      </c>
      <c r="BK87" s="75">
        <f t="shared" si="75"/>
        <v>0</v>
      </c>
    </row>
    <row r="88" spans="2:63">
      <c r="B88" s="41" t="s">
        <v>514</v>
      </c>
      <c r="C88" s="41" t="s">
        <v>355</v>
      </c>
      <c r="D88" s="40"/>
      <c r="E88" s="40"/>
      <c r="F88" s="29"/>
      <c r="G88" s="22"/>
      <c r="H88" s="23">
        <v>0.82</v>
      </c>
      <c r="I88" s="75">
        <f t="shared" si="69"/>
        <v>0</v>
      </c>
      <c r="K88" s="41" t="s">
        <v>514</v>
      </c>
      <c r="L88" s="41" t="s">
        <v>355</v>
      </c>
      <c r="M88" s="40"/>
      <c r="N88" s="40"/>
      <c r="O88" s="29"/>
      <c r="P88" s="22"/>
      <c r="Q88" s="23">
        <v>0.82</v>
      </c>
      <c r="R88" s="75">
        <f t="shared" si="70"/>
        <v>0</v>
      </c>
      <c r="T88" s="41" t="s">
        <v>514</v>
      </c>
      <c r="U88" s="41" t="s">
        <v>355</v>
      </c>
      <c r="V88" s="40"/>
      <c r="W88" s="40"/>
      <c r="X88" s="29"/>
      <c r="Y88" s="22"/>
      <c r="Z88" s="23">
        <v>0.82</v>
      </c>
      <c r="AA88" s="75">
        <f t="shared" si="71"/>
        <v>0</v>
      </c>
      <c r="AC88" s="41" t="s">
        <v>514</v>
      </c>
      <c r="AD88" s="41" t="s">
        <v>355</v>
      </c>
      <c r="AE88" s="40"/>
      <c r="AF88" s="40"/>
      <c r="AG88" s="29"/>
      <c r="AH88" s="22"/>
      <c r="AI88" s="23">
        <v>0.82</v>
      </c>
      <c r="AJ88" s="75">
        <f t="shared" si="72"/>
        <v>0</v>
      </c>
      <c r="AL88" s="41" t="s">
        <v>514</v>
      </c>
      <c r="AM88" s="41" t="s">
        <v>355</v>
      </c>
      <c r="AN88" s="40"/>
      <c r="AO88" s="40"/>
      <c r="AP88" s="29"/>
      <c r="AQ88" s="22"/>
      <c r="AR88" s="23">
        <v>0.82</v>
      </c>
      <c r="AS88" s="75">
        <f t="shared" si="73"/>
        <v>0</v>
      </c>
      <c r="AU88" s="41" t="s">
        <v>514</v>
      </c>
      <c r="AV88" s="41" t="s">
        <v>355</v>
      </c>
      <c r="AW88" s="40"/>
      <c r="AX88" s="40"/>
      <c r="AY88" s="29"/>
      <c r="AZ88" s="22"/>
      <c r="BA88" s="23">
        <v>0.82</v>
      </c>
      <c r="BB88" s="75">
        <f t="shared" si="74"/>
        <v>0</v>
      </c>
      <c r="BD88" s="41" t="s">
        <v>514</v>
      </c>
      <c r="BE88" s="41" t="s">
        <v>355</v>
      </c>
      <c r="BF88" s="40"/>
      <c r="BG88" s="40"/>
      <c r="BH88" s="29"/>
      <c r="BI88" s="22"/>
      <c r="BJ88" s="23">
        <v>0.82</v>
      </c>
      <c r="BK88" s="75">
        <f t="shared" si="75"/>
        <v>0</v>
      </c>
    </row>
    <row r="89" spans="2:63">
      <c r="B89" s="41" t="s">
        <v>514</v>
      </c>
      <c r="C89" s="41" t="s">
        <v>355</v>
      </c>
      <c r="D89" s="40"/>
      <c r="E89" s="40"/>
      <c r="F89" s="29"/>
      <c r="G89" s="22"/>
      <c r="H89" s="23">
        <v>0.82</v>
      </c>
      <c r="I89" s="75">
        <f t="shared" si="69"/>
        <v>0</v>
      </c>
      <c r="K89" s="41" t="s">
        <v>514</v>
      </c>
      <c r="L89" s="41" t="s">
        <v>355</v>
      </c>
      <c r="M89" s="40"/>
      <c r="N89" s="40"/>
      <c r="O89" s="29"/>
      <c r="P89" s="22"/>
      <c r="Q89" s="23">
        <v>0.82</v>
      </c>
      <c r="R89" s="75">
        <f t="shared" si="70"/>
        <v>0</v>
      </c>
      <c r="T89" s="41" t="s">
        <v>514</v>
      </c>
      <c r="U89" s="41" t="s">
        <v>355</v>
      </c>
      <c r="V89" s="40"/>
      <c r="W89" s="40"/>
      <c r="X89" s="29"/>
      <c r="Y89" s="22"/>
      <c r="Z89" s="23">
        <v>0.82</v>
      </c>
      <c r="AA89" s="75">
        <f t="shared" si="71"/>
        <v>0</v>
      </c>
      <c r="AC89" s="41" t="s">
        <v>514</v>
      </c>
      <c r="AD89" s="41" t="s">
        <v>355</v>
      </c>
      <c r="AE89" s="40"/>
      <c r="AF89" s="40"/>
      <c r="AG89" s="29"/>
      <c r="AH89" s="22"/>
      <c r="AI89" s="23">
        <v>0.82</v>
      </c>
      <c r="AJ89" s="75">
        <f t="shared" si="72"/>
        <v>0</v>
      </c>
      <c r="AL89" s="41" t="s">
        <v>514</v>
      </c>
      <c r="AM89" s="41" t="s">
        <v>355</v>
      </c>
      <c r="AN89" s="40"/>
      <c r="AO89" s="40"/>
      <c r="AP89" s="29"/>
      <c r="AQ89" s="22"/>
      <c r="AR89" s="23">
        <v>0.82</v>
      </c>
      <c r="AS89" s="75">
        <f t="shared" si="73"/>
        <v>0</v>
      </c>
      <c r="AU89" s="41" t="s">
        <v>514</v>
      </c>
      <c r="AV89" s="41" t="s">
        <v>355</v>
      </c>
      <c r="AW89" s="40"/>
      <c r="AX89" s="40"/>
      <c r="AY89" s="29"/>
      <c r="AZ89" s="22"/>
      <c r="BA89" s="23">
        <v>0.82</v>
      </c>
      <c r="BB89" s="75">
        <f t="shared" si="74"/>
        <v>0</v>
      </c>
      <c r="BD89" s="41" t="s">
        <v>514</v>
      </c>
      <c r="BE89" s="41" t="s">
        <v>355</v>
      </c>
      <c r="BF89" s="40"/>
      <c r="BG89" s="40"/>
      <c r="BH89" s="29"/>
      <c r="BI89" s="22"/>
      <c r="BJ89" s="23">
        <v>0.82</v>
      </c>
      <c r="BK89" s="75">
        <f t="shared" si="75"/>
        <v>0</v>
      </c>
    </row>
    <row r="90" spans="2:63">
      <c r="B90" s="41" t="s">
        <v>514</v>
      </c>
      <c r="C90" s="41" t="s">
        <v>355</v>
      </c>
      <c r="D90" s="40"/>
      <c r="E90" s="40"/>
      <c r="F90" s="29"/>
      <c r="G90" s="22"/>
      <c r="H90" s="23">
        <v>0.82</v>
      </c>
      <c r="I90" s="75">
        <f t="shared" si="69"/>
        <v>0</v>
      </c>
      <c r="K90" s="41" t="s">
        <v>514</v>
      </c>
      <c r="L90" s="41" t="s">
        <v>355</v>
      </c>
      <c r="M90" s="40"/>
      <c r="N90" s="40"/>
      <c r="O90" s="29"/>
      <c r="P90" s="22"/>
      <c r="Q90" s="23">
        <v>0.82</v>
      </c>
      <c r="R90" s="75">
        <f t="shared" si="70"/>
        <v>0</v>
      </c>
      <c r="T90" s="41" t="s">
        <v>514</v>
      </c>
      <c r="U90" s="41" t="s">
        <v>355</v>
      </c>
      <c r="V90" s="40"/>
      <c r="W90" s="40"/>
      <c r="X90" s="29"/>
      <c r="Y90" s="22"/>
      <c r="Z90" s="23">
        <v>0.82</v>
      </c>
      <c r="AA90" s="75">
        <f t="shared" si="71"/>
        <v>0</v>
      </c>
      <c r="AC90" s="41" t="s">
        <v>514</v>
      </c>
      <c r="AD90" s="41" t="s">
        <v>355</v>
      </c>
      <c r="AE90" s="40"/>
      <c r="AF90" s="40"/>
      <c r="AG90" s="29"/>
      <c r="AH90" s="22"/>
      <c r="AI90" s="23">
        <v>0.82</v>
      </c>
      <c r="AJ90" s="75">
        <f t="shared" si="72"/>
        <v>0</v>
      </c>
      <c r="AL90" s="41" t="s">
        <v>514</v>
      </c>
      <c r="AM90" s="41" t="s">
        <v>355</v>
      </c>
      <c r="AN90" s="40"/>
      <c r="AO90" s="40"/>
      <c r="AP90" s="29"/>
      <c r="AQ90" s="22"/>
      <c r="AR90" s="23">
        <v>0.82</v>
      </c>
      <c r="AS90" s="75">
        <f t="shared" si="73"/>
        <v>0</v>
      </c>
      <c r="AU90" s="41" t="s">
        <v>514</v>
      </c>
      <c r="AV90" s="41" t="s">
        <v>355</v>
      </c>
      <c r="AW90" s="40"/>
      <c r="AX90" s="40"/>
      <c r="AY90" s="29"/>
      <c r="AZ90" s="22"/>
      <c r="BA90" s="23">
        <v>0.82</v>
      </c>
      <c r="BB90" s="75">
        <f t="shared" si="74"/>
        <v>0</v>
      </c>
      <c r="BD90" s="41" t="s">
        <v>514</v>
      </c>
      <c r="BE90" s="41" t="s">
        <v>355</v>
      </c>
      <c r="BF90" s="40"/>
      <c r="BG90" s="40"/>
      <c r="BH90" s="29"/>
      <c r="BI90" s="22"/>
      <c r="BJ90" s="23">
        <v>0.82</v>
      </c>
      <c r="BK90" s="75">
        <f t="shared" si="75"/>
        <v>0</v>
      </c>
    </row>
    <row r="91" spans="2:63">
      <c r="B91" s="41" t="s">
        <v>514</v>
      </c>
      <c r="C91" s="41" t="s">
        <v>355</v>
      </c>
      <c r="D91" s="40"/>
      <c r="E91" s="40"/>
      <c r="F91" s="29"/>
      <c r="G91" s="22"/>
      <c r="H91" s="23">
        <v>0.82</v>
      </c>
      <c r="I91" s="75">
        <f t="shared" si="69"/>
        <v>0</v>
      </c>
      <c r="K91" s="41" t="s">
        <v>514</v>
      </c>
      <c r="L91" s="41" t="s">
        <v>355</v>
      </c>
      <c r="M91" s="40"/>
      <c r="N91" s="40"/>
      <c r="O91" s="29"/>
      <c r="P91" s="22"/>
      <c r="Q91" s="23">
        <v>0.82</v>
      </c>
      <c r="R91" s="75">
        <f t="shared" si="70"/>
        <v>0</v>
      </c>
      <c r="T91" s="41" t="s">
        <v>514</v>
      </c>
      <c r="U91" s="41" t="s">
        <v>355</v>
      </c>
      <c r="V91" s="40"/>
      <c r="W91" s="40"/>
      <c r="X91" s="29"/>
      <c r="Y91" s="22"/>
      <c r="Z91" s="23">
        <v>0.82</v>
      </c>
      <c r="AA91" s="75">
        <f t="shared" si="71"/>
        <v>0</v>
      </c>
      <c r="AC91" s="41" t="s">
        <v>514</v>
      </c>
      <c r="AD91" s="41" t="s">
        <v>355</v>
      </c>
      <c r="AE91" s="40"/>
      <c r="AF91" s="40"/>
      <c r="AG91" s="29"/>
      <c r="AH91" s="22"/>
      <c r="AI91" s="23">
        <v>0.82</v>
      </c>
      <c r="AJ91" s="75">
        <f t="shared" si="72"/>
        <v>0</v>
      </c>
      <c r="AL91" s="41" t="s">
        <v>514</v>
      </c>
      <c r="AM91" s="41" t="s">
        <v>355</v>
      </c>
      <c r="AN91" s="40"/>
      <c r="AO91" s="40"/>
      <c r="AP91" s="29"/>
      <c r="AQ91" s="22"/>
      <c r="AR91" s="23">
        <v>0.82</v>
      </c>
      <c r="AS91" s="75">
        <f t="shared" si="73"/>
        <v>0</v>
      </c>
      <c r="AU91" s="41" t="s">
        <v>514</v>
      </c>
      <c r="AV91" s="41" t="s">
        <v>355</v>
      </c>
      <c r="AW91" s="40"/>
      <c r="AX91" s="40"/>
      <c r="AY91" s="29"/>
      <c r="AZ91" s="22"/>
      <c r="BA91" s="23">
        <v>0.82</v>
      </c>
      <c r="BB91" s="75">
        <f t="shared" si="74"/>
        <v>0</v>
      </c>
      <c r="BD91" s="41" t="s">
        <v>514</v>
      </c>
      <c r="BE91" s="41" t="s">
        <v>355</v>
      </c>
      <c r="BF91" s="40"/>
      <c r="BG91" s="40"/>
      <c r="BH91" s="29"/>
      <c r="BI91" s="22"/>
      <c r="BJ91" s="23">
        <v>0.82</v>
      </c>
      <c r="BK91" s="75">
        <f t="shared" si="75"/>
        <v>0</v>
      </c>
    </row>
    <row r="92" spans="2:63">
      <c r="B92" s="41" t="s">
        <v>514</v>
      </c>
      <c r="C92" s="41" t="s">
        <v>355</v>
      </c>
      <c r="D92" s="40"/>
      <c r="E92" s="40"/>
      <c r="F92" s="29"/>
      <c r="G92" s="22"/>
      <c r="H92" s="23">
        <v>0.82</v>
      </c>
      <c r="I92" s="75">
        <f t="shared" si="69"/>
        <v>0</v>
      </c>
      <c r="K92" s="41" t="s">
        <v>514</v>
      </c>
      <c r="L92" s="41" t="s">
        <v>355</v>
      </c>
      <c r="M92" s="40"/>
      <c r="N92" s="40"/>
      <c r="O92" s="29"/>
      <c r="P92" s="22"/>
      <c r="Q92" s="23">
        <v>0.82</v>
      </c>
      <c r="R92" s="75">
        <f t="shared" si="70"/>
        <v>0</v>
      </c>
      <c r="T92" s="41" t="s">
        <v>514</v>
      </c>
      <c r="U92" s="41" t="s">
        <v>355</v>
      </c>
      <c r="V92" s="40"/>
      <c r="W92" s="40"/>
      <c r="X92" s="29"/>
      <c r="Y92" s="22"/>
      <c r="Z92" s="23">
        <v>0.82</v>
      </c>
      <c r="AA92" s="75">
        <f t="shared" si="71"/>
        <v>0</v>
      </c>
      <c r="AC92" s="41" t="s">
        <v>514</v>
      </c>
      <c r="AD92" s="41" t="s">
        <v>355</v>
      </c>
      <c r="AE92" s="40"/>
      <c r="AF92" s="40"/>
      <c r="AG92" s="29"/>
      <c r="AH92" s="22"/>
      <c r="AI92" s="23">
        <v>0.82</v>
      </c>
      <c r="AJ92" s="75">
        <f t="shared" si="72"/>
        <v>0</v>
      </c>
      <c r="AL92" s="41" t="s">
        <v>514</v>
      </c>
      <c r="AM92" s="41" t="s">
        <v>355</v>
      </c>
      <c r="AN92" s="40"/>
      <c r="AO92" s="40"/>
      <c r="AP92" s="29"/>
      <c r="AQ92" s="22"/>
      <c r="AR92" s="23">
        <v>0.82</v>
      </c>
      <c r="AS92" s="75">
        <f t="shared" si="73"/>
        <v>0</v>
      </c>
      <c r="AU92" s="41" t="s">
        <v>514</v>
      </c>
      <c r="AV92" s="41" t="s">
        <v>355</v>
      </c>
      <c r="AW92" s="40"/>
      <c r="AX92" s="40"/>
      <c r="AY92" s="29"/>
      <c r="AZ92" s="22"/>
      <c r="BA92" s="23">
        <v>0.82</v>
      </c>
      <c r="BB92" s="75">
        <f t="shared" si="74"/>
        <v>0</v>
      </c>
      <c r="BD92" s="41" t="s">
        <v>514</v>
      </c>
      <c r="BE92" s="41" t="s">
        <v>355</v>
      </c>
      <c r="BF92" s="40"/>
      <c r="BG92" s="40"/>
      <c r="BH92" s="29"/>
      <c r="BI92" s="22"/>
      <c r="BJ92" s="23">
        <v>0.82</v>
      </c>
      <c r="BK92" s="75">
        <f t="shared" si="75"/>
        <v>0</v>
      </c>
    </row>
    <row r="93" spans="2:63">
      <c r="B93" s="41" t="s">
        <v>514</v>
      </c>
      <c r="C93" s="41" t="s">
        <v>355</v>
      </c>
      <c r="D93" s="40"/>
      <c r="E93" s="40"/>
      <c r="F93" s="29"/>
      <c r="G93" s="22"/>
      <c r="H93" s="23">
        <v>0.82</v>
      </c>
      <c r="I93" s="75">
        <f t="shared" si="69"/>
        <v>0</v>
      </c>
      <c r="K93" s="41" t="s">
        <v>514</v>
      </c>
      <c r="L93" s="41" t="s">
        <v>355</v>
      </c>
      <c r="M93" s="40"/>
      <c r="N93" s="40"/>
      <c r="O93" s="29"/>
      <c r="P93" s="22"/>
      <c r="Q93" s="23">
        <v>0.82</v>
      </c>
      <c r="R93" s="75">
        <f t="shared" si="70"/>
        <v>0</v>
      </c>
      <c r="T93" s="41" t="s">
        <v>514</v>
      </c>
      <c r="U93" s="41" t="s">
        <v>355</v>
      </c>
      <c r="V93" s="40"/>
      <c r="W93" s="40"/>
      <c r="X93" s="29"/>
      <c r="Y93" s="22"/>
      <c r="Z93" s="23">
        <v>0.82</v>
      </c>
      <c r="AA93" s="75">
        <f t="shared" si="71"/>
        <v>0</v>
      </c>
      <c r="AC93" s="41" t="s">
        <v>514</v>
      </c>
      <c r="AD93" s="41" t="s">
        <v>355</v>
      </c>
      <c r="AE93" s="40"/>
      <c r="AF93" s="40"/>
      <c r="AG93" s="29"/>
      <c r="AH93" s="22"/>
      <c r="AI93" s="23">
        <v>0.82</v>
      </c>
      <c r="AJ93" s="75">
        <f t="shared" si="72"/>
        <v>0</v>
      </c>
      <c r="AL93" s="41" t="s">
        <v>514</v>
      </c>
      <c r="AM93" s="41" t="s">
        <v>355</v>
      </c>
      <c r="AN93" s="40"/>
      <c r="AO93" s="40"/>
      <c r="AP93" s="29"/>
      <c r="AQ93" s="22"/>
      <c r="AR93" s="23">
        <v>0.82</v>
      </c>
      <c r="AS93" s="75">
        <f t="shared" si="73"/>
        <v>0</v>
      </c>
      <c r="AU93" s="41" t="s">
        <v>514</v>
      </c>
      <c r="AV93" s="41" t="s">
        <v>355</v>
      </c>
      <c r="AW93" s="40"/>
      <c r="AX93" s="40"/>
      <c r="AY93" s="29"/>
      <c r="AZ93" s="22"/>
      <c r="BA93" s="23">
        <v>0.82</v>
      </c>
      <c r="BB93" s="75">
        <f t="shared" si="74"/>
        <v>0</v>
      </c>
      <c r="BD93" s="41" t="s">
        <v>514</v>
      </c>
      <c r="BE93" s="41" t="s">
        <v>355</v>
      </c>
      <c r="BF93" s="40"/>
      <c r="BG93" s="40"/>
      <c r="BH93" s="29"/>
      <c r="BI93" s="22"/>
      <c r="BJ93" s="23">
        <v>0.82</v>
      </c>
      <c r="BK93" s="75">
        <f t="shared" si="75"/>
        <v>0</v>
      </c>
    </row>
    <row r="94" spans="2:63">
      <c r="B94" s="41" t="s">
        <v>514</v>
      </c>
      <c r="C94" s="41" t="s">
        <v>355</v>
      </c>
      <c r="D94" s="40"/>
      <c r="E94" s="40"/>
      <c r="F94" s="29"/>
      <c r="G94" s="22"/>
      <c r="H94" s="23">
        <v>0.82</v>
      </c>
      <c r="I94" s="75">
        <f t="shared" si="69"/>
        <v>0</v>
      </c>
      <c r="K94" s="41" t="s">
        <v>514</v>
      </c>
      <c r="L94" s="41" t="s">
        <v>355</v>
      </c>
      <c r="M94" s="40"/>
      <c r="N94" s="40"/>
      <c r="O94" s="29"/>
      <c r="P94" s="22"/>
      <c r="Q94" s="23">
        <v>0.82</v>
      </c>
      <c r="R94" s="75">
        <f t="shared" si="70"/>
        <v>0</v>
      </c>
      <c r="T94" s="41" t="s">
        <v>514</v>
      </c>
      <c r="U94" s="41" t="s">
        <v>355</v>
      </c>
      <c r="V94" s="40"/>
      <c r="W94" s="40"/>
      <c r="X94" s="29"/>
      <c r="Y94" s="22"/>
      <c r="Z94" s="23">
        <v>0.82</v>
      </c>
      <c r="AA94" s="75">
        <f t="shared" si="71"/>
        <v>0</v>
      </c>
      <c r="AC94" s="41" t="s">
        <v>514</v>
      </c>
      <c r="AD94" s="41" t="s">
        <v>355</v>
      </c>
      <c r="AE94" s="40"/>
      <c r="AF94" s="40"/>
      <c r="AG94" s="29"/>
      <c r="AH94" s="22"/>
      <c r="AI94" s="23">
        <v>0.82</v>
      </c>
      <c r="AJ94" s="75">
        <f t="shared" si="72"/>
        <v>0</v>
      </c>
      <c r="AL94" s="41" t="s">
        <v>514</v>
      </c>
      <c r="AM94" s="41" t="s">
        <v>355</v>
      </c>
      <c r="AN94" s="40"/>
      <c r="AO94" s="40"/>
      <c r="AP94" s="29"/>
      <c r="AQ94" s="22"/>
      <c r="AR94" s="23">
        <v>0.82</v>
      </c>
      <c r="AS94" s="75">
        <f t="shared" si="73"/>
        <v>0</v>
      </c>
      <c r="AU94" s="41" t="s">
        <v>514</v>
      </c>
      <c r="AV94" s="41" t="s">
        <v>355</v>
      </c>
      <c r="AW94" s="40"/>
      <c r="AX94" s="40"/>
      <c r="AY94" s="29"/>
      <c r="AZ94" s="22"/>
      <c r="BA94" s="23">
        <v>0.82</v>
      </c>
      <c r="BB94" s="75">
        <f t="shared" si="74"/>
        <v>0</v>
      </c>
      <c r="BD94" s="41" t="s">
        <v>514</v>
      </c>
      <c r="BE94" s="41" t="s">
        <v>355</v>
      </c>
      <c r="BF94" s="40"/>
      <c r="BG94" s="40"/>
      <c r="BH94" s="29"/>
      <c r="BI94" s="22"/>
      <c r="BJ94" s="23">
        <v>0.82</v>
      </c>
      <c r="BK94" s="75">
        <f t="shared" si="75"/>
        <v>0</v>
      </c>
    </row>
    <row r="95" spans="2:63" s="24" customFormat="1">
      <c r="B95" s="8" t="s">
        <v>516</v>
      </c>
      <c r="C95" s="25"/>
      <c r="D95" s="28">
        <f>SUM(D80:D94)</f>
        <v>150000</v>
      </c>
      <c r="E95" s="28">
        <f>SUM(E80:E94)</f>
        <v>50000</v>
      </c>
      <c r="F95" s="30"/>
      <c r="G95" s="25"/>
      <c r="H95" s="26"/>
      <c r="I95" s="28">
        <f>SUM(I80:I94)</f>
        <v>9840</v>
      </c>
      <c r="K95" s="8" t="s">
        <v>516</v>
      </c>
      <c r="L95" s="25"/>
      <c r="M95" s="28">
        <f>SUM(M80:M94)</f>
        <v>150000</v>
      </c>
      <c r="N95" s="28">
        <f>SUM(N80:N94)</f>
        <v>50000</v>
      </c>
      <c r="O95" s="30"/>
      <c r="P95" s="25"/>
      <c r="Q95" s="26"/>
      <c r="R95" s="28">
        <f>SUM(R80:R94)</f>
        <v>9840</v>
      </c>
      <c r="T95" s="8" t="s">
        <v>516</v>
      </c>
      <c r="U95" s="25"/>
      <c r="V95" s="28">
        <f>SUM(V80:V94)</f>
        <v>150000</v>
      </c>
      <c r="W95" s="28">
        <f>SUM(W80:W94)</f>
        <v>50000</v>
      </c>
      <c r="X95" s="30"/>
      <c r="Y95" s="25"/>
      <c r="Z95" s="26"/>
      <c r="AA95" s="28">
        <f>SUM(AA80:AA94)</f>
        <v>9840</v>
      </c>
      <c r="AC95" s="8" t="s">
        <v>516</v>
      </c>
      <c r="AD95" s="25"/>
      <c r="AE95" s="28">
        <f>SUM(AE80:AE94)</f>
        <v>150000</v>
      </c>
      <c r="AF95" s="28">
        <f>SUM(AF80:AF94)</f>
        <v>50000</v>
      </c>
      <c r="AG95" s="30"/>
      <c r="AH95" s="25"/>
      <c r="AI95" s="26"/>
      <c r="AJ95" s="28">
        <f>SUM(AJ80:AJ94)</f>
        <v>9840</v>
      </c>
      <c r="AL95" s="8" t="s">
        <v>516</v>
      </c>
      <c r="AM95" s="25"/>
      <c r="AN95" s="28">
        <f>SUM(AN80:AN94)</f>
        <v>150000</v>
      </c>
      <c r="AO95" s="28">
        <f>SUM(AO80:AO94)</f>
        <v>50000</v>
      </c>
      <c r="AP95" s="30"/>
      <c r="AQ95" s="25"/>
      <c r="AR95" s="26"/>
      <c r="AS95" s="28">
        <f>SUM(AS80:AS94)</f>
        <v>9840</v>
      </c>
      <c r="AU95" s="8" t="s">
        <v>516</v>
      </c>
      <c r="AV95" s="25"/>
      <c r="AW95" s="28">
        <f>SUM(AW80:AW94)</f>
        <v>150000</v>
      </c>
      <c r="AX95" s="28">
        <f>SUM(AX80:AX94)</f>
        <v>50000</v>
      </c>
      <c r="AY95" s="30"/>
      <c r="AZ95" s="25"/>
      <c r="BA95" s="26"/>
      <c r="BB95" s="28">
        <f>SUM(BB80:BB94)</f>
        <v>9840</v>
      </c>
      <c r="BD95" s="8" t="s">
        <v>516</v>
      </c>
      <c r="BE95" s="25"/>
      <c r="BF95" s="28">
        <f>SUM(BF80:BF94)</f>
        <v>150000</v>
      </c>
      <c r="BG95" s="28">
        <f>SUM(BG80:BG94)</f>
        <v>50000</v>
      </c>
      <c r="BH95" s="30"/>
      <c r="BI95" s="25"/>
      <c r="BJ95" s="26"/>
      <c r="BK95" s="28">
        <f>SUM(BK80:BK94)</f>
        <v>9840</v>
      </c>
    </row>
    <row r="97" spans="2:63" s="20" customFormat="1" ht="41.4">
      <c r="B97" s="27" t="s">
        <v>15</v>
      </c>
      <c r="C97" s="3" t="str">
        <f>C$43</f>
        <v>Source</v>
      </c>
      <c r="D97" s="3" t="str">
        <f t="shared" ref="D97:I97" si="76">D$43</f>
        <v>Limit (A)</v>
      </c>
      <c r="E97" s="3" t="str">
        <f t="shared" si="76"/>
        <v>Outstanding (A1)</v>
      </c>
      <c r="F97" s="3" t="str">
        <f t="shared" si="76"/>
        <v>Monthly Repayment (B)</v>
      </c>
      <c r="G97" s="3" t="str">
        <f t="shared" si="76"/>
        <v>Interest Rate (C)</v>
      </c>
      <c r="H97" s="3" t="str">
        <f t="shared" si="76"/>
        <v>Factor (D)</v>
      </c>
      <c r="I97" s="3" t="str">
        <f t="shared" si="76"/>
        <v>Interest (E) = (A or A1) * (C) * (D)</v>
      </c>
      <c r="K97" s="27" t="s">
        <v>15</v>
      </c>
      <c r="L97" s="3" t="str">
        <f>L$43</f>
        <v>Source</v>
      </c>
      <c r="M97" s="3" t="str">
        <f t="shared" ref="M97:R97" si="77">M$43</f>
        <v>Limit (A)</v>
      </c>
      <c r="N97" s="3" t="str">
        <f t="shared" si="77"/>
        <v>Outstanding (A1)</v>
      </c>
      <c r="O97" s="3" t="str">
        <f t="shared" si="77"/>
        <v>Monthly Repayment (B)</v>
      </c>
      <c r="P97" s="3" t="str">
        <f t="shared" si="77"/>
        <v>Interest Rate (C)</v>
      </c>
      <c r="Q97" s="3" t="str">
        <f t="shared" si="77"/>
        <v>Factor (D)</v>
      </c>
      <c r="R97" s="3" t="str">
        <f t="shared" si="77"/>
        <v>Interest (E) = (A or A1) * (C) * (D)</v>
      </c>
      <c r="T97" s="27" t="s">
        <v>15</v>
      </c>
      <c r="U97" s="3" t="str">
        <f>U$43</f>
        <v>Source</v>
      </c>
      <c r="V97" s="3" t="str">
        <f t="shared" ref="V97:AA97" si="78">V$43</f>
        <v>Limit (A)</v>
      </c>
      <c r="W97" s="3" t="str">
        <f t="shared" si="78"/>
        <v>Outstanding (A1)</v>
      </c>
      <c r="X97" s="3" t="str">
        <f t="shared" si="78"/>
        <v>Monthly Repayment (B)</v>
      </c>
      <c r="Y97" s="3" t="str">
        <f t="shared" si="78"/>
        <v>Interest Rate (C)</v>
      </c>
      <c r="Z97" s="3" t="str">
        <f t="shared" si="78"/>
        <v>Factor (D)</v>
      </c>
      <c r="AA97" s="3" t="str">
        <f t="shared" si="78"/>
        <v>Interest (E) = (A or A1) * (C) * (D)</v>
      </c>
      <c r="AC97" s="27" t="s">
        <v>15</v>
      </c>
      <c r="AD97" s="3" t="str">
        <f>AD$43</f>
        <v>Source</v>
      </c>
      <c r="AE97" s="3" t="str">
        <f t="shared" ref="AE97:AJ97" si="79">AE$43</f>
        <v>Limit (A)</v>
      </c>
      <c r="AF97" s="3" t="str">
        <f t="shared" si="79"/>
        <v>Outstanding (A1)</v>
      </c>
      <c r="AG97" s="3" t="str">
        <f t="shared" si="79"/>
        <v>Monthly Repayment (B)</v>
      </c>
      <c r="AH97" s="3" t="str">
        <f t="shared" si="79"/>
        <v>Interest Rate (C)</v>
      </c>
      <c r="AI97" s="3" t="str">
        <f t="shared" si="79"/>
        <v>Factor (D)</v>
      </c>
      <c r="AJ97" s="3" t="str">
        <f t="shared" si="79"/>
        <v>Interest (E) = (A or A1) * (C) * (D)</v>
      </c>
      <c r="AL97" s="27" t="s">
        <v>15</v>
      </c>
      <c r="AM97" s="3" t="str">
        <f>AM$43</f>
        <v>Source</v>
      </c>
      <c r="AN97" s="3" t="str">
        <f t="shared" ref="AN97:AS97" si="80">AN$43</f>
        <v>Limit (A)</v>
      </c>
      <c r="AO97" s="3" t="str">
        <f t="shared" si="80"/>
        <v>Outstanding (A1)</v>
      </c>
      <c r="AP97" s="3" t="str">
        <f t="shared" si="80"/>
        <v>Monthly Repayment (B)</v>
      </c>
      <c r="AQ97" s="3" t="str">
        <f t="shared" si="80"/>
        <v>Interest Rate (C)</v>
      </c>
      <c r="AR97" s="3" t="str">
        <f t="shared" si="80"/>
        <v>Factor (D)</v>
      </c>
      <c r="AS97" s="3" t="str">
        <f t="shared" si="80"/>
        <v>Interest (E) = (A or A1) * (C) * (D)</v>
      </c>
      <c r="AU97" s="27" t="s">
        <v>15</v>
      </c>
      <c r="AV97" s="3" t="str">
        <f>AV$43</f>
        <v>Source</v>
      </c>
      <c r="AW97" s="3" t="str">
        <f t="shared" ref="AW97:BB97" si="81">AW$43</f>
        <v>Limit (A)</v>
      </c>
      <c r="AX97" s="3" t="str">
        <f t="shared" si="81"/>
        <v>Outstanding (A1)</v>
      </c>
      <c r="AY97" s="3" t="str">
        <f t="shared" si="81"/>
        <v>Monthly Repayment (B)</v>
      </c>
      <c r="AZ97" s="3" t="str">
        <f t="shared" si="81"/>
        <v>Interest Rate (C)</v>
      </c>
      <c r="BA97" s="3" t="str">
        <f t="shared" si="81"/>
        <v>Factor (D)</v>
      </c>
      <c r="BB97" s="3" t="str">
        <f t="shared" si="81"/>
        <v>Interest (E) = (A or A1) * (C) * (D)</v>
      </c>
      <c r="BD97" s="27" t="s">
        <v>15</v>
      </c>
      <c r="BE97" s="3" t="str">
        <f>BE$43</f>
        <v>Source</v>
      </c>
      <c r="BF97" s="3" t="str">
        <f t="shared" ref="BF97:BK97" si="82">BF$43</f>
        <v>Limit (A)</v>
      </c>
      <c r="BG97" s="3" t="str">
        <f t="shared" si="82"/>
        <v>Outstanding (A1)</v>
      </c>
      <c r="BH97" s="3" t="str">
        <f t="shared" si="82"/>
        <v>Monthly Repayment (B)</v>
      </c>
      <c r="BI97" s="3" t="str">
        <f t="shared" si="82"/>
        <v>Interest Rate (C)</v>
      </c>
      <c r="BJ97" s="3" t="str">
        <f t="shared" si="82"/>
        <v>Factor (D)</v>
      </c>
      <c r="BK97" s="3" t="str">
        <f t="shared" si="82"/>
        <v>Interest (E) = (A or A1) * (C) * (D)</v>
      </c>
    </row>
    <row r="98" spans="2:63">
      <c r="B98" s="41" t="s">
        <v>514</v>
      </c>
      <c r="C98" s="41" t="s">
        <v>355</v>
      </c>
      <c r="D98" s="40">
        <v>200000</v>
      </c>
      <c r="E98" s="40">
        <v>100000</v>
      </c>
      <c r="F98" s="29"/>
      <c r="G98" s="22">
        <v>0.08</v>
      </c>
      <c r="H98" s="23">
        <v>0.82</v>
      </c>
      <c r="I98" s="75">
        <f>D98*G98*H98</f>
        <v>13120</v>
      </c>
      <c r="K98" s="41" t="s">
        <v>514</v>
      </c>
      <c r="L98" s="41" t="s">
        <v>355</v>
      </c>
      <c r="M98" s="40">
        <v>200000</v>
      </c>
      <c r="N98" s="40">
        <v>100000</v>
      </c>
      <c r="O98" s="29"/>
      <c r="P98" s="22">
        <v>0.08</v>
      </c>
      <c r="Q98" s="23">
        <v>0.82</v>
      </c>
      <c r="R98" s="75">
        <f>M98*P98*Q98</f>
        <v>13120</v>
      </c>
      <c r="T98" s="41" t="s">
        <v>514</v>
      </c>
      <c r="U98" s="41" t="s">
        <v>355</v>
      </c>
      <c r="V98" s="40">
        <v>200000</v>
      </c>
      <c r="W98" s="40">
        <v>100000</v>
      </c>
      <c r="X98" s="29"/>
      <c r="Y98" s="22">
        <v>0.08</v>
      </c>
      <c r="Z98" s="23">
        <v>0.82</v>
      </c>
      <c r="AA98" s="75">
        <f>V98*Y98*Z98</f>
        <v>13120</v>
      </c>
      <c r="AC98" s="41" t="s">
        <v>514</v>
      </c>
      <c r="AD98" s="41" t="s">
        <v>355</v>
      </c>
      <c r="AE98" s="40">
        <v>200000</v>
      </c>
      <c r="AF98" s="40">
        <v>100000</v>
      </c>
      <c r="AG98" s="29"/>
      <c r="AH98" s="22">
        <v>0.08</v>
      </c>
      <c r="AI98" s="23">
        <v>0.82</v>
      </c>
      <c r="AJ98" s="75">
        <f>AE98*AH98*AI98</f>
        <v>13120</v>
      </c>
      <c r="AL98" s="41" t="s">
        <v>514</v>
      </c>
      <c r="AM98" s="41" t="s">
        <v>355</v>
      </c>
      <c r="AN98" s="40">
        <v>200000</v>
      </c>
      <c r="AO98" s="40">
        <v>100000</v>
      </c>
      <c r="AP98" s="29"/>
      <c r="AQ98" s="22">
        <v>0.08</v>
      </c>
      <c r="AR98" s="23">
        <v>0.82</v>
      </c>
      <c r="AS98" s="75">
        <f>AN98*AQ98*AR98</f>
        <v>13120</v>
      </c>
      <c r="AU98" s="41" t="s">
        <v>514</v>
      </c>
      <c r="AV98" s="41" t="s">
        <v>355</v>
      </c>
      <c r="AW98" s="40">
        <v>200000</v>
      </c>
      <c r="AX98" s="40">
        <v>100000</v>
      </c>
      <c r="AY98" s="29"/>
      <c r="AZ98" s="22">
        <v>0.08</v>
      </c>
      <c r="BA98" s="23">
        <v>0.82</v>
      </c>
      <c r="BB98" s="75">
        <f>AW98*AZ98*BA98</f>
        <v>13120</v>
      </c>
      <c r="BD98" s="41" t="s">
        <v>514</v>
      </c>
      <c r="BE98" s="41" t="s">
        <v>355</v>
      </c>
      <c r="BF98" s="40">
        <v>200000</v>
      </c>
      <c r="BG98" s="40">
        <v>100000</v>
      </c>
      <c r="BH98" s="29"/>
      <c r="BI98" s="22">
        <v>0.08</v>
      </c>
      <c r="BJ98" s="23">
        <v>0.82</v>
      </c>
      <c r="BK98" s="75">
        <f>BF98*BI98*BJ98</f>
        <v>13120</v>
      </c>
    </row>
    <row r="99" spans="2:63">
      <c r="B99" s="41" t="s">
        <v>514</v>
      </c>
      <c r="C99" s="41" t="s">
        <v>355</v>
      </c>
      <c r="D99" s="40"/>
      <c r="E99" s="40"/>
      <c r="F99" s="29"/>
      <c r="G99" s="22"/>
      <c r="H99" s="23">
        <v>0.82</v>
      </c>
      <c r="I99" s="75">
        <f t="shared" ref="I99:I112" si="83">D99*G99*H99</f>
        <v>0</v>
      </c>
      <c r="K99" s="41" t="s">
        <v>514</v>
      </c>
      <c r="L99" s="41" t="s">
        <v>355</v>
      </c>
      <c r="M99" s="40"/>
      <c r="N99" s="40"/>
      <c r="O99" s="29"/>
      <c r="P99" s="22"/>
      <c r="Q99" s="23">
        <v>0.82</v>
      </c>
      <c r="R99" s="75">
        <f t="shared" ref="R99:R112" si="84">M99*P99*Q99</f>
        <v>0</v>
      </c>
      <c r="T99" s="41" t="s">
        <v>514</v>
      </c>
      <c r="U99" s="41" t="s">
        <v>355</v>
      </c>
      <c r="V99" s="40"/>
      <c r="W99" s="40"/>
      <c r="X99" s="29"/>
      <c r="Y99" s="22"/>
      <c r="Z99" s="23">
        <v>0.82</v>
      </c>
      <c r="AA99" s="75">
        <f t="shared" ref="AA99:AA112" si="85">V99*Y99*Z99</f>
        <v>0</v>
      </c>
      <c r="AC99" s="41" t="s">
        <v>514</v>
      </c>
      <c r="AD99" s="41" t="s">
        <v>355</v>
      </c>
      <c r="AE99" s="40"/>
      <c r="AF99" s="40"/>
      <c r="AG99" s="29"/>
      <c r="AH99" s="22"/>
      <c r="AI99" s="23">
        <v>0.82</v>
      </c>
      <c r="AJ99" s="75">
        <f t="shared" ref="AJ99:AJ112" si="86">AE99*AH99*AI99</f>
        <v>0</v>
      </c>
      <c r="AL99" s="41" t="s">
        <v>514</v>
      </c>
      <c r="AM99" s="41" t="s">
        <v>355</v>
      </c>
      <c r="AN99" s="40"/>
      <c r="AO99" s="40"/>
      <c r="AP99" s="29"/>
      <c r="AQ99" s="22"/>
      <c r="AR99" s="23">
        <v>0.82</v>
      </c>
      <c r="AS99" s="75">
        <f t="shared" ref="AS99:AS112" si="87">AN99*AQ99*AR99</f>
        <v>0</v>
      </c>
      <c r="AU99" s="41" t="s">
        <v>514</v>
      </c>
      <c r="AV99" s="41" t="s">
        <v>355</v>
      </c>
      <c r="AW99" s="40"/>
      <c r="AX99" s="40"/>
      <c r="AY99" s="29"/>
      <c r="AZ99" s="22"/>
      <c r="BA99" s="23">
        <v>0.82</v>
      </c>
      <c r="BB99" s="75">
        <f t="shared" ref="BB99:BB112" si="88">AW99*AZ99*BA99</f>
        <v>0</v>
      </c>
      <c r="BD99" s="41" t="s">
        <v>514</v>
      </c>
      <c r="BE99" s="41" t="s">
        <v>355</v>
      </c>
      <c r="BF99" s="40"/>
      <c r="BG99" s="40"/>
      <c r="BH99" s="29"/>
      <c r="BI99" s="22"/>
      <c r="BJ99" s="23">
        <v>0.82</v>
      </c>
      <c r="BK99" s="75">
        <f t="shared" ref="BK99:BK112" si="89">BF99*BI99*BJ99</f>
        <v>0</v>
      </c>
    </row>
    <row r="100" spans="2:63">
      <c r="B100" s="41" t="s">
        <v>514</v>
      </c>
      <c r="C100" s="41" t="s">
        <v>355</v>
      </c>
      <c r="D100" s="40"/>
      <c r="E100" s="40"/>
      <c r="F100" s="29"/>
      <c r="G100" s="22"/>
      <c r="H100" s="23">
        <v>0.82</v>
      </c>
      <c r="I100" s="75">
        <f t="shared" si="83"/>
        <v>0</v>
      </c>
      <c r="K100" s="41" t="s">
        <v>514</v>
      </c>
      <c r="L100" s="41" t="s">
        <v>355</v>
      </c>
      <c r="M100" s="40"/>
      <c r="N100" s="40"/>
      <c r="O100" s="29"/>
      <c r="P100" s="22"/>
      <c r="Q100" s="23">
        <v>0.82</v>
      </c>
      <c r="R100" s="75">
        <f t="shared" si="84"/>
        <v>0</v>
      </c>
      <c r="T100" s="41" t="s">
        <v>514</v>
      </c>
      <c r="U100" s="41" t="s">
        <v>355</v>
      </c>
      <c r="V100" s="40"/>
      <c r="W100" s="40"/>
      <c r="X100" s="29"/>
      <c r="Y100" s="22"/>
      <c r="Z100" s="23">
        <v>0.82</v>
      </c>
      <c r="AA100" s="75">
        <f t="shared" si="85"/>
        <v>0</v>
      </c>
      <c r="AC100" s="41" t="s">
        <v>514</v>
      </c>
      <c r="AD100" s="41" t="s">
        <v>355</v>
      </c>
      <c r="AE100" s="40"/>
      <c r="AF100" s="40"/>
      <c r="AG100" s="29"/>
      <c r="AH100" s="22"/>
      <c r="AI100" s="23">
        <v>0.82</v>
      </c>
      <c r="AJ100" s="75">
        <f t="shared" si="86"/>
        <v>0</v>
      </c>
      <c r="AL100" s="41" t="s">
        <v>514</v>
      </c>
      <c r="AM100" s="41" t="s">
        <v>355</v>
      </c>
      <c r="AN100" s="40"/>
      <c r="AO100" s="40"/>
      <c r="AP100" s="29"/>
      <c r="AQ100" s="22"/>
      <c r="AR100" s="23">
        <v>0.82</v>
      </c>
      <c r="AS100" s="75">
        <f t="shared" si="87"/>
        <v>0</v>
      </c>
      <c r="AU100" s="41" t="s">
        <v>514</v>
      </c>
      <c r="AV100" s="41" t="s">
        <v>355</v>
      </c>
      <c r="AW100" s="40"/>
      <c r="AX100" s="40"/>
      <c r="AY100" s="29"/>
      <c r="AZ100" s="22"/>
      <c r="BA100" s="23">
        <v>0.82</v>
      </c>
      <c r="BB100" s="75">
        <f t="shared" si="88"/>
        <v>0</v>
      </c>
      <c r="BD100" s="41" t="s">
        <v>514</v>
      </c>
      <c r="BE100" s="41" t="s">
        <v>355</v>
      </c>
      <c r="BF100" s="40"/>
      <c r="BG100" s="40"/>
      <c r="BH100" s="29"/>
      <c r="BI100" s="22"/>
      <c r="BJ100" s="23">
        <v>0.82</v>
      </c>
      <c r="BK100" s="75">
        <f t="shared" si="89"/>
        <v>0</v>
      </c>
    </row>
    <row r="101" spans="2:63">
      <c r="B101" s="41" t="s">
        <v>514</v>
      </c>
      <c r="C101" s="41" t="s">
        <v>355</v>
      </c>
      <c r="D101" s="40"/>
      <c r="E101" s="40"/>
      <c r="F101" s="29"/>
      <c r="G101" s="22"/>
      <c r="H101" s="23">
        <v>0.82</v>
      </c>
      <c r="I101" s="75">
        <f t="shared" si="83"/>
        <v>0</v>
      </c>
      <c r="K101" s="41" t="s">
        <v>514</v>
      </c>
      <c r="L101" s="41" t="s">
        <v>355</v>
      </c>
      <c r="M101" s="40"/>
      <c r="N101" s="40"/>
      <c r="O101" s="29"/>
      <c r="P101" s="22"/>
      <c r="Q101" s="23">
        <v>0.82</v>
      </c>
      <c r="R101" s="75">
        <f t="shared" si="84"/>
        <v>0</v>
      </c>
      <c r="T101" s="41" t="s">
        <v>514</v>
      </c>
      <c r="U101" s="41" t="s">
        <v>355</v>
      </c>
      <c r="V101" s="40"/>
      <c r="W101" s="40"/>
      <c r="X101" s="29"/>
      <c r="Y101" s="22"/>
      <c r="Z101" s="23">
        <v>0.82</v>
      </c>
      <c r="AA101" s="75">
        <f t="shared" si="85"/>
        <v>0</v>
      </c>
      <c r="AC101" s="41" t="s">
        <v>514</v>
      </c>
      <c r="AD101" s="41" t="s">
        <v>355</v>
      </c>
      <c r="AE101" s="40"/>
      <c r="AF101" s="40"/>
      <c r="AG101" s="29"/>
      <c r="AH101" s="22"/>
      <c r="AI101" s="23">
        <v>0.82</v>
      </c>
      <c r="AJ101" s="75">
        <f t="shared" si="86"/>
        <v>0</v>
      </c>
      <c r="AL101" s="41" t="s">
        <v>514</v>
      </c>
      <c r="AM101" s="41" t="s">
        <v>355</v>
      </c>
      <c r="AN101" s="40"/>
      <c r="AO101" s="40"/>
      <c r="AP101" s="29"/>
      <c r="AQ101" s="22"/>
      <c r="AR101" s="23">
        <v>0.82</v>
      </c>
      <c r="AS101" s="75">
        <f t="shared" si="87"/>
        <v>0</v>
      </c>
      <c r="AU101" s="41" t="s">
        <v>514</v>
      </c>
      <c r="AV101" s="41" t="s">
        <v>355</v>
      </c>
      <c r="AW101" s="40"/>
      <c r="AX101" s="40"/>
      <c r="AY101" s="29"/>
      <c r="AZ101" s="22"/>
      <c r="BA101" s="23">
        <v>0.82</v>
      </c>
      <c r="BB101" s="75">
        <f t="shared" si="88"/>
        <v>0</v>
      </c>
      <c r="BD101" s="41" t="s">
        <v>514</v>
      </c>
      <c r="BE101" s="41" t="s">
        <v>355</v>
      </c>
      <c r="BF101" s="40"/>
      <c r="BG101" s="40"/>
      <c r="BH101" s="29"/>
      <c r="BI101" s="22"/>
      <c r="BJ101" s="23">
        <v>0.82</v>
      </c>
      <c r="BK101" s="75">
        <f t="shared" si="89"/>
        <v>0</v>
      </c>
    </row>
    <row r="102" spans="2:63">
      <c r="B102" s="41" t="s">
        <v>514</v>
      </c>
      <c r="C102" s="41" t="s">
        <v>355</v>
      </c>
      <c r="D102" s="40"/>
      <c r="E102" s="40"/>
      <c r="F102" s="29"/>
      <c r="G102" s="22"/>
      <c r="H102" s="23">
        <v>0.82</v>
      </c>
      <c r="I102" s="75">
        <f t="shared" si="83"/>
        <v>0</v>
      </c>
      <c r="K102" s="41" t="s">
        <v>514</v>
      </c>
      <c r="L102" s="41" t="s">
        <v>355</v>
      </c>
      <c r="M102" s="40"/>
      <c r="N102" s="40"/>
      <c r="O102" s="29"/>
      <c r="P102" s="22"/>
      <c r="Q102" s="23">
        <v>0.82</v>
      </c>
      <c r="R102" s="75">
        <f t="shared" si="84"/>
        <v>0</v>
      </c>
      <c r="T102" s="41" t="s">
        <v>514</v>
      </c>
      <c r="U102" s="41" t="s">
        <v>355</v>
      </c>
      <c r="V102" s="40"/>
      <c r="W102" s="40"/>
      <c r="X102" s="29"/>
      <c r="Y102" s="22"/>
      <c r="Z102" s="23">
        <v>0.82</v>
      </c>
      <c r="AA102" s="75">
        <f t="shared" si="85"/>
        <v>0</v>
      </c>
      <c r="AC102" s="41" t="s">
        <v>514</v>
      </c>
      <c r="AD102" s="41" t="s">
        <v>355</v>
      </c>
      <c r="AE102" s="40"/>
      <c r="AF102" s="40"/>
      <c r="AG102" s="29"/>
      <c r="AH102" s="22"/>
      <c r="AI102" s="23">
        <v>0.82</v>
      </c>
      <c r="AJ102" s="75">
        <f t="shared" si="86"/>
        <v>0</v>
      </c>
      <c r="AL102" s="41" t="s">
        <v>514</v>
      </c>
      <c r="AM102" s="41" t="s">
        <v>355</v>
      </c>
      <c r="AN102" s="40"/>
      <c r="AO102" s="40"/>
      <c r="AP102" s="29"/>
      <c r="AQ102" s="22"/>
      <c r="AR102" s="23">
        <v>0.82</v>
      </c>
      <c r="AS102" s="75">
        <f t="shared" si="87"/>
        <v>0</v>
      </c>
      <c r="AU102" s="41" t="s">
        <v>514</v>
      </c>
      <c r="AV102" s="41" t="s">
        <v>355</v>
      </c>
      <c r="AW102" s="40"/>
      <c r="AX102" s="40"/>
      <c r="AY102" s="29"/>
      <c r="AZ102" s="22"/>
      <c r="BA102" s="23">
        <v>0.82</v>
      </c>
      <c r="BB102" s="75">
        <f t="shared" si="88"/>
        <v>0</v>
      </c>
      <c r="BD102" s="41" t="s">
        <v>514</v>
      </c>
      <c r="BE102" s="41" t="s">
        <v>355</v>
      </c>
      <c r="BF102" s="40"/>
      <c r="BG102" s="40"/>
      <c r="BH102" s="29"/>
      <c r="BI102" s="22"/>
      <c r="BJ102" s="23">
        <v>0.82</v>
      </c>
      <c r="BK102" s="75">
        <f t="shared" si="89"/>
        <v>0</v>
      </c>
    </row>
    <row r="103" spans="2:63">
      <c r="B103" s="41" t="s">
        <v>514</v>
      </c>
      <c r="C103" s="41" t="s">
        <v>355</v>
      </c>
      <c r="D103" s="40"/>
      <c r="E103" s="40"/>
      <c r="F103" s="29"/>
      <c r="G103" s="22"/>
      <c r="H103" s="23">
        <v>0.82</v>
      </c>
      <c r="I103" s="75">
        <f t="shared" si="83"/>
        <v>0</v>
      </c>
      <c r="K103" s="41" t="s">
        <v>514</v>
      </c>
      <c r="L103" s="41" t="s">
        <v>355</v>
      </c>
      <c r="M103" s="40"/>
      <c r="N103" s="40"/>
      <c r="O103" s="29"/>
      <c r="P103" s="22"/>
      <c r="Q103" s="23">
        <v>0.82</v>
      </c>
      <c r="R103" s="75">
        <f t="shared" si="84"/>
        <v>0</v>
      </c>
      <c r="T103" s="41" t="s">
        <v>514</v>
      </c>
      <c r="U103" s="41" t="s">
        <v>355</v>
      </c>
      <c r="V103" s="40"/>
      <c r="W103" s="40"/>
      <c r="X103" s="29"/>
      <c r="Y103" s="22"/>
      <c r="Z103" s="23">
        <v>0.82</v>
      </c>
      <c r="AA103" s="75">
        <f t="shared" si="85"/>
        <v>0</v>
      </c>
      <c r="AC103" s="41" t="s">
        <v>514</v>
      </c>
      <c r="AD103" s="41" t="s">
        <v>355</v>
      </c>
      <c r="AE103" s="40"/>
      <c r="AF103" s="40"/>
      <c r="AG103" s="29"/>
      <c r="AH103" s="22"/>
      <c r="AI103" s="23">
        <v>0.82</v>
      </c>
      <c r="AJ103" s="75">
        <f t="shared" si="86"/>
        <v>0</v>
      </c>
      <c r="AL103" s="41" t="s">
        <v>514</v>
      </c>
      <c r="AM103" s="41" t="s">
        <v>355</v>
      </c>
      <c r="AN103" s="40"/>
      <c r="AO103" s="40"/>
      <c r="AP103" s="29"/>
      <c r="AQ103" s="22"/>
      <c r="AR103" s="23">
        <v>0.82</v>
      </c>
      <c r="AS103" s="75">
        <f t="shared" si="87"/>
        <v>0</v>
      </c>
      <c r="AU103" s="41" t="s">
        <v>514</v>
      </c>
      <c r="AV103" s="41" t="s">
        <v>355</v>
      </c>
      <c r="AW103" s="40"/>
      <c r="AX103" s="40"/>
      <c r="AY103" s="29"/>
      <c r="AZ103" s="22"/>
      <c r="BA103" s="23">
        <v>0.82</v>
      </c>
      <c r="BB103" s="75">
        <f t="shared" si="88"/>
        <v>0</v>
      </c>
      <c r="BD103" s="41" t="s">
        <v>514</v>
      </c>
      <c r="BE103" s="41" t="s">
        <v>355</v>
      </c>
      <c r="BF103" s="40"/>
      <c r="BG103" s="40"/>
      <c r="BH103" s="29"/>
      <c r="BI103" s="22"/>
      <c r="BJ103" s="23">
        <v>0.82</v>
      </c>
      <c r="BK103" s="75">
        <f t="shared" si="89"/>
        <v>0</v>
      </c>
    </row>
    <row r="104" spans="2:63">
      <c r="B104" s="41" t="s">
        <v>514</v>
      </c>
      <c r="C104" s="41" t="s">
        <v>355</v>
      </c>
      <c r="D104" s="40"/>
      <c r="E104" s="40"/>
      <c r="F104" s="29"/>
      <c r="G104" s="22"/>
      <c r="H104" s="23">
        <v>0.82</v>
      </c>
      <c r="I104" s="75">
        <f t="shared" si="83"/>
        <v>0</v>
      </c>
      <c r="K104" s="41" t="s">
        <v>514</v>
      </c>
      <c r="L104" s="41" t="s">
        <v>355</v>
      </c>
      <c r="M104" s="40"/>
      <c r="N104" s="40"/>
      <c r="O104" s="29"/>
      <c r="P104" s="22"/>
      <c r="Q104" s="23">
        <v>0.82</v>
      </c>
      <c r="R104" s="75">
        <f t="shared" si="84"/>
        <v>0</v>
      </c>
      <c r="T104" s="41" t="s">
        <v>514</v>
      </c>
      <c r="U104" s="41" t="s">
        <v>355</v>
      </c>
      <c r="V104" s="40"/>
      <c r="W104" s="40"/>
      <c r="X104" s="29"/>
      <c r="Y104" s="22"/>
      <c r="Z104" s="23">
        <v>0.82</v>
      </c>
      <c r="AA104" s="75">
        <f t="shared" si="85"/>
        <v>0</v>
      </c>
      <c r="AC104" s="41" t="s">
        <v>514</v>
      </c>
      <c r="AD104" s="41" t="s">
        <v>355</v>
      </c>
      <c r="AE104" s="40"/>
      <c r="AF104" s="40"/>
      <c r="AG104" s="29"/>
      <c r="AH104" s="22"/>
      <c r="AI104" s="23">
        <v>0.82</v>
      </c>
      <c r="AJ104" s="75">
        <f t="shared" si="86"/>
        <v>0</v>
      </c>
      <c r="AL104" s="41" t="s">
        <v>514</v>
      </c>
      <c r="AM104" s="41" t="s">
        <v>355</v>
      </c>
      <c r="AN104" s="40"/>
      <c r="AO104" s="40"/>
      <c r="AP104" s="29"/>
      <c r="AQ104" s="22"/>
      <c r="AR104" s="23">
        <v>0.82</v>
      </c>
      <c r="AS104" s="75">
        <f t="shared" si="87"/>
        <v>0</v>
      </c>
      <c r="AU104" s="41" t="s">
        <v>514</v>
      </c>
      <c r="AV104" s="41" t="s">
        <v>355</v>
      </c>
      <c r="AW104" s="40"/>
      <c r="AX104" s="40"/>
      <c r="AY104" s="29"/>
      <c r="AZ104" s="22"/>
      <c r="BA104" s="23">
        <v>0.82</v>
      </c>
      <c r="BB104" s="75">
        <f t="shared" si="88"/>
        <v>0</v>
      </c>
      <c r="BD104" s="41" t="s">
        <v>514</v>
      </c>
      <c r="BE104" s="41" t="s">
        <v>355</v>
      </c>
      <c r="BF104" s="40"/>
      <c r="BG104" s="40"/>
      <c r="BH104" s="29"/>
      <c r="BI104" s="22"/>
      <c r="BJ104" s="23">
        <v>0.82</v>
      </c>
      <c r="BK104" s="75">
        <f t="shared" si="89"/>
        <v>0</v>
      </c>
    </row>
    <row r="105" spans="2:63">
      <c r="B105" s="41" t="s">
        <v>514</v>
      </c>
      <c r="C105" s="41" t="s">
        <v>355</v>
      </c>
      <c r="D105" s="40"/>
      <c r="E105" s="40"/>
      <c r="F105" s="29"/>
      <c r="G105" s="22"/>
      <c r="H105" s="23">
        <v>0.82</v>
      </c>
      <c r="I105" s="75">
        <f t="shared" si="83"/>
        <v>0</v>
      </c>
      <c r="K105" s="41" t="s">
        <v>514</v>
      </c>
      <c r="L105" s="41" t="s">
        <v>355</v>
      </c>
      <c r="M105" s="40"/>
      <c r="N105" s="40"/>
      <c r="O105" s="29"/>
      <c r="P105" s="22"/>
      <c r="Q105" s="23">
        <v>0.82</v>
      </c>
      <c r="R105" s="75">
        <f t="shared" si="84"/>
        <v>0</v>
      </c>
      <c r="T105" s="41" t="s">
        <v>514</v>
      </c>
      <c r="U105" s="41" t="s">
        <v>355</v>
      </c>
      <c r="V105" s="40"/>
      <c r="W105" s="40"/>
      <c r="X105" s="29"/>
      <c r="Y105" s="22"/>
      <c r="Z105" s="23">
        <v>0.82</v>
      </c>
      <c r="AA105" s="75">
        <f t="shared" si="85"/>
        <v>0</v>
      </c>
      <c r="AC105" s="41" t="s">
        <v>514</v>
      </c>
      <c r="AD105" s="41" t="s">
        <v>355</v>
      </c>
      <c r="AE105" s="40"/>
      <c r="AF105" s="40"/>
      <c r="AG105" s="29"/>
      <c r="AH105" s="22"/>
      <c r="AI105" s="23">
        <v>0.82</v>
      </c>
      <c r="AJ105" s="75">
        <f t="shared" si="86"/>
        <v>0</v>
      </c>
      <c r="AL105" s="41" t="s">
        <v>514</v>
      </c>
      <c r="AM105" s="41" t="s">
        <v>355</v>
      </c>
      <c r="AN105" s="40"/>
      <c r="AO105" s="40"/>
      <c r="AP105" s="29"/>
      <c r="AQ105" s="22"/>
      <c r="AR105" s="23">
        <v>0.82</v>
      </c>
      <c r="AS105" s="75">
        <f t="shared" si="87"/>
        <v>0</v>
      </c>
      <c r="AU105" s="41" t="s">
        <v>514</v>
      </c>
      <c r="AV105" s="41" t="s">
        <v>355</v>
      </c>
      <c r="AW105" s="40"/>
      <c r="AX105" s="40"/>
      <c r="AY105" s="29"/>
      <c r="AZ105" s="22"/>
      <c r="BA105" s="23">
        <v>0.82</v>
      </c>
      <c r="BB105" s="75">
        <f t="shared" si="88"/>
        <v>0</v>
      </c>
      <c r="BD105" s="41" t="s">
        <v>514</v>
      </c>
      <c r="BE105" s="41" t="s">
        <v>355</v>
      </c>
      <c r="BF105" s="40"/>
      <c r="BG105" s="40"/>
      <c r="BH105" s="29"/>
      <c r="BI105" s="22"/>
      <c r="BJ105" s="23">
        <v>0.82</v>
      </c>
      <c r="BK105" s="75">
        <f t="shared" si="89"/>
        <v>0</v>
      </c>
    </row>
    <row r="106" spans="2:63">
      <c r="B106" s="41" t="s">
        <v>514</v>
      </c>
      <c r="C106" s="41" t="s">
        <v>355</v>
      </c>
      <c r="D106" s="40"/>
      <c r="E106" s="40"/>
      <c r="F106" s="29"/>
      <c r="G106" s="22"/>
      <c r="H106" s="23">
        <v>0.82</v>
      </c>
      <c r="I106" s="75">
        <f t="shared" si="83"/>
        <v>0</v>
      </c>
      <c r="K106" s="41" t="s">
        <v>514</v>
      </c>
      <c r="L106" s="41" t="s">
        <v>355</v>
      </c>
      <c r="M106" s="40"/>
      <c r="N106" s="40"/>
      <c r="O106" s="29"/>
      <c r="P106" s="22"/>
      <c r="Q106" s="23">
        <v>0.82</v>
      </c>
      <c r="R106" s="75">
        <f t="shared" si="84"/>
        <v>0</v>
      </c>
      <c r="T106" s="41" t="s">
        <v>514</v>
      </c>
      <c r="U106" s="41" t="s">
        <v>355</v>
      </c>
      <c r="V106" s="40"/>
      <c r="W106" s="40"/>
      <c r="X106" s="29"/>
      <c r="Y106" s="22"/>
      <c r="Z106" s="23">
        <v>0.82</v>
      </c>
      <c r="AA106" s="75">
        <f t="shared" si="85"/>
        <v>0</v>
      </c>
      <c r="AC106" s="41" t="s">
        <v>514</v>
      </c>
      <c r="AD106" s="41" t="s">
        <v>355</v>
      </c>
      <c r="AE106" s="40"/>
      <c r="AF106" s="40"/>
      <c r="AG106" s="29"/>
      <c r="AH106" s="22"/>
      <c r="AI106" s="23">
        <v>0.82</v>
      </c>
      <c r="AJ106" s="75">
        <f t="shared" si="86"/>
        <v>0</v>
      </c>
      <c r="AL106" s="41" t="s">
        <v>514</v>
      </c>
      <c r="AM106" s="41" t="s">
        <v>355</v>
      </c>
      <c r="AN106" s="40"/>
      <c r="AO106" s="40"/>
      <c r="AP106" s="29"/>
      <c r="AQ106" s="22"/>
      <c r="AR106" s="23">
        <v>0.82</v>
      </c>
      <c r="AS106" s="75">
        <f t="shared" si="87"/>
        <v>0</v>
      </c>
      <c r="AU106" s="41" t="s">
        <v>514</v>
      </c>
      <c r="AV106" s="41" t="s">
        <v>355</v>
      </c>
      <c r="AW106" s="40"/>
      <c r="AX106" s="40"/>
      <c r="AY106" s="29"/>
      <c r="AZ106" s="22"/>
      <c r="BA106" s="23">
        <v>0.82</v>
      </c>
      <c r="BB106" s="75">
        <f t="shared" si="88"/>
        <v>0</v>
      </c>
      <c r="BD106" s="41" t="s">
        <v>514</v>
      </c>
      <c r="BE106" s="41" t="s">
        <v>355</v>
      </c>
      <c r="BF106" s="40"/>
      <c r="BG106" s="40"/>
      <c r="BH106" s="29"/>
      <c r="BI106" s="22"/>
      <c r="BJ106" s="23">
        <v>0.82</v>
      </c>
      <c r="BK106" s="75">
        <f t="shared" si="89"/>
        <v>0</v>
      </c>
    </row>
    <row r="107" spans="2:63">
      <c r="B107" s="41" t="s">
        <v>514</v>
      </c>
      <c r="C107" s="41" t="s">
        <v>355</v>
      </c>
      <c r="D107" s="40"/>
      <c r="E107" s="40"/>
      <c r="F107" s="29"/>
      <c r="G107" s="22"/>
      <c r="H107" s="23">
        <v>0.82</v>
      </c>
      <c r="I107" s="75">
        <f t="shared" si="83"/>
        <v>0</v>
      </c>
      <c r="K107" s="41" t="s">
        <v>514</v>
      </c>
      <c r="L107" s="41" t="s">
        <v>355</v>
      </c>
      <c r="M107" s="40"/>
      <c r="N107" s="40"/>
      <c r="O107" s="29"/>
      <c r="P107" s="22"/>
      <c r="Q107" s="23">
        <v>0.82</v>
      </c>
      <c r="R107" s="75">
        <f t="shared" si="84"/>
        <v>0</v>
      </c>
      <c r="T107" s="41" t="s">
        <v>514</v>
      </c>
      <c r="U107" s="41" t="s">
        <v>355</v>
      </c>
      <c r="V107" s="40"/>
      <c r="W107" s="40"/>
      <c r="X107" s="29"/>
      <c r="Y107" s="22"/>
      <c r="Z107" s="23">
        <v>0.82</v>
      </c>
      <c r="AA107" s="75">
        <f t="shared" si="85"/>
        <v>0</v>
      </c>
      <c r="AC107" s="41" t="s">
        <v>514</v>
      </c>
      <c r="AD107" s="41" t="s">
        <v>355</v>
      </c>
      <c r="AE107" s="40"/>
      <c r="AF107" s="40"/>
      <c r="AG107" s="29"/>
      <c r="AH107" s="22"/>
      <c r="AI107" s="23">
        <v>0.82</v>
      </c>
      <c r="AJ107" s="75">
        <f t="shared" si="86"/>
        <v>0</v>
      </c>
      <c r="AL107" s="41" t="s">
        <v>514</v>
      </c>
      <c r="AM107" s="41" t="s">
        <v>355</v>
      </c>
      <c r="AN107" s="40"/>
      <c r="AO107" s="40"/>
      <c r="AP107" s="29"/>
      <c r="AQ107" s="22"/>
      <c r="AR107" s="23">
        <v>0.82</v>
      </c>
      <c r="AS107" s="75">
        <f t="shared" si="87"/>
        <v>0</v>
      </c>
      <c r="AU107" s="41" t="s">
        <v>514</v>
      </c>
      <c r="AV107" s="41" t="s">
        <v>355</v>
      </c>
      <c r="AW107" s="40"/>
      <c r="AX107" s="40"/>
      <c r="AY107" s="29"/>
      <c r="AZ107" s="22"/>
      <c r="BA107" s="23">
        <v>0.82</v>
      </c>
      <c r="BB107" s="75">
        <f t="shared" si="88"/>
        <v>0</v>
      </c>
      <c r="BD107" s="41" t="s">
        <v>514</v>
      </c>
      <c r="BE107" s="41" t="s">
        <v>355</v>
      </c>
      <c r="BF107" s="40"/>
      <c r="BG107" s="40"/>
      <c r="BH107" s="29"/>
      <c r="BI107" s="22"/>
      <c r="BJ107" s="23">
        <v>0.82</v>
      </c>
      <c r="BK107" s="75">
        <f t="shared" si="89"/>
        <v>0</v>
      </c>
    </row>
    <row r="108" spans="2:63">
      <c r="B108" s="41" t="s">
        <v>514</v>
      </c>
      <c r="C108" s="41" t="s">
        <v>355</v>
      </c>
      <c r="D108" s="40"/>
      <c r="E108" s="40"/>
      <c r="F108" s="29"/>
      <c r="G108" s="22"/>
      <c r="H108" s="23">
        <v>0.82</v>
      </c>
      <c r="I108" s="75">
        <f t="shared" si="83"/>
        <v>0</v>
      </c>
      <c r="K108" s="41" t="s">
        <v>514</v>
      </c>
      <c r="L108" s="41" t="s">
        <v>355</v>
      </c>
      <c r="M108" s="40"/>
      <c r="N108" s="40"/>
      <c r="O108" s="29"/>
      <c r="P108" s="22"/>
      <c r="Q108" s="23">
        <v>0.82</v>
      </c>
      <c r="R108" s="75">
        <f t="shared" si="84"/>
        <v>0</v>
      </c>
      <c r="T108" s="41" t="s">
        <v>514</v>
      </c>
      <c r="U108" s="41" t="s">
        <v>355</v>
      </c>
      <c r="V108" s="40"/>
      <c r="W108" s="40"/>
      <c r="X108" s="29"/>
      <c r="Y108" s="22"/>
      <c r="Z108" s="23">
        <v>0.82</v>
      </c>
      <c r="AA108" s="75">
        <f t="shared" si="85"/>
        <v>0</v>
      </c>
      <c r="AC108" s="41" t="s">
        <v>514</v>
      </c>
      <c r="AD108" s="41" t="s">
        <v>355</v>
      </c>
      <c r="AE108" s="40"/>
      <c r="AF108" s="40"/>
      <c r="AG108" s="29"/>
      <c r="AH108" s="22"/>
      <c r="AI108" s="23">
        <v>0.82</v>
      </c>
      <c r="AJ108" s="75">
        <f t="shared" si="86"/>
        <v>0</v>
      </c>
      <c r="AL108" s="41" t="s">
        <v>514</v>
      </c>
      <c r="AM108" s="41" t="s">
        <v>355</v>
      </c>
      <c r="AN108" s="40"/>
      <c r="AO108" s="40"/>
      <c r="AP108" s="29"/>
      <c r="AQ108" s="22"/>
      <c r="AR108" s="23">
        <v>0.82</v>
      </c>
      <c r="AS108" s="75">
        <f t="shared" si="87"/>
        <v>0</v>
      </c>
      <c r="AU108" s="41" t="s">
        <v>514</v>
      </c>
      <c r="AV108" s="41" t="s">
        <v>355</v>
      </c>
      <c r="AW108" s="40"/>
      <c r="AX108" s="40"/>
      <c r="AY108" s="29"/>
      <c r="AZ108" s="22"/>
      <c r="BA108" s="23">
        <v>0.82</v>
      </c>
      <c r="BB108" s="75">
        <f t="shared" si="88"/>
        <v>0</v>
      </c>
      <c r="BD108" s="41" t="s">
        <v>514</v>
      </c>
      <c r="BE108" s="41" t="s">
        <v>355</v>
      </c>
      <c r="BF108" s="40"/>
      <c r="BG108" s="40"/>
      <c r="BH108" s="29"/>
      <c r="BI108" s="22"/>
      <c r="BJ108" s="23">
        <v>0.82</v>
      </c>
      <c r="BK108" s="75">
        <f t="shared" si="89"/>
        <v>0</v>
      </c>
    </row>
    <row r="109" spans="2:63">
      <c r="B109" s="41" t="s">
        <v>514</v>
      </c>
      <c r="C109" s="41" t="s">
        <v>355</v>
      </c>
      <c r="D109" s="40"/>
      <c r="E109" s="40"/>
      <c r="F109" s="29"/>
      <c r="G109" s="22"/>
      <c r="H109" s="23">
        <v>0.82</v>
      </c>
      <c r="I109" s="75">
        <f t="shared" si="83"/>
        <v>0</v>
      </c>
      <c r="K109" s="41" t="s">
        <v>514</v>
      </c>
      <c r="L109" s="41" t="s">
        <v>355</v>
      </c>
      <c r="M109" s="40"/>
      <c r="N109" s="40"/>
      <c r="O109" s="29"/>
      <c r="P109" s="22"/>
      <c r="Q109" s="23">
        <v>0.82</v>
      </c>
      <c r="R109" s="75">
        <f t="shared" si="84"/>
        <v>0</v>
      </c>
      <c r="T109" s="41" t="s">
        <v>514</v>
      </c>
      <c r="U109" s="41" t="s">
        <v>355</v>
      </c>
      <c r="V109" s="40"/>
      <c r="W109" s="40"/>
      <c r="X109" s="29"/>
      <c r="Y109" s="22"/>
      <c r="Z109" s="23">
        <v>0.82</v>
      </c>
      <c r="AA109" s="75">
        <f t="shared" si="85"/>
        <v>0</v>
      </c>
      <c r="AC109" s="41" t="s">
        <v>514</v>
      </c>
      <c r="AD109" s="41" t="s">
        <v>355</v>
      </c>
      <c r="AE109" s="40"/>
      <c r="AF109" s="40"/>
      <c r="AG109" s="29"/>
      <c r="AH109" s="22"/>
      <c r="AI109" s="23">
        <v>0.82</v>
      </c>
      <c r="AJ109" s="75">
        <f t="shared" si="86"/>
        <v>0</v>
      </c>
      <c r="AL109" s="41" t="s">
        <v>514</v>
      </c>
      <c r="AM109" s="41" t="s">
        <v>355</v>
      </c>
      <c r="AN109" s="40"/>
      <c r="AO109" s="40"/>
      <c r="AP109" s="29"/>
      <c r="AQ109" s="22"/>
      <c r="AR109" s="23">
        <v>0.82</v>
      </c>
      <c r="AS109" s="75">
        <f t="shared" si="87"/>
        <v>0</v>
      </c>
      <c r="AU109" s="41" t="s">
        <v>514</v>
      </c>
      <c r="AV109" s="41" t="s">
        <v>355</v>
      </c>
      <c r="AW109" s="40"/>
      <c r="AX109" s="40"/>
      <c r="AY109" s="29"/>
      <c r="AZ109" s="22"/>
      <c r="BA109" s="23">
        <v>0.82</v>
      </c>
      <c r="BB109" s="75">
        <f t="shared" si="88"/>
        <v>0</v>
      </c>
      <c r="BD109" s="41" t="s">
        <v>514</v>
      </c>
      <c r="BE109" s="41" t="s">
        <v>355</v>
      </c>
      <c r="BF109" s="40"/>
      <c r="BG109" s="40"/>
      <c r="BH109" s="29"/>
      <c r="BI109" s="22"/>
      <c r="BJ109" s="23">
        <v>0.82</v>
      </c>
      <c r="BK109" s="75">
        <f t="shared" si="89"/>
        <v>0</v>
      </c>
    </row>
    <row r="110" spans="2:63">
      <c r="B110" s="41" t="s">
        <v>514</v>
      </c>
      <c r="C110" s="41" t="s">
        <v>355</v>
      </c>
      <c r="D110" s="40"/>
      <c r="E110" s="40"/>
      <c r="F110" s="29"/>
      <c r="G110" s="22"/>
      <c r="H110" s="23">
        <v>0.82</v>
      </c>
      <c r="I110" s="75">
        <f t="shared" si="83"/>
        <v>0</v>
      </c>
      <c r="K110" s="41" t="s">
        <v>514</v>
      </c>
      <c r="L110" s="41" t="s">
        <v>355</v>
      </c>
      <c r="M110" s="40"/>
      <c r="N110" s="40"/>
      <c r="O110" s="29"/>
      <c r="P110" s="22"/>
      <c r="Q110" s="23">
        <v>0.82</v>
      </c>
      <c r="R110" s="75">
        <f t="shared" si="84"/>
        <v>0</v>
      </c>
      <c r="T110" s="41" t="s">
        <v>514</v>
      </c>
      <c r="U110" s="41" t="s">
        <v>355</v>
      </c>
      <c r="V110" s="40"/>
      <c r="W110" s="40"/>
      <c r="X110" s="29"/>
      <c r="Y110" s="22"/>
      <c r="Z110" s="23">
        <v>0.82</v>
      </c>
      <c r="AA110" s="75">
        <f t="shared" si="85"/>
        <v>0</v>
      </c>
      <c r="AC110" s="41" t="s">
        <v>514</v>
      </c>
      <c r="AD110" s="41" t="s">
        <v>355</v>
      </c>
      <c r="AE110" s="40"/>
      <c r="AF110" s="40"/>
      <c r="AG110" s="29"/>
      <c r="AH110" s="22"/>
      <c r="AI110" s="23">
        <v>0.82</v>
      </c>
      <c r="AJ110" s="75">
        <f t="shared" si="86"/>
        <v>0</v>
      </c>
      <c r="AL110" s="41" t="s">
        <v>514</v>
      </c>
      <c r="AM110" s="41" t="s">
        <v>355</v>
      </c>
      <c r="AN110" s="40"/>
      <c r="AO110" s="40"/>
      <c r="AP110" s="29"/>
      <c r="AQ110" s="22"/>
      <c r="AR110" s="23">
        <v>0.82</v>
      </c>
      <c r="AS110" s="75">
        <f t="shared" si="87"/>
        <v>0</v>
      </c>
      <c r="AU110" s="41" t="s">
        <v>514</v>
      </c>
      <c r="AV110" s="41" t="s">
        <v>355</v>
      </c>
      <c r="AW110" s="40"/>
      <c r="AX110" s="40"/>
      <c r="AY110" s="29"/>
      <c r="AZ110" s="22"/>
      <c r="BA110" s="23">
        <v>0.82</v>
      </c>
      <c r="BB110" s="75">
        <f t="shared" si="88"/>
        <v>0</v>
      </c>
      <c r="BD110" s="41" t="s">
        <v>514</v>
      </c>
      <c r="BE110" s="41" t="s">
        <v>355</v>
      </c>
      <c r="BF110" s="40"/>
      <c r="BG110" s="40"/>
      <c r="BH110" s="29"/>
      <c r="BI110" s="22"/>
      <c r="BJ110" s="23">
        <v>0.82</v>
      </c>
      <c r="BK110" s="75">
        <f t="shared" si="89"/>
        <v>0</v>
      </c>
    </row>
    <row r="111" spans="2:63">
      <c r="B111" s="41" t="s">
        <v>514</v>
      </c>
      <c r="C111" s="41" t="s">
        <v>355</v>
      </c>
      <c r="D111" s="40"/>
      <c r="E111" s="40"/>
      <c r="F111" s="29"/>
      <c r="G111" s="22"/>
      <c r="H111" s="23">
        <v>0.82</v>
      </c>
      <c r="I111" s="75">
        <f t="shared" si="83"/>
        <v>0</v>
      </c>
      <c r="K111" s="41" t="s">
        <v>514</v>
      </c>
      <c r="L111" s="41" t="s">
        <v>355</v>
      </c>
      <c r="M111" s="40"/>
      <c r="N111" s="40"/>
      <c r="O111" s="29"/>
      <c r="P111" s="22"/>
      <c r="Q111" s="23">
        <v>0.82</v>
      </c>
      <c r="R111" s="75">
        <f t="shared" si="84"/>
        <v>0</v>
      </c>
      <c r="T111" s="41" t="s">
        <v>514</v>
      </c>
      <c r="U111" s="41" t="s">
        <v>355</v>
      </c>
      <c r="V111" s="40"/>
      <c r="W111" s="40"/>
      <c r="X111" s="29"/>
      <c r="Y111" s="22"/>
      <c r="Z111" s="23">
        <v>0.82</v>
      </c>
      <c r="AA111" s="75">
        <f t="shared" si="85"/>
        <v>0</v>
      </c>
      <c r="AC111" s="41" t="s">
        <v>514</v>
      </c>
      <c r="AD111" s="41" t="s">
        <v>355</v>
      </c>
      <c r="AE111" s="40"/>
      <c r="AF111" s="40"/>
      <c r="AG111" s="29"/>
      <c r="AH111" s="22"/>
      <c r="AI111" s="23">
        <v>0.82</v>
      </c>
      <c r="AJ111" s="75">
        <f t="shared" si="86"/>
        <v>0</v>
      </c>
      <c r="AL111" s="41" t="s">
        <v>514</v>
      </c>
      <c r="AM111" s="41" t="s">
        <v>355</v>
      </c>
      <c r="AN111" s="40"/>
      <c r="AO111" s="40"/>
      <c r="AP111" s="29"/>
      <c r="AQ111" s="22"/>
      <c r="AR111" s="23">
        <v>0.82</v>
      </c>
      <c r="AS111" s="75">
        <f t="shared" si="87"/>
        <v>0</v>
      </c>
      <c r="AU111" s="41" t="s">
        <v>514</v>
      </c>
      <c r="AV111" s="41" t="s">
        <v>355</v>
      </c>
      <c r="AW111" s="40"/>
      <c r="AX111" s="40"/>
      <c r="AY111" s="29"/>
      <c r="AZ111" s="22"/>
      <c r="BA111" s="23">
        <v>0.82</v>
      </c>
      <c r="BB111" s="75">
        <f t="shared" si="88"/>
        <v>0</v>
      </c>
      <c r="BD111" s="41" t="s">
        <v>514</v>
      </c>
      <c r="BE111" s="41" t="s">
        <v>355</v>
      </c>
      <c r="BF111" s="40"/>
      <c r="BG111" s="40"/>
      <c r="BH111" s="29"/>
      <c r="BI111" s="22"/>
      <c r="BJ111" s="23">
        <v>0.82</v>
      </c>
      <c r="BK111" s="75">
        <f t="shared" si="89"/>
        <v>0</v>
      </c>
    </row>
    <row r="112" spans="2:63">
      <c r="B112" s="41" t="s">
        <v>514</v>
      </c>
      <c r="C112" s="41" t="s">
        <v>355</v>
      </c>
      <c r="D112" s="40"/>
      <c r="E112" s="40"/>
      <c r="F112" s="29"/>
      <c r="G112" s="22"/>
      <c r="H112" s="23">
        <v>0.82</v>
      </c>
      <c r="I112" s="75">
        <f t="shared" si="83"/>
        <v>0</v>
      </c>
      <c r="K112" s="41" t="s">
        <v>514</v>
      </c>
      <c r="L112" s="41" t="s">
        <v>355</v>
      </c>
      <c r="M112" s="40"/>
      <c r="N112" s="40"/>
      <c r="O112" s="29"/>
      <c r="P112" s="22"/>
      <c r="Q112" s="23">
        <v>0.82</v>
      </c>
      <c r="R112" s="75">
        <f t="shared" si="84"/>
        <v>0</v>
      </c>
      <c r="T112" s="41" t="s">
        <v>514</v>
      </c>
      <c r="U112" s="41" t="s">
        <v>355</v>
      </c>
      <c r="V112" s="40"/>
      <c r="W112" s="40"/>
      <c r="X112" s="29"/>
      <c r="Y112" s="22"/>
      <c r="Z112" s="23">
        <v>0.82</v>
      </c>
      <c r="AA112" s="75">
        <f t="shared" si="85"/>
        <v>0</v>
      </c>
      <c r="AC112" s="41" t="s">
        <v>514</v>
      </c>
      <c r="AD112" s="41" t="s">
        <v>355</v>
      </c>
      <c r="AE112" s="40"/>
      <c r="AF112" s="40"/>
      <c r="AG112" s="29"/>
      <c r="AH112" s="22"/>
      <c r="AI112" s="23">
        <v>0.82</v>
      </c>
      <c r="AJ112" s="75">
        <f t="shared" si="86"/>
        <v>0</v>
      </c>
      <c r="AL112" s="41" t="s">
        <v>514</v>
      </c>
      <c r="AM112" s="41" t="s">
        <v>355</v>
      </c>
      <c r="AN112" s="40"/>
      <c r="AO112" s="40"/>
      <c r="AP112" s="29"/>
      <c r="AQ112" s="22"/>
      <c r="AR112" s="23">
        <v>0.82</v>
      </c>
      <c r="AS112" s="75">
        <f t="shared" si="87"/>
        <v>0</v>
      </c>
      <c r="AU112" s="41" t="s">
        <v>514</v>
      </c>
      <c r="AV112" s="41" t="s">
        <v>355</v>
      </c>
      <c r="AW112" s="40"/>
      <c r="AX112" s="40"/>
      <c r="AY112" s="29"/>
      <c r="AZ112" s="22"/>
      <c r="BA112" s="23">
        <v>0.82</v>
      </c>
      <c r="BB112" s="75">
        <f t="shared" si="88"/>
        <v>0</v>
      </c>
      <c r="BD112" s="41" t="s">
        <v>514</v>
      </c>
      <c r="BE112" s="41" t="s">
        <v>355</v>
      </c>
      <c r="BF112" s="40"/>
      <c r="BG112" s="40"/>
      <c r="BH112" s="29"/>
      <c r="BI112" s="22"/>
      <c r="BJ112" s="23">
        <v>0.82</v>
      </c>
      <c r="BK112" s="75">
        <f t="shared" si="89"/>
        <v>0</v>
      </c>
    </row>
    <row r="113" spans="2:63" s="24" customFormat="1">
      <c r="B113" s="8" t="s">
        <v>517</v>
      </c>
      <c r="C113" s="25"/>
      <c r="D113" s="28">
        <f>SUM(D98:D112)</f>
        <v>200000</v>
      </c>
      <c r="E113" s="28">
        <f>SUM(E98:E112)</f>
        <v>100000</v>
      </c>
      <c r="F113" s="30"/>
      <c r="G113" s="25"/>
      <c r="H113" s="26"/>
      <c r="I113" s="28">
        <f>SUM(I98:I112)</f>
        <v>13120</v>
      </c>
      <c r="K113" s="8" t="s">
        <v>517</v>
      </c>
      <c r="L113" s="25"/>
      <c r="M113" s="28">
        <f>SUM(M98:M112)</f>
        <v>200000</v>
      </c>
      <c r="N113" s="28">
        <f>SUM(N98:N112)</f>
        <v>100000</v>
      </c>
      <c r="O113" s="30"/>
      <c r="P113" s="25"/>
      <c r="Q113" s="26"/>
      <c r="R113" s="28">
        <f>SUM(R98:R112)</f>
        <v>13120</v>
      </c>
      <c r="T113" s="8" t="s">
        <v>517</v>
      </c>
      <c r="U113" s="25"/>
      <c r="V113" s="28">
        <f>SUM(V98:V112)</f>
        <v>200000</v>
      </c>
      <c r="W113" s="28">
        <f>SUM(W98:W112)</f>
        <v>100000</v>
      </c>
      <c r="X113" s="30"/>
      <c r="Y113" s="25"/>
      <c r="Z113" s="26"/>
      <c r="AA113" s="28">
        <f>SUM(AA98:AA112)</f>
        <v>13120</v>
      </c>
      <c r="AC113" s="8" t="s">
        <v>517</v>
      </c>
      <c r="AD113" s="25"/>
      <c r="AE113" s="28">
        <f>SUM(AE98:AE112)</f>
        <v>200000</v>
      </c>
      <c r="AF113" s="28">
        <f>SUM(AF98:AF112)</f>
        <v>100000</v>
      </c>
      <c r="AG113" s="30"/>
      <c r="AH113" s="25"/>
      <c r="AI113" s="26"/>
      <c r="AJ113" s="28">
        <f>SUM(AJ98:AJ112)</f>
        <v>13120</v>
      </c>
      <c r="AL113" s="8" t="s">
        <v>517</v>
      </c>
      <c r="AM113" s="25"/>
      <c r="AN113" s="28">
        <f>SUM(AN98:AN112)</f>
        <v>200000</v>
      </c>
      <c r="AO113" s="28">
        <f>SUM(AO98:AO112)</f>
        <v>100000</v>
      </c>
      <c r="AP113" s="30"/>
      <c r="AQ113" s="25"/>
      <c r="AR113" s="26"/>
      <c r="AS113" s="28">
        <f>SUM(AS98:AS112)</f>
        <v>13120</v>
      </c>
      <c r="AU113" s="8" t="s">
        <v>517</v>
      </c>
      <c r="AV113" s="25"/>
      <c r="AW113" s="28">
        <f>SUM(AW98:AW112)</f>
        <v>200000</v>
      </c>
      <c r="AX113" s="28">
        <f>SUM(AX98:AX112)</f>
        <v>100000</v>
      </c>
      <c r="AY113" s="30"/>
      <c r="AZ113" s="25"/>
      <c r="BA113" s="26"/>
      <c r="BB113" s="28">
        <f>SUM(BB98:BB112)</f>
        <v>13120</v>
      </c>
      <c r="BD113" s="8" t="s">
        <v>517</v>
      </c>
      <c r="BE113" s="25"/>
      <c r="BF113" s="28">
        <f>SUM(BF98:BF112)</f>
        <v>200000</v>
      </c>
      <c r="BG113" s="28">
        <f>SUM(BG98:BG112)</f>
        <v>100000</v>
      </c>
      <c r="BH113" s="30"/>
      <c r="BI113" s="25"/>
      <c r="BJ113" s="26"/>
      <c r="BK113" s="28">
        <f>SUM(BK98:BK112)</f>
        <v>13120</v>
      </c>
    </row>
    <row r="115" spans="2:63" s="20" customFormat="1" ht="41.4">
      <c r="B115" s="27" t="s">
        <v>16</v>
      </c>
      <c r="C115" s="3" t="str">
        <f>C$43</f>
        <v>Source</v>
      </c>
      <c r="D115" s="3" t="str">
        <f t="shared" ref="D115:I115" si="90">D$43</f>
        <v>Limit (A)</v>
      </c>
      <c r="E115" s="3" t="str">
        <f t="shared" si="90"/>
        <v>Outstanding (A1)</v>
      </c>
      <c r="F115" s="3" t="str">
        <f t="shared" si="90"/>
        <v>Monthly Repayment (B)</v>
      </c>
      <c r="G115" s="3" t="str">
        <f t="shared" si="90"/>
        <v>Interest Rate (C)</v>
      </c>
      <c r="H115" s="3" t="str">
        <f t="shared" si="90"/>
        <v>Factor (D)</v>
      </c>
      <c r="I115" s="3" t="str">
        <f t="shared" si="90"/>
        <v>Interest (E) = (A or A1) * (C) * (D)</v>
      </c>
      <c r="K115" s="27" t="s">
        <v>16</v>
      </c>
      <c r="L115" s="3" t="str">
        <f>L$43</f>
        <v>Source</v>
      </c>
      <c r="M115" s="3" t="str">
        <f t="shared" ref="M115:R115" si="91">M$43</f>
        <v>Limit (A)</v>
      </c>
      <c r="N115" s="3" t="str">
        <f t="shared" si="91"/>
        <v>Outstanding (A1)</v>
      </c>
      <c r="O115" s="3" t="str">
        <f t="shared" si="91"/>
        <v>Monthly Repayment (B)</v>
      </c>
      <c r="P115" s="3" t="str">
        <f t="shared" si="91"/>
        <v>Interest Rate (C)</v>
      </c>
      <c r="Q115" s="3" t="str">
        <f t="shared" si="91"/>
        <v>Factor (D)</v>
      </c>
      <c r="R115" s="3" t="str">
        <f t="shared" si="91"/>
        <v>Interest (E) = (A or A1) * (C) * (D)</v>
      </c>
      <c r="T115" s="27" t="s">
        <v>16</v>
      </c>
      <c r="U115" s="3" t="str">
        <f>U$43</f>
        <v>Source</v>
      </c>
      <c r="V115" s="3" t="str">
        <f t="shared" ref="V115:AA115" si="92">V$43</f>
        <v>Limit (A)</v>
      </c>
      <c r="W115" s="3" t="str">
        <f t="shared" si="92"/>
        <v>Outstanding (A1)</v>
      </c>
      <c r="X115" s="3" t="str">
        <f t="shared" si="92"/>
        <v>Monthly Repayment (B)</v>
      </c>
      <c r="Y115" s="3" t="str">
        <f t="shared" si="92"/>
        <v>Interest Rate (C)</v>
      </c>
      <c r="Z115" s="3" t="str">
        <f t="shared" si="92"/>
        <v>Factor (D)</v>
      </c>
      <c r="AA115" s="3" t="str">
        <f t="shared" si="92"/>
        <v>Interest (E) = (A or A1) * (C) * (D)</v>
      </c>
      <c r="AC115" s="27" t="s">
        <v>16</v>
      </c>
      <c r="AD115" s="3" t="str">
        <f>AD$43</f>
        <v>Source</v>
      </c>
      <c r="AE115" s="3" t="str">
        <f t="shared" ref="AE115:AJ115" si="93">AE$43</f>
        <v>Limit (A)</v>
      </c>
      <c r="AF115" s="3" t="str">
        <f t="shared" si="93"/>
        <v>Outstanding (A1)</v>
      </c>
      <c r="AG115" s="3" t="str">
        <f t="shared" si="93"/>
        <v>Monthly Repayment (B)</v>
      </c>
      <c r="AH115" s="3" t="str">
        <f t="shared" si="93"/>
        <v>Interest Rate (C)</v>
      </c>
      <c r="AI115" s="3" t="str">
        <f t="shared" si="93"/>
        <v>Factor (D)</v>
      </c>
      <c r="AJ115" s="3" t="str">
        <f t="shared" si="93"/>
        <v>Interest (E) = (A or A1) * (C) * (D)</v>
      </c>
      <c r="AL115" s="27" t="s">
        <v>16</v>
      </c>
      <c r="AM115" s="3" t="str">
        <f>AM$43</f>
        <v>Source</v>
      </c>
      <c r="AN115" s="3" t="str">
        <f t="shared" ref="AN115:AS115" si="94">AN$43</f>
        <v>Limit (A)</v>
      </c>
      <c r="AO115" s="3" t="str">
        <f t="shared" si="94"/>
        <v>Outstanding (A1)</v>
      </c>
      <c r="AP115" s="3" t="str">
        <f t="shared" si="94"/>
        <v>Monthly Repayment (B)</v>
      </c>
      <c r="AQ115" s="3" t="str">
        <f t="shared" si="94"/>
        <v>Interest Rate (C)</v>
      </c>
      <c r="AR115" s="3" t="str">
        <f t="shared" si="94"/>
        <v>Factor (D)</v>
      </c>
      <c r="AS115" s="3" t="str">
        <f t="shared" si="94"/>
        <v>Interest (E) = (A or A1) * (C) * (D)</v>
      </c>
      <c r="AU115" s="27" t="s">
        <v>16</v>
      </c>
      <c r="AV115" s="3" t="str">
        <f>AV$43</f>
        <v>Source</v>
      </c>
      <c r="AW115" s="3" t="str">
        <f t="shared" ref="AW115:BB115" si="95">AW$43</f>
        <v>Limit (A)</v>
      </c>
      <c r="AX115" s="3" t="str">
        <f t="shared" si="95"/>
        <v>Outstanding (A1)</v>
      </c>
      <c r="AY115" s="3" t="str">
        <f t="shared" si="95"/>
        <v>Monthly Repayment (B)</v>
      </c>
      <c r="AZ115" s="3" t="str">
        <f t="shared" si="95"/>
        <v>Interest Rate (C)</v>
      </c>
      <c r="BA115" s="3" t="str">
        <f t="shared" si="95"/>
        <v>Factor (D)</v>
      </c>
      <c r="BB115" s="3" t="str">
        <f t="shared" si="95"/>
        <v>Interest (E) = (A or A1) * (C) * (D)</v>
      </c>
      <c r="BD115" s="27" t="s">
        <v>16</v>
      </c>
      <c r="BE115" s="3" t="str">
        <f>BE$43</f>
        <v>Source</v>
      </c>
      <c r="BF115" s="3" t="str">
        <f t="shared" ref="BF115:BK115" si="96">BF$43</f>
        <v>Limit (A)</v>
      </c>
      <c r="BG115" s="3" t="str">
        <f t="shared" si="96"/>
        <v>Outstanding (A1)</v>
      </c>
      <c r="BH115" s="3" t="str">
        <f t="shared" si="96"/>
        <v>Monthly Repayment (B)</v>
      </c>
      <c r="BI115" s="3" t="str">
        <f t="shared" si="96"/>
        <v>Interest Rate (C)</v>
      </c>
      <c r="BJ115" s="3" t="str">
        <f t="shared" si="96"/>
        <v>Factor (D)</v>
      </c>
      <c r="BK115" s="3" t="str">
        <f t="shared" si="96"/>
        <v>Interest (E) = (A or A1) * (C) * (D)</v>
      </c>
    </row>
    <row r="116" spans="2:63">
      <c r="B116" s="41" t="s">
        <v>514</v>
      </c>
      <c r="C116" s="41" t="s">
        <v>355</v>
      </c>
      <c r="D116" s="40">
        <v>80000</v>
      </c>
      <c r="E116" s="40">
        <v>60000</v>
      </c>
      <c r="F116" s="40">
        <v>2500</v>
      </c>
      <c r="G116" s="31"/>
      <c r="H116" s="32"/>
      <c r="I116" s="29"/>
      <c r="K116" s="41" t="s">
        <v>514</v>
      </c>
      <c r="L116" s="41" t="s">
        <v>355</v>
      </c>
      <c r="M116" s="40">
        <v>80000</v>
      </c>
      <c r="N116" s="40">
        <v>60000</v>
      </c>
      <c r="O116" s="40">
        <v>2500</v>
      </c>
      <c r="P116" s="31"/>
      <c r="Q116" s="32"/>
      <c r="R116" s="29"/>
      <c r="T116" s="41" t="s">
        <v>514</v>
      </c>
      <c r="U116" s="41" t="s">
        <v>355</v>
      </c>
      <c r="V116" s="40">
        <v>80000</v>
      </c>
      <c r="W116" s="40">
        <v>60000</v>
      </c>
      <c r="X116" s="40">
        <v>2500</v>
      </c>
      <c r="Y116" s="31"/>
      <c r="Z116" s="32"/>
      <c r="AA116" s="29"/>
      <c r="AC116" s="41" t="s">
        <v>514</v>
      </c>
      <c r="AD116" s="41" t="s">
        <v>355</v>
      </c>
      <c r="AE116" s="40">
        <v>80000</v>
      </c>
      <c r="AF116" s="40">
        <v>60000</v>
      </c>
      <c r="AG116" s="40">
        <v>2500</v>
      </c>
      <c r="AH116" s="31"/>
      <c r="AI116" s="32"/>
      <c r="AJ116" s="29"/>
      <c r="AL116" s="41" t="s">
        <v>514</v>
      </c>
      <c r="AM116" s="41" t="s">
        <v>355</v>
      </c>
      <c r="AN116" s="40">
        <v>80000</v>
      </c>
      <c r="AO116" s="40">
        <v>60000</v>
      </c>
      <c r="AP116" s="40">
        <v>2500</v>
      </c>
      <c r="AQ116" s="31"/>
      <c r="AR116" s="32"/>
      <c r="AS116" s="29"/>
      <c r="AU116" s="41" t="s">
        <v>514</v>
      </c>
      <c r="AV116" s="41" t="s">
        <v>355</v>
      </c>
      <c r="AW116" s="40">
        <v>80000</v>
      </c>
      <c r="AX116" s="40">
        <v>60000</v>
      </c>
      <c r="AY116" s="40">
        <v>2500</v>
      </c>
      <c r="AZ116" s="31"/>
      <c r="BA116" s="32"/>
      <c r="BB116" s="29"/>
      <c r="BD116" s="41" t="s">
        <v>514</v>
      </c>
      <c r="BE116" s="41" t="s">
        <v>355</v>
      </c>
      <c r="BF116" s="40">
        <v>80000</v>
      </c>
      <c r="BG116" s="40">
        <v>60000</v>
      </c>
      <c r="BH116" s="40">
        <v>2500</v>
      </c>
      <c r="BI116" s="31"/>
      <c r="BJ116" s="32"/>
      <c r="BK116" s="29"/>
    </row>
    <row r="117" spans="2:63">
      <c r="B117" s="41" t="s">
        <v>514</v>
      </c>
      <c r="C117" s="41" t="s">
        <v>355</v>
      </c>
      <c r="D117" s="40"/>
      <c r="E117" s="40"/>
      <c r="F117" s="40"/>
      <c r="G117" s="31"/>
      <c r="H117" s="32"/>
      <c r="I117" s="29"/>
      <c r="K117" s="41" t="s">
        <v>514</v>
      </c>
      <c r="L117" s="41" t="s">
        <v>355</v>
      </c>
      <c r="M117" s="40"/>
      <c r="N117" s="40"/>
      <c r="O117" s="40"/>
      <c r="P117" s="31"/>
      <c r="Q117" s="32"/>
      <c r="R117" s="29"/>
      <c r="T117" s="41" t="s">
        <v>514</v>
      </c>
      <c r="U117" s="41" t="s">
        <v>355</v>
      </c>
      <c r="V117" s="40"/>
      <c r="W117" s="40"/>
      <c r="X117" s="40"/>
      <c r="Y117" s="31"/>
      <c r="Z117" s="32"/>
      <c r="AA117" s="29"/>
      <c r="AC117" s="41" t="s">
        <v>514</v>
      </c>
      <c r="AD117" s="41" t="s">
        <v>355</v>
      </c>
      <c r="AE117" s="40"/>
      <c r="AF117" s="40"/>
      <c r="AG117" s="40"/>
      <c r="AH117" s="31"/>
      <c r="AI117" s="32"/>
      <c r="AJ117" s="29"/>
      <c r="AL117" s="41" t="s">
        <v>514</v>
      </c>
      <c r="AM117" s="41" t="s">
        <v>355</v>
      </c>
      <c r="AN117" s="40"/>
      <c r="AO117" s="40"/>
      <c r="AP117" s="40"/>
      <c r="AQ117" s="31"/>
      <c r="AR117" s="32"/>
      <c r="AS117" s="29"/>
      <c r="AU117" s="41" t="s">
        <v>514</v>
      </c>
      <c r="AV117" s="41" t="s">
        <v>355</v>
      </c>
      <c r="AW117" s="40"/>
      <c r="AX117" s="40"/>
      <c r="AY117" s="40"/>
      <c r="AZ117" s="31"/>
      <c r="BA117" s="32"/>
      <c r="BB117" s="29"/>
      <c r="BD117" s="41" t="s">
        <v>514</v>
      </c>
      <c r="BE117" s="41" t="s">
        <v>355</v>
      </c>
      <c r="BF117" s="40"/>
      <c r="BG117" s="40"/>
      <c r="BH117" s="40"/>
      <c r="BI117" s="31"/>
      <c r="BJ117" s="32"/>
      <c r="BK117" s="29"/>
    </row>
    <row r="118" spans="2:63">
      <c r="B118" s="41" t="s">
        <v>514</v>
      </c>
      <c r="C118" s="41" t="s">
        <v>355</v>
      </c>
      <c r="D118" s="40"/>
      <c r="E118" s="40"/>
      <c r="F118" s="40"/>
      <c r="G118" s="31"/>
      <c r="H118" s="32"/>
      <c r="I118" s="29"/>
      <c r="K118" s="41" t="s">
        <v>514</v>
      </c>
      <c r="L118" s="41" t="s">
        <v>355</v>
      </c>
      <c r="M118" s="40"/>
      <c r="N118" s="40"/>
      <c r="O118" s="40"/>
      <c r="P118" s="31"/>
      <c r="Q118" s="32"/>
      <c r="R118" s="29"/>
      <c r="T118" s="41" t="s">
        <v>514</v>
      </c>
      <c r="U118" s="41" t="s">
        <v>355</v>
      </c>
      <c r="V118" s="40"/>
      <c r="W118" s="40"/>
      <c r="X118" s="40"/>
      <c r="Y118" s="31"/>
      <c r="Z118" s="32"/>
      <c r="AA118" s="29"/>
      <c r="AC118" s="41" t="s">
        <v>514</v>
      </c>
      <c r="AD118" s="41" t="s">
        <v>355</v>
      </c>
      <c r="AE118" s="40"/>
      <c r="AF118" s="40"/>
      <c r="AG118" s="40"/>
      <c r="AH118" s="31"/>
      <c r="AI118" s="32"/>
      <c r="AJ118" s="29"/>
      <c r="AL118" s="41" t="s">
        <v>514</v>
      </c>
      <c r="AM118" s="41" t="s">
        <v>355</v>
      </c>
      <c r="AN118" s="40"/>
      <c r="AO118" s="40"/>
      <c r="AP118" s="40"/>
      <c r="AQ118" s="31"/>
      <c r="AR118" s="32"/>
      <c r="AS118" s="29"/>
      <c r="AU118" s="41" t="s">
        <v>514</v>
      </c>
      <c r="AV118" s="41" t="s">
        <v>355</v>
      </c>
      <c r="AW118" s="40"/>
      <c r="AX118" s="40"/>
      <c r="AY118" s="40"/>
      <c r="AZ118" s="31"/>
      <c r="BA118" s="32"/>
      <c r="BB118" s="29"/>
      <c r="BD118" s="41" t="s">
        <v>514</v>
      </c>
      <c r="BE118" s="41" t="s">
        <v>355</v>
      </c>
      <c r="BF118" s="40"/>
      <c r="BG118" s="40"/>
      <c r="BH118" s="40"/>
      <c r="BI118" s="31"/>
      <c r="BJ118" s="32"/>
      <c r="BK118" s="29"/>
    </row>
    <row r="119" spans="2:63">
      <c r="B119" s="41" t="s">
        <v>514</v>
      </c>
      <c r="C119" s="41" t="s">
        <v>355</v>
      </c>
      <c r="D119" s="40"/>
      <c r="E119" s="40"/>
      <c r="F119" s="40"/>
      <c r="G119" s="31"/>
      <c r="H119" s="32"/>
      <c r="I119" s="29"/>
      <c r="K119" s="41" t="s">
        <v>514</v>
      </c>
      <c r="L119" s="41" t="s">
        <v>355</v>
      </c>
      <c r="M119" s="40"/>
      <c r="N119" s="40"/>
      <c r="O119" s="40"/>
      <c r="P119" s="31"/>
      <c r="Q119" s="32"/>
      <c r="R119" s="29"/>
      <c r="T119" s="41" t="s">
        <v>514</v>
      </c>
      <c r="U119" s="41" t="s">
        <v>355</v>
      </c>
      <c r="V119" s="40"/>
      <c r="W119" s="40"/>
      <c r="X119" s="40"/>
      <c r="Y119" s="31"/>
      <c r="Z119" s="32"/>
      <c r="AA119" s="29"/>
      <c r="AC119" s="41" t="s">
        <v>514</v>
      </c>
      <c r="AD119" s="41" t="s">
        <v>355</v>
      </c>
      <c r="AE119" s="40"/>
      <c r="AF119" s="40"/>
      <c r="AG119" s="40"/>
      <c r="AH119" s="31"/>
      <c r="AI119" s="32"/>
      <c r="AJ119" s="29"/>
      <c r="AL119" s="41" t="s">
        <v>514</v>
      </c>
      <c r="AM119" s="41" t="s">
        <v>355</v>
      </c>
      <c r="AN119" s="40"/>
      <c r="AO119" s="40"/>
      <c r="AP119" s="40"/>
      <c r="AQ119" s="31"/>
      <c r="AR119" s="32"/>
      <c r="AS119" s="29"/>
      <c r="AU119" s="41" t="s">
        <v>514</v>
      </c>
      <c r="AV119" s="41" t="s">
        <v>355</v>
      </c>
      <c r="AW119" s="40"/>
      <c r="AX119" s="40"/>
      <c r="AY119" s="40"/>
      <c r="AZ119" s="31"/>
      <c r="BA119" s="32"/>
      <c r="BB119" s="29"/>
      <c r="BD119" s="41" t="s">
        <v>514</v>
      </c>
      <c r="BE119" s="41" t="s">
        <v>355</v>
      </c>
      <c r="BF119" s="40"/>
      <c r="BG119" s="40"/>
      <c r="BH119" s="40"/>
      <c r="BI119" s="31"/>
      <c r="BJ119" s="32"/>
      <c r="BK119" s="29"/>
    </row>
    <row r="120" spans="2:63">
      <c r="B120" s="41" t="s">
        <v>514</v>
      </c>
      <c r="C120" s="41" t="s">
        <v>355</v>
      </c>
      <c r="D120" s="40"/>
      <c r="E120" s="40"/>
      <c r="F120" s="40"/>
      <c r="G120" s="31"/>
      <c r="H120" s="32"/>
      <c r="I120" s="29"/>
      <c r="K120" s="41" t="s">
        <v>514</v>
      </c>
      <c r="L120" s="41" t="s">
        <v>355</v>
      </c>
      <c r="M120" s="40"/>
      <c r="N120" s="40"/>
      <c r="O120" s="40"/>
      <c r="P120" s="31"/>
      <c r="Q120" s="32"/>
      <c r="R120" s="29"/>
      <c r="T120" s="41" t="s">
        <v>514</v>
      </c>
      <c r="U120" s="41" t="s">
        <v>355</v>
      </c>
      <c r="V120" s="40"/>
      <c r="W120" s="40"/>
      <c r="X120" s="40"/>
      <c r="Y120" s="31"/>
      <c r="Z120" s="32"/>
      <c r="AA120" s="29"/>
      <c r="AC120" s="41" t="s">
        <v>514</v>
      </c>
      <c r="AD120" s="41" t="s">
        <v>355</v>
      </c>
      <c r="AE120" s="40"/>
      <c r="AF120" s="40"/>
      <c r="AG120" s="40"/>
      <c r="AH120" s="31"/>
      <c r="AI120" s="32"/>
      <c r="AJ120" s="29"/>
      <c r="AL120" s="41" t="s">
        <v>514</v>
      </c>
      <c r="AM120" s="41" t="s">
        <v>355</v>
      </c>
      <c r="AN120" s="40"/>
      <c r="AO120" s="40"/>
      <c r="AP120" s="40"/>
      <c r="AQ120" s="31"/>
      <c r="AR120" s="32"/>
      <c r="AS120" s="29"/>
      <c r="AU120" s="41" t="s">
        <v>514</v>
      </c>
      <c r="AV120" s="41" t="s">
        <v>355</v>
      </c>
      <c r="AW120" s="40"/>
      <c r="AX120" s="40"/>
      <c r="AY120" s="40"/>
      <c r="AZ120" s="31"/>
      <c r="BA120" s="32"/>
      <c r="BB120" s="29"/>
      <c r="BD120" s="41" t="s">
        <v>514</v>
      </c>
      <c r="BE120" s="41" t="s">
        <v>355</v>
      </c>
      <c r="BF120" s="40"/>
      <c r="BG120" s="40"/>
      <c r="BH120" s="40"/>
      <c r="BI120" s="31"/>
      <c r="BJ120" s="32"/>
      <c r="BK120" s="29"/>
    </row>
    <row r="121" spans="2:63">
      <c r="B121" s="41" t="s">
        <v>514</v>
      </c>
      <c r="C121" s="41" t="s">
        <v>355</v>
      </c>
      <c r="D121" s="40"/>
      <c r="E121" s="40"/>
      <c r="F121" s="40"/>
      <c r="G121" s="31"/>
      <c r="H121" s="32"/>
      <c r="I121" s="29"/>
      <c r="K121" s="41" t="s">
        <v>514</v>
      </c>
      <c r="L121" s="41" t="s">
        <v>355</v>
      </c>
      <c r="M121" s="40"/>
      <c r="N121" s="40"/>
      <c r="O121" s="40"/>
      <c r="P121" s="31"/>
      <c r="Q121" s="32"/>
      <c r="R121" s="29"/>
      <c r="T121" s="41" t="s">
        <v>514</v>
      </c>
      <c r="U121" s="41" t="s">
        <v>355</v>
      </c>
      <c r="V121" s="40"/>
      <c r="W121" s="40"/>
      <c r="X121" s="40"/>
      <c r="Y121" s="31"/>
      <c r="Z121" s="32"/>
      <c r="AA121" s="29"/>
      <c r="AC121" s="41" t="s">
        <v>514</v>
      </c>
      <c r="AD121" s="41" t="s">
        <v>355</v>
      </c>
      <c r="AE121" s="40"/>
      <c r="AF121" s="40"/>
      <c r="AG121" s="40"/>
      <c r="AH121" s="31"/>
      <c r="AI121" s="32"/>
      <c r="AJ121" s="29"/>
      <c r="AL121" s="41" t="s">
        <v>514</v>
      </c>
      <c r="AM121" s="41" t="s">
        <v>355</v>
      </c>
      <c r="AN121" s="40"/>
      <c r="AO121" s="40"/>
      <c r="AP121" s="40"/>
      <c r="AQ121" s="31"/>
      <c r="AR121" s="32"/>
      <c r="AS121" s="29"/>
      <c r="AU121" s="41" t="s">
        <v>514</v>
      </c>
      <c r="AV121" s="41" t="s">
        <v>355</v>
      </c>
      <c r="AW121" s="40"/>
      <c r="AX121" s="40"/>
      <c r="AY121" s="40"/>
      <c r="AZ121" s="31"/>
      <c r="BA121" s="32"/>
      <c r="BB121" s="29"/>
      <c r="BD121" s="41" t="s">
        <v>514</v>
      </c>
      <c r="BE121" s="41" t="s">
        <v>355</v>
      </c>
      <c r="BF121" s="40"/>
      <c r="BG121" s="40"/>
      <c r="BH121" s="40"/>
      <c r="BI121" s="31"/>
      <c r="BJ121" s="32"/>
      <c r="BK121" s="29"/>
    </row>
    <row r="122" spans="2:63">
      <c r="B122" s="41" t="s">
        <v>514</v>
      </c>
      <c r="C122" s="41" t="s">
        <v>355</v>
      </c>
      <c r="D122" s="40"/>
      <c r="E122" s="40"/>
      <c r="F122" s="40"/>
      <c r="G122" s="31"/>
      <c r="H122" s="32"/>
      <c r="I122" s="29"/>
      <c r="K122" s="41" t="s">
        <v>514</v>
      </c>
      <c r="L122" s="41" t="s">
        <v>355</v>
      </c>
      <c r="M122" s="40"/>
      <c r="N122" s="40"/>
      <c r="O122" s="40"/>
      <c r="P122" s="31"/>
      <c r="Q122" s="32"/>
      <c r="R122" s="29"/>
      <c r="T122" s="41" t="s">
        <v>514</v>
      </c>
      <c r="U122" s="41" t="s">
        <v>355</v>
      </c>
      <c r="V122" s="40"/>
      <c r="W122" s="40"/>
      <c r="X122" s="40"/>
      <c r="Y122" s="31"/>
      <c r="Z122" s="32"/>
      <c r="AA122" s="29"/>
      <c r="AC122" s="41" t="s">
        <v>514</v>
      </c>
      <c r="AD122" s="41" t="s">
        <v>355</v>
      </c>
      <c r="AE122" s="40"/>
      <c r="AF122" s="40"/>
      <c r="AG122" s="40"/>
      <c r="AH122" s="31"/>
      <c r="AI122" s="32"/>
      <c r="AJ122" s="29"/>
      <c r="AL122" s="41" t="s">
        <v>514</v>
      </c>
      <c r="AM122" s="41" t="s">
        <v>355</v>
      </c>
      <c r="AN122" s="40"/>
      <c r="AO122" s="40"/>
      <c r="AP122" s="40"/>
      <c r="AQ122" s="31"/>
      <c r="AR122" s="32"/>
      <c r="AS122" s="29"/>
      <c r="AU122" s="41" t="s">
        <v>514</v>
      </c>
      <c r="AV122" s="41" t="s">
        <v>355</v>
      </c>
      <c r="AW122" s="40"/>
      <c r="AX122" s="40"/>
      <c r="AY122" s="40"/>
      <c r="AZ122" s="31"/>
      <c r="BA122" s="32"/>
      <c r="BB122" s="29"/>
      <c r="BD122" s="41" t="s">
        <v>514</v>
      </c>
      <c r="BE122" s="41" t="s">
        <v>355</v>
      </c>
      <c r="BF122" s="40"/>
      <c r="BG122" s="40"/>
      <c r="BH122" s="40"/>
      <c r="BI122" s="31"/>
      <c r="BJ122" s="32"/>
      <c r="BK122" s="29"/>
    </row>
    <row r="123" spans="2:63">
      <c r="B123" s="41" t="s">
        <v>514</v>
      </c>
      <c r="C123" s="41" t="s">
        <v>355</v>
      </c>
      <c r="D123" s="40"/>
      <c r="E123" s="40"/>
      <c r="F123" s="40"/>
      <c r="G123" s="31"/>
      <c r="H123" s="32"/>
      <c r="I123" s="29"/>
      <c r="K123" s="41" t="s">
        <v>514</v>
      </c>
      <c r="L123" s="41" t="s">
        <v>355</v>
      </c>
      <c r="M123" s="40"/>
      <c r="N123" s="40"/>
      <c r="O123" s="40"/>
      <c r="P123" s="31"/>
      <c r="Q123" s="32"/>
      <c r="R123" s="29"/>
      <c r="T123" s="41" t="s">
        <v>514</v>
      </c>
      <c r="U123" s="41" t="s">
        <v>355</v>
      </c>
      <c r="V123" s="40"/>
      <c r="W123" s="40"/>
      <c r="X123" s="40"/>
      <c r="Y123" s="31"/>
      <c r="Z123" s="32"/>
      <c r="AA123" s="29"/>
      <c r="AC123" s="41" t="s">
        <v>514</v>
      </c>
      <c r="AD123" s="41" t="s">
        <v>355</v>
      </c>
      <c r="AE123" s="40"/>
      <c r="AF123" s="40"/>
      <c r="AG123" s="40"/>
      <c r="AH123" s="31"/>
      <c r="AI123" s="32"/>
      <c r="AJ123" s="29"/>
      <c r="AL123" s="41" t="s">
        <v>514</v>
      </c>
      <c r="AM123" s="41" t="s">
        <v>355</v>
      </c>
      <c r="AN123" s="40"/>
      <c r="AO123" s="40"/>
      <c r="AP123" s="40"/>
      <c r="AQ123" s="31"/>
      <c r="AR123" s="32"/>
      <c r="AS123" s="29"/>
      <c r="AU123" s="41" t="s">
        <v>514</v>
      </c>
      <c r="AV123" s="41" t="s">
        <v>355</v>
      </c>
      <c r="AW123" s="40"/>
      <c r="AX123" s="40"/>
      <c r="AY123" s="40"/>
      <c r="AZ123" s="31"/>
      <c r="BA123" s="32"/>
      <c r="BB123" s="29"/>
      <c r="BD123" s="41" t="s">
        <v>514</v>
      </c>
      <c r="BE123" s="41" t="s">
        <v>355</v>
      </c>
      <c r="BF123" s="40"/>
      <c r="BG123" s="40"/>
      <c r="BH123" s="40"/>
      <c r="BI123" s="31"/>
      <c r="BJ123" s="32"/>
      <c r="BK123" s="29"/>
    </row>
    <row r="124" spans="2:63">
      <c r="B124" s="41" t="s">
        <v>514</v>
      </c>
      <c r="C124" s="41" t="s">
        <v>355</v>
      </c>
      <c r="D124" s="40"/>
      <c r="E124" s="40"/>
      <c r="F124" s="40"/>
      <c r="G124" s="31"/>
      <c r="H124" s="32"/>
      <c r="I124" s="29"/>
      <c r="K124" s="41" t="s">
        <v>514</v>
      </c>
      <c r="L124" s="41" t="s">
        <v>355</v>
      </c>
      <c r="M124" s="40"/>
      <c r="N124" s="40"/>
      <c r="O124" s="40"/>
      <c r="P124" s="31"/>
      <c r="Q124" s="32"/>
      <c r="R124" s="29"/>
      <c r="T124" s="41" t="s">
        <v>514</v>
      </c>
      <c r="U124" s="41" t="s">
        <v>355</v>
      </c>
      <c r="V124" s="40"/>
      <c r="W124" s="40"/>
      <c r="X124" s="40"/>
      <c r="Y124" s="31"/>
      <c r="Z124" s="32"/>
      <c r="AA124" s="29"/>
      <c r="AC124" s="41" t="s">
        <v>514</v>
      </c>
      <c r="AD124" s="41" t="s">
        <v>355</v>
      </c>
      <c r="AE124" s="40"/>
      <c r="AF124" s="40"/>
      <c r="AG124" s="40"/>
      <c r="AH124" s="31"/>
      <c r="AI124" s="32"/>
      <c r="AJ124" s="29"/>
      <c r="AL124" s="41" t="s">
        <v>514</v>
      </c>
      <c r="AM124" s="41" t="s">
        <v>355</v>
      </c>
      <c r="AN124" s="40"/>
      <c r="AO124" s="40"/>
      <c r="AP124" s="40"/>
      <c r="AQ124" s="31"/>
      <c r="AR124" s="32"/>
      <c r="AS124" s="29"/>
      <c r="AU124" s="41" t="s">
        <v>514</v>
      </c>
      <c r="AV124" s="41" t="s">
        <v>355</v>
      </c>
      <c r="AW124" s="40"/>
      <c r="AX124" s="40"/>
      <c r="AY124" s="40"/>
      <c r="AZ124" s="31"/>
      <c r="BA124" s="32"/>
      <c r="BB124" s="29"/>
      <c r="BD124" s="41" t="s">
        <v>514</v>
      </c>
      <c r="BE124" s="41" t="s">
        <v>355</v>
      </c>
      <c r="BF124" s="40"/>
      <c r="BG124" s="40"/>
      <c r="BH124" s="40"/>
      <c r="BI124" s="31"/>
      <c r="BJ124" s="32"/>
      <c r="BK124" s="29"/>
    </row>
    <row r="125" spans="2:63">
      <c r="B125" s="41" t="s">
        <v>514</v>
      </c>
      <c r="C125" s="41" t="s">
        <v>355</v>
      </c>
      <c r="D125" s="40"/>
      <c r="E125" s="40"/>
      <c r="F125" s="40"/>
      <c r="G125" s="31"/>
      <c r="H125" s="32"/>
      <c r="I125" s="29"/>
      <c r="K125" s="41" t="s">
        <v>514</v>
      </c>
      <c r="L125" s="41" t="s">
        <v>355</v>
      </c>
      <c r="M125" s="40"/>
      <c r="N125" s="40"/>
      <c r="O125" s="40"/>
      <c r="P125" s="31"/>
      <c r="Q125" s="32"/>
      <c r="R125" s="29"/>
      <c r="T125" s="41" t="s">
        <v>514</v>
      </c>
      <c r="U125" s="41" t="s">
        <v>355</v>
      </c>
      <c r="V125" s="40"/>
      <c r="W125" s="40"/>
      <c r="X125" s="40"/>
      <c r="Y125" s="31"/>
      <c r="Z125" s="32"/>
      <c r="AA125" s="29"/>
      <c r="AC125" s="41" t="s">
        <v>514</v>
      </c>
      <c r="AD125" s="41" t="s">
        <v>355</v>
      </c>
      <c r="AE125" s="40"/>
      <c r="AF125" s="40"/>
      <c r="AG125" s="40"/>
      <c r="AH125" s="31"/>
      <c r="AI125" s="32"/>
      <c r="AJ125" s="29"/>
      <c r="AL125" s="41" t="s">
        <v>514</v>
      </c>
      <c r="AM125" s="41" t="s">
        <v>355</v>
      </c>
      <c r="AN125" s="40"/>
      <c r="AO125" s="40"/>
      <c r="AP125" s="40"/>
      <c r="AQ125" s="31"/>
      <c r="AR125" s="32"/>
      <c r="AS125" s="29"/>
      <c r="AU125" s="41" t="s">
        <v>514</v>
      </c>
      <c r="AV125" s="41" t="s">
        <v>355</v>
      </c>
      <c r="AW125" s="40"/>
      <c r="AX125" s="40"/>
      <c r="AY125" s="40"/>
      <c r="AZ125" s="31"/>
      <c r="BA125" s="32"/>
      <c r="BB125" s="29"/>
      <c r="BD125" s="41" t="s">
        <v>514</v>
      </c>
      <c r="BE125" s="41" t="s">
        <v>355</v>
      </c>
      <c r="BF125" s="40"/>
      <c r="BG125" s="40"/>
      <c r="BH125" s="40"/>
      <c r="BI125" s="31"/>
      <c r="BJ125" s="32"/>
      <c r="BK125" s="29"/>
    </row>
    <row r="126" spans="2:63">
      <c r="B126" s="41" t="s">
        <v>514</v>
      </c>
      <c r="C126" s="41" t="s">
        <v>355</v>
      </c>
      <c r="D126" s="40"/>
      <c r="E126" s="40"/>
      <c r="F126" s="40"/>
      <c r="G126" s="31"/>
      <c r="H126" s="32"/>
      <c r="I126" s="29"/>
      <c r="K126" s="41" t="s">
        <v>514</v>
      </c>
      <c r="L126" s="41" t="s">
        <v>355</v>
      </c>
      <c r="M126" s="40"/>
      <c r="N126" s="40"/>
      <c r="O126" s="40"/>
      <c r="P126" s="31"/>
      <c r="Q126" s="32"/>
      <c r="R126" s="29"/>
      <c r="T126" s="41" t="s">
        <v>514</v>
      </c>
      <c r="U126" s="41" t="s">
        <v>355</v>
      </c>
      <c r="V126" s="40"/>
      <c r="W126" s="40"/>
      <c r="X126" s="40"/>
      <c r="Y126" s="31"/>
      <c r="Z126" s="32"/>
      <c r="AA126" s="29"/>
      <c r="AC126" s="41" t="s">
        <v>514</v>
      </c>
      <c r="AD126" s="41" t="s">
        <v>355</v>
      </c>
      <c r="AE126" s="40"/>
      <c r="AF126" s="40"/>
      <c r="AG126" s="40"/>
      <c r="AH126" s="31"/>
      <c r="AI126" s="32"/>
      <c r="AJ126" s="29"/>
      <c r="AL126" s="41" t="s">
        <v>514</v>
      </c>
      <c r="AM126" s="41" t="s">
        <v>355</v>
      </c>
      <c r="AN126" s="40"/>
      <c r="AO126" s="40"/>
      <c r="AP126" s="40"/>
      <c r="AQ126" s="31"/>
      <c r="AR126" s="32"/>
      <c r="AS126" s="29"/>
      <c r="AU126" s="41" t="s">
        <v>514</v>
      </c>
      <c r="AV126" s="41" t="s">
        <v>355</v>
      </c>
      <c r="AW126" s="40"/>
      <c r="AX126" s="40"/>
      <c r="AY126" s="40"/>
      <c r="AZ126" s="31"/>
      <c r="BA126" s="32"/>
      <c r="BB126" s="29"/>
      <c r="BD126" s="41" t="s">
        <v>514</v>
      </c>
      <c r="BE126" s="41" t="s">
        <v>355</v>
      </c>
      <c r="BF126" s="40"/>
      <c r="BG126" s="40"/>
      <c r="BH126" s="40"/>
      <c r="BI126" s="31"/>
      <c r="BJ126" s="32"/>
      <c r="BK126" s="29"/>
    </row>
    <row r="127" spans="2:63">
      <c r="B127" s="41" t="s">
        <v>514</v>
      </c>
      <c r="C127" s="41" t="s">
        <v>355</v>
      </c>
      <c r="D127" s="40"/>
      <c r="E127" s="40"/>
      <c r="F127" s="40"/>
      <c r="G127" s="31"/>
      <c r="H127" s="32"/>
      <c r="I127" s="29"/>
      <c r="K127" s="41" t="s">
        <v>514</v>
      </c>
      <c r="L127" s="41" t="s">
        <v>355</v>
      </c>
      <c r="M127" s="40"/>
      <c r="N127" s="40"/>
      <c r="O127" s="40"/>
      <c r="P127" s="31"/>
      <c r="Q127" s="32"/>
      <c r="R127" s="29"/>
      <c r="T127" s="41" t="s">
        <v>514</v>
      </c>
      <c r="U127" s="41" t="s">
        <v>355</v>
      </c>
      <c r="V127" s="40"/>
      <c r="W127" s="40"/>
      <c r="X127" s="40"/>
      <c r="Y127" s="31"/>
      <c r="Z127" s="32"/>
      <c r="AA127" s="29"/>
      <c r="AC127" s="41" t="s">
        <v>514</v>
      </c>
      <c r="AD127" s="41" t="s">
        <v>355</v>
      </c>
      <c r="AE127" s="40"/>
      <c r="AF127" s="40"/>
      <c r="AG127" s="40"/>
      <c r="AH127" s="31"/>
      <c r="AI127" s="32"/>
      <c r="AJ127" s="29"/>
      <c r="AL127" s="41" t="s">
        <v>514</v>
      </c>
      <c r="AM127" s="41" t="s">
        <v>355</v>
      </c>
      <c r="AN127" s="40"/>
      <c r="AO127" s="40"/>
      <c r="AP127" s="40"/>
      <c r="AQ127" s="31"/>
      <c r="AR127" s="32"/>
      <c r="AS127" s="29"/>
      <c r="AU127" s="41" t="s">
        <v>514</v>
      </c>
      <c r="AV127" s="41" t="s">
        <v>355</v>
      </c>
      <c r="AW127" s="40"/>
      <c r="AX127" s="40"/>
      <c r="AY127" s="40"/>
      <c r="AZ127" s="31"/>
      <c r="BA127" s="32"/>
      <c r="BB127" s="29"/>
      <c r="BD127" s="41" t="s">
        <v>514</v>
      </c>
      <c r="BE127" s="41" t="s">
        <v>355</v>
      </c>
      <c r="BF127" s="40"/>
      <c r="BG127" s="40"/>
      <c r="BH127" s="40"/>
      <c r="BI127" s="31"/>
      <c r="BJ127" s="32"/>
      <c r="BK127" s="29"/>
    </row>
    <row r="128" spans="2:63">
      <c r="B128" s="41" t="s">
        <v>514</v>
      </c>
      <c r="C128" s="41" t="s">
        <v>355</v>
      </c>
      <c r="D128" s="40"/>
      <c r="E128" s="40"/>
      <c r="F128" s="40"/>
      <c r="G128" s="31"/>
      <c r="H128" s="32"/>
      <c r="I128" s="29"/>
      <c r="K128" s="41" t="s">
        <v>514</v>
      </c>
      <c r="L128" s="41" t="s">
        <v>355</v>
      </c>
      <c r="M128" s="40"/>
      <c r="N128" s="40"/>
      <c r="O128" s="40"/>
      <c r="P128" s="31"/>
      <c r="Q128" s="32"/>
      <c r="R128" s="29"/>
      <c r="T128" s="41" t="s">
        <v>514</v>
      </c>
      <c r="U128" s="41" t="s">
        <v>355</v>
      </c>
      <c r="V128" s="40"/>
      <c r="W128" s="40"/>
      <c r="X128" s="40"/>
      <c r="Y128" s="31"/>
      <c r="Z128" s="32"/>
      <c r="AA128" s="29"/>
      <c r="AC128" s="41" t="s">
        <v>514</v>
      </c>
      <c r="AD128" s="41" t="s">
        <v>355</v>
      </c>
      <c r="AE128" s="40"/>
      <c r="AF128" s="40"/>
      <c r="AG128" s="40"/>
      <c r="AH128" s="31"/>
      <c r="AI128" s="32"/>
      <c r="AJ128" s="29"/>
      <c r="AL128" s="41" t="s">
        <v>514</v>
      </c>
      <c r="AM128" s="41" t="s">
        <v>355</v>
      </c>
      <c r="AN128" s="40"/>
      <c r="AO128" s="40"/>
      <c r="AP128" s="40"/>
      <c r="AQ128" s="31"/>
      <c r="AR128" s="32"/>
      <c r="AS128" s="29"/>
      <c r="AU128" s="41" t="s">
        <v>514</v>
      </c>
      <c r="AV128" s="41" t="s">
        <v>355</v>
      </c>
      <c r="AW128" s="40"/>
      <c r="AX128" s="40"/>
      <c r="AY128" s="40"/>
      <c r="AZ128" s="31"/>
      <c r="BA128" s="32"/>
      <c r="BB128" s="29"/>
      <c r="BD128" s="41" t="s">
        <v>514</v>
      </c>
      <c r="BE128" s="41" t="s">
        <v>355</v>
      </c>
      <c r="BF128" s="40"/>
      <c r="BG128" s="40"/>
      <c r="BH128" s="40"/>
      <c r="BI128" s="31"/>
      <c r="BJ128" s="32"/>
      <c r="BK128" s="29"/>
    </row>
    <row r="129" spans="2:63">
      <c r="B129" s="41" t="s">
        <v>514</v>
      </c>
      <c r="C129" s="41" t="s">
        <v>355</v>
      </c>
      <c r="D129" s="40"/>
      <c r="E129" s="40"/>
      <c r="F129" s="40"/>
      <c r="G129" s="31"/>
      <c r="H129" s="32"/>
      <c r="I129" s="29"/>
      <c r="K129" s="41" t="s">
        <v>514</v>
      </c>
      <c r="L129" s="41" t="s">
        <v>355</v>
      </c>
      <c r="M129" s="40"/>
      <c r="N129" s="40"/>
      <c r="O129" s="40"/>
      <c r="P129" s="31"/>
      <c r="Q129" s="32"/>
      <c r="R129" s="29"/>
      <c r="T129" s="41" t="s">
        <v>514</v>
      </c>
      <c r="U129" s="41" t="s">
        <v>355</v>
      </c>
      <c r="V129" s="40"/>
      <c r="W129" s="40"/>
      <c r="X129" s="40"/>
      <c r="Y129" s="31"/>
      <c r="Z129" s="32"/>
      <c r="AA129" s="29"/>
      <c r="AC129" s="41" t="s">
        <v>514</v>
      </c>
      <c r="AD129" s="41" t="s">
        <v>355</v>
      </c>
      <c r="AE129" s="40"/>
      <c r="AF129" s="40"/>
      <c r="AG129" s="40"/>
      <c r="AH129" s="31"/>
      <c r="AI129" s="32"/>
      <c r="AJ129" s="29"/>
      <c r="AL129" s="41" t="s">
        <v>514</v>
      </c>
      <c r="AM129" s="41" t="s">
        <v>355</v>
      </c>
      <c r="AN129" s="40"/>
      <c r="AO129" s="40"/>
      <c r="AP129" s="40"/>
      <c r="AQ129" s="31"/>
      <c r="AR129" s="32"/>
      <c r="AS129" s="29"/>
      <c r="AU129" s="41" t="s">
        <v>514</v>
      </c>
      <c r="AV129" s="41" t="s">
        <v>355</v>
      </c>
      <c r="AW129" s="40"/>
      <c r="AX129" s="40"/>
      <c r="AY129" s="40"/>
      <c r="AZ129" s="31"/>
      <c r="BA129" s="32"/>
      <c r="BB129" s="29"/>
      <c r="BD129" s="41" t="s">
        <v>514</v>
      </c>
      <c r="BE129" s="41" t="s">
        <v>355</v>
      </c>
      <c r="BF129" s="40"/>
      <c r="BG129" s="40"/>
      <c r="BH129" s="40"/>
      <c r="BI129" s="31"/>
      <c r="BJ129" s="32"/>
      <c r="BK129" s="29"/>
    </row>
    <row r="130" spans="2:63">
      <c r="B130" s="41" t="s">
        <v>514</v>
      </c>
      <c r="C130" s="41" t="s">
        <v>355</v>
      </c>
      <c r="D130" s="40"/>
      <c r="E130" s="40"/>
      <c r="F130" s="40"/>
      <c r="G130" s="31"/>
      <c r="H130" s="32"/>
      <c r="I130" s="29"/>
      <c r="K130" s="41" t="s">
        <v>514</v>
      </c>
      <c r="L130" s="41" t="s">
        <v>355</v>
      </c>
      <c r="M130" s="40"/>
      <c r="N130" s="40"/>
      <c r="O130" s="40"/>
      <c r="P130" s="31"/>
      <c r="Q130" s="32"/>
      <c r="R130" s="29"/>
      <c r="T130" s="41" t="s">
        <v>514</v>
      </c>
      <c r="U130" s="41" t="s">
        <v>355</v>
      </c>
      <c r="V130" s="40"/>
      <c r="W130" s="40"/>
      <c r="X130" s="40"/>
      <c r="Y130" s="31"/>
      <c r="Z130" s="32"/>
      <c r="AA130" s="29"/>
      <c r="AC130" s="41" t="s">
        <v>514</v>
      </c>
      <c r="AD130" s="41" t="s">
        <v>355</v>
      </c>
      <c r="AE130" s="40"/>
      <c r="AF130" s="40"/>
      <c r="AG130" s="40"/>
      <c r="AH130" s="31"/>
      <c r="AI130" s="32"/>
      <c r="AJ130" s="29"/>
      <c r="AL130" s="41" t="s">
        <v>514</v>
      </c>
      <c r="AM130" s="41" t="s">
        <v>355</v>
      </c>
      <c r="AN130" s="40"/>
      <c r="AO130" s="40"/>
      <c r="AP130" s="40"/>
      <c r="AQ130" s="31"/>
      <c r="AR130" s="32"/>
      <c r="AS130" s="29"/>
      <c r="AU130" s="41" t="s">
        <v>514</v>
      </c>
      <c r="AV130" s="41" t="s">
        <v>355</v>
      </c>
      <c r="AW130" s="40"/>
      <c r="AX130" s="40"/>
      <c r="AY130" s="40"/>
      <c r="AZ130" s="31"/>
      <c r="BA130" s="32"/>
      <c r="BB130" s="29"/>
      <c r="BD130" s="41" t="s">
        <v>514</v>
      </c>
      <c r="BE130" s="41" t="s">
        <v>355</v>
      </c>
      <c r="BF130" s="40"/>
      <c r="BG130" s="40"/>
      <c r="BH130" s="40"/>
      <c r="BI130" s="31"/>
      <c r="BJ130" s="32"/>
      <c r="BK130" s="29"/>
    </row>
    <row r="131" spans="2:63" s="24" customFormat="1">
      <c r="B131" s="8" t="s">
        <v>518</v>
      </c>
      <c r="C131" s="25"/>
      <c r="D131" s="30"/>
      <c r="E131" s="30"/>
      <c r="F131" s="28">
        <f t="shared" ref="F131" si="97">SUM(F116:F130)</f>
        <v>2500</v>
      </c>
      <c r="G131" s="25"/>
      <c r="H131" s="26"/>
      <c r="I131" s="30"/>
      <c r="K131" s="8" t="s">
        <v>518</v>
      </c>
      <c r="L131" s="25"/>
      <c r="M131" s="30"/>
      <c r="N131" s="30"/>
      <c r="O131" s="28">
        <f t="shared" ref="O131" si="98">SUM(O116:O130)</f>
        <v>2500</v>
      </c>
      <c r="P131" s="25"/>
      <c r="Q131" s="26"/>
      <c r="R131" s="30"/>
      <c r="T131" s="8" t="s">
        <v>518</v>
      </c>
      <c r="U131" s="25"/>
      <c r="V131" s="30"/>
      <c r="W131" s="30"/>
      <c r="X131" s="28">
        <f t="shared" ref="X131" si="99">SUM(X116:X130)</f>
        <v>2500</v>
      </c>
      <c r="Y131" s="25"/>
      <c r="Z131" s="26"/>
      <c r="AA131" s="30"/>
      <c r="AC131" s="8" t="s">
        <v>518</v>
      </c>
      <c r="AD131" s="25"/>
      <c r="AE131" s="30"/>
      <c r="AF131" s="30"/>
      <c r="AG131" s="28">
        <f t="shared" ref="AG131" si="100">SUM(AG116:AG130)</f>
        <v>2500</v>
      </c>
      <c r="AH131" s="25"/>
      <c r="AI131" s="26"/>
      <c r="AJ131" s="30"/>
      <c r="AL131" s="8" t="s">
        <v>518</v>
      </c>
      <c r="AM131" s="25"/>
      <c r="AN131" s="30"/>
      <c r="AO131" s="30"/>
      <c r="AP131" s="28">
        <f t="shared" ref="AP131" si="101">SUM(AP116:AP130)</f>
        <v>2500</v>
      </c>
      <c r="AQ131" s="25"/>
      <c r="AR131" s="26"/>
      <c r="AS131" s="30"/>
      <c r="AU131" s="8" t="s">
        <v>518</v>
      </c>
      <c r="AV131" s="25"/>
      <c r="AW131" s="30"/>
      <c r="AX131" s="30"/>
      <c r="AY131" s="28">
        <f t="shared" ref="AY131" si="102">SUM(AY116:AY130)</f>
        <v>2500</v>
      </c>
      <c r="AZ131" s="25"/>
      <c r="BA131" s="26"/>
      <c r="BB131" s="30"/>
      <c r="BD131" s="8" t="s">
        <v>518</v>
      </c>
      <c r="BE131" s="25"/>
      <c r="BF131" s="30"/>
      <c r="BG131" s="30"/>
      <c r="BH131" s="28">
        <f t="shared" ref="BH131" si="103">SUM(BH116:BH130)</f>
        <v>2500</v>
      </c>
      <c r="BI131" s="25"/>
      <c r="BJ131" s="26"/>
      <c r="BK131" s="30"/>
    </row>
    <row r="133" spans="2:63" ht="41.4">
      <c r="B133" s="27" t="s">
        <v>17</v>
      </c>
      <c r="C133" s="3" t="str">
        <f>C$43</f>
        <v>Source</v>
      </c>
      <c r="D133" s="3" t="str">
        <f t="shared" ref="D133:I133" si="104">D$43</f>
        <v>Limit (A)</v>
      </c>
      <c r="E133" s="3" t="str">
        <f t="shared" si="104"/>
        <v>Outstanding (A1)</v>
      </c>
      <c r="F133" s="3" t="str">
        <f t="shared" si="104"/>
        <v>Monthly Repayment (B)</v>
      </c>
      <c r="G133" s="3" t="str">
        <f t="shared" si="104"/>
        <v>Interest Rate (C)</v>
      </c>
      <c r="H133" s="3" t="str">
        <f t="shared" si="104"/>
        <v>Factor (D)</v>
      </c>
      <c r="I133" s="3" t="str">
        <f t="shared" si="104"/>
        <v>Interest (E) = (A or A1) * (C) * (D)</v>
      </c>
      <c r="K133" s="27" t="s">
        <v>17</v>
      </c>
      <c r="L133" s="3" t="str">
        <f>L$43</f>
        <v>Source</v>
      </c>
      <c r="M133" s="3" t="str">
        <f t="shared" ref="M133:R133" si="105">M$43</f>
        <v>Limit (A)</v>
      </c>
      <c r="N133" s="3" t="str">
        <f t="shared" si="105"/>
        <v>Outstanding (A1)</v>
      </c>
      <c r="O133" s="3" t="str">
        <f t="shared" si="105"/>
        <v>Monthly Repayment (B)</v>
      </c>
      <c r="P133" s="3" t="str">
        <f t="shared" si="105"/>
        <v>Interest Rate (C)</v>
      </c>
      <c r="Q133" s="3" t="str">
        <f t="shared" si="105"/>
        <v>Factor (D)</v>
      </c>
      <c r="R133" s="3" t="str">
        <f t="shared" si="105"/>
        <v>Interest (E) = (A or A1) * (C) * (D)</v>
      </c>
      <c r="T133" s="27" t="s">
        <v>17</v>
      </c>
      <c r="U133" s="3" t="str">
        <f>U$43</f>
        <v>Source</v>
      </c>
      <c r="V133" s="3" t="str">
        <f t="shared" ref="V133:AA133" si="106">V$43</f>
        <v>Limit (A)</v>
      </c>
      <c r="W133" s="3" t="str">
        <f t="shared" si="106"/>
        <v>Outstanding (A1)</v>
      </c>
      <c r="X133" s="3" t="str">
        <f t="shared" si="106"/>
        <v>Monthly Repayment (B)</v>
      </c>
      <c r="Y133" s="3" t="str">
        <f t="shared" si="106"/>
        <v>Interest Rate (C)</v>
      </c>
      <c r="Z133" s="3" t="str">
        <f t="shared" si="106"/>
        <v>Factor (D)</v>
      </c>
      <c r="AA133" s="3" t="str">
        <f t="shared" si="106"/>
        <v>Interest (E) = (A or A1) * (C) * (D)</v>
      </c>
      <c r="AC133" s="27" t="s">
        <v>17</v>
      </c>
      <c r="AD133" s="3" t="str">
        <f>AD$43</f>
        <v>Source</v>
      </c>
      <c r="AE133" s="3" t="str">
        <f t="shared" ref="AE133:AJ133" si="107">AE$43</f>
        <v>Limit (A)</v>
      </c>
      <c r="AF133" s="3" t="str">
        <f t="shared" si="107"/>
        <v>Outstanding (A1)</v>
      </c>
      <c r="AG133" s="3" t="str">
        <f t="shared" si="107"/>
        <v>Monthly Repayment (B)</v>
      </c>
      <c r="AH133" s="3" t="str">
        <f t="shared" si="107"/>
        <v>Interest Rate (C)</v>
      </c>
      <c r="AI133" s="3" t="str">
        <f t="shared" si="107"/>
        <v>Factor (D)</v>
      </c>
      <c r="AJ133" s="3" t="str">
        <f t="shared" si="107"/>
        <v>Interest (E) = (A or A1) * (C) * (D)</v>
      </c>
      <c r="AL133" s="27" t="s">
        <v>17</v>
      </c>
      <c r="AM133" s="3" t="str">
        <f>AM$43</f>
        <v>Source</v>
      </c>
      <c r="AN133" s="3" t="str">
        <f t="shared" ref="AN133:AS133" si="108">AN$43</f>
        <v>Limit (A)</v>
      </c>
      <c r="AO133" s="3" t="str">
        <f t="shared" si="108"/>
        <v>Outstanding (A1)</v>
      </c>
      <c r="AP133" s="3" t="str">
        <f t="shared" si="108"/>
        <v>Monthly Repayment (B)</v>
      </c>
      <c r="AQ133" s="3" t="str">
        <f t="shared" si="108"/>
        <v>Interest Rate (C)</v>
      </c>
      <c r="AR133" s="3" t="str">
        <f t="shared" si="108"/>
        <v>Factor (D)</v>
      </c>
      <c r="AS133" s="3" t="str">
        <f t="shared" si="108"/>
        <v>Interest (E) = (A or A1) * (C) * (D)</v>
      </c>
      <c r="AU133" s="27" t="s">
        <v>17</v>
      </c>
      <c r="AV133" s="3" t="str">
        <f>AV$43</f>
        <v>Source</v>
      </c>
      <c r="AW133" s="3" t="str">
        <f t="shared" ref="AW133:BB133" si="109">AW$43</f>
        <v>Limit (A)</v>
      </c>
      <c r="AX133" s="3" t="str">
        <f t="shared" si="109"/>
        <v>Outstanding (A1)</v>
      </c>
      <c r="AY133" s="3" t="str">
        <f t="shared" si="109"/>
        <v>Monthly Repayment (B)</v>
      </c>
      <c r="AZ133" s="3" t="str">
        <f t="shared" si="109"/>
        <v>Interest Rate (C)</v>
      </c>
      <c r="BA133" s="3" t="str">
        <f t="shared" si="109"/>
        <v>Factor (D)</v>
      </c>
      <c r="BB133" s="3" t="str">
        <f t="shared" si="109"/>
        <v>Interest (E) = (A or A1) * (C) * (D)</v>
      </c>
      <c r="BD133" s="27" t="s">
        <v>17</v>
      </c>
      <c r="BE133" s="3" t="str">
        <f>BE$43</f>
        <v>Source</v>
      </c>
      <c r="BF133" s="3" t="str">
        <f t="shared" ref="BF133:BK133" si="110">BF$43</f>
        <v>Limit (A)</v>
      </c>
      <c r="BG133" s="3" t="str">
        <f t="shared" si="110"/>
        <v>Outstanding (A1)</v>
      </c>
      <c r="BH133" s="3" t="str">
        <f t="shared" si="110"/>
        <v>Monthly Repayment (B)</v>
      </c>
      <c r="BI133" s="3" t="str">
        <f t="shared" si="110"/>
        <v>Interest Rate (C)</v>
      </c>
      <c r="BJ133" s="3" t="str">
        <f t="shared" si="110"/>
        <v>Factor (D)</v>
      </c>
      <c r="BK133" s="3" t="str">
        <f t="shared" si="110"/>
        <v>Interest (E) = (A or A1) * (C) * (D)</v>
      </c>
    </row>
    <row r="134" spans="2:63">
      <c r="B134" s="41" t="s">
        <v>514</v>
      </c>
      <c r="C134" s="41" t="s">
        <v>355</v>
      </c>
      <c r="D134" s="40">
        <v>100000</v>
      </c>
      <c r="E134" s="40">
        <v>72000</v>
      </c>
      <c r="F134" s="40">
        <v>3000</v>
      </c>
      <c r="G134" s="31"/>
      <c r="H134" s="32"/>
      <c r="I134" s="29"/>
      <c r="K134" s="41" t="s">
        <v>514</v>
      </c>
      <c r="L134" s="41" t="s">
        <v>355</v>
      </c>
      <c r="M134" s="40">
        <v>100000</v>
      </c>
      <c r="N134" s="40">
        <v>72000</v>
      </c>
      <c r="O134" s="40">
        <v>3000</v>
      </c>
      <c r="P134" s="31"/>
      <c r="Q134" s="32"/>
      <c r="R134" s="29"/>
      <c r="T134" s="41" t="s">
        <v>514</v>
      </c>
      <c r="U134" s="41" t="s">
        <v>355</v>
      </c>
      <c r="V134" s="40">
        <v>100000</v>
      </c>
      <c r="W134" s="40">
        <v>72000</v>
      </c>
      <c r="X134" s="40">
        <v>3000</v>
      </c>
      <c r="Y134" s="31"/>
      <c r="Z134" s="32"/>
      <c r="AA134" s="29"/>
      <c r="AC134" s="41" t="s">
        <v>514</v>
      </c>
      <c r="AD134" s="41" t="s">
        <v>355</v>
      </c>
      <c r="AE134" s="40">
        <v>100000</v>
      </c>
      <c r="AF134" s="40">
        <v>72000</v>
      </c>
      <c r="AG134" s="40">
        <v>3000</v>
      </c>
      <c r="AH134" s="31"/>
      <c r="AI134" s="32"/>
      <c r="AJ134" s="29"/>
      <c r="AL134" s="41" t="s">
        <v>514</v>
      </c>
      <c r="AM134" s="41" t="s">
        <v>355</v>
      </c>
      <c r="AN134" s="40">
        <v>100000</v>
      </c>
      <c r="AO134" s="40">
        <v>72000</v>
      </c>
      <c r="AP134" s="40">
        <v>3000</v>
      </c>
      <c r="AQ134" s="31"/>
      <c r="AR134" s="32"/>
      <c r="AS134" s="29"/>
      <c r="AU134" s="41" t="s">
        <v>514</v>
      </c>
      <c r="AV134" s="41" t="s">
        <v>355</v>
      </c>
      <c r="AW134" s="40">
        <v>100000</v>
      </c>
      <c r="AX134" s="40">
        <v>72000</v>
      </c>
      <c r="AY134" s="40">
        <v>3000</v>
      </c>
      <c r="AZ134" s="31"/>
      <c r="BA134" s="32"/>
      <c r="BB134" s="29"/>
      <c r="BD134" s="41" t="s">
        <v>514</v>
      </c>
      <c r="BE134" s="41" t="s">
        <v>355</v>
      </c>
      <c r="BF134" s="40">
        <v>100000</v>
      </c>
      <c r="BG134" s="40">
        <v>72000</v>
      </c>
      <c r="BH134" s="40">
        <v>3000</v>
      </c>
      <c r="BI134" s="31"/>
      <c r="BJ134" s="32"/>
      <c r="BK134" s="29"/>
    </row>
    <row r="135" spans="2:63">
      <c r="B135" s="41" t="s">
        <v>514</v>
      </c>
      <c r="C135" s="41" t="s">
        <v>355</v>
      </c>
      <c r="D135" s="40"/>
      <c r="E135" s="40"/>
      <c r="F135" s="40"/>
      <c r="G135" s="31"/>
      <c r="H135" s="32"/>
      <c r="I135" s="29"/>
      <c r="K135" s="41" t="s">
        <v>514</v>
      </c>
      <c r="L135" s="41" t="s">
        <v>355</v>
      </c>
      <c r="M135" s="40"/>
      <c r="N135" s="40"/>
      <c r="O135" s="40"/>
      <c r="P135" s="31"/>
      <c r="Q135" s="32"/>
      <c r="R135" s="29"/>
      <c r="T135" s="41" t="s">
        <v>514</v>
      </c>
      <c r="U135" s="41" t="s">
        <v>355</v>
      </c>
      <c r="V135" s="40"/>
      <c r="W135" s="40"/>
      <c r="X135" s="40"/>
      <c r="Y135" s="31"/>
      <c r="Z135" s="32"/>
      <c r="AA135" s="29"/>
      <c r="AC135" s="41" t="s">
        <v>514</v>
      </c>
      <c r="AD135" s="41" t="s">
        <v>355</v>
      </c>
      <c r="AE135" s="40"/>
      <c r="AF135" s="40"/>
      <c r="AG135" s="40"/>
      <c r="AH135" s="31"/>
      <c r="AI135" s="32"/>
      <c r="AJ135" s="29"/>
      <c r="AL135" s="41" t="s">
        <v>514</v>
      </c>
      <c r="AM135" s="41" t="s">
        <v>355</v>
      </c>
      <c r="AN135" s="40"/>
      <c r="AO135" s="40"/>
      <c r="AP135" s="40"/>
      <c r="AQ135" s="31"/>
      <c r="AR135" s="32"/>
      <c r="AS135" s="29"/>
      <c r="AU135" s="41" t="s">
        <v>514</v>
      </c>
      <c r="AV135" s="41" t="s">
        <v>355</v>
      </c>
      <c r="AW135" s="40"/>
      <c r="AX135" s="40"/>
      <c r="AY135" s="40"/>
      <c r="AZ135" s="31"/>
      <c r="BA135" s="32"/>
      <c r="BB135" s="29"/>
      <c r="BD135" s="41" t="s">
        <v>514</v>
      </c>
      <c r="BE135" s="41" t="s">
        <v>355</v>
      </c>
      <c r="BF135" s="40"/>
      <c r="BG135" s="40"/>
      <c r="BH135" s="40"/>
      <c r="BI135" s="31"/>
      <c r="BJ135" s="32"/>
      <c r="BK135" s="29"/>
    </row>
    <row r="136" spans="2:63">
      <c r="B136" s="41" t="s">
        <v>514</v>
      </c>
      <c r="C136" s="41" t="s">
        <v>355</v>
      </c>
      <c r="D136" s="40"/>
      <c r="E136" s="40"/>
      <c r="F136" s="40"/>
      <c r="G136" s="31"/>
      <c r="H136" s="32"/>
      <c r="I136" s="29"/>
      <c r="K136" s="41" t="s">
        <v>514</v>
      </c>
      <c r="L136" s="41" t="s">
        <v>355</v>
      </c>
      <c r="M136" s="40"/>
      <c r="N136" s="40"/>
      <c r="O136" s="40"/>
      <c r="P136" s="31"/>
      <c r="Q136" s="32"/>
      <c r="R136" s="29"/>
      <c r="T136" s="41" t="s">
        <v>514</v>
      </c>
      <c r="U136" s="41" t="s">
        <v>355</v>
      </c>
      <c r="V136" s="40"/>
      <c r="W136" s="40"/>
      <c r="X136" s="40"/>
      <c r="Y136" s="31"/>
      <c r="Z136" s="32"/>
      <c r="AA136" s="29"/>
      <c r="AC136" s="41" t="s">
        <v>514</v>
      </c>
      <c r="AD136" s="41" t="s">
        <v>355</v>
      </c>
      <c r="AE136" s="40"/>
      <c r="AF136" s="40"/>
      <c r="AG136" s="40"/>
      <c r="AH136" s="31"/>
      <c r="AI136" s="32"/>
      <c r="AJ136" s="29"/>
      <c r="AL136" s="41" t="s">
        <v>514</v>
      </c>
      <c r="AM136" s="41" t="s">
        <v>355</v>
      </c>
      <c r="AN136" s="40"/>
      <c r="AO136" s="40"/>
      <c r="AP136" s="40"/>
      <c r="AQ136" s="31"/>
      <c r="AR136" s="32"/>
      <c r="AS136" s="29"/>
      <c r="AU136" s="41" t="s">
        <v>514</v>
      </c>
      <c r="AV136" s="41" t="s">
        <v>355</v>
      </c>
      <c r="AW136" s="40"/>
      <c r="AX136" s="40"/>
      <c r="AY136" s="40"/>
      <c r="AZ136" s="31"/>
      <c r="BA136" s="32"/>
      <c r="BB136" s="29"/>
      <c r="BD136" s="41" t="s">
        <v>514</v>
      </c>
      <c r="BE136" s="41" t="s">
        <v>355</v>
      </c>
      <c r="BF136" s="40"/>
      <c r="BG136" s="40"/>
      <c r="BH136" s="40"/>
      <c r="BI136" s="31"/>
      <c r="BJ136" s="32"/>
      <c r="BK136" s="29"/>
    </row>
    <row r="137" spans="2:63">
      <c r="B137" s="41" t="s">
        <v>514</v>
      </c>
      <c r="C137" s="41" t="s">
        <v>355</v>
      </c>
      <c r="D137" s="40"/>
      <c r="E137" s="40"/>
      <c r="F137" s="40"/>
      <c r="G137" s="31"/>
      <c r="H137" s="32"/>
      <c r="I137" s="29"/>
      <c r="K137" s="41" t="s">
        <v>514</v>
      </c>
      <c r="L137" s="41" t="s">
        <v>355</v>
      </c>
      <c r="M137" s="40"/>
      <c r="N137" s="40"/>
      <c r="O137" s="40"/>
      <c r="P137" s="31"/>
      <c r="Q137" s="32"/>
      <c r="R137" s="29"/>
      <c r="T137" s="41" t="s">
        <v>514</v>
      </c>
      <c r="U137" s="41" t="s">
        <v>355</v>
      </c>
      <c r="V137" s="40"/>
      <c r="W137" s="40"/>
      <c r="X137" s="40"/>
      <c r="Y137" s="31"/>
      <c r="Z137" s="32"/>
      <c r="AA137" s="29"/>
      <c r="AC137" s="41" t="s">
        <v>514</v>
      </c>
      <c r="AD137" s="41" t="s">
        <v>355</v>
      </c>
      <c r="AE137" s="40"/>
      <c r="AF137" s="40"/>
      <c r="AG137" s="40"/>
      <c r="AH137" s="31"/>
      <c r="AI137" s="32"/>
      <c r="AJ137" s="29"/>
      <c r="AL137" s="41" t="s">
        <v>514</v>
      </c>
      <c r="AM137" s="41" t="s">
        <v>355</v>
      </c>
      <c r="AN137" s="40"/>
      <c r="AO137" s="40"/>
      <c r="AP137" s="40"/>
      <c r="AQ137" s="31"/>
      <c r="AR137" s="32"/>
      <c r="AS137" s="29"/>
      <c r="AU137" s="41" t="s">
        <v>514</v>
      </c>
      <c r="AV137" s="41" t="s">
        <v>355</v>
      </c>
      <c r="AW137" s="40"/>
      <c r="AX137" s="40"/>
      <c r="AY137" s="40"/>
      <c r="AZ137" s="31"/>
      <c r="BA137" s="32"/>
      <c r="BB137" s="29"/>
      <c r="BD137" s="41" t="s">
        <v>514</v>
      </c>
      <c r="BE137" s="41" t="s">
        <v>355</v>
      </c>
      <c r="BF137" s="40"/>
      <c r="BG137" s="40"/>
      <c r="BH137" s="40"/>
      <c r="BI137" s="31"/>
      <c r="BJ137" s="32"/>
      <c r="BK137" s="29"/>
    </row>
    <row r="138" spans="2:63">
      <c r="B138" s="41" t="s">
        <v>514</v>
      </c>
      <c r="C138" s="41" t="s">
        <v>355</v>
      </c>
      <c r="D138" s="40"/>
      <c r="E138" s="40"/>
      <c r="F138" s="40"/>
      <c r="G138" s="31"/>
      <c r="H138" s="32"/>
      <c r="I138" s="29"/>
      <c r="K138" s="41" t="s">
        <v>514</v>
      </c>
      <c r="L138" s="41" t="s">
        <v>355</v>
      </c>
      <c r="M138" s="40"/>
      <c r="N138" s="40"/>
      <c r="O138" s="40"/>
      <c r="P138" s="31"/>
      <c r="Q138" s="32"/>
      <c r="R138" s="29"/>
      <c r="T138" s="41" t="s">
        <v>514</v>
      </c>
      <c r="U138" s="41" t="s">
        <v>355</v>
      </c>
      <c r="V138" s="40"/>
      <c r="W138" s="40"/>
      <c r="X138" s="40"/>
      <c r="Y138" s="31"/>
      <c r="Z138" s="32"/>
      <c r="AA138" s="29"/>
      <c r="AC138" s="41" t="s">
        <v>514</v>
      </c>
      <c r="AD138" s="41" t="s">
        <v>355</v>
      </c>
      <c r="AE138" s="40"/>
      <c r="AF138" s="40"/>
      <c r="AG138" s="40"/>
      <c r="AH138" s="31"/>
      <c r="AI138" s="32"/>
      <c r="AJ138" s="29"/>
      <c r="AL138" s="41" t="s">
        <v>514</v>
      </c>
      <c r="AM138" s="41" t="s">
        <v>355</v>
      </c>
      <c r="AN138" s="40"/>
      <c r="AO138" s="40"/>
      <c r="AP138" s="40"/>
      <c r="AQ138" s="31"/>
      <c r="AR138" s="32"/>
      <c r="AS138" s="29"/>
      <c r="AU138" s="41" t="s">
        <v>514</v>
      </c>
      <c r="AV138" s="41" t="s">
        <v>355</v>
      </c>
      <c r="AW138" s="40"/>
      <c r="AX138" s="40"/>
      <c r="AY138" s="40"/>
      <c r="AZ138" s="31"/>
      <c r="BA138" s="32"/>
      <c r="BB138" s="29"/>
      <c r="BD138" s="41" t="s">
        <v>514</v>
      </c>
      <c r="BE138" s="41" t="s">
        <v>355</v>
      </c>
      <c r="BF138" s="40"/>
      <c r="BG138" s="40"/>
      <c r="BH138" s="40"/>
      <c r="BI138" s="31"/>
      <c r="BJ138" s="32"/>
      <c r="BK138" s="29"/>
    </row>
    <row r="139" spans="2:63">
      <c r="B139" s="41" t="s">
        <v>514</v>
      </c>
      <c r="C139" s="41" t="s">
        <v>355</v>
      </c>
      <c r="D139" s="40"/>
      <c r="E139" s="40"/>
      <c r="F139" s="40"/>
      <c r="G139" s="31"/>
      <c r="H139" s="32"/>
      <c r="I139" s="29"/>
      <c r="K139" s="41" t="s">
        <v>514</v>
      </c>
      <c r="L139" s="41" t="s">
        <v>355</v>
      </c>
      <c r="M139" s="40"/>
      <c r="N139" s="40"/>
      <c r="O139" s="40"/>
      <c r="P139" s="31"/>
      <c r="Q139" s="32"/>
      <c r="R139" s="29"/>
      <c r="T139" s="41" t="s">
        <v>514</v>
      </c>
      <c r="U139" s="41" t="s">
        <v>355</v>
      </c>
      <c r="V139" s="40"/>
      <c r="W139" s="40"/>
      <c r="X139" s="40"/>
      <c r="Y139" s="31"/>
      <c r="Z139" s="32"/>
      <c r="AA139" s="29"/>
      <c r="AC139" s="41" t="s">
        <v>514</v>
      </c>
      <c r="AD139" s="41" t="s">
        <v>355</v>
      </c>
      <c r="AE139" s="40"/>
      <c r="AF139" s="40"/>
      <c r="AG139" s="40"/>
      <c r="AH139" s="31"/>
      <c r="AI139" s="32"/>
      <c r="AJ139" s="29"/>
      <c r="AL139" s="41" t="s">
        <v>514</v>
      </c>
      <c r="AM139" s="41" t="s">
        <v>355</v>
      </c>
      <c r="AN139" s="40"/>
      <c r="AO139" s="40"/>
      <c r="AP139" s="40"/>
      <c r="AQ139" s="31"/>
      <c r="AR139" s="32"/>
      <c r="AS139" s="29"/>
      <c r="AU139" s="41" t="s">
        <v>514</v>
      </c>
      <c r="AV139" s="41" t="s">
        <v>355</v>
      </c>
      <c r="AW139" s="40"/>
      <c r="AX139" s="40"/>
      <c r="AY139" s="40"/>
      <c r="AZ139" s="31"/>
      <c r="BA139" s="32"/>
      <c r="BB139" s="29"/>
      <c r="BD139" s="41" t="s">
        <v>514</v>
      </c>
      <c r="BE139" s="41" t="s">
        <v>355</v>
      </c>
      <c r="BF139" s="40"/>
      <c r="BG139" s="40"/>
      <c r="BH139" s="40"/>
      <c r="BI139" s="31"/>
      <c r="BJ139" s="32"/>
      <c r="BK139" s="29"/>
    </row>
    <row r="140" spans="2:63">
      <c r="B140" s="41" t="s">
        <v>514</v>
      </c>
      <c r="C140" s="41" t="s">
        <v>355</v>
      </c>
      <c r="D140" s="40"/>
      <c r="E140" s="40"/>
      <c r="F140" s="40"/>
      <c r="G140" s="31"/>
      <c r="H140" s="32"/>
      <c r="I140" s="29"/>
      <c r="K140" s="41" t="s">
        <v>514</v>
      </c>
      <c r="L140" s="41" t="s">
        <v>355</v>
      </c>
      <c r="M140" s="40"/>
      <c r="N140" s="40"/>
      <c r="O140" s="40"/>
      <c r="P140" s="31"/>
      <c r="Q140" s="32"/>
      <c r="R140" s="29"/>
      <c r="T140" s="41" t="s">
        <v>514</v>
      </c>
      <c r="U140" s="41" t="s">
        <v>355</v>
      </c>
      <c r="V140" s="40"/>
      <c r="W140" s="40"/>
      <c r="X140" s="40"/>
      <c r="Y140" s="31"/>
      <c r="Z140" s="32"/>
      <c r="AA140" s="29"/>
      <c r="AC140" s="41" t="s">
        <v>514</v>
      </c>
      <c r="AD140" s="41" t="s">
        <v>355</v>
      </c>
      <c r="AE140" s="40"/>
      <c r="AF140" s="40"/>
      <c r="AG140" s="40"/>
      <c r="AH140" s="31"/>
      <c r="AI140" s="32"/>
      <c r="AJ140" s="29"/>
      <c r="AL140" s="41" t="s">
        <v>514</v>
      </c>
      <c r="AM140" s="41" t="s">
        <v>355</v>
      </c>
      <c r="AN140" s="40"/>
      <c r="AO140" s="40"/>
      <c r="AP140" s="40"/>
      <c r="AQ140" s="31"/>
      <c r="AR140" s="32"/>
      <c r="AS140" s="29"/>
      <c r="AU140" s="41" t="s">
        <v>514</v>
      </c>
      <c r="AV140" s="41" t="s">
        <v>355</v>
      </c>
      <c r="AW140" s="40"/>
      <c r="AX140" s="40"/>
      <c r="AY140" s="40"/>
      <c r="AZ140" s="31"/>
      <c r="BA140" s="32"/>
      <c r="BB140" s="29"/>
      <c r="BD140" s="41" t="s">
        <v>514</v>
      </c>
      <c r="BE140" s="41" t="s">
        <v>355</v>
      </c>
      <c r="BF140" s="40"/>
      <c r="BG140" s="40"/>
      <c r="BH140" s="40"/>
      <c r="BI140" s="31"/>
      <c r="BJ140" s="32"/>
      <c r="BK140" s="29"/>
    </row>
    <row r="141" spans="2:63">
      <c r="B141" s="41" t="s">
        <v>514</v>
      </c>
      <c r="C141" s="41" t="s">
        <v>355</v>
      </c>
      <c r="D141" s="40"/>
      <c r="E141" s="40"/>
      <c r="F141" s="40"/>
      <c r="G141" s="31"/>
      <c r="H141" s="32"/>
      <c r="I141" s="29"/>
      <c r="K141" s="41" t="s">
        <v>514</v>
      </c>
      <c r="L141" s="41" t="s">
        <v>355</v>
      </c>
      <c r="M141" s="40"/>
      <c r="N141" s="40"/>
      <c r="O141" s="40"/>
      <c r="P141" s="31"/>
      <c r="Q141" s="32"/>
      <c r="R141" s="29"/>
      <c r="T141" s="41" t="s">
        <v>514</v>
      </c>
      <c r="U141" s="41" t="s">
        <v>355</v>
      </c>
      <c r="V141" s="40"/>
      <c r="W141" s="40"/>
      <c r="X141" s="40"/>
      <c r="Y141" s="31"/>
      <c r="Z141" s="32"/>
      <c r="AA141" s="29"/>
      <c r="AC141" s="41" t="s">
        <v>514</v>
      </c>
      <c r="AD141" s="41" t="s">
        <v>355</v>
      </c>
      <c r="AE141" s="40"/>
      <c r="AF141" s="40"/>
      <c r="AG141" s="40"/>
      <c r="AH141" s="31"/>
      <c r="AI141" s="32"/>
      <c r="AJ141" s="29"/>
      <c r="AL141" s="41" t="s">
        <v>514</v>
      </c>
      <c r="AM141" s="41" t="s">
        <v>355</v>
      </c>
      <c r="AN141" s="40"/>
      <c r="AO141" s="40"/>
      <c r="AP141" s="40"/>
      <c r="AQ141" s="31"/>
      <c r="AR141" s="32"/>
      <c r="AS141" s="29"/>
      <c r="AU141" s="41" t="s">
        <v>514</v>
      </c>
      <c r="AV141" s="41" t="s">
        <v>355</v>
      </c>
      <c r="AW141" s="40"/>
      <c r="AX141" s="40"/>
      <c r="AY141" s="40"/>
      <c r="AZ141" s="31"/>
      <c r="BA141" s="32"/>
      <c r="BB141" s="29"/>
      <c r="BD141" s="41" t="s">
        <v>514</v>
      </c>
      <c r="BE141" s="41" t="s">
        <v>355</v>
      </c>
      <c r="BF141" s="40"/>
      <c r="BG141" s="40"/>
      <c r="BH141" s="40"/>
      <c r="BI141" s="31"/>
      <c r="BJ141" s="32"/>
      <c r="BK141" s="29"/>
    </row>
    <row r="142" spans="2:63">
      <c r="B142" s="41" t="s">
        <v>514</v>
      </c>
      <c r="C142" s="41" t="s">
        <v>355</v>
      </c>
      <c r="D142" s="40"/>
      <c r="E142" s="40"/>
      <c r="F142" s="40"/>
      <c r="G142" s="31"/>
      <c r="H142" s="32"/>
      <c r="I142" s="29"/>
      <c r="K142" s="41" t="s">
        <v>514</v>
      </c>
      <c r="L142" s="41" t="s">
        <v>355</v>
      </c>
      <c r="M142" s="40"/>
      <c r="N142" s="40"/>
      <c r="O142" s="40"/>
      <c r="P142" s="31"/>
      <c r="Q142" s="32"/>
      <c r="R142" s="29"/>
      <c r="T142" s="41" t="s">
        <v>514</v>
      </c>
      <c r="U142" s="41" t="s">
        <v>355</v>
      </c>
      <c r="V142" s="40"/>
      <c r="W142" s="40"/>
      <c r="X142" s="40"/>
      <c r="Y142" s="31"/>
      <c r="Z142" s="32"/>
      <c r="AA142" s="29"/>
      <c r="AC142" s="41" t="s">
        <v>514</v>
      </c>
      <c r="AD142" s="41" t="s">
        <v>355</v>
      </c>
      <c r="AE142" s="40"/>
      <c r="AF142" s="40"/>
      <c r="AG142" s="40"/>
      <c r="AH142" s="31"/>
      <c r="AI142" s="32"/>
      <c r="AJ142" s="29"/>
      <c r="AL142" s="41" t="s">
        <v>514</v>
      </c>
      <c r="AM142" s="41" t="s">
        <v>355</v>
      </c>
      <c r="AN142" s="40"/>
      <c r="AO142" s="40"/>
      <c r="AP142" s="40"/>
      <c r="AQ142" s="31"/>
      <c r="AR142" s="32"/>
      <c r="AS142" s="29"/>
      <c r="AU142" s="41" t="s">
        <v>514</v>
      </c>
      <c r="AV142" s="41" t="s">
        <v>355</v>
      </c>
      <c r="AW142" s="40"/>
      <c r="AX142" s="40"/>
      <c r="AY142" s="40"/>
      <c r="AZ142" s="31"/>
      <c r="BA142" s="32"/>
      <c r="BB142" s="29"/>
      <c r="BD142" s="41" t="s">
        <v>514</v>
      </c>
      <c r="BE142" s="41" t="s">
        <v>355</v>
      </c>
      <c r="BF142" s="40"/>
      <c r="BG142" s="40"/>
      <c r="BH142" s="40"/>
      <c r="BI142" s="31"/>
      <c r="BJ142" s="32"/>
      <c r="BK142" s="29"/>
    </row>
    <row r="143" spans="2:63">
      <c r="B143" s="41" t="s">
        <v>514</v>
      </c>
      <c r="C143" s="41" t="s">
        <v>355</v>
      </c>
      <c r="D143" s="40"/>
      <c r="E143" s="40"/>
      <c r="F143" s="40"/>
      <c r="G143" s="31"/>
      <c r="H143" s="32"/>
      <c r="I143" s="29"/>
      <c r="K143" s="41" t="s">
        <v>514</v>
      </c>
      <c r="L143" s="41" t="s">
        <v>355</v>
      </c>
      <c r="M143" s="40"/>
      <c r="N143" s="40"/>
      <c r="O143" s="40"/>
      <c r="P143" s="31"/>
      <c r="Q143" s="32"/>
      <c r="R143" s="29"/>
      <c r="T143" s="41" t="s">
        <v>514</v>
      </c>
      <c r="U143" s="41" t="s">
        <v>355</v>
      </c>
      <c r="V143" s="40"/>
      <c r="W143" s="40"/>
      <c r="X143" s="40"/>
      <c r="Y143" s="31"/>
      <c r="Z143" s="32"/>
      <c r="AA143" s="29"/>
      <c r="AC143" s="41" t="s">
        <v>514</v>
      </c>
      <c r="AD143" s="41" t="s">
        <v>355</v>
      </c>
      <c r="AE143" s="40"/>
      <c r="AF143" s="40"/>
      <c r="AG143" s="40"/>
      <c r="AH143" s="31"/>
      <c r="AI143" s="32"/>
      <c r="AJ143" s="29"/>
      <c r="AL143" s="41" t="s">
        <v>514</v>
      </c>
      <c r="AM143" s="41" t="s">
        <v>355</v>
      </c>
      <c r="AN143" s="40"/>
      <c r="AO143" s="40"/>
      <c r="AP143" s="40"/>
      <c r="AQ143" s="31"/>
      <c r="AR143" s="32"/>
      <c r="AS143" s="29"/>
      <c r="AU143" s="41" t="s">
        <v>514</v>
      </c>
      <c r="AV143" s="41" t="s">
        <v>355</v>
      </c>
      <c r="AW143" s="40"/>
      <c r="AX143" s="40"/>
      <c r="AY143" s="40"/>
      <c r="AZ143" s="31"/>
      <c r="BA143" s="32"/>
      <c r="BB143" s="29"/>
      <c r="BD143" s="41" t="s">
        <v>514</v>
      </c>
      <c r="BE143" s="41" t="s">
        <v>355</v>
      </c>
      <c r="BF143" s="40"/>
      <c r="BG143" s="40"/>
      <c r="BH143" s="40"/>
      <c r="BI143" s="31"/>
      <c r="BJ143" s="32"/>
      <c r="BK143" s="29"/>
    </row>
    <row r="144" spans="2:63">
      <c r="B144" s="41" t="s">
        <v>514</v>
      </c>
      <c r="C144" s="41" t="s">
        <v>355</v>
      </c>
      <c r="D144" s="40"/>
      <c r="E144" s="40"/>
      <c r="F144" s="40"/>
      <c r="G144" s="31"/>
      <c r="H144" s="32"/>
      <c r="I144" s="29"/>
      <c r="K144" s="41" t="s">
        <v>514</v>
      </c>
      <c r="L144" s="41" t="s">
        <v>355</v>
      </c>
      <c r="M144" s="40"/>
      <c r="N144" s="40"/>
      <c r="O144" s="40"/>
      <c r="P144" s="31"/>
      <c r="Q144" s="32"/>
      <c r="R144" s="29"/>
      <c r="T144" s="41" t="s">
        <v>514</v>
      </c>
      <c r="U144" s="41" t="s">
        <v>355</v>
      </c>
      <c r="V144" s="40"/>
      <c r="W144" s="40"/>
      <c r="X144" s="40"/>
      <c r="Y144" s="31"/>
      <c r="Z144" s="32"/>
      <c r="AA144" s="29"/>
      <c r="AC144" s="41" t="s">
        <v>514</v>
      </c>
      <c r="AD144" s="41" t="s">
        <v>355</v>
      </c>
      <c r="AE144" s="40"/>
      <c r="AF144" s="40"/>
      <c r="AG144" s="40"/>
      <c r="AH144" s="31"/>
      <c r="AI144" s="32"/>
      <c r="AJ144" s="29"/>
      <c r="AL144" s="41" t="s">
        <v>514</v>
      </c>
      <c r="AM144" s="41" t="s">
        <v>355</v>
      </c>
      <c r="AN144" s="40"/>
      <c r="AO144" s="40"/>
      <c r="AP144" s="40"/>
      <c r="AQ144" s="31"/>
      <c r="AR144" s="32"/>
      <c r="AS144" s="29"/>
      <c r="AU144" s="41" t="s">
        <v>514</v>
      </c>
      <c r="AV144" s="41" t="s">
        <v>355</v>
      </c>
      <c r="AW144" s="40"/>
      <c r="AX144" s="40"/>
      <c r="AY144" s="40"/>
      <c r="AZ144" s="31"/>
      <c r="BA144" s="32"/>
      <c r="BB144" s="29"/>
      <c r="BD144" s="41" t="s">
        <v>514</v>
      </c>
      <c r="BE144" s="41" t="s">
        <v>355</v>
      </c>
      <c r="BF144" s="40"/>
      <c r="BG144" s="40"/>
      <c r="BH144" s="40"/>
      <c r="BI144" s="31"/>
      <c r="BJ144" s="32"/>
      <c r="BK144" s="29"/>
    </row>
    <row r="145" spans="2:63">
      <c r="B145" s="41" t="s">
        <v>514</v>
      </c>
      <c r="C145" s="41" t="s">
        <v>355</v>
      </c>
      <c r="D145" s="40"/>
      <c r="E145" s="40"/>
      <c r="F145" s="40"/>
      <c r="G145" s="31"/>
      <c r="H145" s="32"/>
      <c r="I145" s="29"/>
      <c r="K145" s="41" t="s">
        <v>514</v>
      </c>
      <c r="L145" s="41" t="s">
        <v>355</v>
      </c>
      <c r="M145" s="40"/>
      <c r="N145" s="40"/>
      <c r="O145" s="40"/>
      <c r="P145" s="31"/>
      <c r="Q145" s="32"/>
      <c r="R145" s="29"/>
      <c r="T145" s="41" t="s">
        <v>514</v>
      </c>
      <c r="U145" s="41" t="s">
        <v>355</v>
      </c>
      <c r="V145" s="40"/>
      <c r="W145" s="40"/>
      <c r="X145" s="40"/>
      <c r="Y145" s="31"/>
      <c r="Z145" s="32"/>
      <c r="AA145" s="29"/>
      <c r="AC145" s="41" t="s">
        <v>514</v>
      </c>
      <c r="AD145" s="41" t="s">
        <v>355</v>
      </c>
      <c r="AE145" s="40"/>
      <c r="AF145" s="40"/>
      <c r="AG145" s="40"/>
      <c r="AH145" s="31"/>
      <c r="AI145" s="32"/>
      <c r="AJ145" s="29"/>
      <c r="AL145" s="41" t="s">
        <v>514</v>
      </c>
      <c r="AM145" s="41" t="s">
        <v>355</v>
      </c>
      <c r="AN145" s="40"/>
      <c r="AO145" s="40"/>
      <c r="AP145" s="40"/>
      <c r="AQ145" s="31"/>
      <c r="AR145" s="32"/>
      <c r="AS145" s="29"/>
      <c r="AU145" s="41" t="s">
        <v>514</v>
      </c>
      <c r="AV145" s="41" t="s">
        <v>355</v>
      </c>
      <c r="AW145" s="40"/>
      <c r="AX145" s="40"/>
      <c r="AY145" s="40"/>
      <c r="AZ145" s="31"/>
      <c r="BA145" s="32"/>
      <c r="BB145" s="29"/>
      <c r="BD145" s="41" t="s">
        <v>514</v>
      </c>
      <c r="BE145" s="41" t="s">
        <v>355</v>
      </c>
      <c r="BF145" s="40"/>
      <c r="BG145" s="40"/>
      <c r="BH145" s="40"/>
      <c r="BI145" s="31"/>
      <c r="BJ145" s="32"/>
      <c r="BK145" s="29"/>
    </row>
    <row r="146" spans="2:63">
      <c r="B146" s="41" t="s">
        <v>514</v>
      </c>
      <c r="C146" s="41" t="s">
        <v>355</v>
      </c>
      <c r="D146" s="40"/>
      <c r="E146" s="40"/>
      <c r="F146" s="40"/>
      <c r="G146" s="31"/>
      <c r="H146" s="32"/>
      <c r="I146" s="29"/>
      <c r="K146" s="41" t="s">
        <v>514</v>
      </c>
      <c r="L146" s="41" t="s">
        <v>355</v>
      </c>
      <c r="M146" s="40"/>
      <c r="N146" s="40"/>
      <c r="O146" s="40"/>
      <c r="P146" s="31"/>
      <c r="Q146" s="32"/>
      <c r="R146" s="29"/>
      <c r="T146" s="41" t="s">
        <v>514</v>
      </c>
      <c r="U146" s="41" t="s">
        <v>355</v>
      </c>
      <c r="V146" s="40"/>
      <c r="W146" s="40"/>
      <c r="X146" s="40"/>
      <c r="Y146" s="31"/>
      <c r="Z146" s="32"/>
      <c r="AA146" s="29"/>
      <c r="AC146" s="41" t="s">
        <v>514</v>
      </c>
      <c r="AD146" s="41" t="s">
        <v>355</v>
      </c>
      <c r="AE146" s="40"/>
      <c r="AF146" s="40"/>
      <c r="AG146" s="40"/>
      <c r="AH146" s="31"/>
      <c r="AI146" s="32"/>
      <c r="AJ146" s="29"/>
      <c r="AL146" s="41" t="s">
        <v>514</v>
      </c>
      <c r="AM146" s="41" t="s">
        <v>355</v>
      </c>
      <c r="AN146" s="40"/>
      <c r="AO146" s="40"/>
      <c r="AP146" s="40"/>
      <c r="AQ146" s="31"/>
      <c r="AR146" s="32"/>
      <c r="AS146" s="29"/>
      <c r="AU146" s="41" t="s">
        <v>514</v>
      </c>
      <c r="AV146" s="41" t="s">
        <v>355</v>
      </c>
      <c r="AW146" s="40"/>
      <c r="AX146" s="40"/>
      <c r="AY146" s="40"/>
      <c r="AZ146" s="31"/>
      <c r="BA146" s="32"/>
      <c r="BB146" s="29"/>
      <c r="BD146" s="41" t="s">
        <v>514</v>
      </c>
      <c r="BE146" s="41" t="s">
        <v>355</v>
      </c>
      <c r="BF146" s="40"/>
      <c r="BG146" s="40"/>
      <c r="BH146" s="40"/>
      <c r="BI146" s="31"/>
      <c r="BJ146" s="32"/>
      <c r="BK146" s="29"/>
    </row>
    <row r="147" spans="2:63">
      <c r="B147" s="41" t="s">
        <v>514</v>
      </c>
      <c r="C147" s="41" t="s">
        <v>355</v>
      </c>
      <c r="D147" s="40"/>
      <c r="E147" s="40"/>
      <c r="F147" s="40"/>
      <c r="G147" s="31"/>
      <c r="H147" s="32"/>
      <c r="I147" s="29"/>
      <c r="K147" s="41" t="s">
        <v>514</v>
      </c>
      <c r="L147" s="41" t="s">
        <v>355</v>
      </c>
      <c r="M147" s="40"/>
      <c r="N147" s="40"/>
      <c r="O147" s="40"/>
      <c r="P147" s="31"/>
      <c r="Q147" s="32"/>
      <c r="R147" s="29"/>
      <c r="T147" s="41" t="s">
        <v>514</v>
      </c>
      <c r="U147" s="41" t="s">
        <v>355</v>
      </c>
      <c r="V147" s="40"/>
      <c r="W147" s="40"/>
      <c r="X147" s="40"/>
      <c r="Y147" s="31"/>
      <c r="Z147" s="32"/>
      <c r="AA147" s="29"/>
      <c r="AC147" s="41" t="s">
        <v>514</v>
      </c>
      <c r="AD147" s="41" t="s">
        <v>355</v>
      </c>
      <c r="AE147" s="40"/>
      <c r="AF147" s="40"/>
      <c r="AG147" s="40"/>
      <c r="AH147" s="31"/>
      <c r="AI147" s="32"/>
      <c r="AJ147" s="29"/>
      <c r="AL147" s="41" t="s">
        <v>514</v>
      </c>
      <c r="AM147" s="41" t="s">
        <v>355</v>
      </c>
      <c r="AN147" s="40"/>
      <c r="AO147" s="40"/>
      <c r="AP147" s="40"/>
      <c r="AQ147" s="31"/>
      <c r="AR147" s="32"/>
      <c r="AS147" s="29"/>
      <c r="AU147" s="41" t="s">
        <v>514</v>
      </c>
      <c r="AV147" s="41" t="s">
        <v>355</v>
      </c>
      <c r="AW147" s="40"/>
      <c r="AX147" s="40"/>
      <c r="AY147" s="40"/>
      <c r="AZ147" s="31"/>
      <c r="BA147" s="32"/>
      <c r="BB147" s="29"/>
      <c r="BD147" s="41" t="s">
        <v>514</v>
      </c>
      <c r="BE147" s="41" t="s">
        <v>355</v>
      </c>
      <c r="BF147" s="40"/>
      <c r="BG147" s="40"/>
      <c r="BH147" s="40"/>
      <c r="BI147" s="31"/>
      <c r="BJ147" s="32"/>
      <c r="BK147" s="29"/>
    </row>
    <row r="148" spans="2:63">
      <c r="B148" s="41" t="s">
        <v>514</v>
      </c>
      <c r="C148" s="41" t="s">
        <v>355</v>
      </c>
      <c r="D148" s="40"/>
      <c r="E148" s="40"/>
      <c r="F148" s="40"/>
      <c r="G148" s="31"/>
      <c r="H148" s="32"/>
      <c r="I148" s="29"/>
      <c r="K148" s="41" t="s">
        <v>514</v>
      </c>
      <c r="L148" s="41" t="s">
        <v>355</v>
      </c>
      <c r="M148" s="40"/>
      <c r="N148" s="40"/>
      <c r="O148" s="40"/>
      <c r="P148" s="31"/>
      <c r="Q148" s="32"/>
      <c r="R148" s="29"/>
      <c r="T148" s="41" t="s">
        <v>514</v>
      </c>
      <c r="U148" s="41" t="s">
        <v>355</v>
      </c>
      <c r="V148" s="40"/>
      <c r="W148" s="40"/>
      <c r="X148" s="40"/>
      <c r="Y148" s="31"/>
      <c r="Z148" s="32"/>
      <c r="AA148" s="29"/>
      <c r="AC148" s="41" t="s">
        <v>514</v>
      </c>
      <c r="AD148" s="41" t="s">
        <v>355</v>
      </c>
      <c r="AE148" s="40"/>
      <c r="AF148" s="40"/>
      <c r="AG148" s="40"/>
      <c r="AH148" s="31"/>
      <c r="AI148" s="32"/>
      <c r="AJ148" s="29"/>
      <c r="AL148" s="41" t="s">
        <v>514</v>
      </c>
      <c r="AM148" s="41" t="s">
        <v>355</v>
      </c>
      <c r="AN148" s="40"/>
      <c r="AO148" s="40"/>
      <c r="AP148" s="40"/>
      <c r="AQ148" s="31"/>
      <c r="AR148" s="32"/>
      <c r="AS148" s="29"/>
      <c r="AU148" s="41" t="s">
        <v>514</v>
      </c>
      <c r="AV148" s="41" t="s">
        <v>355</v>
      </c>
      <c r="AW148" s="40"/>
      <c r="AX148" s="40"/>
      <c r="AY148" s="40"/>
      <c r="AZ148" s="31"/>
      <c r="BA148" s="32"/>
      <c r="BB148" s="29"/>
      <c r="BD148" s="41" t="s">
        <v>514</v>
      </c>
      <c r="BE148" s="41" t="s">
        <v>355</v>
      </c>
      <c r="BF148" s="40"/>
      <c r="BG148" s="40"/>
      <c r="BH148" s="40"/>
      <c r="BI148" s="31"/>
      <c r="BJ148" s="32"/>
      <c r="BK148" s="29"/>
    </row>
    <row r="149" spans="2:63">
      <c r="B149" s="8" t="s">
        <v>519</v>
      </c>
      <c r="C149" s="25"/>
      <c r="D149" s="30"/>
      <c r="E149" s="30"/>
      <c r="F149" s="28">
        <f t="shared" ref="F149" si="111">SUM(F134:F148)</f>
        <v>3000</v>
      </c>
      <c r="G149" s="25"/>
      <c r="H149" s="26"/>
      <c r="I149" s="30"/>
      <c r="K149" s="8" t="s">
        <v>519</v>
      </c>
      <c r="L149" s="25"/>
      <c r="M149" s="30"/>
      <c r="N149" s="30"/>
      <c r="O149" s="28">
        <f t="shared" ref="O149" si="112">SUM(O134:O148)</f>
        <v>3000</v>
      </c>
      <c r="P149" s="25"/>
      <c r="Q149" s="26"/>
      <c r="R149" s="30"/>
      <c r="T149" s="8" t="s">
        <v>519</v>
      </c>
      <c r="U149" s="25"/>
      <c r="V149" s="30"/>
      <c r="W149" s="30"/>
      <c r="X149" s="28">
        <f t="shared" ref="X149" si="113">SUM(X134:X148)</f>
        <v>3000</v>
      </c>
      <c r="Y149" s="25"/>
      <c r="Z149" s="26"/>
      <c r="AA149" s="30"/>
      <c r="AC149" s="8" t="s">
        <v>519</v>
      </c>
      <c r="AD149" s="25"/>
      <c r="AE149" s="30"/>
      <c r="AF149" s="30"/>
      <c r="AG149" s="28">
        <f t="shared" ref="AG149" si="114">SUM(AG134:AG148)</f>
        <v>3000</v>
      </c>
      <c r="AH149" s="25"/>
      <c r="AI149" s="26"/>
      <c r="AJ149" s="30"/>
      <c r="AL149" s="8" t="s">
        <v>519</v>
      </c>
      <c r="AM149" s="25"/>
      <c r="AN149" s="30"/>
      <c r="AO149" s="30"/>
      <c r="AP149" s="28">
        <f t="shared" ref="AP149" si="115">SUM(AP134:AP148)</f>
        <v>3000</v>
      </c>
      <c r="AQ149" s="25"/>
      <c r="AR149" s="26"/>
      <c r="AS149" s="30"/>
      <c r="AU149" s="8" t="s">
        <v>519</v>
      </c>
      <c r="AV149" s="25"/>
      <c r="AW149" s="30"/>
      <c r="AX149" s="30"/>
      <c r="AY149" s="28">
        <f t="shared" ref="AY149" si="116">SUM(AY134:AY148)</f>
        <v>3000</v>
      </c>
      <c r="AZ149" s="25"/>
      <c r="BA149" s="26"/>
      <c r="BB149" s="30"/>
      <c r="BD149" s="8" t="s">
        <v>519</v>
      </c>
      <c r="BE149" s="25"/>
      <c r="BF149" s="30"/>
      <c r="BG149" s="30"/>
      <c r="BH149" s="28">
        <f t="shared" ref="BH149" si="117">SUM(BH134:BH148)</f>
        <v>3000</v>
      </c>
      <c r="BI149" s="25"/>
      <c r="BJ149" s="26"/>
      <c r="BK149" s="30"/>
    </row>
    <row r="151" spans="2:63" s="20" customFormat="1" ht="41.4">
      <c r="B151" s="27" t="s">
        <v>18</v>
      </c>
      <c r="C151" s="3" t="str">
        <f>C$43</f>
        <v>Source</v>
      </c>
      <c r="D151" s="3" t="str">
        <f t="shared" ref="D151:I151" si="118">D$43</f>
        <v>Limit (A)</v>
      </c>
      <c r="E151" s="3" t="str">
        <f t="shared" si="118"/>
        <v>Outstanding (A1)</v>
      </c>
      <c r="F151" s="3" t="str">
        <f t="shared" si="118"/>
        <v>Monthly Repayment (B)</v>
      </c>
      <c r="G151" s="3" t="str">
        <f t="shared" si="118"/>
        <v>Interest Rate (C)</v>
      </c>
      <c r="H151" s="3" t="str">
        <f t="shared" si="118"/>
        <v>Factor (D)</v>
      </c>
      <c r="I151" s="3" t="str">
        <f t="shared" si="118"/>
        <v>Interest (E) = (A or A1) * (C) * (D)</v>
      </c>
      <c r="K151" s="27" t="s">
        <v>18</v>
      </c>
      <c r="L151" s="3" t="str">
        <f>L$43</f>
        <v>Source</v>
      </c>
      <c r="M151" s="3" t="str">
        <f t="shared" ref="M151:R151" si="119">M$43</f>
        <v>Limit (A)</v>
      </c>
      <c r="N151" s="3" t="str">
        <f t="shared" si="119"/>
        <v>Outstanding (A1)</v>
      </c>
      <c r="O151" s="3" t="str">
        <f t="shared" si="119"/>
        <v>Monthly Repayment (B)</v>
      </c>
      <c r="P151" s="3" t="str">
        <f t="shared" si="119"/>
        <v>Interest Rate (C)</v>
      </c>
      <c r="Q151" s="3" t="str">
        <f t="shared" si="119"/>
        <v>Factor (D)</v>
      </c>
      <c r="R151" s="3" t="str">
        <f t="shared" si="119"/>
        <v>Interest (E) = (A or A1) * (C) * (D)</v>
      </c>
      <c r="T151" s="27" t="s">
        <v>18</v>
      </c>
      <c r="U151" s="3" t="str">
        <f>U$43</f>
        <v>Source</v>
      </c>
      <c r="V151" s="3" t="str">
        <f t="shared" ref="V151:AA151" si="120">V$43</f>
        <v>Limit (A)</v>
      </c>
      <c r="W151" s="3" t="str">
        <f t="shared" si="120"/>
        <v>Outstanding (A1)</v>
      </c>
      <c r="X151" s="3" t="str">
        <f t="shared" si="120"/>
        <v>Monthly Repayment (B)</v>
      </c>
      <c r="Y151" s="3" t="str">
        <f t="shared" si="120"/>
        <v>Interest Rate (C)</v>
      </c>
      <c r="Z151" s="3" t="str">
        <f t="shared" si="120"/>
        <v>Factor (D)</v>
      </c>
      <c r="AA151" s="3" t="str">
        <f t="shared" si="120"/>
        <v>Interest (E) = (A or A1) * (C) * (D)</v>
      </c>
      <c r="AC151" s="27" t="s">
        <v>18</v>
      </c>
      <c r="AD151" s="3" t="str">
        <f>AD$43</f>
        <v>Source</v>
      </c>
      <c r="AE151" s="3" t="str">
        <f t="shared" ref="AE151:AJ151" si="121">AE$43</f>
        <v>Limit (A)</v>
      </c>
      <c r="AF151" s="3" t="str">
        <f t="shared" si="121"/>
        <v>Outstanding (A1)</v>
      </c>
      <c r="AG151" s="3" t="str">
        <f t="shared" si="121"/>
        <v>Monthly Repayment (B)</v>
      </c>
      <c r="AH151" s="3" t="str">
        <f t="shared" si="121"/>
        <v>Interest Rate (C)</v>
      </c>
      <c r="AI151" s="3" t="str">
        <f t="shared" si="121"/>
        <v>Factor (D)</v>
      </c>
      <c r="AJ151" s="3" t="str">
        <f t="shared" si="121"/>
        <v>Interest (E) = (A or A1) * (C) * (D)</v>
      </c>
      <c r="AL151" s="27" t="s">
        <v>18</v>
      </c>
      <c r="AM151" s="3" t="str">
        <f>AM$43</f>
        <v>Source</v>
      </c>
      <c r="AN151" s="3" t="str">
        <f t="shared" ref="AN151:AS151" si="122">AN$43</f>
        <v>Limit (A)</v>
      </c>
      <c r="AO151" s="3" t="str">
        <f t="shared" si="122"/>
        <v>Outstanding (A1)</v>
      </c>
      <c r="AP151" s="3" t="str">
        <f t="shared" si="122"/>
        <v>Monthly Repayment (B)</v>
      </c>
      <c r="AQ151" s="3" t="str">
        <f t="shared" si="122"/>
        <v>Interest Rate (C)</v>
      </c>
      <c r="AR151" s="3" t="str">
        <f t="shared" si="122"/>
        <v>Factor (D)</v>
      </c>
      <c r="AS151" s="3" t="str">
        <f t="shared" si="122"/>
        <v>Interest (E) = (A or A1) * (C) * (D)</v>
      </c>
      <c r="AU151" s="27" t="s">
        <v>18</v>
      </c>
      <c r="AV151" s="3" t="str">
        <f>AV$43</f>
        <v>Source</v>
      </c>
      <c r="AW151" s="3" t="str">
        <f t="shared" ref="AW151:BB151" si="123">AW$43</f>
        <v>Limit (A)</v>
      </c>
      <c r="AX151" s="3" t="str">
        <f t="shared" si="123"/>
        <v>Outstanding (A1)</v>
      </c>
      <c r="AY151" s="3" t="str">
        <f t="shared" si="123"/>
        <v>Monthly Repayment (B)</v>
      </c>
      <c r="AZ151" s="3" t="str">
        <f t="shared" si="123"/>
        <v>Interest Rate (C)</v>
      </c>
      <c r="BA151" s="3" t="str">
        <f t="shared" si="123"/>
        <v>Factor (D)</v>
      </c>
      <c r="BB151" s="3" t="str">
        <f t="shared" si="123"/>
        <v>Interest (E) = (A or A1) * (C) * (D)</v>
      </c>
      <c r="BD151" s="27" t="s">
        <v>18</v>
      </c>
      <c r="BE151" s="3" t="str">
        <f>BE$43</f>
        <v>Source</v>
      </c>
      <c r="BF151" s="3" t="str">
        <f t="shared" ref="BF151:BK151" si="124">BF$43</f>
        <v>Limit (A)</v>
      </c>
      <c r="BG151" s="3" t="str">
        <f t="shared" si="124"/>
        <v>Outstanding (A1)</v>
      </c>
      <c r="BH151" s="3" t="str">
        <f t="shared" si="124"/>
        <v>Monthly Repayment (B)</v>
      </c>
      <c r="BI151" s="3" t="str">
        <f t="shared" si="124"/>
        <v>Interest Rate (C)</v>
      </c>
      <c r="BJ151" s="3" t="str">
        <f t="shared" si="124"/>
        <v>Factor (D)</v>
      </c>
      <c r="BK151" s="3" t="str">
        <f t="shared" si="124"/>
        <v>Interest (E) = (A or A1) * (C) * (D)</v>
      </c>
    </row>
    <row r="152" spans="2:63">
      <c r="B152" s="41" t="s">
        <v>514</v>
      </c>
      <c r="C152" s="41" t="s">
        <v>355</v>
      </c>
      <c r="D152" s="40">
        <v>180000</v>
      </c>
      <c r="E152" s="40">
        <v>100000</v>
      </c>
      <c r="F152" s="29"/>
      <c r="G152" s="31"/>
      <c r="H152" s="23">
        <v>0.05</v>
      </c>
      <c r="I152" s="75">
        <f>E152*H152</f>
        <v>5000</v>
      </c>
      <c r="K152" s="41" t="s">
        <v>514</v>
      </c>
      <c r="L152" s="41" t="s">
        <v>355</v>
      </c>
      <c r="M152" s="40">
        <v>180000</v>
      </c>
      <c r="N152" s="40">
        <v>100000</v>
      </c>
      <c r="O152" s="29"/>
      <c r="P152" s="31"/>
      <c r="Q152" s="23">
        <v>0.05</v>
      </c>
      <c r="R152" s="75">
        <f>N152*Q152</f>
        <v>5000</v>
      </c>
      <c r="T152" s="41" t="s">
        <v>514</v>
      </c>
      <c r="U152" s="41" t="s">
        <v>355</v>
      </c>
      <c r="V152" s="40">
        <v>180000</v>
      </c>
      <c r="W152" s="40">
        <v>100000</v>
      </c>
      <c r="X152" s="29"/>
      <c r="Y152" s="31"/>
      <c r="Z152" s="23">
        <v>0.05</v>
      </c>
      <c r="AA152" s="75">
        <f>W152*Z152</f>
        <v>5000</v>
      </c>
      <c r="AC152" s="41" t="s">
        <v>514</v>
      </c>
      <c r="AD152" s="41" t="s">
        <v>355</v>
      </c>
      <c r="AE152" s="40">
        <v>180000</v>
      </c>
      <c r="AF152" s="40">
        <v>100000</v>
      </c>
      <c r="AG152" s="29"/>
      <c r="AH152" s="31"/>
      <c r="AI152" s="23">
        <v>0.05</v>
      </c>
      <c r="AJ152" s="75">
        <f>AF152*AI152</f>
        <v>5000</v>
      </c>
      <c r="AL152" s="41" t="s">
        <v>514</v>
      </c>
      <c r="AM152" s="41" t="s">
        <v>355</v>
      </c>
      <c r="AN152" s="40">
        <v>180000</v>
      </c>
      <c r="AO152" s="40">
        <v>100000</v>
      </c>
      <c r="AP152" s="29"/>
      <c r="AQ152" s="31"/>
      <c r="AR152" s="23">
        <v>0.05</v>
      </c>
      <c r="AS152" s="75">
        <f>AO152*AR152</f>
        <v>5000</v>
      </c>
      <c r="AU152" s="41" t="s">
        <v>514</v>
      </c>
      <c r="AV152" s="41" t="s">
        <v>355</v>
      </c>
      <c r="AW152" s="40">
        <v>180000</v>
      </c>
      <c r="AX152" s="40">
        <v>100000</v>
      </c>
      <c r="AY152" s="29"/>
      <c r="AZ152" s="31"/>
      <c r="BA152" s="23">
        <v>0.05</v>
      </c>
      <c r="BB152" s="75">
        <f>AX152*BA152</f>
        <v>5000</v>
      </c>
      <c r="BD152" s="41" t="s">
        <v>514</v>
      </c>
      <c r="BE152" s="41" t="s">
        <v>355</v>
      </c>
      <c r="BF152" s="40">
        <v>180000</v>
      </c>
      <c r="BG152" s="40">
        <v>100000</v>
      </c>
      <c r="BH152" s="29"/>
      <c r="BI152" s="31"/>
      <c r="BJ152" s="23">
        <v>0.05</v>
      </c>
      <c r="BK152" s="75">
        <f>BG152*BJ152</f>
        <v>5000</v>
      </c>
    </row>
    <row r="153" spans="2:63">
      <c r="B153" s="41" t="s">
        <v>514</v>
      </c>
      <c r="C153" s="41" t="s">
        <v>355</v>
      </c>
      <c r="D153" s="40"/>
      <c r="E153" s="40"/>
      <c r="F153" s="29"/>
      <c r="G153" s="31"/>
      <c r="H153" s="23">
        <v>0.05</v>
      </c>
      <c r="I153" s="75">
        <f t="shared" ref="I153:I166" si="125">E153*H153</f>
        <v>0</v>
      </c>
      <c r="K153" s="41" t="s">
        <v>514</v>
      </c>
      <c r="L153" s="41" t="s">
        <v>355</v>
      </c>
      <c r="M153" s="40"/>
      <c r="N153" s="40"/>
      <c r="O153" s="29"/>
      <c r="P153" s="31"/>
      <c r="Q153" s="23">
        <v>0.05</v>
      </c>
      <c r="R153" s="75">
        <f t="shared" ref="R153:R166" si="126">N153*Q153</f>
        <v>0</v>
      </c>
      <c r="T153" s="41" t="s">
        <v>514</v>
      </c>
      <c r="U153" s="41" t="s">
        <v>355</v>
      </c>
      <c r="V153" s="40"/>
      <c r="W153" s="40"/>
      <c r="X153" s="29"/>
      <c r="Y153" s="31"/>
      <c r="Z153" s="23">
        <v>0.05</v>
      </c>
      <c r="AA153" s="75">
        <f t="shared" ref="AA153:AA166" si="127">W153*Z153</f>
        <v>0</v>
      </c>
      <c r="AC153" s="41" t="s">
        <v>514</v>
      </c>
      <c r="AD153" s="41" t="s">
        <v>355</v>
      </c>
      <c r="AE153" s="40"/>
      <c r="AF153" s="40"/>
      <c r="AG153" s="29"/>
      <c r="AH153" s="31"/>
      <c r="AI153" s="23">
        <v>0.05</v>
      </c>
      <c r="AJ153" s="75">
        <f t="shared" ref="AJ153:AJ166" si="128">AF153*AI153</f>
        <v>0</v>
      </c>
      <c r="AL153" s="41" t="s">
        <v>514</v>
      </c>
      <c r="AM153" s="41" t="s">
        <v>355</v>
      </c>
      <c r="AN153" s="40"/>
      <c r="AO153" s="40"/>
      <c r="AP153" s="29"/>
      <c r="AQ153" s="31"/>
      <c r="AR153" s="23">
        <v>0.05</v>
      </c>
      <c r="AS153" s="75">
        <f t="shared" ref="AS153:AS166" si="129">AO153*AR153</f>
        <v>0</v>
      </c>
      <c r="AU153" s="41" t="s">
        <v>514</v>
      </c>
      <c r="AV153" s="41" t="s">
        <v>355</v>
      </c>
      <c r="AW153" s="40"/>
      <c r="AX153" s="40"/>
      <c r="AY153" s="29"/>
      <c r="AZ153" s="31"/>
      <c r="BA153" s="23">
        <v>0.05</v>
      </c>
      <c r="BB153" s="75">
        <f t="shared" ref="BB153:BB166" si="130">AX153*BA153</f>
        <v>0</v>
      </c>
      <c r="BD153" s="41" t="s">
        <v>514</v>
      </c>
      <c r="BE153" s="41" t="s">
        <v>355</v>
      </c>
      <c r="BF153" s="40"/>
      <c r="BG153" s="40"/>
      <c r="BH153" s="29"/>
      <c r="BI153" s="31"/>
      <c r="BJ153" s="23">
        <v>0.05</v>
      </c>
      <c r="BK153" s="75">
        <f t="shared" ref="BK153:BK166" si="131">BG153*BJ153</f>
        <v>0</v>
      </c>
    </row>
    <row r="154" spans="2:63">
      <c r="B154" s="41" t="s">
        <v>514</v>
      </c>
      <c r="C154" s="41" t="s">
        <v>355</v>
      </c>
      <c r="D154" s="40"/>
      <c r="E154" s="40"/>
      <c r="F154" s="29"/>
      <c r="G154" s="31"/>
      <c r="H154" s="23">
        <v>0.05</v>
      </c>
      <c r="I154" s="75">
        <f t="shared" si="125"/>
        <v>0</v>
      </c>
      <c r="K154" s="41" t="s">
        <v>514</v>
      </c>
      <c r="L154" s="41" t="s">
        <v>355</v>
      </c>
      <c r="M154" s="40"/>
      <c r="N154" s="40"/>
      <c r="O154" s="29"/>
      <c r="P154" s="31"/>
      <c r="Q154" s="23">
        <v>0.05</v>
      </c>
      <c r="R154" s="75">
        <f t="shared" si="126"/>
        <v>0</v>
      </c>
      <c r="T154" s="41" t="s">
        <v>514</v>
      </c>
      <c r="U154" s="41" t="s">
        <v>355</v>
      </c>
      <c r="V154" s="40"/>
      <c r="W154" s="40"/>
      <c r="X154" s="29"/>
      <c r="Y154" s="31"/>
      <c r="Z154" s="23">
        <v>0.05</v>
      </c>
      <c r="AA154" s="75">
        <f t="shared" si="127"/>
        <v>0</v>
      </c>
      <c r="AC154" s="41" t="s">
        <v>514</v>
      </c>
      <c r="AD154" s="41" t="s">
        <v>355</v>
      </c>
      <c r="AE154" s="40"/>
      <c r="AF154" s="40"/>
      <c r="AG154" s="29"/>
      <c r="AH154" s="31"/>
      <c r="AI154" s="23">
        <v>0.05</v>
      </c>
      <c r="AJ154" s="75">
        <f t="shared" si="128"/>
        <v>0</v>
      </c>
      <c r="AL154" s="41" t="s">
        <v>514</v>
      </c>
      <c r="AM154" s="41" t="s">
        <v>355</v>
      </c>
      <c r="AN154" s="40"/>
      <c r="AO154" s="40"/>
      <c r="AP154" s="29"/>
      <c r="AQ154" s="31"/>
      <c r="AR154" s="23">
        <v>0.05</v>
      </c>
      <c r="AS154" s="75">
        <f t="shared" si="129"/>
        <v>0</v>
      </c>
      <c r="AU154" s="41" t="s">
        <v>514</v>
      </c>
      <c r="AV154" s="41" t="s">
        <v>355</v>
      </c>
      <c r="AW154" s="40"/>
      <c r="AX154" s="40"/>
      <c r="AY154" s="29"/>
      <c r="AZ154" s="31"/>
      <c r="BA154" s="23">
        <v>0.05</v>
      </c>
      <c r="BB154" s="75">
        <f t="shared" si="130"/>
        <v>0</v>
      </c>
      <c r="BD154" s="41" t="s">
        <v>514</v>
      </c>
      <c r="BE154" s="41" t="s">
        <v>355</v>
      </c>
      <c r="BF154" s="40"/>
      <c r="BG154" s="40"/>
      <c r="BH154" s="29"/>
      <c r="BI154" s="31"/>
      <c r="BJ154" s="23">
        <v>0.05</v>
      </c>
      <c r="BK154" s="75">
        <f t="shared" si="131"/>
        <v>0</v>
      </c>
    </row>
    <row r="155" spans="2:63">
      <c r="B155" s="41" t="s">
        <v>514</v>
      </c>
      <c r="C155" s="41" t="s">
        <v>355</v>
      </c>
      <c r="D155" s="40"/>
      <c r="E155" s="40"/>
      <c r="F155" s="29"/>
      <c r="G155" s="31"/>
      <c r="H155" s="23">
        <v>0.05</v>
      </c>
      <c r="I155" s="75">
        <f t="shared" si="125"/>
        <v>0</v>
      </c>
      <c r="K155" s="41" t="s">
        <v>514</v>
      </c>
      <c r="L155" s="41" t="s">
        <v>355</v>
      </c>
      <c r="M155" s="40"/>
      <c r="N155" s="40"/>
      <c r="O155" s="29"/>
      <c r="P155" s="31"/>
      <c r="Q155" s="23">
        <v>0.05</v>
      </c>
      <c r="R155" s="75">
        <f t="shared" si="126"/>
        <v>0</v>
      </c>
      <c r="T155" s="41" t="s">
        <v>514</v>
      </c>
      <c r="U155" s="41" t="s">
        <v>355</v>
      </c>
      <c r="V155" s="40"/>
      <c r="W155" s="40"/>
      <c r="X155" s="29"/>
      <c r="Y155" s="31"/>
      <c r="Z155" s="23">
        <v>0.05</v>
      </c>
      <c r="AA155" s="75">
        <f t="shared" si="127"/>
        <v>0</v>
      </c>
      <c r="AC155" s="41" t="s">
        <v>514</v>
      </c>
      <c r="AD155" s="41" t="s">
        <v>355</v>
      </c>
      <c r="AE155" s="40"/>
      <c r="AF155" s="40"/>
      <c r="AG155" s="29"/>
      <c r="AH155" s="31"/>
      <c r="AI155" s="23">
        <v>0.05</v>
      </c>
      <c r="AJ155" s="75">
        <f t="shared" si="128"/>
        <v>0</v>
      </c>
      <c r="AL155" s="41" t="s">
        <v>514</v>
      </c>
      <c r="AM155" s="41" t="s">
        <v>355</v>
      </c>
      <c r="AN155" s="40"/>
      <c r="AO155" s="40"/>
      <c r="AP155" s="29"/>
      <c r="AQ155" s="31"/>
      <c r="AR155" s="23">
        <v>0.05</v>
      </c>
      <c r="AS155" s="75">
        <f t="shared" si="129"/>
        <v>0</v>
      </c>
      <c r="AU155" s="41" t="s">
        <v>514</v>
      </c>
      <c r="AV155" s="41" t="s">
        <v>355</v>
      </c>
      <c r="AW155" s="40"/>
      <c r="AX155" s="40"/>
      <c r="AY155" s="29"/>
      <c r="AZ155" s="31"/>
      <c r="BA155" s="23">
        <v>0.05</v>
      </c>
      <c r="BB155" s="75">
        <f t="shared" si="130"/>
        <v>0</v>
      </c>
      <c r="BD155" s="41" t="s">
        <v>514</v>
      </c>
      <c r="BE155" s="41" t="s">
        <v>355</v>
      </c>
      <c r="BF155" s="40"/>
      <c r="BG155" s="40"/>
      <c r="BH155" s="29"/>
      <c r="BI155" s="31"/>
      <c r="BJ155" s="23">
        <v>0.05</v>
      </c>
      <c r="BK155" s="75">
        <f t="shared" si="131"/>
        <v>0</v>
      </c>
    </row>
    <row r="156" spans="2:63">
      <c r="B156" s="41" t="s">
        <v>514</v>
      </c>
      <c r="C156" s="41" t="s">
        <v>355</v>
      </c>
      <c r="D156" s="40"/>
      <c r="E156" s="40"/>
      <c r="F156" s="29"/>
      <c r="G156" s="31"/>
      <c r="H156" s="23">
        <v>0.05</v>
      </c>
      <c r="I156" s="75">
        <f t="shared" si="125"/>
        <v>0</v>
      </c>
      <c r="K156" s="41" t="s">
        <v>514</v>
      </c>
      <c r="L156" s="41" t="s">
        <v>355</v>
      </c>
      <c r="M156" s="40"/>
      <c r="N156" s="40"/>
      <c r="O156" s="29"/>
      <c r="P156" s="31"/>
      <c r="Q156" s="23">
        <v>0.05</v>
      </c>
      <c r="R156" s="75">
        <f t="shared" si="126"/>
        <v>0</v>
      </c>
      <c r="T156" s="41" t="s">
        <v>514</v>
      </c>
      <c r="U156" s="41" t="s">
        <v>355</v>
      </c>
      <c r="V156" s="40"/>
      <c r="W156" s="40"/>
      <c r="X156" s="29"/>
      <c r="Y156" s="31"/>
      <c r="Z156" s="23">
        <v>0.05</v>
      </c>
      <c r="AA156" s="75">
        <f t="shared" si="127"/>
        <v>0</v>
      </c>
      <c r="AC156" s="41" t="s">
        <v>514</v>
      </c>
      <c r="AD156" s="41" t="s">
        <v>355</v>
      </c>
      <c r="AE156" s="40"/>
      <c r="AF156" s="40"/>
      <c r="AG156" s="29"/>
      <c r="AH156" s="31"/>
      <c r="AI156" s="23">
        <v>0.05</v>
      </c>
      <c r="AJ156" s="75">
        <f t="shared" si="128"/>
        <v>0</v>
      </c>
      <c r="AL156" s="41" t="s">
        <v>514</v>
      </c>
      <c r="AM156" s="41" t="s">
        <v>355</v>
      </c>
      <c r="AN156" s="40"/>
      <c r="AO156" s="40"/>
      <c r="AP156" s="29"/>
      <c r="AQ156" s="31"/>
      <c r="AR156" s="23">
        <v>0.05</v>
      </c>
      <c r="AS156" s="75">
        <f t="shared" si="129"/>
        <v>0</v>
      </c>
      <c r="AU156" s="41" t="s">
        <v>514</v>
      </c>
      <c r="AV156" s="41" t="s">
        <v>355</v>
      </c>
      <c r="AW156" s="40"/>
      <c r="AX156" s="40"/>
      <c r="AY156" s="29"/>
      <c r="AZ156" s="31"/>
      <c r="BA156" s="23">
        <v>0.05</v>
      </c>
      <c r="BB156" s="75">
        <f t="shared" si="130"/>
        <v>0</v>
      </c>
      <c r="BD156" s="41" t="s">
        <v>514</v>
      </c>
      <c r="BE156" s="41" t="s">
        <v>355</v>
      </c>
      <c r="BF156" s="40"/>
      <c r="BG156" s="40"/>
      <c r="BH156" s="29"/>
      <c r="BI156" s="31"/>
      <c r="BJ156" s="23">
        <v>0.05</v>
      </c>
      <c r="BK156" s="75">
        <f t="shared" si="131"/>
        <v>0</v>
      </c>
    </row>
    <row r="157" spans="2:63">
      <c r="B157" s="41" t="s">
        <v>514</v>
      </c>
      <c r="C157" s="41" t="s">
        <v>355</v>
      </c>
      <c r="D157" s="40"/>
      <c r="E157" s="40"/>
      <c r="F157" s="29"/>
      <c r="G157" s="31"/>
      <c r="H157" s="23">
        <v>0.05</v>
      </c>
      <c r="I157" s="75">
        <f t="shared" si="125"/>
        <v>0</v>
      </c>
      <c r="K157" s="41" t="s">
        <v>514</v>
      </c>
      <c r="L157" s="41" t="s">
        <v>355</v>
      </c>
      <c r="M157" s="40"/>
      <c r="N157" s="40"/>
      <c r="O157" s="29"/>
      <c r="P157" s="31"/>
      <c r="Q157" s="23">
        <v>0.05</v>
      </c>
      <c r="R157" s="75">
        <f t="shared" si="126"/>
        <v>0</v>
      </c>
      <c r="T157" s="41" t="s">
        <v>514</v>
      </c>
      <c r="U157" s="41" t="s">
        <v>355</v>
      </c>
      <c r="V157" s="40"/>
      <c r="W157" s="40"/>
      <c r="X157" s="29"/>
      <c r="Y157" s="31"/>
      <c r="Z157" s="23">
        <v>0.05</v>
      </c>
      <c r="AA157" s="75">
        <f t="shared" si="127"/>
        <v>0</v>
      </c>
      <c r="AC157" s="41" t="s">
        <v>514</v>
      </c>
      <c r="AD157" s="41" t="s">
        <v>355</v>
      </c>
      <c r="AE157" s="40"/>
      <c r="AF157" s="40"/>
      <c r="AG157" s="29"/>
      <c r="AH157" s="31"/>
      <c r="AI157" s="23">
        <v>0.05</v>
      </c>
      <c r="AJ157" s="75">
        <f t="shared" si="128"/>
        <v>0</v>
      </c>
      <c r="AL157" s="41" t="s">
        <v>514</v>
      </c>
      <c r="AM157" s="41" t="s">
        <v>355</v>
      </c>
      <c r="AN157" s="40"/>
      <c r="AO157" s="40"/>
      <c r="AP157" s="29"/>
      <c r="AQ157" s="31"/>
      <c r="AR157" s="23">
        <v>0.05</v>
      </c>
      <c r="AS157" s="75">
        <f t="shared" si="129"/>
        <v>0</v>
      </c>
      <c r="AU157" s="41" t="s">
        <v>514</v>
      </c>
      <c r="AV157" s="41" t="s">
        <v>355</v>
      </c>
      <c r="AW157" s="40"/>
      <c r="AX157" s="40"/>
      <c r="AY157" s="29"/>
      <c r="AZ157" s="31"/>
      <c r="BA157" s="23">
        <v>0.05</v>
      </c>
      <c r="BB157" s="75">
        <f t="shared" si="130"/>
        <v>0</v>
      </c>
      <c r="BD157" s="41" t="s">
        <v>514</v>
      </c>
      <c r="BE157" s="41" t="s">
        <v>355</v>
      </c>
      <c r="BF157" s="40"/>
      <c r="BG157" s="40"/>
      <c r="BH157" s="29"/>
      <c r="BI157" s="31"/>
      <c r="BJ157" s="23">
        <v>0.05</v>
      </c>
      <c r="BK157" s="75">
        <f t="shared" si="131"/>
        <v>0</v>
      </c>
    </row>
    <row r="158" spans="2:63">
      <c r="B158" s="41" t="s">
        <v>514</v>
      </c>
      <c r="C158" s="41" t="s">
        <v>355</v>
      </c>
      <c r="D158" s="40"/>
      <c r="E158" s="40"/>
      <c r="F158" s="29"/>
      <c r="G158" s="31"/>
      <c r="H158" s="23">
        <v>0.05</v>
      </c>
      <c r="I158" s="75">
        <f t="shared" si="125"/>
        <v>0</v>
      </c>
      <c r="K158" s="41" t="s">
        <v>514</v>
      </c>
      <c r="L158" s="41" t="s">
        <v>355</v>
      </c>
      <c r="M158" s="40"/>
      <c r="N158" s="40"/>
      <c r="O158" s="29"/>
      <c r="P158" s="31"/>
      <c r="Q158" s="23">
        <v>0.05</v>
      </c>
      <c r="R158" s="75">
        <f t="shared" si="126"/>
        <v>0</v>
      </c>
      <c r="T158" s="41" t="s">
        <v>514</v>
      </c>
      <c r="U158" s="41" t="s">
        <v>355</v>
      </c>
      <c r="V158" s="40"/>
      <c r="W158" s="40"/>
      <c r="X158" s="29"/>
      <c r="Y158" s="31"/>
      <c r="Z158" s="23">
        <v>0.05</v>
      </c>
      <c r="AA158" s="75">
        <f t="shared" si="127"/>
        <v>0</v>
      </c>
      <c r="AC158" s="41" t="s">
        <v>514</v>
      </c>
      <c r="AD158" s="41" t="s">
        <v>355</v>
      </c>
      <c r="AE158" s="40"/>
      <c r="AF158" s="40"/>
      <c r="AG158" s="29"/>
      <c r="AH158" s="31"/>
      <c r="AI158" s="23">
        <v>0.05</v>
      </c>
      <c r="AJ158" s="75">
        <f t="shared" si="128"/>
        <v>0</v>
      </c>
      <c r="AL158" s="41" t="s">
        <v>514</v>
      </c>
      <c r="AM158" s="41" t="s">
        <v>355</v>
      </c>
      <c r="AN158" s="40"/>
      <c r="AO158" s="40"/>
      <c r="AP158" s="29"/>
      <c r="AQ158" s="31"/>
      <c r="AR158" s="23">
        <v>0.05</v>
      </c>
      <c r="AS158" s="75">
        <f t="shared" si="129"/>
        <v>0</v>
      </c>
      <c r="AU158" s="41" t="s">
        <v>514</v>
      </c>
      <c r="AV158" s="41" t="s">
        <v>355</v>
      </c>
      <c r="AW158" s="40"/>
      <c r="AX158" s="40"/>
      <c r="AY158" s="29"/>
      <c r="AZ158" s="31"/>
      <c r="BA158" s="23">
        <v>0.05</v>
      </c>
      <c r="BB158" s="75">
        <f t="shared" si="130"/>
        <v>0</v>
      </c>
      <c r="BD158" s="41" t="s">
        <v>514</v>
      </c>
      <c r="BE158" s="41" t="s">
        <v>355</v>
      </c>
      <c r="BF158" s="40"/>
      <c r="BG158" s="40"/>
      <c r="BH158" s="29"/>
      <c r="BI158" s="31"/>
      <c r="BJ158" s="23">
        <v>0.05</v>
      </c>
      <c r="BK158" s="75">
        <f t="shared" si="131"/>
        <v>0</v>
      </c>
    </row>
    <row r="159" spans="2:63">
      <c r="B159" s="41" t="s">
        <v>514</v>
      </c>
      <c r="C159" s="41" t="s">
        <v>355</v>
      </c>
      <c r="D159" s="40"/>
      <c r="E159" s="40"/>
      <c r="F159" s="29"/>
      <c r="G159" s="31"/>
      <c r="H159" s="23">
        <v>0.05</v>
      </c>
      <c r="I159" s="75">
        <f t="shared" si="125"/>
        <v>0</v>
      </c>
      <c r="K159" s="41" t="s">
        <v>514</v>
      </c>
      <c r="L159" s="41" t="s">
        <v>355</v>
      </c>
      <c r="M159" s="40"/>
      <c r="N159" s="40"/>
      <c r="O159" s="29"/>
      <c r="P159" s="31"/>
      <c r="Q159" s="23">
        <v>0.05</v>
      </c>
      <c r="R159" s="75">
        <f t="shared" si="126"/>
        <v>0</v>
      </c>
      <c r="T159" s="41" t="s">
        <v>514</v>
      </c>
      <c r="U159" s="41" t="s">
        <v>355</v>
      </c>
      <c r="V159" s="40"/>
      <c r="W159" s="40"/>
      <c r="X159" s="29"/>
      <c r="Y159" s="31"/>
      <c r="Z159" s="23">
        <v>0.05</v>
      </c>
      <c r="AA159" s="75">
        <f t="shared" si="127"/>
        <v>0</v>
      </c>
      <c r="AC159" s="41" t="s">
        <v>514</v>
      </c>
      <c r="AD159" s="41" t="s">
        <v>355</v>
      </c>
      <c r="AE159" s="40"/>
      <c r="AF159" s="40"/>
      <c r="AG159" s="29"/>
      <c r="AH159" s="31"/>
      <c r="AI159" s="23">
        <v>0.05</v>
      </c>
      <c r="AJ159" s="75">
        <f t="shared" si="128"/>
        <v>0</v>
      </c>
      <c r="AL159" s="41" t="s">
        <v>514</v>
      </c>
      <c r="AM159" s="41" t="s">
        <v>355</v>
      </c>
      <c r="AN159" s="40"/>
      <c r="AO159" s="40"/>
      <c r="AP159" s="29"/>
      <c r="AQ159" s="31"/>
      <c r="AR159" s="23">
        <v>0.05</v>
      </c>
      <c r="AS159" s="75">
        <f t="shared" si="129"/>
        <v>0</v>
      </c>
      <c r="AU159" s="41" t="s">
        <v>514</v>
      </c>
      <c r="AV159" s="41" t="s">
        <v>355</v>
      </c>
      <c r="AW159" s="40"/>
      <c r="AX159" s="40"/>
      <c r="AY159" s="29"/>
      <c r="AZ159" s="31"/>
      <c r="BA159" s="23">
        <v>0.05</v>
      </c>
      <c r="BB159" s="75">
        <f t="shared" si="130"/>
        <v>0</v>
      </c>
      <c r="BD159" s="41" t="s">
        <v>514</v>
      </c>
      <c r="BE159" s="41" t="s">
        <v>355</v>
      </c>
      <c r="BF159" s="40"/>
      <c r="BG159" s="40"/>
      <c r="BH159" s="29"/>
      <c r="BI159" s="31"/>
      <c r="BJ159" s="23">
        <v>0.05</v>
      </c>
      <c r="BK159" s="75">
        <f t="shared" si="131"/>
        <v>0</v>
      </c>
    </row>
    <row r="160" spans="2:63">
      <c r="B160" s="41" t="s">
        <v>514</v>
      </c>
      <c r="C160" s="41" t="s">
        <v>355</v>
      </c>
      <c r="D160" s="40"/>
      <c r="E160" s="40"/>
      <c r="F160" s="29"/>
      <c r="G160" s="31"/>
      <c r="H160" s="23">
        <v>0.05</v>
      </c>
      <c r="I160" s="75">
        <f t="shared" si="125"/>
        <v>0</v>
      </c>
      <c r="K160" s="41" t="s">
        <v>514</v>
      </c>
      <c r="L160" s="41" t="s">
        <v>355</v>
      </c>
      <c r="M160" s="40"/>
      <c r="N160" s="40"/>
      <c r="O160" s="29"/>
      <c r="P160" s="31"/>
      <c r="Q160" s="23">
        <v>0.05</v>
      </c>
      <c r="R160" s="75">
        <f t="shared" si="126"/>
        <v>0</v>
      </c>
      <c r="T160" s="41" t="s">
        <v>514</v>
      </c>
      <c r="U160" s="41" t="s">
        <v>355</v>
      </c>
      <c r="V160" s="40"/>
      <c r="W160" s="40"/>
      <c r="X160" s="29"/>
      <c r="Y160" s="31"/>
      <c r="Z160" s="23">
        <v>0.05</v>
      </c>
      <c r="AA160" s="75">
        <f t="shared" si="127"/>
        <v>0</v>
      </c>
      <c r="AC160" s="41" t="s">
        <v>514</v>
      </c>
      <c r="AD160" s="41" t="s">
        <v>355</v>
      </c>
      <c r="AE160" s="40"/>
      <c r="AF160" s="40"/>
      <c r="AG160" s="29"/>
      <c r="AH160" s="31"/>
      <c r="AI160" s="23">
        <v>0.05</v>
      </c>
      <c r="AJ160" s="75">
        <f t="shared" si="128"/>
        <v>0</v>
      </c>
      <c r="AL160" s="41" t="s">
        <v>514</v>
      </c>
      <c r="AM160" s="41" t="s">
        <v>355</v>
      </c>
      <c r="AN160" s="40"/>
      <c r="AO160" s="40"/>
      <c r="AP160" s="29"/>
      <c r="AQ160" s="31"/>
      <c r="AR160" s="23">
        <v>0.05</v>
      </c>
      <c r="AS160" s="75">
        <f t="shared" si="129"/>
        <v>0</v>
      </c>
      <c r="AU160" s="41" t="s">
        <v>514</v>
      </c>
      <c r="AV160" s="41" t="s">
        <v>355</v>
      </c>
      <c r="AW160" s="40"/>
      <c r="AX160" s="40"/>
      <c r="AY160" s="29"/>
      <c r="AZ160" s="31"/>
      <c r="BA160" s="23">
        <v>0.05</v>
      </c>
      <c r="BB160" s="75">
        <f t="shared" si="130"/>
        <v>0</v>
      </c>
      <c r="BD160" s="41" t="s">
        <v>514</v>
      </c>
      <c r="BE160" s="41" t="s">
        <v>355</v>
      </c>
      <c r="BF160" s="40"/>
      <c r="BG160" s="40"/>
      <c r="BH160" s="29"/>
      <c r="BI160" s="31"/>
      <c r="BJ160" s="23">
        <v>0.05</v>
      </c>
      <c r="BK160" s="75">
        <f t="shared" si="131"/>
        <v>0</v>
      </c>
    </row>
    <row r="161" spans="2:63">
      <c r="B161" s="41" t="s">
        <v>514</v>
      </c>
      <c r="C161" s="41" t="s">
        <v>355</v>
      </c>
      <c r="D161" s="40"/>
      <c r="E161" s="40"/>
      <c r="F161" s="29"/>
      <c r="G161" s="31"/>
      <c r="H161" s="23">
        <v>0.05</v>
      </c>
      <c r="I161" s="75">
        <f t="shared" si="125"/>
        <v>0</v>
      </c>
      <c r="K161" s="41" t="s">
        <v>514</v>
      </c>
      <c r="L161" s="41" t="s">
        <v>355</v>
      </c>
      <c r="M161" s="40"/>
      <c r="N161" s="40"/>
      <c r="O161" s="29"/>
      <c r="P161" s="31"/>
      <c r="Q161" s="23">
        <v>0.05</v>
      </c>
      <c r="R161" s="75">
        <f t="shared" si="126"/>
        <v>0</v>
      </c>
      <c r="T161" s="41" t="s">
        <v>514</v>
      </c>
      <c r="U161" s="41" t="s">
        <v>355</v>
      </c>
      <c r="V161" s="40"/>
      <c r="W161" s="40"/>
      <c r="X161" s="29"/>
      <c r="Y161" s="31"/>
      <c r="Z161" s="23">
        <v>0.05</v>
      </c>
      <c r="AA161" s="75">
        <f t="shared" si="127"/>
        <v>0</v>
      </c>
      <c r="AC161" s="41" t="s">
        <v>514</v>
      </c>
      <c r="AD161" s="41" t="s">
        <v>355</v>
      </c>
      <c r="AE161" s="40"/>
      <c r="AF161" s="40"/>
      <c r="AG161" s="29"/>
      <c r="AH161" s="31"/>
      <c r="AI161" s="23">
        <v>0.05</v>
      </c>
      <c r="AJ161" s="75">
        <f t="shared" si="128"/>
        <v>0</v>
      </c>
      <c r="AL161" s="41" t="s">
        <v>514</v>
      </c>
      <c r="AM161" s="41" t="s">
        <v>355</v>
      </c>
      <c r="AN161" s="40"/>
      <c r="AO161" s="40"/>
      <c r="AP161" s="29"/>
      <c r="AQ161" s="31"/>
      <c r="AR161" s="23">
        <v>0.05</v>
      </c>
      <c r="AS161" s="75">
        <f t="shared" si="129"/>
        <v>0</v>
      </c>
      <c r="AU161" s="41" t="s">
        <v>514</v>
      </c>
      <c r="AV161" s="41" t="s">
        <v>355</v>
      </c>
      <c r="AW161" s="40"/>
      <c r="AX161" s="40"/>
      <c r="AY161" s="29"/>
      <c r="AZ161" s="31"/>
      <c r="BA161" s="23">
        <v>0.05</v>
      </c>
      <c r="BB161" s="75">
        <f t="shared" si="130"/>
        <v>0</v>
      </c>
      <c r="BD161" s="41" t="s">
        <v>514</v>
      </c>
      <c r="BE161" s="41" t="s">
        <v>355</v>
      </c>
      <c r="BF161" s="40"/>
      <c r="BG161" s="40"/>
      <c r="BH161" s="29"/>
      <c r="BI161" s="31"/>
      <c r="BJ161" s="23">
        <v>0.05</v>
      </c>
      <c r="BK161" s="75">
        <f t="shared" si="131"/>
        <v>0</v>
      </c>
    </row>
    <row r="162" spans="2:63">
      <c r="B162" s="41" t="s">
        <v>514</v>
      </c>
      <c r="C162" s="41" t="s">
        <v>355</v>
      </c>
      <c r="D162" s="40"/>
      <c r="E162" s="40"/>
      <c r="F162" s="29"/>
      <c r="G162" s="31"/>
      <c r="H162" s="23">
        <v>0.05</v>
      </c>
      <c r="I162" s="75">
        <f t="shared" si="125"/>
        <v>0</v>
      </c>
      <c r="K162" s="41" t="s">
        <v>514</v>
      </c>
      <c r="L162" s="41" t="s">
        <v>355</v>
      </c>
      <c r="M162" s="40"/>
      <c r="N162" s="40"/>
      <c r="O162" s="29"/>
      <c r="P162" s="31"/>
      <c r="Q162" s="23">
        <v>0.05</v>
      </c>
      <c r="R162" s="75">
        <f t="shared" si="126"/>
        <v>0</v>
      </c>
      <c r="T162" s="41" t="s">
        <v>514</v>
      </c>
      <c r="U162" s="41" t="s">
        <v>355</v>
      </c>
      <c r="V162" s="40"/>
      <c r="W162" s="40"/>
      <c r="X162" s="29"/>
      <c r="Y162" s="31"/>
      <c r="Z162" s="23">
        <v>0.05</v>
      </c>
      <c r="AA162" s="75">
        <f t="shared" si="127"/>
        <v>0</v>
      </c>
      <c r="AC162" s="41" t="s">
        <v>514</v>
      </c>
      <c r="AD162" s="41" t="s">
        <v>355</v>
      </c>
      <c r="AE162" s="40"/>
      <c r="AF162" s="40"/>
      <c r="AG162" s="29"/>
      <c r="AH162" s="31"/>
      <c r="AI162" s="23">
        <v>0.05</v>
      </c>
      <c r="AJ162" s="75">
        <f t="shared" si="128"/>
        <v>0</v>
      </c>
      <c r="AL162" s="41" t="s">
        <v>514</v>
      </c>
      <c r="AM162" s="41" t="s">
        <v>355</v>
      </c>
      <c r="AN162" s="40"/>
      <c r="AO162" s="40"/>
      <c r="AP162" s="29"/>
      <c r="AQ162" s="31"/>
      <c r="AR162" s="23">
        <v>0.05</v>
      </c>
      <c r="AS162" s="75">
        <f t="shared" si="129"/>
        <v>0</v>
      </c>
      <c r="AU162" s="41" t="s">
        <v>514</v>
      </c>
      <c r="AV162" s="41" t="s">
        <v>355</v>
      </c>
      <c r="AW162" s="40"/>
      <c r="AX162" s="40"/>
      <c r="AY162" s="29"/>
      <c r="AZ162" s="31"/>
      <c r="BA162" s="23">
        <v>0.05</v>
      </c>
      <c r="BB162" s="75">
        <f t="shared" si="130"/>
        <v>0</v>
      </c>
      <c r="BD162" s="41" t="s">
        <v>514</v>
      </c>
      <c r="BE162" s="41" t="s">
        <v>355</v>
      </c>
      <c r="BF162" s="40"/>
      <c r="BG162" s="40"/>
      <c r="BH162" s="29"/>
      <c r="BI162" s="31"/>
      <c r="BJ162" s="23">
        <v>0.05</v>
      </c>
      <c r="BK162" s="75">
        <f t="shared" si="131"/>
        <v>0</v>
      </c>
    </row>
    <row r="163" spans="2:63">
      <c r="B163" s="41" t="s">
        <v>514</v>
      </c>
      <c r="C163" s="41" t="s">
        <v>355</v>
      </c>
      <c r="D163" s="40"/>
      <c r="E163" s="40"/>
      <c r="F163" s="29"/>
      <c r="G163" s="31"/>
      <c r="H163" s="23">
        <v>0.05</v>
      </c>
      <c r="I163" s="75">
        <f t="shared" si="125"/>
        <v>0</v>
      </c>
      <c r="K163" s="41" t="s">
        <v>514</v>
      </c>
      <c r="L163" s="41" t="s">
        <v>355</v>
      </c>
      <c r="M163" s="40"/>
      <c r="N163" s="40"/>
      <c r="O163" s="29"/>
      <c r="P163" s="31"/>
      <c r="Q163" s="23">
        <v>0.05</v>
      </c>
      <c r="R163" s="75">
        <f t="shared" si="126"/>
        <v>0</v>
      </c>
      <c r="T163" s="41" t="s">
        <v>514</v>
      </c>
      <c r="U163" s="41" t="s">
        <v>355</v>
      </c>
      <c r="V163" s="40"/>
      <c r="W163" s="40"/>
      <c r="X163" s="29"/>
      <c r="Y163" s="31"/>
      <c r="Z163" s="23">
        <v>0.05</v>
      </c>
      <c r="AA163" s="75">
        <f t="shared" si="127"/>
        <v>0</v>
      </c>
      <c r="AC163" s="41" t="s">
        <v>514</v>
      </c>
      <c r="AD163" s="41" t="s">
        <v>355</v>
      </c>
      <c r="AE163" s="40"/>
      <c r="AF163" s="40"/>
      <c r="AG163" s="29"/>
      <c r="AH163" s="31"/>
      <c r="AI163" s="23">
        <v>0.05</v>
      </c>
      <c r="AJ163" s="75">
        <f t="shared" si="128"/>
        <v>0</v>
      </c>
      <c r="AL163" s="41" t="s">
        <v>514</v>
      </c>
      <c r="AM163" s="41" t="s">
        <v>355</v>
      </c>
      <c r="AN163" s="40"/>
      <c r="AO163" s="40"/>
      <c r="AP163" s="29"/>
      <c r="AQ163" s="31"/>
      <c r="AR163" s="23">
        <v>0.05</v>
      </c>
      <c r="AS163" s="75">
        <f t="shared" si="129"/>
        <v>0</v>
      </c>
      <c r="AU163" s="41" t="s">
        <v>514</v>
      </c>
      <c r="AV163" s="41" t="s">
        <v>355</v>
      </c>
      <c r="AW163" s="40"/>
      <c r="AX163" s="40"/>
      <c r="AY163" s="29"/>
      <c r="AZ163" s="31"/>
      <c r="BA163" s="23">
        <v>0.05</v>
      </c>
      <c r="BB163" s="75">
        <f t="shared" si="130"/>
        <v>0</v>
      </c>
      <c r="BD163" s="41" t="s">
        <v>514</v>
      </c>
      <c r="BE163" s="41" t="s">
        <v>355</v>
      </c>
      <c r="BF163" s="40"/>
      <c r="BG163" s="40"/>
      <c r="BH163" s="29"/>
      <c r="BI163" s="31"/>
      <c r="BJ163" s="23">
        <v>0.05</v>
      </c>
      <c r="BK163" s="75">
        <f t="shared" si="131"/>
        <v>0</v>
      </c>
    </row>
    <row r="164" spans="2:63">
      <c r="B164" s="41" t="s">
        <v>514</v>
      </c>
      <c r="C164" s="41" t="s">
        <v>355</v>
      </c>
      <c r="D164" s="40"/>
      <c r="E164" s="40"/>
      <c r="F164" s="29"/>
      <c r="G164" s="31"/>
      <c r="H164" s="23">
        <v>0.05</v>
      </c>
      <c r="I164" s="75">
        <f t="shared" si="125"/>
        <v>0</v>
      </c>
      <c r="K164" s="41" t="s">
        <v>514</v>
      </c>
      <c r="L164" s="41" t="s">
        <v>355</v>
      </c>
      <c r="M164" s="40"/>
      <c r="N164" s="40"/>
      <c r="O164" s="29"/>
      <c r="P164" s="31"/>
      <c r="Q164" s="23">
        <v>0.05</v>
      </c>
      <c r="R164" s="75">
        <f t="shared" si="126"/>
        <v>0</v>
      </c>
      <c r="T164" s="41" t="s">
        <v>514</v>
      </c>
      <c r="U164" s="41" t="s">
        <v>355</v>
      </c>
      <c r="V164" s="40"/>
      <c r="W164" s="40"/>
      <c r="X164" s="29"/>
      <c r="Y164" s="31"/>
      <c r="Z164" s="23">
        <v>0.05</v>
      </c>
      <c r="AA164" s="75">
        <f t="shared" si="127"/>
        <v>0</v>
      </c>
      <c r="AC164" s="41" t="s">
        <v>514</v>
      </c>
      <c r="AD164" s="41" t="s">
        <v>355</v>
      </c>
      <c r="AE164" s="40"/>
      <c r="AF164" s="40"/>
      <c r="AG164" s="29"/>
      <c r="AH164" s="31"/>
      <c r="AI164" s="23">
        <v>0.05</v>
      </c>
      <c r="AJ164" s="75">
        <f t="shared" si="128"/>
        <v>0</v>
      </c>
      <c r="AL164" s="41" t="s">
        <v>514</v>
      </c>
      <c r="AM164" s="41" t="s">
        <v>355</v>
      </c>
      <c r="AN164" s="40"/>
      <c r="AO164" s="40"/>
      <c r="AP164" s="29"/>
      <c r="AQ164" s="31"/>
      <c r="AR164" s="23">
        <v>0.05</v>
      </c>
      <c r="AS164" s="75">
        <f t="shared" si="129"/>
        <v>0</v>
      </c>
      <c r="AU164" s="41" t="s">
        <v>514</v>
      </c>
      <c r="AV164" s="41" t="s">
        <v>355</v>
      </c>
      <c r="AW164" s="40"/>
      <c r="AX164" s="40"/>
      <c r="AY164" s="29"/>
      <c r="AZ164" s="31"/>
      <c r="BA164" s="23">
        <v>0.05</v>
      </c>
      <c r="BB164" s="75">
        <f t="shared" si="130"/>
        <v>0</v>
      </c>
      <c r="BD164" s="41" t="s">
        <v>514</v>
      </c>
      <c r="BE164" s="41" t="s">
        <v>355</v>
      </c>
      <c r="BF164" s="40"/>
      <c r="BG164" s="40"/>
      <c r="BH164" s="29"/>
      <c r="BI164" s="31"/>
      <c r="BJ164" s="23">
        <v>0.05</v>
      </c>
      <c r="BK164" s="75">
        <f t="shared" si="131"/>
        <v>0</v>
      </c>
    </row>
    <row r="165" spans="2:63">
      <c r="B165" s="41" t="s">
        <v>514</v>
      </c>
      <c r="C165" s="41" t="s">
        <v>355</v>
      </c>
      <c r="D165" s="40"/>
      <c r="E165" s="40"/>
      <c r="F165" s="29"/>
      <c r="G165" s="31"/>
      <c r="H165" s="23">
        <v>0.05</v>
      </c>
      <c r="I165" s="75">
        <f t="shared" si="125"/>
        <v>0</v>
      </c>
      <c r="K165" s="41" t="s">
        <v>514</v>
      </c>
      <c r="L165" s="41" t="s">
        <v>355</v>
      </c>
      <c r="M165" s="40"/>
      <c r="N165" s="40"/>
      <c r="O165" s="29"/>
      <c r="P165" s="31"/>
      <c r="Q165" s="23">
        <v>0.05</v>
      </c>
      <c r="R165" s="75">
        <f t="shared" si="126"/>
        <v>0</v>
      </c>
      <c r="T165" s="41" t="s">
        <v>514</v>
      </c>
      <c r="U165" s="41" t="s">
        <v>355</v>
      </c>
      <c r="V165" s="40"/>
      <c r="W165" s="40"/>
      <c r="X165" s="29"/>
      <c r="Y165" s="31"/>
      <c r="Z165" s="23">
        <v>0.05</v>
      </c>
      <c r="AA165" s="75">
        <f t="shared" si="127"/>
        <v>0</v>
      </c>
      <c r="AC165" s="41" t="s">
        <v>514</v>
      </c>
      <c r="AD165" s="41" t="s">
        <v>355</v>
      </c>
      <c r="AE165" s="40"/>
      <c r="AF165" s="40"/>
      <c r="AG165" s="29"/>
      <c r="AH165" s="31"/>
      <c r="AI165" s="23">
        <v>0.05</v>
      </c>
      <c r="AJ165" s="75">
        <f t="shared" si="128"/>
        <v>0</v>
      </c>
      <c r="AL165" s="41" t="s">
        <v>514</v>
      </c>
      <c r="AM165" s="41" t="s">
        <v>355</v>
      </c>
      <c r="AN165" s="40"/>
      <c r="AO165" s="40"/>
      <c r="AP165" s="29"/>
      <c r="AQ165" s="31"/>
      <c r="AR165" s="23">
        <v>0.05</v>
      </c>
      <c r="AS165" s="75">
        <f t="shared" si="129"/>
        <v>0</v>
      </c>
      <c r="AU165" s="41" t="s">
        <v>514</v>
      </c>
      <c r="AV165" s="41" t="s">
        <v>355</v>
      </c>
      <c r="AW165" s="40"/>
      <c r="AX165" s="40"/>
      <c r="AY165" s="29"/>
      <c r="AZ165" s="31"/>
      <c r="BA165" s="23">
        <v>0.05</v>
      </c>
      <c r="BB165" s="75">
        <f t="shared" si="130"/>
        <v>0</v>
      </c>
      <c r="BD165" s="41" t="s">
        <v>514</v>
      </c>
      <c r="BE165" s="41" t="s">
        <v>355</v>
      </c>
      <c r="BF165" s="40"/>
      <c r="BG165" s="40"/>
      <c r="BH165" s="29"/>
      <c r="BI165" s="31"/>
      <c r="BJ165" s="23">
        <v>0.05</v>
      </c>
      <c r="BK165" s="75">
        <f t="shared" si="131"/>
        <v>0</v>
      </c>
    </row>
    <row r="166" spans="2:63">
      <c r="B166" s="41" t="s">
        <v>514</v>
      </c>
      <c r="C166" s="41" t="s">
        <v>355</v>
      </c>
      <c r="D166" s="40"/>
      <c r="E166" s="40"/>
      <c r="F166" s="29"/>
      <c r="G166" s="31"/>
      <c r="H166" s="23">
        <v>0.05</v>
      </c>
      <c r="I166" s="75">
        <f t="shared" si="125"/>
        <v>0</v>
      </c>
      <c r="K166" s="41" t="s">
        <v>514</v>
      </c>
      <c r="L166" s="41" t="s">
        <v>355</v>
      </c>
      <c r="M166" s="40"/>
      <c r="N166" s="40"/>
      <c r="O166" s="29"/>
      <c r="P166" s="31"/>
      <c r="Q166" s="23">
        <v>0.05</v>
      </c>
      <c r="R166" s="75">
        <f t="shared" si="126"/>
        <v>0</v>
      </c>
      <c r="T166" s="41" t="s">
        <v>514</v>
      </c>
      <c r="U166" s="41" t="s">
        <v>355</v>
      </c>
      <c r="V166" s="40"/>
      <c r="W166" s="40"/>
      <c r="X166" s="29"/>
      <c r="Y166" s="31"/>
      <c r="Z166" s="23">
        <v>0.05</v>
      </c>
      <c r="AA166" s="75">
        <f t="shared" si="127"/>
        <v>0</v>
      </c>
      <c r="AC166" s="41" t="s">
        <v>514</v>
      </c>
      <c r="AD166" s="41" t="s">
        <v>355</v>
      </c>
      <c r="AE166" s="40"/>
      <c r="AF166" s="40"/>
      <c r="AG166" s="29"/>
      <c r="AH166" s="31"/>
      <c r="AI166" s="23">
        <v>0.05</v>
      </c>
      <c r="AJ166" s="75">
        <f t="shared" si="128"/>
        <v>0</v>
      </c>
      <c r="AL166" s="41" t="s">
        <v>514</v>
      </c>
      <c r="AM166" s="41" t="s">
        <v>355</v>
      </c>
      <c r="AN166" s="40"/>
      <c r="AO166" s="40"/>
      <c r="AP166" s="29"/>
      <c r="AQ166" s="31"/>
      <c r="AR166" s="23">
        <v>0.05</v>
      </c>
      <c r="AS166" s="75">
        <f t="shared" si="129"/>
        <v>0</v>
      </c>
      <c r="AU166" s="41" t="s">
        <v>514</v>
      </c>
      <c r="AV166" s="41" t="s">
        <v>355</v>
      </c>
      <c r="AW166" s="40"/>
      <c r="AX166" s="40"/>
      <c r="AY166" s="29"/>
      <c r="AZ166" s="31"/>
      <c r="BA166" s="23">
        <v>0.05</v>
      </c>
      <c r="BB166" s="75">
        <f t="shared" si="130"/>
        <v>0</v>
      </c>
      <c r="BD166" s="41" t="s">
        <v>514</v>
      </c>
      <c r="BE166" s="41" t="s">
        <v>355</v>
      </c>
      <c r="BF166" s="40"/>
      <c r="BG166" s="40"/>
      <c r="BH166" s="29"/>
      <c r="BI166" s="31"/>
      <c r="BJ166" s="23">
        <v>0.05</v>
      </c>
      <c r="BK166" s="75">
        <f t="shared" si="131"/>
        <v>0</v>
      </c>
    </row>
    <row r="167" spans="2:63" s="24" customFormat="1">
      <c r="B167" s="8" t="s">
        <v>520</v>
      </c>
      <c r="C167" s="25"/>
      <c r="D167" s="30"/>
      <c r="E167" s="30">
        <f>SUM(E152:E166)</f>
        <v>100000</v>
      </c>
      <c r="F167" s="30"/>
      <c r="G167" s="25"/>
      <c r="H167" s="26"/>
      <c r="I167" s="28">
        <f>SUM(I152:I166)</f>
        <v>5000</v>
      </c>
      <c r="K167" s="8" t="s">
        <v>520</v>
      </c>
      <c r="L167" s="25"/>
      <c r="M167" s="30"/>
      <c r="N167" s="30">
        <f>SUM(N152:N166)</f>
        <v>100000</v>
      </c>
      <c r="O167" s="30"/>
      <c r="P167" s="25"/>
      <c r="Q167" s="26"/>
      <c r="R167" s="28">
        <f>SUM(R152:R166)</f>
        <v>5000</v>
      </c>
      <c r="T167" s="8" t="s">
        <v>520</v>
      </c>
      <c r="U167" s="25"/>
      <c r="V167" s="30"/>
      <c r="W167" s="30">
        <f>SUM(W152:W166)</f>
        <v>100000</v>
      </c>
      <c r="X167" s="30"/>
      <c r="Y167" s="25"/>
      <c r="Z167" s="26"/>
      <c r="AA167" s="28">
        <f>SUM(AA152:AA166)</f>
        <v>5000</v>
      </c>
      <c r="AC167" s="8" t="s">
        <v>520</v>
      </c>
      <c r="AD167" s="25"/>
      <c r="AE167" s="30"/>
      <c r="AF167" s="30">
        <f>SUM(AF152:AF166)</f>
        <v>100000</v>
      </c>
      <c r="AG167" s="30"/>
      <c r="AH167" s="25"/>
      <c r="AI167" s="26"/>
      <c r="AJ167" s="28">
        <f>SUM(AJ152:AJ166)</f>
        <v>5000</v>
      </c>
      <c r="AL167" s="8" t="s">
        <v>520</v>
      </c>
      <c r="AM167" s="25"/>
      <c r="AN167" s="30"/>
      <c r="AO167" s="30">
        <f>SUM(AO152:AO166)</f>
        <v>100000</v>
      </c>
      <c r="AP167" s="30"/>
      <c r="AQ167" s="25"/>
      <c r="AR167" s="26"/>
      <c r="AS167" s="28">
        <f>SUM(AS152:AS166)</f>
        <v>5000</v>
      </c>
      <c r="AU167" s="8" t="s">
        <v>520</v>
      </c>
      <c r="AV167" s="25"/>
      <c r="AW167" s="30"/>
      <c r="AX167" s="30">
        <f>SUM(AX152:AX166)</f>
        <v>100000</v>
      </c>
      <c r="AY167" s="30"/>
      <c r="AZ167" s="25"/>
      <c r="BA167" s="26"/>
      <c r="BB167" s="28">
        <f>SUM(BB152:BB166)</f>
        <v>5000</v>
      </c>
      <c r="BD167" s="8" t="s">
        <v>520</v>
      </c>
      <c r="BE167" s="25"/>
      <c r="BF167" s="30"/>
      <c r="BG167" s="30">
        <f>SUM(BG152:BG166)</f>
        <v>100000</v>
      </c>
      <c r="BH167" s="30"/>
      <c r="BI167" s="25"/>
      <c r="BJ167" s="26"/>
      <c r="BK167" s="28">
        <f>SUM(BK152:BK166)</f>
        <v>5000</v>
      </c>
    </row>
    <row r="169" spans="2:63" s="20" customFormat="1" ht="41.4">
      <c r="B169" s="27" t="s">
        <v>16</v>
      </c>
      <c r="C169" s="3" t="str">
        <f>C$43</f>
        <v>Source</v>
      </c>
      <c r="D169" s="3" t="str">
        <f t="shared" ref="D169:I169" si="132">D$43</f>
        <v>Limit (A)</v>
      </c>
      <c r="E169" s="3" t="str">
        <f t="shared" si="132"/>
        <v>Outstanding (A1)</v>
      </c>
      <c r="F169" s="3" t="str">
        <f t="shared" si="132"/>
        <v>Monthly Repayment (B)</v>
      </c>
      <c r="G169" s="3" t="str">
        <f t="shared" si="132"/>
        <v>Interest Rate (C)</v>
      </c>
      <c r="H169" s="3" t="str">
        <f t="shared" si="132"/>
        <v>Factor (D)</v>
      </c>
      <c r="I169" s="3" t="str">
        <f t="shared" si="132"/>
        <v>Interest (E) = (A or A1) * (C) * (D)</v>
      </c>
      <c r="K169" s="27" t="s">
        <v>16</v>
      </c>
      <c r="L169" s="3" t="str">
        <f>L$43</f>
        <v>Source</v>
      </c>
      <c r="M169" s="3" t="str">
        <f t="shared" ref="M169:R169" si="133">M$43</f>
        <v>Limit (A)</v>
      </c>
      <c r="N169" s="3" t="str">
        <f t="shared" si="133"/>
        <v>Outstanding (A1)</v>
      </c>
      <c r="O169" s="3" t="str">
        <f t="shared" si="133"/>
        <v>Monthly Repayment (B)</v>
      </c>
      <c r="P169" s="3" t="str">
        <f t="shared" si="133"/>
        <v>Interest Rate (C)</v>
      </c>
      <c r="Q169" s="3" t="str">
        <f t="shared" si="133"/>
        <v>Factor (D)</v>
      </c>
      <c r="R169" s="3" t="str">
        <f t="shared" si="133"/>
        <v>Interest (E) = (A or A1) * (C) * (D)</v>
      </c>
      <c r="T169" s="27" t="s">
        <v>16</v>
      </c>
      <c r="U169" s="3" t="str">
        <f>U$43</f>
        <v>Source</v>
      </c>
      <c r="V169" s="3" t="str">
        <f t="shared" ref="V169:AA169" si="134">V$43</f>
        <v>Limit (A)</v>
      </c>
      <c r="W169" s="3" t="str">
        <f t="shared" si="134"/>
        <v>Outstanding (A1)</v>
      </c>
      <c r="X169" s="3" t="str">
        <f t="shared" si="134"/>
        <v>Monthly Repayment (B)</v>
      </c>
      <c r="Y169" s="3" t="str">
        <f t="shared" si="134"/>
        <v>Interest Rate (C)</v>
      </c>
      <c r="Z169" s="3" t="str">
        <f t="shared" si="134"/>
        <v>Factor (D)</v>
      </c>
      <c r="AA169" s="3" t="str">
        <f t="shared" si="134"/>
        <v>Interest (E) = (A or A1) * (C) * (D)</v>
      </c>
      <c r="AC169" s="27" t="s">
        <v>16</v>
      </c>
      <c r="AD169" s="3" t="str">
        <f>AD$43</f>
        <v>Source</v>
      </c>
      <c r="AE169" s="3" t="str">
        <f t="shared" ref="AE169:AJ169" si="135">AE$43</f>
        <v>Limit (A)</v>
      </c>
      <c r="AF169" s="3" t="str">
        <f t="shared" si="135"/>
        <v>Outstanding (A1)</v>
      </c>
      <c r="AG169" s="3" t="str">
        <f t="shared" si="135"/>
        <v>Monthly Repayment (B)</v>
      </c>
      <c r="AH169" s="3" t="str">
        <f t="shared" si="135"/>
        <v>Interest Rate (C)</v>
      </c>
      <c r="AI169" s="3" t="str">
        <f t="shared" si="135"/>
        <v>Factor (D)</v>
      </c>
      <c r="AJ169" s="3" t="str">
        <f t="shared" si="135"/>
        <v>Interest (E) = (A or A1) * (C) * (D)</v>
      </c>
      <c r="AL169" s="27" t="s">
        <v>16</v>
      </c>
      <c r="AM169" s="3" t="str">
        <f>AM$43</f>
        <v>Source</v>
      </c>
      <c r="AN169" s="3" t="str">
        <f t="shared" ref="AN169:AS169" si="136">AN$43</f>
        <v>Limit (A)</v>
      </c>
      <c r="AO169" s="3" t="str">
        <f t="shared" si="136"/>
        <v>Outstanding (A1)</v>
      </c>
      <c r="AP169" s="3" t="str">
        <f t="shared" si="136"/>
        <v>Monthly Repayment (B)</v>
      </c>
      <c r="AQ169" s="3" t="str">
        <f t="shared" si="136"/>
        <v>Interest Rate (C)</v>
      </c>
      <c r="AR169" s="3" t="str">
        <f t="shared" si="136"/>
        <v>Factor (D)</v>
      </c>
      <c r="AS169" s="3" t="str">
        <f t="shared" si="136"/>
        <v>Interest (E) = (A or A1) * (C) * (D)</v>
      </c>
      <c r="AU169" s="27" t="s">
        <v>16</v>
      </c>
      <c r="AV169" s="3" t="str">
        <f>AV$43</f>
        <v>Source</v>
      </c>
      <c r="AW169" s="3" t="str">
        <f t="shared" ref="AW169:BB169" si="137">AW$43</f>
        <v>Limit (A)</v>
      </c>
      <c r="AX169" s="3" t="str">
        <f t="shared" si="137"/>
        <v>Outstanding (A1)</v>
      </c>
      <c r="AY169" s="3" t="str">
        <f t="shared" si="137"/>
        <v>Monthly Repayment (B)</v>
      </c>
      <c r="AZ169" s="3" t="str">
        <f t="shared" si="137"/>
        <v>Interest Rate (C)</v>
      </c>
      <c r="BA169" s="3" t="str">
        <f t="shared" si="137"/>
        <v>Factor (D)</v>
      </c>
      <c r="BB169" s="3" t="str">
        <f t="shared" si="137"/>
        <v>Interest (E) = (A or A1) * (C) * (D)</v>
      </c>
      <c r="BD169" s="27" t="s">
        <v>16</v>
      </c>
      <c r="BE169" s="3" t="str">
        <f>BE$43</f>
        <v>Source</v>
      </c>
      <c r="BF169" s="3" t="str">
        <f t="shared" ref="BF169:BK169" si="138">BF$43</f>
        <v>Limit (A)</v>
      </c>
      <c r="BG169" s="3" t="str">
        <f t="shared" si="138"/>
        <v>Outstanding (A1)</v>
      </c>
      <c r="BH169" s="3" t="str">
        <f t="shared" si="138"/>
        <v>Monthly Repayment (B)</v>
      </c>
      <c r="BI169" s="3" t="str">
        <f t="shared" si="138"/>
        <v>Interest Rate (C)</v>
      </c>
      <c r="BJ169" s="3" t="str">
        <f t="shared" si="138"/>
        <v>Factor (D)</v>
      </c>
      <c r="BK169" s="3" t="str">
        <f t="shared" si="138"/>
        <v>Interest (E) = (A or A1) * (C) * (D)</v>
      </c>
    </row>
    <row r="170" spans="2:63">
      <c r="B170" s="41" t="s">
        <v>514</v>
      </c>
      <c r="C170" s="41" t="s">
        <v>355</v>
      </c>
      <c r="D170" s="40">
        <v>60000</v>
      </c>
      <c r="E170" s="40">
        <v>30000</v>
      </c>
      <c r="F170" s="40">
        <v>1500</v>
      </c>
      <c r="G170" s="31"/>
      <c r="H170" s="32"/>
      <c r="I170" s="29"/>
      <c r="K170" s="41" t="s">
        <v>514</v>
      </c>
      <c r="L170" s="41" t="s">
        <v>355</v>
      </c>
      <c r="M170" s="40">
        <v>60000</v>
      </c>
      <c r="N170" s="40">
        <v>30000</v>
      </c>
      <c r="O170" s="40">
        <v>1500</v>
      </c>
      <c r="P170" s="31"/>
      <c r="Q170" s="32"/>
      <c r="R170" s="29"/>
      <c r="T170" s="41" t="s">
        <v>514</v>
      </c>
      <c r="U170" s="41" t="s">
        <v>355</v>
      </c>
      <c r="V170" s="40">
        <v>60000</v>
      </c>
      <c r="W170" s="40">
        <v>30000</v>
      </c>
      <c r="X170" s="40">
        <v>1500</v>
      </c>
      <c r="Y170" s="31"/>
      <c r="Z170" s="32"/>
      <c r="AA170" s="29"/>
      <c r="AC170" s="41" t="s">
        <v>514</v>
      </c>
      <c r="AD170" s="41" t="s">
        <v>355</v>
      </c>
      <c r="AE170" s="40">
        <v>60000</v>
      </c>
      <c r="AF170" s="40">
        <v>30000</v>
      </c>
      <c r="AG170" s="40">
        <v>1500</v>
      </c>
      <c r="AH170" s="31"/>
      <c r="AI170" s="32"/>
      <c r="AJ170" s="29"/>
      <c r="AL170" s="41" t="s">
        <v>514</v>
      </c>
      <c r="AM170" s="41" t="s">
        <v>355</v>
      </c>
      <c r="AN170" s="40">
        <v>60000</v>
      </c>
      <c r="AO170" s="40">
        <v>30000</v>
      </c>
      <c r="AP170" s="40">
        <v>1500</v>
      </c>
      <c r="AQ170" s="31"/>
      <c r="AR170" s="32"/>
      <c r="AS170" s="29"/>
      <c r="AU170" s="41" t="s">
        <v>514</v>
      </c>
      <c r="AV170" s="41" t="s">
        <v>355</v>
      </c>
      <c r="AW170" s="40">
        <v>60000</v>
      </c>
      <c r="AX170" s="40">
        <v>30000</v>
      </c>
      <c r="AY170" s="40">
        <v>1500</v>
      </c>
      <c r="AZ170" s="31"/>
      <c r="BA170" s="32"/>
      <c r="BB170" s="29"/>
      <c r="BD170" s="41" t="s">
        <v>514</v>
      </c>
      <c r="BE170" s="41" t="s">
        <v>355</v>
      </c>
      <c r="BF170" s="40">
        <v>60000</v>
      </c>
      <c r="BG170" s="40">
        <v>30000</v>
      </c>
      <c r="BH170" s="40">
        <v>1500</v>
      </c>
      <c r="BI170" s="31"/>
      <c r="BJ170" s="32"/>
      <c r="BK170" s="29"/>
    </row>
    <row r="171" spans="2:63">
      <c r="B171" s="41" t="s">
        <v>514</v>
      </c>
      <c r="C171" s="41" t="s">
        <v>355</v>
      </c>
      <c r="D171" s="40"/>
      <c r="E171" s="40"/>
      <c r="F171" s="40"/>
      <c r="G171" s="31"/>
      <c r="H171" s="32"/>
      <c r="I171" s="29"/>
      <c r="K171" s="41" t="s">
        <v>514</v>
      </c>
      <c r="L171" s="41" t="s">
        <v>355</v>
      </c>
      <c r="M171" s="40"/>
      <c r="N171" s="40"/>
      <c r="O171" s="40"/>
      <c r="P171" s="31"/>
      <c r="Q171" s="32"/>
      <c r="R171" s="29"/>
      <c r="T171" s="41" t="s">
        <v>514</v>
      </c>
      <c r="U171" s="41" t="s">
        <v>355</v>
      </c>
      <c r="V171" s="40"/>
      <c r="W171" s="40"/>
      <c r="X171" s="40"/>
      <c r="Y171" s="31"/>
      <c r="Z171" s="32"/>
      <c r="AA171" s="29"/>
      <c r="AC171" s="41" t="s">
        <v>514</v>
      </c>
      <c r="AD171" s="41" t="s">
        <v>355</v>
      </c>
      <c r="AE171" s="40"/>
      <c r="AF171" s="40"/>
      <c r="AG171" s="40"/>
      <c r="AH171" s="31"/>
      <c r="AI171" s="32"/>
      <c r="AJ171" s="29"/>
      <c r="AL171" s="41" t="s">
        <v>514</v>
      </c>
      <c r="AM171" s="41" t="s">
        <v>355</v>
      </c>
      <c r="AN171" s="40"/>
      <c r="AO171" s="40"/>
      <c r="AP171" s="40"/>
      <c r="AQ171" s="31"/>
      <c r="AR171" s="32"/>
      <c r="AS171" s="29"/>
      <c r="AU171" s="41" t="s">
        <v>514</v>
      </c>
      <c r="AV171" s="41" t="s">
        <v>355</v>
      </c>
      <c r="AW171" s="40"/>
      <c r="AX171" s="40"/>
      <c r="AY171" s="40"/>
      <c r="AZ171" s="31"/>
      <c r="BA171" s="32"/>
      <c r="BB171" s="29"/>
      <c r="BD171" s="41" t="s">
        <v>514</v>
      </c>
      <c r="BE171" s="41" t="s">
        <v>355</v>
      </c>
      <c r="BF171" s="40"/>
      <c r="BG171" s="40"/>
      <c r="BH171" s="40"/>
      <c r="BI171" s="31"/>
      <c r="BJ171" s="32"/>
      <c r="BK171" s="29"/>
    </row>
    <row r="172" spans="2:63">
      <c r="B172" s="41" t="s">
        <v>514</v>
      </c>
      <c r="C172" s="41" t="s">
        <v>355</v>
      </c>
      <c r="D172" s="40"/>
      <c r="E172" s="40"/>
      <c r="F172" s="40"/>
      <c r="G172" s="31"/>
      <c r="H172" s="32"/>
      <c r="I172" s="29"/>
      <c r="K172" s="41" t="s">
        <v>514</v>
      </c>
      <c r="L172" s="41" t="s">
        <v>355</v>
      </c>
      <c r="M172" s="40"/>
      <c r="N172" s="40"/>
      <c r="O172" s="40"/>
      <c r="P172" s="31"/>
      <c r="Q172" s="32"/>
      <c r="R172" s="29"/>
      <c r="T172" s="41" t="s">
        <v>514</v>
      </c>
      <c r="U172" s="41" t="s">
        <v>355</v>
      </c>
      <c r="V172" s="40"/>
      <c r="W172" s="40"/>
      <c r="X172" s="40"/>
      <c r="Y172" s="31"/>
      <c r="Z172" s="32"/>
      <c r="AA172" s="29"/>
      <c r="AC172" s="41" t="s">
        <v>514</v>
      </c>
      <c r="AD172" s="41" t="s">
        <v>355</v>
      </c>
      <c r="AE172" s="40"/>
      <c r="AF172" s="40"/>
      <c r="AG172" s="40"/>
      <c r="AH172" s="31"/>
      <c r="AI172" s="32"/>
      <c r="AJ172" s="29"/>
      <c r="AL172" s="41" t="s">
        <v>514</v>
      </c>
      <c r="AM172" s="41" t="s">
        <v>355</v>
      </c>
      <c r="AN172" s="40"/>
      <c r="AO172" s="40"/>
      <c r="AP172" s="40"/>
      <c r="AQ172" s="31"/>
      <c r="AR172" s="32"/>
      <c r="AS172" s="29"/>
      <c r="AU172" s="41" t="s">
        <v>514</v>
      </c>
      <c r="AV172" s="41" t="s">
        <v>355</v>
      </c>
      <c r="AW172" s="40"/>
      <c r="AX172" s="40"/>
      <c r="AY172" s="40"/>
      <c r="AZ172" s="31"/>
      <c r="BA172" s="32"/>
      <c r="BB172" s="29"/>
      <c r="BD172" s="41" t="s">
        <v>514</v>
      </c>
      <c r="BE172" s="41" t="s">
        <v>355</v>
      </c>
      <c r="BF172" s="40"/>
      <c r="BG172" s="40"/>
      <c r="BH172" s="40"/>
      <c r="BI172" s="31"/>
      <c r="BJ172" s="32"/>
      <c r="BK172" s="29"/>
    </row>
    <row r="173" spans="2:63">
      <c r="B173" s="41" t="s">
        <v>514</v>
      </c>
      <c r="C173" s="41" t="s">
        <v>355</v>
      </c>
      <c r="D173" s="40"/>
      <c r="E173" s="40"/>
      <c r="F173" s="40"/>
      <c r="G173" s="31"/>
      <c r="H173" s="32"/>
      <c r="I173" s="29"/>
      <c r="K173" s="41" t="s">
        <v>514</v>
      </c>
      <c r="L173" s="41" t="s">
        <v>355</v>
      </c>
      <c r="M173" s="40"/>
      <c r="N173" s="40"/>
      <c r="O173" s="40"/>
      <c r="P173" s="31"/>
      <c r="Q173" s="32"/>
      <c r="R173" s="29"/>
      <c r="T173" s="41" t="s">
        <v>514</v>
      </c>
      <c r="U173" s="41" t="s">
        <v>355</v>
      </c>
      <c r="V173" s="40"/>
      <c r="W173" s="40"/>
      <c r="X173" s="40"/>
      <c r="Y173" s="31"/>
      <c r="Z173" s="32"/>
      <c r="AA173" s="29"/>
      <c r="AC173" s="41" t="s">
        <v>514</v>
      </c>
      <c r="AD173" s="41" t="s">
        <v>355</v>
      </c>
      <c r="AE173" s="40"/>
      <c r="AF173" s="40"/>
      <c r="AG173" s="40"/>
      <c r="AH173" s="31"/>
      <c r="AI173" s="32"/>
      <c r="AJ173" s="29"/>
      <c r="AL173" s="41" t="s">
        <v>514</v>
      </c>
      <c r="AM173" s="41" t="s">
        <v>355</v>
      </c>
      <c r="AN173" s="40"/>
      <c r="AO173" s="40"/>
      <c r="AP173" s="40"/>
      <c r="AQ173" s="31"/>
      <c r="AR173" s="32"/>
      <c r="AS173" s="29"/>
      <c r="AU173" s="41" t="s">
        <v>514</v>
      </c>
      <c r="AV173" s="41" t="s">
        <v>355</v>
      </c>
      <c r="AW173" s="40"/>
      <c r="AX173" s="40"/>
      <c r="AY173" s="40"/>
      <c r="AZ173" s="31"/>
      <c r="BA173" s="32"/>
      <c r="BB173" s="29"/>
      <c r="BD173" s="41" t="s">
        <v>514</v>
      </c>
      <c r="BE173" s="41" t="s">
        <v>355</v>
      </c>
      <c r="BF173" s="40"/>
      <c r="BG173" s="40"/>
      <c r="BH173" s="40"/>
      <c r="BI173" s="31"/>
      <c r="BJ173" s="32"/>
      <c r="BK173" s="29"/>
    </row>
    <row r="174" spans="2:63">
      <c r="B174" s="41" t="s">
        <v>514</v>
      </c>
      <c r="C174" s="41" t="s">
        <v>355</v>
      </c>
      <c r="D174" s="40"/>
      <c r="E174" s="40"/>
      <c r="F174" s="40"/>
      <c r="G174" s="31"/>
      <c r="H174" s="32"/>
      <c r="I174" s="29"/>
      <c r="K174" s="41" t="s">
        <v>514</v>
      </c>
      <c r="L174" s="41" t="s">
        <v>355</v>
      </c>
      <c r="M174" s="40"/>
      <c r="N174" s="40"/>
      <c r="O174" s="40"/>
      <c r="P174" s="31"/>
      <c r="Q174" s="32"/>
      <c r="R174" s="29"/>
      <c r="T174" s="41" t="s">
        <v>514</v>
      </c>
      <c r="U174" s="41" t="s">
        <v>355</v>
      </c>
      <c r="V174" s="40"/>
      <c r="W174" s="40"/>
      <c r="X174" s="40"/>
      <c r="Y174" s="31"/>
      <c r="Z174" s="32"/>
      <c r="AA174" s="29"/>
      <c r="AC174" s="41" t="s">
        <v>514</v>
      </c>
      <c r="AD174" s="41" t="s">
        <v>355</v>
      </c>
      <c r="AE174" s="40"/>
      <c r="AF174" s="40"/>
      <c r="AG174" s="40"/>
      <c r="AH174" s="31"/>
      <c r="AI174" s="32"/>
      <c r="AJ174" s="29"/>
      <c r="AL174" s="41" t="s">
        <v>514</v>
      </c>
      <c r="AM174" s="41" t="s">
        <v>355</v>
      </c>
      <c r="AN174" s="40"/>
      <c r="AO174" s="40"/>
      <c r="AP174" s="40"/>
      <c r="AQ174" s="31"/>
      <c r="AR174" s="32"/>
      <c r="AS174" s="29"/>
      <c r="AU174" s="41" t="s">
        <v>514</v>
      </c>
      <c r="AV174" s="41" t="s">
        <v>355</v>
      </c>
      <c r="AW174" s="40"/>
      <c r="AX174" s="40"/>
      <c r="AY174" s="40"/>
      <c r="AZ174" s="31"/>
      <c r="BA174" s="32"/>
      <c r="BB174" s="29"/>
      <c r="BD174" s="41" t="s">
        <v>514</v>
      </c>
      <c r="BE174" s="41" t="s">
        <v>355</v>
      </c>
      <c r="BF174" s="40"/>
      <c r="BG174" s="40"/>
      <c r="BH174" s="40"/>
      <c r="BI174" s="31"/>
      <c r="BJ174" s="32"/>
      <c r="BK174" s="29"/>
    </row>
    <row r="175" spans="2:63">
      <c r="B175" s="41" t="s">
        <v>514</v>
      </c>
      <c r="C175" s="41" t="s">
        <v>355</v>
      </c>
      <c r="D175" s="40"/>
      <c r="E175" s="40"/>
      <c r="F175" s="40"/>
      <c r="G175" s="31"/>
      <c r="H175" s="32"/>
      <c r="I175" s="29"/>
      <c r="K175" s="41" t="s">
        <v>514</v>
      </c>
      <c r="L175" s="41" t="s">
        <v>355</v>
      </c>
      <c r="M175" s="40"/>
      <c r="N175" s="40"/>
      <c r="O175" s="40"/>
      <c r="P175" s="31"/>
      <c r="Q175" s="32"/>
      <c r="R175" s="29"/>
      <c r="T175" s="41" t="s">
        <v>514</v>
      </c>
      <c r="U175" s="41" t="s">
        <v>355</v>
      </c>
      <c r="V175" s="40"/>
      <c r="W175" s="40"/>
      <c r="X175" s="40"/>
      <c r="Y175" s="31"/>
      <c r="Z175" s="32"/>
      <c r="AA175" s="29"/>
      <c r="AC175" s="41" t="s">
        <v>514</v>
      </c>
      <c r="AD175" s="41" t="s">
        <v>355</v>
      </c>
      <c r="AE175" s="40"/>
      <c r="AF175" s="40"/>
      <c r="AG175" s="40"/>
      <c r="AH175" s="31"/>
      <c r="AI175" s="32"/>
      <c r="AJ175" s="29"/>
      <c r="AL175" s="41" t="s">
        <v>514</v>
      </c>
      <c r="AM175" s="41" t="s">
        <v>355</v>
      </c>
      <c r="AN175" s="40"/>
      <c r="AO175" s="40"/>
      <c r="AP175" s="40"/>
      <c r="AQ175" s="31"/>
      <c r="AR175" s="32"/>
      <c r="AS175" s="29"/>
      <c r="AU175" s="41" t="s">
        <v>514</v>
      </c>
      <c r="AV175" s="41" t="s">
        <v>355</v>
      </c>
      <c r="AW175" s="40"/>
      <c r="AX175" s="40"/>
      <c r="AY175" s="40"/>
      <c r="AZ175" s="31"/>
      <c r="BA175" s="32"/>
      <c r="BB175" s="29"/>
      <c r="BD175" s="41" t="s">
        <v>514</v>
      </c>
      <c r="BE175" s="41" t="s">
        <v>355</v>
      </c>
      <c r="BF175" s="40"/>
      <c r="BG175" s="40"/>
      <c r="BH175" s="40"/>
      <c r="BI175" s="31"/>
      <c r="BJ175" s="32"/>
      <c r="BK175" s="29"/>
    </row>
    <row r="176" spans="2:63">
      <c r="B176" s="41" t="s">
        <v>514</v>
      </c>
      <c r="C176" s="41" t="s">
        <v>355</v>
      </c>
      <c r="D176" s="40"/>
      <c r="E176" s="40"/>
      <c r="F176" s="40"/>
      <c r="G176" s="31"/>
      <c r="H176" s="32"/>
      <c r="I176" s="29"/>
      <c r="K176" s="41" t="s">
        <v>514</v>
      </c>
      <c r="L176" s="41" t="s">
        <v>355</v>
      </c>
      <c r="M176" s="40"/>
      <c r="N176" s="40"/>
      <c r="O176" s="40"/>
      <c r="P176" s="31"/>
      <c r="Q176" s="32"/>
      <c r="R176" s="29"/>
      <c r="T176" s="41" t="s">
        <v>514</v>
      </c>
      <c r="U176" s="41" t="s">
        <v>355</v>
      </c>
      <c r="V176" s="40"/>
      <c r="W176" s="40"/>
      <c r="X176" s="40"/>
      <c r="Y176" s="31"/>
      <c r="Z176" s="32"/>
      <c r="AA176" s="29"/>
      <c r="AC176" s="41" t="s">
        <v>514</v>
      </c>
      <c r="AD176" s="41" t="s">
        <v>355</v>
      </c>
      <c r="AE176" s="40"/>
      <c r="AF176" s="40"/>
      <c r="AG176" s="40"/>
      <c r="AH176" s="31"/>
      <c r="AI176" s="32"/>
      <c r="AJ176" s="29"/>
      <c r="AL176" s="41" t="s">
        <v>514</v>
      </c>
      <c r="AM176" s="41" t="s">
        <v>355</v>
      </c>
      <c r="AN176" s="40"/>
      <c r="AO176" s="40"/>
      <c r="AP176" s="40"/>
      <c r="AQ176" s="31"/>
      <c r="AR176" s="32"/>
      <c r="AS176" s="29"/>
      <c r="AU176" s="41" t="s">
        <v>514</v>
      </c>
      <c r="AV176" s="41" t="s">
        <v>355</v>
      </c>
      <c r="AW176" s="40"/>
      <c r="AX176" s="40"/>
      <c r="AY176" s="40"/>
      <c r="AZ176" s="31"/>
      <c r="BA176" s="32"/>
      <c r="BB176" s="29"/>
      <c r="BD176" s="41" t="s">
        <v>514</v>
      </c>
      <c r="BE176" s="41" t="s">
        <v>355</v>
      </c>
      <c r="BF176" s="40"/>
      <c r="BG176" s="40"/>
      <c r="BH176" s="40"/>
      <c r="BI176" s="31"/>
      <c r="BJ176" s="32"/>
      <c r="BK176" s="29"/>
    </row>
    <row r="177" spans="2:63">
      <c r="B177" s="41" t="s">
        <v>514</v>
      </c>
      <c r="C177" s="41" t="s">
        <v>355</v>
      </c>
      <c r="D177" s="40"/>
      <c r="E177" s="40"/>
      <c r="F177" s="40"/>
      <c r="G177" s="31"/>
      <c r="H177" s="32"/>
      <c r="I177" s="29"/>
      <c r="K177" s="41" t="s">
        <v>514</v>
      </c>
      <c r="L177" s="41" t="s">
        <v>355</v>
      </c>
      <c r="M177" s="40"/>
      <c r="N177" s="40"/>
      <c r="O177" s="40"/>
      <c r="P177" s="31"/>
      <c r="Q177" s="32"/>
      <c r="R177" s="29"/>
      <c r="T177" s="41" t="s">
        <v>514</v>
      </c>
      <c r="U177" s="41" t="s">
        <v>355</v>
      </c>
      <c r="V177" s="40"/>
      <c r="W177" s="40"/>
      <c r="X177" s="40"/>
      <c r="Y177" s="31"/>
      <c r="Z177" s="32"/>
      <c r="AA177" s="29"/>
      <c r="AC177" s="41" t="s">
        <v>514</v>
      </c>
      <c r="AD177" s="41" t="s">
        <v>355</v>
      </c>
      <c r="AE177" s="40"/>
      <c r="AF177" s="40"/>
      <c r="AG177" s="40"/>
      <c r="AH177" s="31"/>
      <c r="AI177" s="32"/>
      <c r="AJ177" s="29"/>
      <c r="AL177" s="41" t="s">
        <v>514</v>
      </c>
      <c r="AM177" s="41" t="s">
        <v>355</v>
      </c>
      <c r="AN177" s="40"/>
      <c r="AO177" s="40"/>
      <c r="AP177" s="40"/>
      <c r="AQ177" s="31"/>
      <c r="AR177" s="32"/>
      <c r="AS177" s="29"/>
      <c r="AU177" s="41" t="s">
        <v>514</v>
      </c>
      <c r="AV177" s="41" t="s">
        <v>355</v>
      </c>
      <c r="AW177" s="40"/>
      <c r="AX177" s="40"/>
      <c r="AY177" s="40"/>
      <c r="AZ177" s="31"/>
      <c r="BA177" s="32"/>
      <c r="BB177" s="29"/>
      <c r="BD177" s="41" t="s">
        <v>514</v>
      </c>
      <c r="BE177" s="41" t="s">
        <v>355</v>
      </c>
      <c r="BF177" s="40"/>
      <c r="BG177" s="40"/>
      <c r="BH177" s="40"/>
      <c r="BI177" s="31"/>
      <c r="BJ177" s="32"/>
      <c r="BK177" s="29"/>
    </row>
    <row r="178" spans="2:63">
      <c r="B178" s="41" t="s">
        <v>514</v>
      </c>
      <c r="C178" s="41" t="s">
        <v>355</v>
      </c>
      <c r="D178" s="40"/>
      <c r="E178" s="40"/>
      <c r="F178" s="40"/>
      <c r="G178" s="31"/>
      <c r="H178" s="32"/>
      <c r="I178" s="29"/>
      <c r="K178" s="41" t="s">
        <v>514</v>
      </c>
      <c r="L178" s="41" t="s">
        <v>355</v>
      </c>
      <c r="M178" s="40"/>
      <c r="N178" s="40"/>
      <c r="O178" s="40"/>
      <c r="P178" s="31"/>
      <c r="Q178" s="32"/>
      <c r="R178" s="29"/>
      <c r="T178" s="41" t="s">
        <v>514</v>
      </c>
      <c r="U178" s="41" t="s">
        <v>355</v>
      </c>
      <c r="V178" s="40"/>
      <c r="W178" s="40"/>
      <c r="X178" s="40"/>
      <c r="Y178" s="31"/>
      <c r="Z178" s="32"/>
      <c r="AA178" s="29"/>
      <c r="AC178" s="41" t="s">
        <v>514</v>
      </c>
      <c r="AD178" s="41" t="s">
        <v>355</v>
      </c>
      <c r="AE178" s="40"/>
      <c r="AF178" s="40"/>
      <c r="AG178" s="40"/>
      <c r="AH178" s="31"/>
      <c r="AI178" s="32"/>
      <c r="AJ178" s="29"/>
      <c r="AL178" s="41" t="s">
        <v>514</v>
      </c>
      <c r="AM178" s="41" t="s">
        <v>355</v>
      </c>
      <c r="AN178" s="40"/>
      <c r="AO178" s="40"/>
      <c r="AP178" s="40"/>
      <c r="AQ178" s="31"/>
      <c r="AR178" s="32"/>
      <c r="AS178" s="29"/>
      <c r="AU178" s="41" t="s">
        <v>514</v>
      </c>
      <c r="AV178" s="41" t="s">
        <v>355</v>
      </c>
      <c r="AW178" s="40"/>
      <c r="AX178" s="40"/>
      <c r="AY178" s="40"/>
      <c r="AZ178" s="31"/>
      <c r="BA178" s="32"/>
      <c r="BB178" s="29"/>
      <c r="BD178" s="41" t="s">
        <v>514</v>
      </c>
      <c r="BE178" s="41" t="s">
        <v>355</v>
      </c>
      <c r="BF178" s="40"/>
      <c r="BG178" s="40"/>
      <c r="BH178" s="40"/>
      <c r="BI178" s="31"/>
      <c r="BJ178" s="32"/>
      <c r="BK178" s="29"/>
    </row>
    <row r="179" spans="2:63">
      <c r="B179" s="41" t="s">
        <v>514</v>
      </c>
      <c r="C179" s="41" t="s">
        <v>355</v>
      </c>
      <c r="D179" s="40"/>
      <c r="E179" s="40"/>
      <c r="F179" s="40"/>
      <c r="G179" s="31"/>
      <c r="H179" s="32"/>
      <c r="I179" s="29"/>
      <c r="K179" s="41" t="s">
        <v>514</v>
      </c>
      <c r="L179" s="41" t="s">
        <v>355</v>
      </c>
      <c r="M179" s="40"/>
      <c r="N179" s="40"/>
      <c r="O179" s="40"/>
      <c r="P179" s="31"/>
      <c r="Q179" s="32"/>
      <c r="R179" s="29"/>
      <c r="T179" s="41" t="s">
        <v>514</v>
      </c>
      <c r="U179" s="41" t="s">
        <v>355</v>
      </c>
      <c r="V179" s="40"/>
      <c r="W179" s="40"/>
      <c r="X179" s="40"/>
      <c r="Y179" s="31"/>
      <c r="Z179" s="32"/>
      <c r="AA179" s="29"/>
      <c r="AC179" s="41" t="s">
        <v>514</v>
      </c>
      <c r="AD179" s="41" t="s">
        <v>355</v>
      </c>
      <c r="AE179" s="40"/>
      <c r="AF179" s="40"/>
      <c r="AG179" s="40"/>
      <c r="AH179" s="31"/>
      <c r="AI179" s="32"/>
      <c r="AJ179" s="29"/>
      <c r="AL179" s="41" t="s">
        <v>514</v>
      </c>
      <c r="AM179" s="41" t="s">
        <v>355</v>
      </c>
      <c r="AN179" s="40"/>
      <c r="AO179" s="40"/>
      <c r="AP179" s="40"/>
      <c r="AQ179" s="31"/>
      <c r="AR179" s="32"/>
      <c r="AS179" s="29"/>
      <c r="AU179" s="41" t="s">
        <v>514</v>
      </c>
      <c r="AV179" s="41" t="s">
        <v>355</v>
      </c>
      <c r="AW179" s="40"/>
      <c r="AX179" s="40"/>
      <c r="AY179" s="40"/>
      <c r="AZ179" s="31"/>
      <c r="BA179" s="32"/>
      <c r="BB179" s="29"/>
      <c r="BD179" s="41" t="s">
        <v>514</v>
      </c>
      <c r="BE179" s="41" t="s">
        <v>355</v>
      </c>
      <c r="BF179" s="40"/>
      <c r="BG179" s="40"/>
      <c r="BH179" s="40"/>
      <c r="BI179" s="31"/>
      <c r="BJ179" s="32"/>
      <c r="BK179" s="29"/>
    </row>
    <row r="180" spans="2:63">
      <c r="B180" s="41" t="s">
        <v>514</v>
      </c>
      <c r="C180" s="41" t="s">
        <v>355</v>
      </c>
      <c r="D180" s="40"/>
      <c r="E180" s="40"/>
      <c r="F180" s="40"/>
      <c r="G180" s="31"/>
      <c r="H180" s="32"/>
      <c r="I180" s="29"/>
      <c r="K180" s="41" t="s">
        <v>514</v>
      </c>
      <c r="L180" s="41" t="s">
        <v>355</v>
      </c>
      <c r="M180" s="40"/>
      <c r="N180" s="40"/>
      <c r="O180" s="40"/>
      <c r="P180" s="31"/>
      <c r="Q180" s="32"/>
      <c r="R180" s="29"/>
      <c r="T180" s="41" t="s">
        <v>514</v>
      </c>
      <c r="U180" s="41" t="s">
        <v>355</v>
      </c>
      <c r="V180" s="40"/>
      <c r="W180" s="40"/>
      <c r="X180" s="40"/>
      <c r="Y180" s="31"/>
      <c r="Z180" s="32"/>
      <c r="AA180" s="29"/>
      <c r="AC180" s="41" t="s">
        <v>514</v>
      </c>
      <c r="AD180" s="41" t="s">
        <v>355</v>
      </c>
      <c r="AE180" s="40"/>
      <c r="AF180" s="40"/>
      <c r="AG180" s="40"/>
      <c r="AH180" s="31"/>
      <c r="AI180" s="32"/>
      <c r="AJ180" s="29"/>
      <c r="AL180" s="41" t="s">
        <v>514</v>
      </c>
      <c r="AM180" s="41" t="s">
        <v>355</v>
      </c>
      <c r="AN180" s="40"/>
      <c r="AO180" s="40"/>
      <c r="AP180" s="40"/>
      <c r="AQ180" s="31"/>
      <c r="AR180" s="32"/>
      <c r="AS180" s="29"/>
      <c r="AU180" s="41" t="s">
        <v>514</v>
      </c>
      <c r="AV180" s="41" t="s">
        <v>355</v>
      </c>
      <c r="AW180" s="40"/>
      <c r="AX180" s="40"/>
      <c r="AY180" s="40"/>
      <c r="AZ180" s="31"/>
      <c r="BA180" s="32"/>
      <c r="BB180" s="29"/>
      <c r="BD180" s="41" t="s">
        <v>514</v>
      </c>
      <c r="BE180" s="41" t="s">
        <v>355</v>
      </c>
      <c r="BF180" s="40"/>
      <c r="BG180" s="40"/>
      <c r="BH180" s="40"/>
      <c r="BI180" s="31"/>
      <c r="BJ180" s="32"/>
      <c r="BK180" s="29"/>
    </row>
    <row r="181" spans="2:63">
      <c r="B181" s="41" t="s">
        <v>514</v>
      </c>
      <c r="C181" s="41" t="s">
        <v>355</v>
      </c>
      <c r="D181" s="40"/>
      <c r="E181" s="40"/>
      <c r="F181" s="40"/>
      <c r="G181" s="31"/>
      <c r="H181" s="32"/>
      <c r="I181" s="29"/>
      <c r="K181" s="41" t="s">
        <v>514</v>
      </c>
      <c r="L181" s="41" t="s">
        <v>355</v>
      </c>
      <c r="M181" s="40"/>
      <c r="N181" s="40"/>
      <c r="O181" s="40"/>
      <c r="P181" s="31"/>
      <c r="Q181" s="32"/>
      <c r="R181" s="29"/>
      <c r="T181" s="41" t="s">
        <v>514</v>
      </c>
      <c r="U181" s="41" t="s">
        <v>355</v>
      </c>
      <c r="V181" s="40"/>
      <c r="W181" s="40"/>
      <c r="X181" s="40"/>
      <c r="Y181" s="31"/>
      <c r="Z181" s="32"/>
      <c r="AA181" s="29"/>
      <c r="AC181" s="41" t="s">
        <v>514</v>
      </c>
      <c r="AD181" s="41" t="s">
        <v>355</v>
      </c>
      <c r="AE181" s="40"/>
      <c r="AF181" s="40"/>
      <c r="AG181" s="40"/>
      <c r="AH181" s="31"/>
      <c r="AI181" s="32"/>
      <c r="AJ181" s="29"/>
      <c r="AL181" s="41" t="s">
        <v>514</v>
      </c>
      <c r="AM181" s="41" t="s">
        <v>355</v>
      </c>
      <c r="AN181" s="40"/>
      <c r="AO181" s="40"/>
      <c r="AP181" s="40"/>
      <c r="AQ181" s="31"/>
      <c r="AR181" s="32"/>
      <c r="AS181" s="29"/>
      <c r="AU181" s="41" t="s">
        <v>514</v>
      </c>
      <c r="AV181" s="41" t="s">
        <v>355</v>
      </c>
      <c r="AW181" s="40"/>
      <c r="AX181" s="40"/>
      <c r="AY181" s="40"/>
      <c r="AZ181" s="31"/>
      <c r="BA181" s="32"/>
      <c r="BB181" s="29"/>
      <c r="BD181" s="41" t="s">
        <v>514</v>
      </c>
      <c r="BE181" s="41" t="s">
        <v>355</v>
      </c>
      <c r="BF181" s="40"/>
      <c r="BG181" s="40"/>
      <c r="BH181" s="40"/>
      <c r="BI181" s="31"/>
      <c r="BJ181" s="32"/>
      <c r="BK181" s="29"/>
    </row>
    <row r="182" spans="2:63">
      <c r="B182" s="41" t="s">
        <v>514</v>
      </c>
      <c r="C182" s="41" t="s">
        <v>355</v>
      </c>
      <c r="D182" s="40"/>
      <c r="E182" s="40"/>
      <c r="F182" s="40"/>
      <c r="G182" s="31"/>
      <c r="H182" s="32"/>
      <c r="I182" s="29"/>
      <c r="K182" s="41" t="s">
        <v>514</v>
      </c>
      <c r="L182" s="41" t="s">
        <v>355</v>
      </c>
      <c r="M182" s="40"/>
      <c r="N182" s="40"/>
      <c r="O182" s="40"/>
      <c r="P182" s="31"/>
      <c r="Q182" s="32"/>
      <c r="R182" s="29"/>
      <c r="T182" s="41" t="s">
        <v>514</v>
      </c>
      <c r="U182" s="41" t="s">
        <v>355</v>
      </c>
      <c r="V182" s="40"/>
      <c r="W182" s="40"/>
      <c r="X182" s="40"/>
      <c r="Y182" s="31"/>
      <c r="Z182" s="32"/>
      <c r="AA182" s="29"/>
      <c r="AC182" s="41" t="s">
        <v>514</v>
      </c>
      <c r="AD182" s="41" t="s">
        <v>355</v>
      </c>
      <c r="AE182" s="40"/>
      <c r="AF182" s="40"/>
      <c r="AG182" s="40"/>
      <c r="AH182" s="31"/>
      <c r="AI182" s="32"/>
      <c r="AJ182" s="29"/>
      <c r="AL182" s="41" t="s">
        <v>514</v>
      </c>
      <c r="AM182" s="41" t="s">
        <v>355</v>
      </c>
      <c r="AN182" s="40"/>
      <c r="AO182" s="40"/>
      <c r="AP182" s="40"/>
      <c r="AQ182" s="31"/>
      <c r="AR182" s="32"/>
      <c r="AS182" s="29"/>
      <c r="AU182" s="41" t="s">
        <v>514</v>
      </c>
      <c r="AV182" s="41" t="s">
        <v>355</v>
      </c>
      <c r="AW182" s="40"/>
      <c r="AX182" s="40"/>
      <c r="AY182" s="40"/>
      <c r="AZ182" s="31"/>
      <c r="BA182" s="32"/>
      <c r="BB182" s="29"/>
      <c r="BD182" s="41" t="s">
        <v>514</v>
      </c>
      <c r="BE182" s="41" t="s">
        <v>355</v>
      </c>
      <c r="BF182" s="40"/>
      <c r="BG182" s="40"/>
      <c r="BH182" s="40"/>
      <c r="BI182" s="31"/>
      <c r="BJ182" s="32"/>
      <c r="BK182" s="29"/>
    </row>
    <row r="183" spans="2:63">
      <c r="B183" s="41" t="s">
        <v>514</v>
      </c>
      <c r="C183" s="41" t="s">
        <v>355</v>
      </c>
      <c r="D183" s="40"/>
      <c r="E183" s="40"/>
      <c r="F183" s="40"/>
      <c r="G183" s="31"/>
      <c r="H183" s="32"/>
      <c r="I183" s="29"/>
      <c r="K183" s="41" t="s">
        <v>514</v>
      </c>
      <c r="L183" s="41" t="s">
        <v>355</v>
      </c>
      <c r="M183" s="40"/>
      <c r="N183" s="40"/>
      <c r="O183" s="40"/>
      <c r="P183" s="31"/>
      <c r="Q183" s="32"/>
      <c r="R183" s="29"/>
      <c r="T183" s="41" t="s">
        <v>514</v>
      </c>
      <c r="U183" s="41" t="s">
        <v>355</v>
      </c>
      <c r="V183" s="40"/>
      <c r="W183" s="40"/>
      <c r="X183" s="40"/>
      <c r="Y183" s="31"/>
      <c r="Z183" s="32"/>
      <c r="AA183" s="29"/>
      <c r="AC183" s="41" t="s">
        <v>514</v>
      </c>
      <c r="AD183" s="41" t="s">
        <v>355</v>
      </c>
      <c r="AE183" s="40"/>
      <c r="AF183" s="40"/>
      <c r="AG183" s="40"/>
      <c r="AH183" s="31"/>
      <c r="AI183" s="32"/>
      <c r="AJ183" s="29"/>
      <c r="AL183" s="41" t="s">
        <v>514</v>
      </c>
      <c r="AM183" s="41" t="s">
        <v>355</v>
      </c>
      <c r="AN183" s="40"/>
      <c r="AO183" s="40"/>
      <c r="AP183" s="40"/>
      <c r="AQ183" s="31"/>
      <c r="AR183" s="32"/>
      <c r="AS183" s="29"/>
      <c r="AU183" s="41" t="s">
        <v>514</v>
      </c>
      <c r="AV183" s="41" t="s">
        <v>355</v>
      </c>
      <c r="AW183" s="40"/>
      <c r="AX183" s="40"/>
      <c r="AY183" s="40"/>
      <c r="AZ183" s="31"/>
      <c r="BA183" s="32"/>
      <c r="BB183" s="29"/>
      <c r="BD183" s="41" t="s">
        <v>514</v>
      </c>
      <c r="BE183" s="41" t="s">
        <v>355</v>
      </c>
      <c r="BF183" s="40"/>
      <c r="BG183" s="40"/>
      <c r="BH183" s="40"/>
      <c r="BI183" s="31"/>
      <c r="BJ183" s="32"/>
      <c r="BK183" s="29"/>
    </row>
    <row r="184" spans="2:63">
      <c r="B184" s="41" t="s">
        <v>514</v>
      </c>
      <c r="C184" s="41" t="s">
        <v>355</v>
      </c>
      <c r="D184" s="40"/>
      <c r="E184" s="40"/>
      <c r="F184" s="40"/>
      <c r="G184" s="31"/>
      <c r="H184" s="32"/>
      <c r="I184" s="29"/>
      <c r="K184" s="41" t="s">
        <v>514</v>
      </c>
      <c r="L184" s="41" t="s">
        <v>355</v>
      </c>
      <c r="M184" s="40"/>
      <c r="N184" s="40"/>
      <c r="O184" s="40"/>
      <c r="P184" s="31"/>
      <c r="Q184" s="32"/>
      <c r="R184" s="29"/>
      <c r="T184" s="41" t="s">
        <v>514</v>
      </c>
      <c r="U184" s="41" t="s">
        <v>355</v>
      </c>
      <c r="V184" s="40"/>
      <c r="W184" s="40"/>
      <c r="X184" s="40"/>
      <c r="Y184" s="31"/>
      <c r="Z184" s="32"/>
      <c r="AA184" s="29"/>
      <c r="AC184" s="41" t="s">
        <v>514</v>
      </c>
      <c r="AD184" s="41" t="s">
        <v>355</v>
      </c>
      <c r="AE184" s="40"/>
      <c r="AF184" s="40"/>
      <c r="AG184" s="40"/>
      <c r="AH184" s="31"/>
      <c r="AI184" s="32"/>
      <c r="AJ184" s="29"/>
      <c r="AL184" s="41" t="s">
        <v>514</v>
      </c>
      <c r="AM184" s="41" t="s">
        <v>355</v>
      </c>
      <c r="AN184" s="40"/>
      <c r="AO184" s="40"/>
      <c r="AP184" s="40"/>
      <c r="AQ184" s="31"/>
      <c r="AR184" s="32"/>
      <c r="AS184" s="29"/>
      <c r="AU184" s="41" t="s">
        <v>514</v>
      </c>
      <c r="AV184" s="41" t="s">
        <v>355</v>
      </c>
      <c r="AW184" s="40"/>
      <c r="AX184" s="40"/>
      <c r="AY184" s="40"/>
      <c r="AZ184" s="31"/>
      <c r="BA184" s="32"/>
      <c r="BB184" s="29"/>
      <c r="BD184" s="41" t="s">
        <v>514</v>
      </c>
      <c r="BE184" s="41" t="s">
        <v>355</v>
      </c>
      <c r="BF184" s="40"/>
      <c r="BG184" s="40"/>
      <c r="BH184" s="40"/>
      <c r="BI184" s="31"/>
      <c r="BJ184" s="32"/>
      <c r="BK184" s="29"/>
    </row>
    <row r="185" spans="2:63" s="24" customFormat="1">
      <c r="B185" s="8" t="s">
        <v>518</v>
      </c>
      <c r="C185" s="25"/>
      <c r="D185" s="30"/>
      <c r="E185" s="30"/>
      <c r="F185" s="28">
        <f t="shared" ref="F185" si="139">SUM(F170:F184)</f>
        <v>1500</v>
      </c>
      <c r="G185" s="25"/>
      <c r="H185" s="26"/>
      <c r="I185" s="30"/>
      <c r="K185" s="8" t="s">
        <v>518</v>
      </c>
      <c r="L185" s="25"/>
      <c r="M185" s="30"/>
      <c r="N185" s="30"/>
      <c r="O185" s="28">
        <f t="shared" ref="O185" si="140">SUM(O170:O184)</f>
        <v>1500</v>
      </c>
      <c r="P185" s="25"/>
      <c r="Q185" s="26"/>
      <c r="R185" s="30"/>
      <c r="T185" s="8" t="s">
        <v>518</v>
      </c>
      <c r="U185" s="25"/>
      <c r="V185" s="30"/>
      <c r="W185" s="30"/>
      <c r="X185" s="28">
        <f t="shared" ref="X185" si="141">SUM(X170:X184)</f>
        <v>1500</v>
      </c>
      <c r="Y185" s="25"/>
      <c r="Z185" s="26"/>
      <c r="AA185" s="30"/>
      <c r="AC185" s="8" t="s">
        <v>518</v>
      </c>
      <c r="AD185" s="25"/>
      <c r="AE185" s="30"/>
      <c r="AF185" s="30"/>
      <c r="AG185" s="28">
        <f t="shared" ref="AG185" si="142">SUM(AG170:AG184)</f>
        <v>1500</v>
      </c>
      <c r="AH185" s="25"/>
      <c r="AI185" s="26"/>
      <c r="AJ185" s="30"/>
      <c r="AL185" s="8" t="s">
        <v>518</v>
      </c>
      <c r="AM185" s="25"/>
      <c r="AN185" s="30"/>
      <c r="AO185" s="30"/>
      <c r="AP185" s="28">
        <f t="shared" ref="AP185" si="143">SUM(AP170:AP184)</f>
        <v>1500</v>
      </c>
      <c r="AQ185" s="25"/>
      <c r="AR185" s="26"/>
      <c r="AS185" s="30"/>
      <c r="AU185" s="8" t="s">
        <v>518</v>
      </c>
      <c r="AV185" s="25"/>
      <c r="AW185" s="30"/>
      <c r="AX185" s="30"/>
      <c r="AY185" s="28">
        <f t="shared" ref="AY185" si="144">SUM(AY170:AY184)</f>
        <v>1500</v>
      </c>
      <c r="AZ185" s="25"/>
      <c r="BA185" s="26"/>
      <c r="BB185" s="30"/>
      <c r="BD185" s="8" t="s">
        <v>518</v>
      </c>
      <c r="BE185" s="25"/>
      <c r="BF185" s="30"/>
      <c r="BG185" s="30"/>
      <c r="BH185" s="28">
        <f t="shared" ref="BH185" si="145">SUM(BH170:BH184)</f>
        <v>1500</v>
      </c>
      <c r="BI185" s="25"/>
      <c r="BJ185" s="26"/>
      <c r="BK185" s="30"/>
    </row>
    <row r="187" spans="2:63" s="20" customFormat="1" ht="41.4">
      <c r="B187" s="27" t="s">
        <v>14</v>
      </c>
      <c r="C187" s="3" t="str">
        <f>C$43</f>
        <v>Source</v>
      </c>
      <c r="D187" s="3" t="str">
        <f t="shared" ref="D187:I187" si="146">D$43</f>
        <v>Limit (A)</v>
      </c>
      <c r="E187" s="3" t="str">
        <f t="shared" si="146"/>
        <v>Outstanding (A1)</v>
      </c>
      <c r="F187" s="3" t="str">
        <f t="shared" si="146"/>
        <v>Monthly Repayment (B)</v>
      </c>
      <c r="G187" s="3" t="str">
        <f t="shared" si="146"/>
        <v>Interest Rate (C)</v>
      </c>
      <c r="H187" s="3" t="str">
        <f t="shared" si="146"/>
        <v>Factor (D)</v>
      </c>
      <c r="I187" s="3" t="str">
        <f t="shared" si="146"/>
        <v>Interest (E) = (A or A1) * (C) * (D)</v>
      </c>
      <c r="K187" s="27" t="s">
        <v>14</v>
      </c>
      <c r="L187" s="3" t="str">
        <f>L$43</f>
        <v>Source</v>
      </c>
      <c r="M187" s="3" t="str">
        <f t="shared" ref="M187:R187" si="147">M$43</f>
        <v>Limit (A)</v>
      </c>
      <c r="N187" s="3" t="str">
        <f t="shared" si="147"/>
        <v>Outstanding (A1)</v>
      </c>
      <c r="O187" s="3" t="str">
        <f t="shared" si="147"/>
        <v>Monthly Repayment (B)</v>
      </c>
      <c r="P187" s="3" t="str">
        <f t="shared" si="147"/>
        <v>Interest Rate (C)</v>
      </c>
      <c r="Q187" s="3" t="str">
        <f t="shared" si="147"/>
        <v>Factor (D)</v>
      </c>
      <c r="R187" s="3" t="str">
        <f t="shared" si="147"/>
        <v>Interest (E) = (A or A1) * (C) * (D)</v>
      </c>
      <c r="T187" s="27" t="s">
        <v>14</v>
      </c>
      <c r="U187" s="3" t="str">
        <f>U$43</f>
        <v>Source</v>
      </c>
      <c r="V187" s="3" t="str">
        <f t="shared" ref="V187:AA187" si="148">V$43</f>
        <v>Limit (A)</v>
      </c>
      <c r="W187" s="3" t="str">
        <f t="shared" si="148"/>
        <v>Outstanding (A1)</v>
      </c>
      <c r="X187" s="3" t="str">
        <f t="shared" si="148"/>
        <v>Monthly Repayment (B)</v>
      </c>
      <c r="Y187" s="3" t="str">
        <f t="shared" si="148"/>
        <v>Interest Rate (C)</v>
      </c>
      <c r="Z187" s="3" t="str">
        <f t="shared" si="148"/>
        <v>Factor (D)</v>
      </c>
      <c r="AA187" s="3" t="str">
        <f t="shared" si="148"/>
        <v>Interest (E) = (A or A1) * (C) * (D)</v>
      </c>
      <c r="AC187" s="27" t="s">
        <v>14</v>
      </c>
      <c r="AD187" s="3" t="str">
        <f>AD$43</f>
        <v>Source</v>
      </c>
      <c r="AE187" s="3" t="str">
        <f t="shared" ref="AE187:AJ187" si="149">AE$43</f>
        <v>Limit (A)</v>
      </c>
      <c r="AF187" s="3" t="str">
        <f t="shared" si="149"/>
        <v>Outstanding (A1)</v>
      </c>
      <c r="AG187" s="3" t="str">
        <f t="shared" si="149"/>
        <v>Monthly Repayment (B)</v>
      </c>
      <c r="AH187" s="3" t="str">
        <f t="shared" si="149"/>
        <v>Interest Rate (C)</v>
      </c>
      <c r="AI187" s="3" t="str">
        <f t="shared" si="149"/>
        <v>Factor (D)</v>
      </c>
      <c r="AJ187" s="3" t="str">
        <f t="shared" si="149"/>
        <v>Interest (E) = (A or A1) * (C) * (D)</v>
      </c>
      <c r="AL187" s="27" t="s">
        <v>14</v>
      </c>
      <c r="AM187" s="3" t="str">
        <f>AM$43</f>
        <v>Source</v>
      </c>
      <c r="AN187" s="3" t="str">
        <f t="shared" ref="AN187:AS187" si="150">AN$43</f>
        <v>Limit (A)</v>
      </c>
      <c r="AO187" s="3" t="str">
        <f t="shared" si="150"/>
        <v>Outstanding (A1)</v>
      </c>
      <c r="AP187" s="3" t="str">
        <f t="shared" si="150"/>
        <v>Monthly Repayment (B)</v>
      </c>
      <c r="AQ187" s="3" t="str">
        <f t="shared" si="150"/>
        <v>Interest Rate (C)</v>
      </c>
      <c r="AR187" s="3" t="str">
        <f t="shared" si="150"/>
        <v>Factor (D)</v>
      </c>
      <c r="AS187" s="3" t="str">
        <f t="shared" si="150"/>
        <v>Interest (E) = (A or A1) * (C) * (D)</v>
      </c>
      <c r="AU187" s="27" t="s">
        <v>14</v>
      </c>
      <c r="AV187" s="3" t="str">
        <f>AV$43</f>
        <v>Source</v>
      </c>
      <c r="AW187" s="3" t="str">
        <f t="shared" ref="AW187:BB187" si="151">AW$43</f>
        <v>Limit (A)</v>
      </c>
      <c r="AX187" s="3" t="str">
        <f t="shared" si="151"/>
        <v>Outstanding (A1)</v>
      </c>
      <c r="AY187" s="3" t="str">
        <f t="shared" si="151"/>
        <v>Monthly Repayment (B)</v>
      </c>
      <c r="AZ187" s="3" t="str">
        <f t="shared" si="151"/>
        <v>Interest Rate (C)</v>
      </c>
      <c r="BA187" s="3" t="str">
        <f t="shared" si="151"/>
        <v>Factor (D)</v>
      </c>
      <c r="BB187" s="3" t="str">
        <f t="shared" si="151"/>
        <v>Interest (E) = (A or A1) * (C) * (D)</v>
      </c>
      <c r="BD187" s="27" t="s">
        <v>14</v>
      </c>
      <c r="BE187" s="3" t="str">
        <f>BE$43</f>
        <v>Source</v>
      </c>
      <c r="BF187" s="3" t="str">
        <f t="shared" ref="BF187:BK187" si="152">BF$43</f>
        <v>Limit (A)</v>
      </c>
      <c r="BG187" s="3" t="str">
        <f t="shared" si="152"/>
        <v>Outstanding (A1)</v>
      </c>
      <c r="BH187" s="3" t="str">
        <f t="shared" si="152"/>
        <v>Monthly Repayment (B)</v>
      </c>
      <c r="BI187" s="3" t="str">
        <f t="shared" si="152"/>
        <v>Interest Rate (C)</v>
      </c>
      <c r="BJ187" s="3" t="str">
        <f t="shared" si="152"/>
        <v>Factor (D)</v>
      </c>
      <c r="BK187" s="3" t="str">
        <f t="shared" si="152"/>
        <v>Interest (E) = (A or A1) * (C) * (D)</v>
      </c>
    </row>
    <row r="188" spans="2:63">
      <c r="B188" s="41" t="s">
        <v>514</v>
      </c>
      <c r="C188" s="41" t="s">
        <v>355</v>
      </c>
      <c r="D188" s="40">
        <v>100000</v>
      </c>
      <c r="E188" s="40">
        <v>50000</v>
      </c>
      <c r="F188" s="29"/>
      <c r="G188" s="22">
        <v>0.08</v>
      </c>
      <c r="H188" s="23">
        <v>0.82</v>
      </c>
      <c r="I188" s="75">
        <f>D188*G188*H188</f>
        <v>6560</v>
      </c>
      <c r="K188" s="41" t="s">
        <v>514</v>
      </c>
      <c r="L188" s="41" t="s">
        <v>355</v>
      </c>
      <c r="M188" s="40">
        <v>100000</v>
      </c>
      <c r="N188" s="40">
        <v>50000</v>
      </c>
      <c r="O188" s="29"/>
      <c r="P188" s="22">
        <v>0.08</v>
      </c>
      <c r="Q188" s="23">
        <v>0.82</v>
      </c>
      <c r="R188" s="75">
        <f>M188*P188*Q188</f>
        <v>6560</v>
      </c>
      <c r="T188" s="41" t="s">
        <v>514</v>
      </c>
      <c r="U188" s="41" t="s">
        <v>355</v>
      </c>
      <c r="V188" s="40">
        <v>100000</v>
      </c>
      <c r="W188" s="40">
        <v>50000</v>
      </c>
      <c r="X188" s="29"/>
      <c r="Y188" s="22">
        <v>0.08</v>
      </c>
      <c r="Z188" s="23">
        <v>0.82</v>
      </c>
      <c r="AA188" s="75">
        <f>V188*Y188*Z188</f>
        <v>6560</v>
      </c>
      <c r="AC188" s="41" t="s">
        <v>514</v>
      </c>
      <c r="AD188" s="41" t="s">
        <v>355</v>
      </c>
      <c r="AE188" s="40">
        <v>100000</v>
      </c>
      <c r="AF188" s="40">
        <v>50000</v>
      </c>
      <c r="AG188" s="29"/>
      <c r="AH188" s="22">
        <v>0.08</v>
      </c>
      <c r="AI188" s="23">
        <v>0.82</v>
      </c>
      <c r="AJ188" s="75">
        <f>AE188*AH188*AI188</f>
        <v>6560</v>
      </c>
      <c r="AL188" s="41" t="s">
        <v>514</v>
      </c>
      <c r="AM188" s="41" t="s">
        <v>355</v>
      </c>
      <c r="AN188" s="40">
        <v>100000</v>
      </c>
      <c r="AO188" s="40">
        <v>50000</v>
      </c>
      <c r="AP188" s="29"/>
      <c r="AQ188" s="22">
        <v>0.08</v>
      </c>
      <c r="AR188" s="23">
        <v>0.82</v>
      </c>
      <c r="AS188" s="75">
        <f>AN188*AQ188*AR188</f>
        <v>6560</v>
      </c>
      <c r="AU188" s="41" t="s">
        <v>514</v>
      </c>
      <c r="AV188" s="41" t="s">
        <v>355</v>
      </c>
      <c r="AW188" s="40">
        <v>100000</v>
      </c>
      <c r="AX188" s="40">
        <v>50000</v>
      </c>
      <c r="AY188" s="29"/>
      <c r="AZ188" s="22">
        <v>0.08</v>
      </c>
      <c r="BA188" s="23">
        <v>0.82</v>
      </c>
      <c r="BB188" s="75">
        <f>AW188*AZ188*BA188</f>
        <v>6560</v>
      </c>
      <c r="BD188" s="41" t="s">
        <v>514</v>
      </c>
      <c r="BE188" s="41" t="s">
        <v>355</v>
      </c>
      <c r="BF188" s="40">
        <v>100000</v>
      </c>
      <c r="BG188" s="40">
        <v>50000</v>
      </c>
      <c r="BH188" s="29"/>
      <c r="BI188" s="22">
        <v>0.08</v>
      </c>
      <c r="BJ188" s="23">
        <v>0.82</v>
      </c>
      <c r="BK188" s="75">
        <f>BF188*BI188*BJ188</f>
        <v>6560</v>
      </c>
    </row>
    <row r="189" spans="2:63">
      <c r="B189" s="41" t="s">
        <v>514</v>
      </c>
      <c r="C189" s="41" t="s">
        <v>355</v>
      </c>
      <c r="D189" s="40"/>
      <c r="E189" s="40"/>
      <c r="F189" s="29"/>
      <c r="G189" s="22"/>
      <c r="H189" s="23">
        <v>0.82</v>
      </c>
      <c r="I189" s="75">
        <f t="shared" ref="I189:I202" si="153">D189*G189*H189</f>
        <v>0</v>
      </c>
      <c r="K189" s="41" t="s">
        <v>514</v>
      </c>
      <c r="L189" s="41" t="s">
        <v>355</v>
      </c>
      <c r="M189" s="40"/>
      <c r="N189" s="40"/>
      <c r="O189" s="29"/>
      <c r="P189" s="22"/>
      <c r="Q189" s="23">
        <v>0.82</v>
      </c>
      <c r="R189" s="75">
        <f t="shared" ref="R189:R202" si="154">M189*P189*Q189</f>
        <v>0</v>
      </c>
      <c r="T189" s="41" t="s">
        <v>514</v>
      </c>
      <c r="U189" s="41" t="s">
        <v>355</v>
      </c>
      <c r="V189" s="40"/>
      <c r="W189" s="40"/>
      <c r="X189" s="29"/>
      <c r="Y189" s="22"/>
      <c r="Z189" s="23">
        <v>0.82</v>
      </c>
      <c r="AA189" s="75">
        <f t="shared" ref="AA189:AA202" si="155">V189*Y189*Z189</f>
        <v>0</v>
      </c>
      <c r="AC189" s="41" t="s">
        <v>514</v>
      </c>
      <c r="AD189" s="41" t="s">
        <v>355</v>
      </c>
      <c r="AE189" s="40"/>
      <c r="AF189" s="40"/>
      <c r="AG189" s="29"/>
      <c r="AH189" s="22"/>
      <c r="AI189" s="23">
        <v>0.82</v>
      </c>
      <c r="AJ189" s="75">
        <f t="shared" ref="AJ189:AJ202" si="156">AE189*AH189*AI189</f>
        <v>0</v>
      </c>
      <c r="AL189" s="41" t="s">
        <v>514</v>
      </c>
      <c r="AM189" s="41" t="s">
        <v>355</v>
      </c>
      <c r="AN189" s="40"/>
      <c r="AO189" s="40"/>
      <c r="AP189" s="29"/>
      <c r="AQ189" s="22"/>
      <c r="AR189" s="23">
        <v>0.82</v>
      </c>
      <c r="AS189" s="75">
        <f t="shared" ref="AS189:AS202" si="157">AN189*AQ189*AR189</f>
        <v>0</v>
      </c>
      <c r="AU189" s="41" t="s">
        <v>514</v>
      </c>
      <c r="AV189" s="41" t="s">
        <v>355</v>
      </c>
      <c r="AW189" s="40"/>
      <c r="AX189" s="40"/>
      <c r="AY189" s="29"/>
      <c r="AZ189" s="22"/>
      <c r="BA189" s="23">
        <v>0.82</v>
      </c>
      <c r="BB189" s="75">
        <f t="shared" ref="BB189:BB202" si="158">AW189*AZ189*BA189</f>
        <v>0</v>
      </c>
      <c r="BD189" s="41" t="s">
        <v>514</v>
      </c>
      <c r="BE189" s="41" t="s">
        <v>355</v>
      </c>
      <c r="BF189" s="40"/>
      <c r="BG189" s="40"/>
      <c r="BH189" s="29"/>
      <c r="BI189" s="22"/>
      <c r="BJ189" s="23">
        <v>0.82</v>
      </c>
      <c r="BK189" s="75">
        <f t="shared" ref="BK189:BK202" si="159">BF189*BI189*BJ189</f>
        <v>0</v>
      </c>
    </row>
    <row r="190" spans="2:63">
      <c r="B190" s="41" t="s">
        <v>514</v>
      </c>
      <c r="C190" s="41" t="s">
        <v>355</v>
      </c>
      <c r="D190" s="40"/>
      <c r="E190" s="40"/>
      <c r="F190" s="29"/>
      <c r="G190" s="22"/>
      <c r="H190" s="23">
        <v>0.82</v>
      </c>
      <c r="I190" s="75">
        <f t="shared" si="153"/>
        <v>0</v>
      </c>
      <c r="K190" s="41" t="s">
        <v>514</v>
      </c>
      <c r="L190" s="41" t="s">
        <v>355</v>
      </c>
      <c r="M190" s="40"/>
      <c r="N190" s="40"/>
      <c r="O190" s="29"/>
      <c r="P190" s="22"/>
      <c r="Q190" s="23">
        <v>0.82</v>
      </c>
      <c r="R190" s="75">
        <f t="shared" si="154"/>
        <v>0</v>
      </c>
      <c r="T190" s="41" t="s">
        <v>514</v>
      </c>
      <c r="U190" s="41" t="s">
        <v>355</v>
      </c>
      <c r="V190" s="40"/>
      <c r="W190" s="40"/>
      <c r="X190" s="29"/>
      <c r="Y190" s="22"/>
      <c r="Z190" s="23">
        <v>0.82</v>
      </c>
      <c r="AA190" s="75">
        <f t="shared" si="155"/>
        <v>0</v>
      </c>
      <c r="AC190" s="41" t="s">
        <v>514</v>
      </c>
      <c r="AD190" s="41" t="s">
        <v>355</v>
      </c>
      <c r="AE190" s="40"/>
      <c r="AF190" s="40"/>
      <c r="AG190" s="29"/>
      <c r="AH190" s="22"/>
      <c r="AI190" s="23">
        <v>0.82</v>
      </c>
      <c r="AJ190" s="75">
        <f t="shared" si="156"/>
        <v>0</v>
      </c>
      <c r="AL190" s="41" t="s">
        <v>514</v>
      </c>
      <c r="AM190" s="41" t="s">
        <v>355</v>
      </c>
      <c r="AN190" s="40"/>
      <c r="AO190" s="40"/>
      <c r="AP190" s="29"/>
      <c r="AQ190" s="22"/>
      <c r="AR190" s="23">
        <v>0.82</v>
      </c>
      <c r="AS190" s="75">
        <f t="shared" si="157"/>
        <v>0</v>
      </c>
      <c r="AU190" s="41" t="s">
        <v>514</v>
      </c>
      <c r="AV190" s="41" t="s">
        <v>355</v>
      </c>
      <c r="AW190" s="40"/>
      <c r="AX190" s="40"/>
      <c r="AY190" s="29"/>
      <c r="AZ190" s="22"/>
      <c r="BA190" s="23">
        <v>0.82</v>
      </c>
      <c r="BB190" s="75">
        <f t="shared" si="158"/>
        <v>0</v>
      </c>
      <c r="BD190" s="41" t="s">
        <v>514</v>
      </c>
      <c r="BE190" s="41" t="s">
        <v>355</v>
      </c>
      <c r="BF190" s="40"/>
      <c r="BG190" s="40"/>
      <c r="BH190" s="29"/>
      <c r="BI190" s="22"/>
      <c r="BJ190" s="23">
        <v>0.82</v>
      </c>
      <c r="BK190" s="75">
        <f t="shared" si="159"/>
        <v>0</v>
      </c>
    </row>
    <row r="191" spans="2:63">
      <c r="B191" s="41" t="s">
        <v>514</v>
      </c>
      <c r="C191" s="41" t="s">
        <v>355</v>
      </c>
      <c r="D191" s="40"/>
      <c r="E191" s="40"/>
      <c r="F191" s="29"/>
      <c r="G191" s="22"/>
      <c r="H191" s="23">
        <v>0.82</v>
      </c>
      <c r="I191" s="75">
        <f t="shared" si="153"/>
        <v>0</v>
      </c>
      <c r="K191" s="41" t="s">
        <v>514</v>
      </c>
      <c r="L191" s="41" t="s">
        <v>355</v>
      </c>
      <c r="M191" s="40"/>
      <c r="N191" s="40"/>
      <c r="O191" s="29"/>
      <c r="P191" s="22"/>
      <c r="Q191" s="23">
        <v>0.82</v>
      </c>
      <c r="R191" s="75">
        <f t="shared" si="154"/>
        <v>0</v>
      </c>
      <c r="T191" s="41" t="s">
        <v>514</v>
      </c>
      <c r="U191" s="41" t="s">
        <v>355</v>
      </c>
      <c r="V191" s="40"/>
      <c r="W191" s="40"/>
      <c r="X191" s="29"/>
      <c r="Y191" s="22"/>
      <c r="Z191" s="23">
        <v>0.82</v>
      </c>
      <c r="AA191" s="75">
        <f t="shared" si="155"/>
        <v>0</v>
      </c>
      <c r="AC191" s="41" t="s">
        <v>514</v>
      </c>
      <c r="AD191" s="41" t="s">
        <v>355</v>
      </c>
      <c r="AE191" s="40"/>
      <c r="AF191" s="40"/>
      <c r="AG191" s="29"/>
      <c r="AH191" s="22"/>
      <c r="AI191" s="23">
        <v>0.82</v>
      </c>
      <c r="AJ191" s="75">
        <f t="shared" si="156"/>
        <v>0</v>
      </c>
      <c r="AL191" s="41" t="s">
        <v>514</v>
      </c>
      <c r="AM191" s="41" t="s">
        <v>355</v>
      </c>
      <c r="AN191" s="40"/>
      <c r="AO191" s="40"/>
      <c r="AP191" s="29"/>
      <c r="AQ191" s="22"/>
      <c r="AR191" s="23">
        <v>0.82</v>
      </c>
      <c r="AS191" s="75">
        <f t="shared" si="157"/>
        <v>0</v>
      </c>
      <c r="AU191" s="41" t="s">
        <v>514</v>
      </c>
      <c r="AV191" s="41" t="s">
        <v>355</v>
      </c>
      <c r="AW191" s="40"/>
      <c r="AX191" s="40"/>
      <c r="AY191" s="29"/>
      <c r="AZ191" s="22"/>
      <c r="BA191" s="23">
        <v>0.82</v>
      </c>
      <c r="BB191" s="75">
        <f t="shared" si="158"/>
        <v>0</v>
      </c>
      <c r="BD191" s="41" t="s">
        <v>514</v>
      </c>
      <c r="BE191" s="41" t="s">
        <v>355</v>
      </c>
      <c r="BF191" s="40"/>
      <c r="BG191" s="40"/>
      <c r="BH191" s="29"/>
      <c r="BI191" s="22"/>
      <c r="BJ191" s="23">
        <v>0.82</v>
      </c>
      <c r="BK191" s="75">
        <f t="shared" si="159"/>
        <v>0</v>
      </c>
    </row>
    <row r="192" spans="2:63">
      <c r="B192" s="41" t="s">
        <v>514</v>
      </c>
      <c r="C192" s="41" t="s">
        <v>355</v>
      </c>
      <c r="D192" s="40"/>
      <c r="E192" s="40"/>
      <c r="F192" s="29"/>
      <c r="G192" s="22"/>
      <c r="H192" s="23">
        <v>0.82</v>
      </c>
      <c r="I192" s="75">
        <f t="shared" si="153"/>
        <v>0</v>
      </c>
      <c r="K192" s="41" t="s">
        <v>514</v>
      </c>
      <c r="L192" s="41" t="s">
        <v>355</v>
      </c>
      <c r="M192" s="40"/>
      <c r="N192" s="40"/>
      <c r="O192" s="29"/>
      <c r="P192" s="22"/>
      <c r="Q192" s="23">
        <v>0.82</v>
      </c>
      <c r="R192" s="75">
        <f t="shared" si="154"/>
        <v>0</v>
      </c>
      <c r="T192" s="41" t="s">
        <v>514</v>
      </c>
      <c r="U192" s="41" t="s">
        <v>355</v>
      </c>
      <c r="V192" s="40"/>
      <c r="W192" s="40"/>
      <c r="X192" s="29"/>
      <c r="Y192" s="22"/>
      <c r="Z192" s="23">
        <v>0.82</v>
      </c>
      <c r="AA192" s="75">
        <f t="shared" si="155"/>
        <v>0</v>
      </c>
      <c r="AC192" s="41" t="s">
        <v>514</v>
      </c>
      <c r="AD192" s="41" t="s">
        <v>355</v>
      </c>
      <c r="AE192" s="40"/>
      <c r="AF192" s="40"/>
      <c r="AG192" s="29"/>
      <c r="AH192" s="22"/>
      <c r="AI192" s="23">
        <v>0.82</v>
      </c>
      <c r="AJ192" s="75">
        <f t="shared" si="156"/>
        <v>0</v>
      </c>
      <c r="AL192" s="41" t="s">
        <v>514</v>
      </c>
      <c r="AM192" s="41" t="s">
        <v>355</v>
      </c>
      <c r="AN192" s="40"/>
      <c r="AO192" s="40"/>
      <c r="AP192" s="29"/>
      <c r="AQ192" s="22"/>
      <c r="AR192" s="23">
        <v>0.82</v>
      </c>
      <c r="AS192" s="75">
        <f t="shared" si="157"/>
        <v>0</v>
      </c>
      <c r="AU192" s="41" t="s">
        <v>514</v>
      </c>
      <c r="AV192" s="41" t="s">
        <v>355</v>
      </c>
      <c r="AW192" s="40"/>
      <c r="AX192" s="40"/>
      <c r="AY192" s="29"/>
      <c r="AZ192" s="22"/>
      <c r="BA192" s="23">
        <v>0.82</v>
      </c>
      <c r="BB192" s="75">
        <f t="shared" si="158"/>
        <v>0</v>
      </c>
      <c r="BD192" s="41" t="s">
        <v>514</v>
      </c>
      <c r="BE192" s="41" t="s">
        <v>355</v>
      </c>
      <c r="BF192" s="40"/>
      <c r="BG192" s="40"/>
      <c r="BH192" s="29"/>
      <c r="BI192" s="22"/>
      <c r="BJ192" s="23">
        <v>0.82</v>
      </c>
      <c r="BK192" s="75">
        <f t="shared" si="159"/>
        <v>0</v>
      </c>
    </row>
    <row r="193" spans="2:63">
      <c r="B193" s="41" t="s">
        <v>514</v>
      </c>
      <c r="C193" s="41" t="s">
        <v>355</v>
      </c>
      <c r="D193" s="40"/>
      <c r="E193" s="40"/>
      <c r="F193" s="29"/>
      <c r="G193" s="22"/>
      <c r="H193" s="23">
        <v>0.82</v>
      </c>
      <c r="I193" s="75">
        <f t="shared" si="153"/>
        <v>0</v>
      </c>
      <c r="K193" s="41" t="s">
        <v>514</v>
      </c>
      <c r="L193" s="41" t="s">
        <v>355</v>
      </c>
      <c r="M193" s="40"/>
      <c r="N193" s="40"/>
      <c r="O193" s="29"/>
      <c r="P193" s="22"/>
      <c r="Q193" s="23">
        <v>0.82</v>
      </c>
      <c r="R193" s="75">
        <f t="shared" si="154"/>
        <v>0</v>
      </c>
      <c r="T193" s="41" t="s">
        <v>514</v>
      </c>
      <c r="U193" s="41" t="s">
        <v>355</v>
      </c>
      <c r="V193" s="40"/>
      <c r="W193" s="40"/>
      <c r="X193" s="29"/>
      <c r="Y193" s="22"/>
      <c r="Z193" s="23">
        <v>0.82</v>
      </c>
      <c r="AA193" s="75">
        <f t="shared" si="155"/>
        <v>0</v>
      </c>
      <c r="AC193" s="41" t="s">
        <v>514</v>
      </c>
      <c r="AD193" s="41" t="s">
        <v>355</v>
      </c>
      <c r="AE193" s="40"/>
      <c r="AF193" s="40"/>
      <c r="AG193" s="29"/>
      <c r="AH193" s="22"/>
      <c r="AI193" s="23">
        <v>0.82</v>
      </c>
      <c r="AJ193" s="75">
        <f t="shared" si="156"/>
        <v>0</v>
      </c>
      <c r="AL193" s="41" t="s">
        <v>514</v>
      </c>
      <c r="AM193" s="41" t="s">
        <v>355</v>
      </c>
      <c r="AN193" s="40"/>
      <c r="AO193" s="40"/>
      <c r="AP193" s="29"/>
      <c r="AQ193" s="22"/>
      <c r="AR193" s="23">
        <v>0.82</v>
      </c>
      <c r="AS193" s="75">
        <f t="shared" si="157"/>
        <v>0</v>
      </c>
      <c r="AU193" s="41" t="s">
        <v>514</v>
      </c>
      <c r="AV193" s="41" t="s">
        <v>355</v>
      </c>
      <c r="AW193" s="40"/>
      <c r="AX193" s="40"/>
      <c r="AY193" s="29"/>
      <c r="AZ193" s="22"/>
      <c r="BA193" s="23">
        <v>0.82</v>
      </c>
      <c r="BB193" s="75">
        <f t="shared" si="158"/>
        <v>0</v>
      </c>
      <c r="BD193" s="41" t="s">
        <v>514</v>
      </c>
      <c r="BE193" s="41" t="s">
        <v>355</v>
      </c>
      <c r="BF193" s="40"/>
      <c r="BG193" s="40"/>
      <c r="BH193" s="29"/>
      <c r="BI193" s="22"/>
      <c r="BJ193" s="23">
        <v>0.82</v>
      </c>
      <c r="BK193" s="75">
        <f t="shared" si="159"/>
        <v>0</v>
      </c>
    </row>
    <row r="194" spans="2:63">
      <c r="B194" s="41" t="s">
        <v>514</v>
      </c>
      <c r="C194" s="41" t="s">
        <v>355</v>
      </c>
      <c r="D194" s="40"/>
      <c r="E194" s="40"/>
      <c r="F194" s="29"/>
      <c r="G194" s="22"/>
      <c r="H194" s="23">
        <v>0.82</v>
      </c>
      <c r="I194" s="75">
        <f t="shared" si="153"/>
        <v>0</v>
      </c>
      <c r="K194" s="41" t="s">
        <v>514</v>
      </c>
      <c r="L194" s="41" t="s">
        <v>355</v>
      </c>
      <c r="M194" s="40"/>
      <c r="N194" s="40"/>
      <c r="O194" s="29"/>
      <c r="P194" s="22"/>
      <c r="Q194" s="23">
        <v>0.82</v>
      </c>
      <c r="R194" s="75">
        <f t="shared" si="154"/>
        <v>0</v>
      </c>
      <c r="T194" s="41" t="s">
        <v>514</v>
      </c>
      <c r="U194" s="41" t="s">
        <v>355</v>
      </c>
      <c r="V194" s="40"/>
      <c r="W194" s="40"/>
      <c r="X194" s="29"/>
      <c r="Y194" s="22"/>
      <c r="Z194" s="23">
        <v>0.82</v>
      </c>
      <c r="AA194" s="75">
        <f t="shared" si="155"/>
        <v>0</v>
      </c>
      <c r="AC194" s="41" t="s">
        <v>514</v>
      </c>
      <c r="AD194" s="41" t="s">
        <v>355</v>
      </c>
      <c r="AE194" s="40"/>
      <c r="AF194" s="40"/>
      <c r="AG194" s="29"/>
      <c r="AH194" s="22"/>
      <c r="AI194" s="23">
        <v>0.82</v>
      </c>
      <c r="AJ194" s="75">
        <f t="shared" si="156"/>
        <v>0</v>
      </c>
      <c r="AL194" s="41" t="s">
        <v>514</v>
      </c>
      <c r="AM194" s="41" t="s">
        <v>355</v>
      </c>
      <c r="AN194" s="40"/>
      <c r="AO194" s="40"/>
      <c r="AP194" s="29"/>
      <c r="AQ194" s="22"/>
      <c r="AR194" s="23">
        <v>0.82</v>
      </c>
      <c r="AS194" s="75">
        <f t="shared" si="157"/>
        <v>0</v>
      </c>
      <c r="AU194" s="41" t="s">
        <v>514</v>
      </c>
      <c r="AV194" s="41" t="s">
        <v>355</v>
      </c>
      <c r="AW194" s="40"/>
      <c r="AX194" s="40"/>
      <c r="AY194" s="29"/>
      <c r="AZ194" s="22"/>
      <c r="BA194" s="23">
        <v>0.82</v>
      </c>
      <c r="BB194" s="75">
        <f t="shared" si="158"/>
        <v>0</v>
      </c>
      <c r="BD194" s="41" t="s">
        <v>514</v>
      </c>
      <c r="BE194" s="41" t="s">
        <v>355</v>
      </c>
      <c r="BF194" s="40"/>
      <c r="BG194" s="40"/>
      <c r="BH194" s="29"/>
      <c r="BI194" s="22"/>
      <c r="BJ194" s="23">
        <v>0.82</v>
      </c>
      <c r="BK194" s="75">
        <f t="shared" si="159"/>
        <v>0</v>
      </c>
    </row>
    <row r="195" spans="2:63">
      <c r="B195" s="41" t="s">
        <v>514</v>
      </c>
      <c r="C195" s="41" t="s">
        <v>355</v>
      </c>
      <c r="D195" s="40"/>
      <c r="E195" s="40"/>
      <c r="F195" s="29"/>
      <c r="G195" s="22"/>
      <c r="H195" s="23">
        <v>0.82</v>
      </c>
      <c r="I195" s="75">
        <f t="shared" si="153"/>
        <v>0</v>
      </c>
      <c r="K195" s="41" t="s">
        <v>514</v>
      </c>
      <c r="L195" s="41" t="s">
        <v>355</v>
      </c>
      <c r="M195" s="40"/>
      <c r="N195" s="40"/>
      <c r="O195" s="29"/>
      <c r="P195" s="22"/>
      <c r="Q195" s="23">
        <v>0.82</v>
      </c>
      <c r="R195" s="75">
        <f t="shared" si="154"/>
        <v>0</v>
      </c>
      <c r="T195" s="41" t="s">
        <v>514</v>
      </c>
      <c r="U195" s="41" t="s">
        <v>355</v>
      </c>
      <c r="V195" s="40"/>
      <c r="W195" s="40"/>
      <c r="X195" s="29"/>
      <c r="Y195" s="22"/>
      <c r="Z195" s="23">
        <v>0.82</v>
      </c>
      <c r="AA195" s="75">
        <f t="shared" si="155"/>
        <v>0</v>
      </c>
      <c r="AC195" s="41" t="s">
        <v>514</v>
      </c>
      <c r="AD195" s="41" t="s">
        <v>355</v>
      </c>
      <c r="AE195" s="40"/>
      <c r="AF195" s="40"/>
      <c r="AG195" s="29"/>
      <c r="AH195" s="22"/>
      <c r="AI195" s="23">
        <v>0.82</v>
      </c>
      <c r="AJ195" s="75">
        <f t="shared" si="156"/>
        <v>0</v>
      </c>
      <c r="AL195" s="41" t="s">
        <v>514</v>
      </c>
      <c r="AM195" s="41" t="s">
        <v>355</v>
      </c>
      <c r="AN195" s="40"/>
      <c r="AO195" s="40"/>
      <c r="AP195" s="29"/>
      <c r="AQ195" s="22"/>
      <c r="AR195" s="23">
        <v>0.82</v>
      </c>
      <c r="AS195" s="75">
        <f t="shared" si="157"/>
        <v>0</v>
      </c>
      <c r="AU195" s="41" t="s">
        <v>514</v>
      </c>
      <c r="AV195" s="41" t="s">
        <v>355</v>
      </c>
      <c r="AW195" s="40"/>
      <c r="AX195" s="40"/>
      <c r="AY195" s="29"/>
      <c r="AZ195" s="22"/>
      <c r="BA195" s="23">
        <v>0.82</v>
      </c>
      <c r="BB195" s="75">
        <f t="shared" si="158"/>
        <v>0</v>
      </c>
      <c r="BD195" s="41" t="s">
        <v>514</v>
      </c>
      <c r="BE195" s="41" t="s">
        <v>355</v>
      </c>
      <c r="BF195" s="40"/>
      <c r="BG195" s="40"/>
      <c r="BH195" s="29"/>
      <c r="BI195" s="22"/>
      <c r="BJ195" s="23">
        <v>0.82</v>
      </c>
      <c r="BK195" s="75">
        <f t="shared" si="159"/>
        <v>0</v>
      </c>
    </row>
    <row r="196" spans="2:63">
      <c r="B196" s="41" t="s">
        <v>514</v>
      </c>
      <c r="C196" s="41" t="s">
        <v>355</v>
      </c>
      <c r="D196" s="40"/>
      <c r="E196" s="40"/>
      <c r="F196" s="29"/>
      <c r="G196" s="22"/>
      <c r="H196" s="23">
        <v>0.82</v>
      </c>
      <c r="I196" s="75">
        <f t="shared" si="153"/>
        <v>0</v>
      </c>
      <c r="K196" s="41" t="s">
        <v>514</v>
      </c>
      <c r="L196" s="41" t="s">
        <v>355</v>
      </c>
      <c r="M196" s="40"/>
      <c r="N196" s="40"/>
      <c r="O196" s="29"/>
      <c r="P196" s="22"/>
      <c r="Q196" s="23">
        <v>0.82</v>
      </c>
      <c r="R196" s="75">
        <f t="shared" si="154"/>
        <v>0</v>
      </c>
      <c r="T196" s="41" t="s">
        <v>514</v>
      </c>
      <c r="U196" s="41" t="s">
        <v>355</v>
      </c>
      <c r="V196" s="40"/>
      <c r="W196" s="40"/>
      <c r="X196" s="29"/>
      <c r="Y196" s="22"/>
      <c r="Z196" s="23">
        <v>0.82</v>
      </c>
      <c r="AA196" s="75">
        <f t="shared" si="155"/>
        <v>0</v>
      </c>
      <c r="AC196" s="41" t="s">
        <v>514</v>
      </c>
      <c r="AD196" s="41" t="s">
        <v>355</v>
      </c>
      <c r="AE196" s="40"/>
      <c r="AF196" s="40"/>
      <c r="AG196" s="29"/>
      <c r="AH196" s="22"/>
      <c r="AI196" s="23">
        <v>0.82</v>
      </c>
      <c r="AJ196" s="75">
        <f t="shared" si="156"/>
        <v>0</v>
      </c>
      <c r="AL196" s="41" t="s">
        <v>514</v>
      </c>
      <c r="AM196" s="41" t="s">
        <v>355</v>
      </c>
      <c r="AN196" s="40"/>
      <c r="AO196" s="40"/>
      <c r="AP196" s="29"/>
      <c r="AQ196" s="22"/>
      <c r="AR196" s="23">
        <v>0.82</v>
      </c>
      <c r="AS196" s="75">
        <f t="shared" si="157"/>
        <v>0</v>
      </c>
      <c r="AU196" s="41" t="s">
        <v>514</v>
      </c>
      <c r="AV196" s="41" t="s">
        <v>355</v>
      </c>
      <c r="AW196" s="40"/>
      <c r="AX196" s="40"/>
      <c r="AY196" s="29"/>
      <c r="AZ196" s="22"/>
      <c r="BA196" s="23">
        <v>0.82</v>
      </c>
      <c r="BB196" s="75">
        <f t="shared" si="158"/>
        <v>0</v>
      </c>
      <c r="BD196" s="41" t="s">
        <v>514</v>
      </c>
      <c r="BE196" s="41" t="s">
        <v>355</v>
      </c>
      <c r="BF196" s="40"/>
      <c r="BG196" s="40"/>
      <c r="BH196" s="29"/>
      <c r="BI196" s="22"/>
      <c r="BJ196" s="23">
        <v>0.82</v>
      </c>
      <c r="BK196" s="75">
        <f t="shared" si="159"/>
        <v>0</v>
      </c>
    </row>
    <row r="197" spans="2:63">
      <c r="B197" s="41" t="s">
        <v>514</v>
      </c>
      <c r="C197" s="41" t="s">
        <v>355</v>
      </c>
      <c r="D197" s="40"/>
      <c r="E197" s="40"/>
      <c r="F197" s="29"/>
      <c r="G197" s="22"/>
      <c r="H197" s="23">
        <v>0.82</v>
      </c>
      <c r="I197" s="75">
        <f t="shared" si="153"/>
        <v>0</v>
      </c>
      <c r="K197" s="41" t="s">
        <v>514</v>
      </c>
      <c r="L197" s="41" t="s">
        <v>355</v>
      </c>
      <c r="M197" s="40"/>
      <c r="N197" s="40"/>
      <c r="O197" s="29"/>
      <c r="P197" s="22"/>
      <c r="Q197" s="23">
        <v>0.82</v>
      </c>
      <c r="R197" s="75">
        <f t="shared" si="154"/>
        <v>0</v>
      </c>
      <c r="T197" s="41" t="s">
        <v>514</v>
      </c>
      <c r="U197" s="41" t="s">
        <v>355</v>
      </c>
      <c r="V197" s="40"/>
      <c r="W197" s="40"/>
      <c r="X197" s="29"/>
      <c r="Y197" s="22"/>
      <c r="Z197" s="23">
        <v>0.82</v>
      </c>
      <c r="AA197" s="75">
        <f t="shared" si="155"/>
        <v>0</v>
      </c>
      <c r="AC197" s="41" t="s">
        <v>514</v>
      </c>
      <c r="AD197" s="41" t="s">
        <v>355</v>
      </c>
      <c r="AE197" s="40"/>
      <c r="AF197" s="40"/>
      <c r="AG197" s="29"/>
      <c r="AH197" s="22"/>
      <c r="AI197" s="23">
        <v>0.82</v>
      </c>
      <c r="AJ197" s="75">
        <f t="shared" si="156"/>
        <v>0</v>
      </c>
      <c r="AL197" s="41" t="s">
        <v>514</v>
      </c>
      <c r="AM197" s="41" t="s">
        <v>355</v>
      </c>
      <c r="AN197" s="40"/>
      <c r="AO197" s="40"/>
      <c r="AP197" s="29"/>
      <c r="AQ197" s="22"/>
      <c r="AR197" s="23">
        <v>0.82</v>
      </c>
      <c r="AS197" s="75">
        <f t="shared" si="157"/>
        <v>0</v>
      </c>
      <c r="AU197" s="41" t="s">
        <v>514</v>
      </c>
      <c r="AV197" s="41" t="s">
        <v>355</v>
      </c>
      <c r="AW197" s="40"/>
      <c r="AX197" s="40"/>
      <c r="AY197" s="29"/>
      <c r="AZ197" s="22"/>
      <c r="BA197" s="23">
        <v>0.82</v>
      </c>
      <c r="BB197" s="75">
        <f t="shared" si="158"/>
        <v>0</v>
      </c>
      <c r="BD197" s="41" t="s">
        <v>514</v>
      </c>
      <c r="BE197" s="41" t="s">
        <v>355</v>
      </c>
      <c r="BF197" s="40"/>
      <c r="BG197" s="40"/>
      <c r="BH197" s="29"/>
      <c r="BI197" s="22"/>
      <c r="BJ197" s="23">
        <v>0.82</v>
      </c>
      <c r="BK197" s="75">
        <f t="shared" si="159"/>
        <v>0</v>
      </c>
    </row>
    <row r="198" spans="2:63">
      <c r="B198" s="41" t="s">
        <v>514</v>
      </c>
      <c r="C198" s="41" t="s">
        <v>355</v>
      </c>
      <c r="D198" s="40"/>
      <c r="E198" s="40"/>
      <c r="F198" s="29"/>
      <c r="G198" s="22"/>
      <c r="H198" s="23">
        <v>0.82</v>
      </c>
      <c r="I198" s="75">
        <f t="shared" si="153"/>
        <v>0</v>
      </c>
      <c r="K198" s="41" t="s">
        <v>514</v>
      </c>
      <c r="L198" s="41" t="s">
        <v>355</v>
      </c>
      <c r="M198" s="40"/>
      <c r="N198" s="40"/>
      <c r="O198" s="29"/>
      <c r="P198" s="22"/>
      <c r="Q198" s="23">
        <v>0.82</v>
      </c>
      <c r="R198" s="75">
        <f t="shared" si="154"/>
        <v>0</v>
      </c>
      <c r="T198" s="41" t="s">
        <v>514</v>
      </c>
      <c r="U198" s="41" t="s">
        <v>355</v>
      </c>
      <c r="V198" s="40"/>
      <c r="W198" s="40"/>
      <c r="X198" s="29"/>
      <c r="Y198" s="22"/>
      <c r="Z198" s="23">
        <v>0.82</v>
      </c>
      <c r="AA198" s="75">
        <f t="shared" si="155"/>
        <v>0</v>
      </c>
      <c r="AC198" s="41" t="s">
        <v>514</v>
      </c>
      <c r="AD198" s="41" t="s">
        <v>355</v>
      </c>
      <c r="AE198" s="40"/>
      <c r="AF198" s="40"/>
      <c r="AG198" s="29"/>
      <c r="AH198" s="22"/>
      <c r="AI198" s="23">
        <v>0.82</v>
      </c>
      <c r="AJ198" s="75">
        <f t="shared" si="156"/>
        <v>0</v>
      </c>
      <c r="AL198" s="41" t="s">
        <v>514</v>
      </c>
      <c r="AM198" s="41" t="s">
        <v>355</v>
      </c>
      <c r="AN198" s="40"/>
      <c r="AO198" s="40"/>
      <c r="AP198" s="29"/>
      <c r="AQ198" s="22"/>
      <c r="AR198" s="23">
        <v>0.82</v>
      </c>
      <c r="AS198" s="75">
        <f t="shared" si="157"/>
        <v>0</v>
      </c>
      <c r="AU198" s="41" t="s">
        <v>514</v>
      </c>
      <c r="AV198" s="41" t="s">
        <v>355</v>
      </c>
      <c r="AW198" s="40"/>
      <c r="AX198" s="40"/>
      <c r="AY198" s="29"/>
      <c r="AZ198" s="22"/>
      <c r="BA198" s="23">
        <v>0.82</v>
      </c>
      <c r="BB198" s="75">
        <f t="shared" si="158"/>
        <v>0</v>
      </c>
      <c r="BD198" s="41" t="s">
        <v>514</v>
      </c>
      <c r="BE198" s="41" t="s">
        <v>355</v>
      </c>
      <c r="BF198" s="40"/>
      <c r="BG198" s="40"/>
      <c r="BH198" s="29"/>
      <c r="BI198" s="22"/>
      <c r="BJ198" s="23">
        <v>0.82</v>
      </c>
      <c r="BK198" s="75">
        <f t="shared" si="159"/>
        <v>0</v>
      </c>
    </row>
    <row r="199" spans="2:63">
      <c r="B199" s="41" t="s">
        <v>514</v>
      </c>
      <c r="C199" s="41" t="s">
        <v>355</v>
      </c>
      <c r="D199" s="40"/>
      <c r="E199" s="40"/>
      <c r="F199" s="29"/>
      <c r="G199" s="22"/>
      <c r="H199" s="23">
        <v>0.82</v>
      </c>
      <c r="I199" s="75">
        <f t="shared" si="153"/>
        <v>0</v>
      </c>
      <c r="K199" s="41" t="s">
        <v>514</v>
      </c>
      <c r="L199" s="41" t="s">
        <v>355</v>
      </c>
      <c r="M199" s="40"/>
      <c r="N199" s="40"/>
      <c r="O199" s="29"/>
      <c r="P199" s="22"/>
      <c r="Q199" s="23">
        <v>0.82</v>
      </c>
      <c r="R199" s="75">
        <f t="shared" si="154"/>
        <v>0</v>
      </c>
      <c r="T199" s="41" t="s">
        <v>514</v>
      </c>
      <c r="U199" s="41" t="s">
        <v>355</v>
      </c>
      <c r="V199" s="40"/>
      <c r="W199" s="40"/>
      <c r="X199" s="29"/>
      <c r="Y199" s="22"/>
      <c r="Z199" s="23">
        <v>0.82</v>
      </c>
      <c r="AA199" s="75">
        <f t="shared" si="155"/>
        <v>0</v>
      </c>
      <c r="AC199" s="41" t="s">
        <v>514</v>
      </c>
      <c r="AD199" s="41" t="s">
        <v>355</v>
      </c>
      <c r="AE199" s="40"/>
      <c r="AF199" s="40"/>
      <c r="AG199" s="29"/>
      <c r="AH199" s="22"/>
      <c r="AI199" s="23">
        <v>0.82</v>
      </c>
      <c r="AJ199" s="75">
        <f t="shared" si="156"/>
        <v>0</v>
      </c>
      <c r="AL199" s="41" t="s">
        <v>514</v>
      </c>
      <c r="AM199" s="41" t="s">
        <v>355</v>
      </c>
      <c r="AN199" s="40"/>
      <c r="AO199" s="40"/>
      <c r="AP199" s="29"/>
      <c r="AQ199" s="22"/>
      <c r="AR199" s="23">
        <v>0.82</v>
      </c>
      <c r="AS199" s="75">
        <f t="shared" si="157"/>
        <v>0</v>
      </c>
      <c r="AU199" s="41" t="s">
        <v>514</v>
      </c>
      <c r="AV199" s="41" t="s">
        <v>355</v>
      </c>
      <c r="AW199" s="40"/>
      <c r="AX199" s="40"/>
      <c r="AY199" s="29"/>
      <c r="AZ199" s="22"/>
      <c r="BA199" s="23">
        <v>0.82</v>
      </c>
      <c r="BB199" s="75">
        <f t="shared" si="158"/>
        <v>0</v>
      </c>
      <c r="BD199" s="41" t="s">
        <v>514</v>
      </c>
      <c r="BE199" s="41" t="s">
        <v>355</v>
      </c>
      <c r="BF199" s="40"/>
      <c r="BG199" s="40"/>
      <c r="BH199" s="29"/>
      <c r="BI199" s="22"/>
      <c r="BJ199" s="23">
        <v>0.82</v>
      </c>
      <c r="BK199" s="75">
        <f t="shared" si="159"/>
        <v>0</v>
      </c>
    </row>
    <row r="200" spans="2:63">
      <c r="B200" s="41" t="s">
        <v>514</v>
      </c>
      <c r="C200" s="41" t="s">
        <v>355</v>
      </c>
      <c r="D200" s="40"/>
      <c r="E200" s="40"/>
      <c r="F200" s="29"/>
      <c r="G200" s="22"/>
      <c r="H200" s="23">
        <v>0.82</v>
      </c>
      <c r="I200" s="75">
        <f t="shared" si="153"/>
        <v>0</v>
      </c>
      <c r="K200" s="41" t="s">
        <v>514</v>
      </c>
      <c r="L200" s="41" t="s">
        <v>355</v>
      </c>
      <c r="M200" s="40"/>
      <c r="N200" s="40"/>
      <c r="O200" s="29"/>
      <c r="P200" s="22"/>
      <c r="Q200" s="23">
        <v>0.82</v>
      </c>
      <c r="R200" s="75">
        <f t="shared" si="154"/>
        <v>0</v>
      </c>
      <c r="T200" s="41" t="s">
        <v>514</v>
      </c>
      <c r="U200" s="41" t="s">
        <v>355</v>
      </c>
      <c r="V200" s="40"/>
      <c r="W200" s="40"/>
      <c r="X200" s="29"/>
      <c r="Y200" s="22"/>
      <c r="Z200" s="23">
        <v>0.82</v>
      </c>
      <c r="AA200" s="75">
        <f t="shared" si="155"/>
        <v>0</v>
      </c>
      <c r="AC200" s="41" t="s">
        <v>514</v>
      </c>
      <c r="AD200" s="41" t="s">
        <v>355</v>
      </c>
      <c r="AE200" s="40"/>
      <c r="AF200" s="40"/>
      <c r="AG200" s="29"/>
      <c r="AH200" s="22"/>
      <c r="AI200" s="23">
        <v>0.82</v>
      </c>
      <c r="AJ200" s="75">
        <f t="shared" si="156"/>
        <v>0</v>
      </c>
      <c r="AL200" s="41" t="s">
        <v>514</v>
      </c>
      <c r="AM200" s="41" t="s">
        <v>355</v>
      </c>
      <c r="AN200" s="40"/>
      <c r="AO200" s="40"/>
      <c r="AP200" s="29"/>
      <c r="AQ200" s="22"/>
      <c r="AR200" s="23">
        <v>0.82</v>
      </c>
      <c r="AS200" s="75">
        <f t="shared" si="157"/>
        <v>0</v>
      </c>
      <c r="AU200" s="41" t="s">
        <v>514</v>
      </c>
      <c r="AV200" s="41" t="s">
        <v>355</v>
      </c>
      <c r="AW200" s="40"/>
      <c r="AX200" s="40"/>
      <c r="AY200" s="29"/>
      <c r="AZ200" s="22"/>
      <c r="BA200" s="23">
        <v>0.82</v>
      </c>
      <c r="BB200" s="75">
        <f t="shared" si="158"/>
        <v>0</v>
      </c>
      <c r="BD200" s="41" t="s">
        <v>514</v>
      </c>
      <c r="BE200" s="41" t="s">
        <v>355</v>
      </c>
      <c r="BF200" s="40"/>
      <c r="BG200" s="40"/>
      <c r="BH200" s="29"/>
      <c r="BI200" s="22"/>
      <c r="BJ200" s="23">
        <v>0.82</v>
      </c>
      <c r="BK200" s="75">
        <f t="shared" si="159"/>
        <v>0</v>
      </c>
    </row>
    <row r="201" spans="2:63">
      <c r="B201" s="41" t="s">
        <v>514</v>
      </c>
      <c r="C201" s="41" t="s">
        <v>355</v>
      </c>
      <c r="D201" s="40"/>
      <c r="E201" s="40"/>
      <c r="F201" s="29"/>
      <c r="G201" s="22"/>
      <c r="H201" s="23">
        <v>0.82</v>
      </c>
      <c r="I201" s="75">
        <f t="shared" si="153"/>
        <v>0</v>
      </c>
      <c r="K201" s="41" t="s">
        <v>514</v>
      </c>
      <c r="L201" s="41" t="s">
        <v>355</v>
      </c>
      <c r="M201" s="40"/>
      <c r="N201" s="40"/>
      <c r="O201" s="29"/>
      <c r="P201" s="22"/>
      <c r="Q201" s="23">
        <v>0.82</v>
      </c>
      <c r="R201" s="75">
        <f t="shared" si="154"/>
        <v>0</v>
      </c>
      <c r="T201" s="41" t="s">
        <v>514</v>
      </c>
      <c r="U201" s="41" t="s">
        <v>355</v>
      </c>
      <c r="V201" s="40"/>
      <c r="W201" s="40"/>
      <c r="X201" s="29"/>
      <c r="Y201" s="22"/>
      <c r="Z201" s="23">
        <v>0.82</v>
      </c>
      <c r="AA201" s="75">
        <f t="shared" si="155"/>
        <v>0</v>
      </c>
      <c r="AC201" s="41" t="s">
        <v>514</v>
      </c>
      <c r="AD201" s="41" t="s">
        <v>355</v>
      </c>
      <c r="AE201" s="40"/>
      <c r="AF201" s="40"/>
      <c r="AG201" s="29"/>
      <c r="AH201" s="22"/>
      <c r="AI201" s="23">
        <v>0.82</v>
      </c>
      <c r="AJ201" s="75">
        <f t="shared" si="156"/>
        <v>0</v>
      </c>
      <c r="AL201" s="41" t="s">
        <v>514</v>
      </c>
      <c r="AM201" s="41" t="s">
        <v>355</v>
      </c>
      <c r="AN201" s="40"/>
      <c r="AO201" s="40"/>
      <c r="AP201" s="29"/>
      <c r="AQ201" s="22"/>
      <c r="AR201" s="23">
        <v>0.82</v>
      </c>
      <c r="AS201" s="75">
        <f t="shared" si="157"/>
        <v>0</v>
      </c>
      <c r="AU201" s="41" t="s">
        <v>514</v>
      </c>
      <c r="AV201" s="41" t="s">
        <v>355</v>
      </c>
      <c r="AW201" s="40"/>
      <c r="AX201" s="40"/>
      <c r="AY201" s="29"/>
      <c r="AZ201" s="22"/>
      <c r="BA201" s="23">
        <v>0.82</v>
      </c>
      <c r="BB201" s="75">
        <f t="shared" si="158"/>
        <v>0</v>
      </c>
      <c r="BD201" s="41" t="s">
        <v>514</v>
      </c>
      <c r="BE201" s="41" t="s">
        <v>355</v>
      </c>
      <c r="BF201" s="40"/>
      <c r="BG201" s="40"/>
      <c r="BH201" s="29"/>
      <c r="BI201" s="22"/>
      <c r="BJ201" s="23">
        <v>0.82</v>
      </c>
      <c r="BK201" s="75">
        <f t="shared" si="159"/>
        <v>0</v>
      </c>
    </row>
    <row r="202" spans="2:63">
      <c r="B202" s="41" t="s">
        <v>514</v>
      </c>
      <c r="C202" s="41" t="s">
        <v>355</v>
      </c>
      <c r="D202" s="40"/>
      <c r="E202" s="40"/>
      <c r="F202" s="29"/>
      <c r="G202" s="22"/>
      <c r="H202" s="23">
        <v>0.82</v>
      </c>
      <c r="I202" s="75">
        <f t="shared" si="153"/>
        <v>0</v>
      </c>
      <c r="K202" s="41" t="s">
        <v>514</v>
      </c>
      <c r="L202" s="41" t="s">
        <v>355</v>
      </c>
      <c r="M202" s="40"/>
      <c r="N202" s="40"/>
      <c r="O202" s="29"/>
      <c r="P202" s="22"/>
      <c r="Q202" s="23">
        <v>0.82</v>
      </c>
      <c r="R202" s="75">
        <f t="shared" si="154"/>
        <v>0</v>
      </c>
      <c r="T202" s="41" t="s">
        <v>514</v>
      </c>
      <c r="U202" s="41" t="s">
        <v>355</v>
      </c>
      <c r="V202" s="40"/>
      <c r="W202" s="40"/>
      <c r="X202" s="29"/>
      <c r="Y202" s="22"/>
      <c r="Z202" s="23">
        <v>0.82</v>
      </c>
      <c r="AA202" s="75">
        <f t="shared" si="155"/>
        <v>0</v>
      </c>
      <c r="AC202" s="41" t="s">
        <v>514</v>
      </c>
      <c r="AD202" s="41" t="s">
        <v>355</v>
      </c>
      <c r="AE202" s="40"/>
      <c r="AF202" s="40"/>
      <c r="AG202" s="29"/>
      <c r="AH202" s="22"/>
      <c r="AI202" s="23">
        <v>0.82</v>
      </c>
      <c r="AJ202" s="75">
        <f t="shared" si="156"/>
        <v>0</v>
      </c>
      <c r="AL202" s="41" t="s">
        <v>514</v>
      </c>
      <c r="AM202" s="41" t="s">
        <v>355</v>
      </c>
      <c r="AN202" s="40"/>
      <c r="AO202" s="40"/>
      <c r="AP202" s="29"/>
      <c r="AQ202" s="22"/>
      <c r="AR202" s="23">
        <v>0.82</v>
      </c>
      <c r="AS202" s="75">
        <f t="shared" si="157"/>
        <v>0</v>
      </c>
      <c r="AU202" s="41" t="s">
        <v>514</v>
      </c>
      <c r="AV202" s="41" t="s">
        <v>355</v>
      </c>
      <c r="AW202" s="40"/>
      <c r="AX202" s="40"/>
      <c r="AY202" s="29"/>
      <c r="AZ202" s="22"/>
      <c r="BA202" s="23">
        <v>0.82</v>
      </c>
      <c r="BB202" s="75">
        <f t="shared" si="158"/>
        <v>0</v>
      </c>
      <c r="BD202" s="41" t="s">
        <v>514</v>
      </c>
      <c r="BE202" s="41" t="s">
        <v>355</v>
      </c>
      <c r="BF202" s="40"/>
      <c r="BG202" s="40"/>
      <c r="BH202" s="29"/>
      <c r="BI202" s="22"/>
      <c r="BJ202" s="23">
        <v>0.82</v>
      </c>
      <c r="BK202" s="75">
        <f t="shared" si="159"/>
        <v>0</v>
      </c>
    </row>
    <row r="203" spans="2:63" s="24" customFormat="1">
      <c r="B203" s="8" t="s">
        <v>516</v>
      </c>
      <c r="C203" s="25"/>
      <c r="D203" s="28">
        <f>SUM(D188:D202)</f>
        <v>100000</v>
      </c>
      <c r="E203" s="28">
        <f>SUM(E188:E202)</f>
        <v>50000</v>
      </c>
      <c r="F203" s="30"/>
      <c r="G203" s="25"/>
      <c r="H203" s="26"/>
      <c r="I203" s="28">
        <f>SUM(I188:I202)</f>
        <v>6560</v>
      </c>
      <c r="K203" s="8" t="s">
        <v>516</v>
      </c>
      <c r="L203" s="25"/>
      <c r="M203" s="28">
        <f>SUM(M188:M202)</f>
        <v>100000</v>
      </c>
      <c r="N203" s="28">
        <f>SUM(N188:N202)</f>
        <v>50000</v>
      </c>
      <c r="O203" s="30"/>
      <c r="P203" s="25"/>
      <c r="Q203" s="26"/>
      <c r="R203" s="28">
        <f>SUM(R188:R202)</f>
        <v>6560</v>
      </c>
      <c r="T203" s="8" t="s">
        <v>516</v>
      </c>
      <c r="U203" s="25"/>
      <c r="V203" s="28">
        <f>SUM(V188:V202)</f>
        <v>100000</v>
      </c>
      <c r="W203" s="28">
        <f>SUM(W188:W202)</f>
        <v>50000</v>
      </c>
      <c r="X203" s="30"/>
      <c r="Y203" s="25"/>
      <c r="Z203" s="26"/>
      <c r="AA203" s="28">
        <f>SUM(AA188:AA202)</f>
        <v>6560</v>
      </c>
      <c r="AC203" s="8" t="s">
        <v>516</v>
      </c>
      <c r="AD203" s="25"/>
      <c r="AE203" s="28">
        <f>SUM(AE188:AE202)</f>
        <v>100000</v>
      </c>
      <c r="AF203" s="28">
        <f>SUM(AF188:AF202)</f>
        <v>50000</v>
      </c>
      <c r="AG203" s="30"/>
      <c r="AH203" s="25"/>
      <c r="AI203" s="26"/>
      <c r="AJ203" s="28">
        <f>SUM(AJ188:AJ202)</f>
        <v>6560</v>
      </c>
      <c r="AL203" s="8" t="s">
        <v>516</v>
      </c>
      <c r="AM203" s="25"/>
      <c r="AN203" s="28">
        <f>SUM(AN188:AN202)</f>
        <v>100000</v>
      </c>
      <c r="AO203" s="28">
        <f>SUM(AO188:AO202)</f>
        <v>50000</v>
      </c>
      <c r="AP203" s="30"/>
      <c r="AQ203" s="25"/>
      <c r="AR203" s="26"/>
      <c r="AS203" s="28">
        <f>SUM(AS188:AS202)</f>
        <v>6560</v>
      </c>
      <c r="AU203" s="8" t="s">
        <v>516</v>
      </c>
      <c r="AV203" s="25"/>
      <c r="AW203" s="28">
        <f>SUM(AW188:AW202)</f>
        <v>100000</v>
      </c>
      <c r="AX203" s="28">
        <f>SUM(AX188:AX202)</f>
        <v>50000</v>
      </c>
      <c r="AY203" s="30"/>
      <c r="AZ203" s="25"/>
      <c r="BA203" s="26"/>
      <c r="BB203" s="28">
        <f>SUM(BB188:BB202)</f>
        <v>6560</v>
      </c>
      <c r="BD203" s="8" t="s">
        <v>516</v>
      </c>
      <c r="BE203" s="25"/>
      <c r="BF203" s="28">
        <f>SUM(BF188:BF202)</f>
        <v>100000</v>
      </c>
      <c r="BG203" s="28">
        <f>SUM(BG188:BG202)</f>
        <v>50000</v>
      </c>
      <c r="BH203" s="30"/>
      <c r="BI203" s="25"/>
      <c r="BJ203" s="26"/>
      <c r="BK203" s="28">
        <f>SUM(BK188:BK202)</f>
        <v>6560</v>
      </c>
    </row>
  </sheetData>
  <mergeCells count="7">
    <mergeCell ref="BD29:BK29"/>
    <mergeCell ref="B29:I29"/>
    <mergeCell ref="K29:R29"/>
    <mergeCell ref="T29:AA29"/>
    <mergeCell ref="AC29:AJ29"/>
    <mergeCell ref="AL29:AS29"/>
    <mergeCell ref="AU29:BB29"/>
  </mergeCells>
  <pageMargins left="0.7" right="0.7" top="0.75" bottom="0.75" header="0.3" footer="0.3"/>
  <pageSetup paperSize="9" orientation="portrait" horizontalDpi="4294967293" r:id="rId1"/>
  <legacyDrawing r:id="rId2"/>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C4B6B1-760F-433E-B86E-68CCE30A64AB}">
  <dimension ref="A2:BN221"/>
  <sheetViews>
    <sheetView topLeftCell="A199" zoomScale="85" zoomScaleNormal="85" workbookViewId="0">
      <selection activeCell="L9" sqref="L9"/>
    </sheetView>
  </sheetViews>
  <sheetFormatPr defaultColWidth="9.109375" defaultRowHeight="13.8" outlineLevelRow="1" outlineLevelCol="1"/>
  <cols>
    <col min="1" max="1" width="9.109375" style="2"/>
    <col min="2" max="2" width="40.33203125" style="2" bestFit="1" customWidth="1"/>
    <col min="3" max="3" width="11.6640625" style="2" bestFit="1" customWidth="1"/>
    <col min="4" max="5" width="13.109375" style="2" bestFit="1" customWidth="1"/>
    <col min="6" max="7" width="10.33203125" style="2" customWidth="1"/>
    <col min="8" max="8" width="12.109375" style="2" bestFit="1" customWidth="1"/>
    <col min="9" max="9" width="13.44140625" style="2" bestFit="1" customWidth="1"/>
    <col min="10" max="10" width="15.88671875" style="2" customWidth="1"/>
    <col min="11" max="11" width="10.33203125" style="2" bestFit="1" customWidth="1"/>
    <col min="12" max="12" width="40.33203125" style="2" bestFit="1" customWidth="1"/>
    <col min="13" max="13" width="11.6640625" style="2" bestFit="1" customWidth="1"/>
    <col min="14" max="19" width="10.33203125" style="2" customWidth="1"/>
    <col min="20" max="20" width="20.6640625" style="2" customWidth="1"/>
    <col min="21" max="21" width="9.6640625" style="2" customWidth="1"/>
    <col min="22" max="22" width="40.33203125" style="2" hidden="1" customWidth="1" outlineLevel="1"/>
    <col min="23" max="23" width="11.6640625" style="2" hidden="1" customWidth="1" outlineLevel="1"/>
    <col min="24" max="29" width="10.33203125" style="2" hidden="1" customWidth="1" outlineLevel="1"/>
    <col min="30" max="30" width="0" style="2" hidden="1" customWidth="1" outlineLevel="1"/>
    <col min="31" max="31" width="40.33203125" style="2" hidden="1" customWidth="1" outlineLevel="1"/>
    <col min="32" max="32" width="11.6640625" style="2" hidden="1" customWidth="1" outlineLevel="1"/>
    <col min="33" max="38" width="10.33203125" style="2" hidden="1" customWidth="1" outlineLevel="1"/>
    <col min="39" max="39" width="0" style="2" hidden="1" customWidth="1" outlineLevel="1"/>
    <col min="40" max="40" width="40.33203125" style="2" hidden="1" customWidth="1" outlineLevel="1"/>
    <col min="41" max="41" width="11.6640625" style="2" hidden="1" customWidth="1" outlineLevel="1"/>
    <col min="42" max="47" width="10.33203125" style="2" hidden="1" customWidth="1" outlineLevel="1"/>
    <col min="48" max="48" width="0" style="2" hidden="1" customWidth="1" outlineLevel="1"/>
    <col min="49" max="49" width="40.33203125" style="2" hidden="1" customWidth="1" outlineLevel="1"/>
    <col min="50" max="50" width="11.6640625" style="2" hidden="1" customWidth="1" outlineLevel="1"/>
    <col min="51" max="56" width="10.33203125" style="2" hidden="1" customWidth="1" outlineLevel="1"/>
    <col min="57" max="57" width="0" style="2" hidden="1" customWidth="1" outlineLevel="1"/>
    <col min="58" max="58" width="40.33203125" style="2" hidden="1" customWidth="1" outlineLevel="1"/>
    <col min="59" max="59" width="11.6640625" style="2" hidden="1" customWidth="1" outlineLevel="1"/>
    <col min="60" max="65" width="10.33203125" style="2" hidden="1" customWidth="1" outlineLevel="1"/>
    <col min="66" max="66" width="9.109375" style="2" collapsed="1"/>
    <col min="67" max="16384" width="9.109375" style="2"/>
  </cols>
  <sheetData>
    <row r="2" spans="2:19">
      <c r="B2" s="55" t="s">
        <v>469</v>
      </c>
      <c r="C2" s="1"/>
      <c r="D2" s="1"/>
      <c r="E2" s="1"/>
      <c r="F2" s="1"/>
      <c r="G2" s="1"/>
      <c r="H2" s="1"/>
      <c r="I2" s="1"/>
      <c r="J2" s="1"/>
      <c r="S2" s="1"/>
    </row>
    <row r="3" spans="2:19">
      <c r="B3" s="1"/>
      <c r="C3" s="1"/>
      <c r="D3" s="1"/>
      <c r="E3" s="1"/>
      <c r="F3" s="1"/>
      <c r="G3" s="1"/>
      <c r="H3" s="1"/>
      <c r="I3" s="1"/>
      <c r="J3" s="1"/>
    </row>
    <row r="4" spans="2:19">
      <c r="B4" s="17" t="s">
        <v>471</v>
      </c>
      <c r="C4" s="17" t="s">
        <v>472</v>
      </c>
      <c r="D4" s="17" t="s">
        <v>473</v>
      </c>
      <c r="E4" s="17" t="s">
        <v>474</v>
      </c>
      <c r="F4" s="17" t="s">
        <v>475</v>
      </c>
      <c r="G4" s="17" t="s">
        <v>476</v>
      </c>
      <c r="H4" s="17" t="s">
        <v>477</v>
      </c>
      <c r="I4" s="17" t="s">
        <v>478</v>
      </c>
      <c r="J4" s="58" t="s">
        <v>179</v>
      </c>
    </row>
    <row r="5" spans="2:19">
      <c r="B5" s="18" t="s">
        <v>479</v>
      </c>
      <c r="C5" s="62">
        <f>C27</f>
        <v>0</v>
      </c>
      <c r="D5" s="62">
        <f t="shared" ref="D5:I5" si="0">D27</f>
        <v>0</v>
      </c>
      <c r="E5" s="62">
        <f t="shared" si="0"/>
        <v>0</v>
      </c>
      <c r="F5" s="62">
        <f t="shared" si="0"/>
        <v>0</v>
      </c>
      <c r="G5" s="62">
        <f t="shared" si="0"/>
        <v>0</v>
      </c>
      <c r="H5" s="62">
        <f t="shared" si="0"/>
        <v>0</v>
      </c>
      <c r="I5" s="62">
        <f t="shared" si="0"/>
        <v>0</v>
      </c>
      <c r="J5" s="57">
        <f>SUM(C5:I5)</f>
        <v>0</v>
      </c>
    </row>
    <row r="6" spans="2:19">
      <c r="B6" s="18" t="s">
        <v>480</v>
      </c>
      <c r="C6" s="85">
        <f>SUM(C7:C8)</f>
        <v>0</v>
      </c>
      <c r="D6" s="85">
        <f t="shared" ref="D6:I6" si="1">SUM(D7:D8)</f>
        <v>0</v>
      </c>
      <c r="E6" s="85">
        <f t="shared" si="1"/>
        <v>0</v>
      </c>
      <c r="F6" s="85">
        <f t="shared" si="1"/>
        <v>0</v>
      </c>
      <c r="G6" s="85">
        <f t="shared" si="1"/>
        <v>0</v>
      </c>
      <c r="H6" s="85">
        <f t="shared" si="1"/>
        <v>0</v>
      </c>
      <c r="I6" s="85">
        <f t="shared" si="1"/>
        <v>0</v>
      </c>
      <c r="J6" s="57">
        <f>SUM(C6:I6)</f>
        <v>0</v>
      </c>
    </row>
    <row r="7" spans="2:19">
      <c r="B7" s="59" t="s">
        <v>419</v>
      </c>
      <c r="C7" s="62">
        <f>H41</f>
        <v>0</v>
      </c>
      <c r="D7" s="62">
        <f>R41</f>
        <v>0</v>
      </c>
      <c r="E7" s="62">
        <f>AB41</f>
        <v>0</v>
      </c>
      <c r="F7" s="62">
        <f>AK41</f>
        <v>0</v>
      </c>
      <c r="G7" s="62">
        <f>AT41</f>
        <v>0</v>
      </c>
      <c r="H7" s="62">
        <f>BC41</f>
        <v>0</v>
      </c>
      <c r="I7" s="62">
        <f>BL41</f>
        <v>0</v>
      </c>
      <c r="J7" s="57">
        <f>SUM(C7:I7)</f>
        <v>0</v>
      </c>
    </row>
    <row r="8" spans="2:19">
      <c r="B8" s="59" t="s">
        <v>421</v>
      </c>
      <c r="C8" s="62">
        <f>G41</f>
        <v>0</v>
      </c>
      <c r="D8" s="62">
        <f>Q41</f>
        <v>0</v>
      </c>
      <c r="E8" s="62">
        <f>AA41</f>
        <v>0</v>
      </c>
      <c r="F8" s="62">
        <f>AJ41</f>
        <v>0</v>
      </c>
      <c r="G8" s="62">
        <f>AS41</f>
        <v>0</v>
      </c>
      <c r="H8" s="62">
        <f>BB41</f>
        <v>0</v>
      </c>
      <c r="I8" s="62">
        <f>BK41</f>
        <v>0</v>
      </c>
      <c r="J8" s="57">
        <f>SUM(C8:I8)</f>
        <v>0</v>
      </c>
    </row>
    <row r="9" spans="2:19">
      <c r="B9" s="18" t="s">
        <v>481</v>
      </c>
      <c r="C9" s="61" t="e">
        <f>C5/C6</f>
        <v>#DIV/0!</v>
      </c>
      <c r="D9" s="61" t="e">
        <f t="shared" ref="D9:J9" si="2">D5/D6</f>
        <v>#DIV/0!</v>
      </c>
      <c r="E9" s="61" t="e">
        <f t="shared" si="2"/>
        <v>#DIV/0!</v>
      </c>
      <c r="F9" s="61" t="e">
        <f t="shared" si="2"/>
        <v>#DIV/0!</v>
      </c>
      <c r="G9" s="61" t="e">
        <f t="shared" si="2"/>
        <v>#DIV/0!</v>
      </c>
      <c r="H9" s="61" t="e">
        <f t="shared" si="2"/>
        <v>#DIV/0!</v>
      </c>
      <c r="I9" s="61" t="e">
        <f t="shared" si="2"/>
        <v>#DIV/0!</v>
      </c>
      <c r="J9" s="61" t="e">
        <f t="shared" si="2"/>
        <v>#DIV/0!</v>
      </c>
    </row>
    <row r="10" spans="2:19">
      <c r="B10" s="1"/>
      <c r="C10" s="1"/>
      <c r="D10" s="1"/>
      <c r="E10" s="1"/>
      <c r="F10" s="1"/>
      <c r="G10" s="1"/>
      <c r="H10" s="1"/>
      <c r="I10" s="1"/>
      <c r="J10" s="1"/>
    </row>
    <row r="11" spans="2:19">
      <c r="B11" s="17" t="s">
        <v>471</v>
      </c>
      <c r="C11" s="17" t="s">
        <v>472</v>
      </c>
      <c r="D11" s="17" t="s">
        <v>473</v>
      </c>
      <c r="E11" s="17" t="s">
        <v>474</v>
      </c>
      <c r="F11" s="17" t="s">
        <v>475</v>
      </c>
      <c r="G11" s="17" t="s">
        <v>476</v>
      </c>
      <c r="H11" s="17" t="s">
        <v>477</v>
      </c>
      <c r="I11" s="17" t="s">
        <v>478</v>
      </c>
      <c r="J11" s="58" t="s">
        <v>179</v>
      </c>
    </row>
    <row r="12" spans="2:19">
      <c r="B12" s="18" t="s">
        <v>482</v>
      </c>
      <c r="C12" s="214"/>
      <c r="D12" s="214"/>
      <c r="E12" s="60"/>
      <c r="F12" s="60"/>
      <c r="G12" s="60"/>
      <c r="H12" s="60"/>
      <c r="I12" s="60"/>
      <c r="J12" s="57">
        <f t="shared" ref="J12:J26" si="3">SUM(C12:I12)</f>
        <v>0</v>
      </c>
      <c r="L12" s="2" t="s">
        <v>483</v>
      </c>
    </row>
    <row r="13" spans="2:19">
      <c r="B13" s="18" t="s">
        <v>484</v>
      </c>
      <c r="C13" s="60"/>
      <c r="D13" s="60"/>
      <c r="E13" s="60"/>
      <c r="F13" s="60"/>
      <c r="G13" s="60"/>
      <c r="H13" s="60"/>
      <c r="I13" s="60"/>
      <c r="J13" s="57">
        <f t="shared" si="3"/>
        <v>0</v>
      </c>
    </row>
    <row r="14" spans="2:19">
      <c r="B14" s="18" t="s">
        <v>485</v>
      </c>
      <c r="C14" s="60"/>
      <c r="D14" s="60"/>
      <c r="E14" s="60"/>
      <c r="F14" s="60"/>
      <c r="G14" s="60"/>
      <c r="H14" s="60"/>
      <c r="I14" s="60"/>
      <c r="J14" s="57">
        <f t="shared" si="3"/>
        <v>0</v>
      </c>
    </row>
    <row r="15" spans="2:19">
      <c r="B15" s="18" t="s">
        <v>486</v>
      </c>
      <c r="C15" s="60"/>
      <c r="D15" s="60"/>
      <c r="E15" s="60"/>
      <c r="F15" s="60"/>
      <c r="G15" s="60"/>
      <c r="H15" s="60"/>
      <c r="I15" s="60"/>
      <c r="J15" s="57">
        <f t="shared" si="3"/>
        <v>0</v>
      </c>
    </row>
    <row r="16" spans="2:19">
      <c r="B16" s="18" t="s">
        <v>487</v>
      </c>
      <c r="C16" s="60"/>
      <c r="D16" s="60"/>
      <c r="E16" s="60"/>
      <c r="F16" s="60"/>
      <c r="G16" s="60"/>
      <c r="H16" s="60"/>
      <c r="I16" s="60"/>
      <c r="J16" s="57">
        <f t="shared" si="3"/>
        <v>0</v>
      </c>
    </row>
    <row r="17" spans="1:65">
      <c r="B17" s="18" t="s">
        <v>488</v>
      </c>
      <c r="C17" s="60"/>
      <c r="D17" s="60"/>
      <c r="E17" s="60"/>
      <c r="F17" s="60"/>
      <c r="G17" s="60"/>
      <c r="H17" s="60"/>
      <c r="I17" s="60"/>
      <c r="J17" s="57">
        <f t="shared" si="3"/>
        <v>0</v>
      </c>
      <c r="M17" s="172" t="s">
        <v>489</v>
      </c>
      <c r="T17" s="2" t="s">
        <v>490</v>
      </c>
    </row>
    <row r="18" spans="1:65">
      <c r="B18" s="18" t="s">
        <v>491</v>
      </c>
      <c r="C18" s="60"/>
      <c r="D18" s="60"/>
      <c r="E18" s="60"/>
      <c r="F18" s="60"/>
      <c r="G18" s="60"/>
      <c r="H18" s="60"/>
      <c r="I18" s="60"/>
      <c r="J18" s="57">
        <f t="shared" si="3"/>
        <v>0</v>
      </c>
      <c r="M18" s="172" t="s">
        <v>492</v>
      </c>
      <c r="T18" s="2" t="s">
        <v>493</v>
      </c>
    </row>
    <row r="19" spans="1:65">
      <c r="B19" s="18" t="s">
        <v>494</v>
      </c>
      <c r="C19" s="60"/>
      <c r="D19" s="60"/>
      <c r="E19" s="60"/>
      <c r="F19" s="60"/>
      <c r="G19" s="60"/>
      <c r="H19" s="60"/>
      <c r="I19" s="60"/>
      <c r="J19" s="57">
        <f t="shared" si="3"/>
        <v>0</v>
      </c>
      <c r="T19" s="2" t="s">
        <v>495</v>
      </c>
    </row>
    <row r="20" spans="1:65">
      <c r="B20" s="18" t="s">
        <v>496</v>
      </c>
      <c r="C20" s="60"/>
      <c r="D20" s="60"/>
      <c r="E20" s="60"/>
      <c r="F20" s="60"/>
      <c r="G20" s="60"/>
      <c r="H20" s="60"/>
      <c r="I20" s="60"/>
      <c r="J20" s="57">
        <f t="shared" si="3"/>
        <v>0</v>
      </c>
      <c r="T20" s="2" t="s">
        <v>490</v>
      </c>
    </row>
    <row r="21" spans="1:65">
      <c r="B21" s="18" t="s">
        <v>497</v>
      </c>
      <c r="C21" s="60"/>
      <c r="D21" s="60"/>
      <c r="E21" s="60"/>
      <c r="F21" s="60"/>
      <c r="G21" s="60"/>
      <c r="H21" s="60"/>
      <c r="I21" s="60"/>
      <c r="J21" s="57">
        <f t="shared" si="3"/>
        <v>0</v>
      </c>
    </row>
    <row r="22" spans="1:65">
      <c r="B22" s="18" t="s">
        <v>498</v>
      </c>
      <c r="C22" s="60"/>
      <c r="D22" s="60"/>
      <c r="E22" s="60"/>
      <c r="F22" s="60"/>
      <c r="G22" s="60"/>
      <c r="H22" s="60"/>
      <c r="I22" s="60"/>
      <c r="J22" s="57">
        <f t="shared" si="3"/>
        <v>0</v>
      </c>
    </row>
    <row r="23" spans="1:65">
      <c r="B23" s="18" t="s">
        <v>499</v>
      </c>
      <c r="C23" s="60"/>
      <c r="D23" s="60"/>
      <c r="E23" s="60"/>
      <c r="F23" s="60"/>
      <c r="G23" s="60"/>
      <c r="H23" s="60"/>
      <c r="I23" s="60"/>
      <c r="J23" s="57">
        <f t="shared" si="3"/>
        <v>0</v>
      </c>
    </row>
    <row r="24" spans="1:65">
      <c r="B24" s="18" t="s">
        <v>500</v>
      </c>
      <c r="C24" s="60"/>
      <c r="D24" s="60"/>
      <c r="E24" s="60"/>
      <c r="F24" s="60"/>
      <c r="G24" s="60"/>
      <c r="H24" s="60"/>
      <c r="I24" s="60"/>
      <c r="J24" s="57">
        <f t="shared" si="3"/>
        <v>0</v>
      </c>
    </row>
    <row r="25" spans="1:65">
      <c r="B25" s="18" t="s">
        <v>501</v>
      </c>
      <c r="C25" s="60"/>
      <c r="D25" s="60"/>
      <c r="E25" s="60"/>
      <c r="F25" s="60"/>
      <c r="G25" s="60"/>
      <c r="H25" s="60"/>
      <c r="I25" s="60"/>
      <c r="J25" s="57">
        <f t="shared" si="3"/>
        <v>0</v>
      </c>
    </row>
    <row r="26" spans="1:65">
      <c r="B26" s="18" t="s">
        <v>502</v>
      </c>
      <c r="C26" s="60"/>
      <c r="D26" s="60"/>
      <c r="E26" s="60"/>
      <c r="F26" s="60"/>
      <c r="G26" s="60"/>
      <c r="H26" s="60"/>
      <c r="I26" s="60"/>
      <c r="J26" s="57">
        <f t="shared" si="3"/>
        <v>0</v>
      </c>
    </row>
    <row r="27" spans="1:65">
      <c r="B27" s="54" t="s">
        <v>179</v>
      </c>
      <c r="C27" s="56">
        <f>SUM(C12:C26)</f>
        <v>0</v>
      </c>
      <c r="D27" s="56">
        <f t="shared" ref="D27:J27" si="4">SUM(D12:D26)</f>
        <v>0</v>
      </c>
      <c r="E27" s="56">
        <f t="shared" si="4"/>
        <v>0</v>
      </c>
      <c r="F27" s="56">
        <f t="shared" si="4"/>
        <v>0</v>
      </c>
      <c r="G27" s="56">
        <f t="shared" si="4"/>
        <v>0</v>
      </c>
      <c r="H27" s="56">
        <f t="shared" si="4"/>
        <v>0</v>
      </c>
      <c r="I27" s="56">
        <f t="shared" si="4"/>
        <v>0</v>
      </c>
      <c r="J27" s="56">
        <f t="shared" si="4"/>
        <v>0</v>
      </c>
    </row>
    <row r="29" spans="1:65">
      <c r="B29" s="1012" t="s">
        <v>503</v>
      </c>
      <c r="C29" s="1012"/>
      <c r="D29" s="1012"/>
      <c r="E29" s="1012"/>
      <c r="F29" s="1012"/>
      <c r="G29" s="1012"/>
      <c r="H29" s="1012"/>
      <c r="I29" s="1012"/>
      <c r="J29" s="1012"/>
      <c r="L29" s="1012" t="s">
        <v>504</v>
      </c>
      <c r="M29" s="1012"/>
      <c r="N29" s="1012"/>
      <c r="O29" s="1012"/>
      <c r="P29" s="1012"/>
      <c r="Q29" s="1012"/>
      <c r="R29" s="1012"/>
      <c r="S29" s="1012"/>
      <c r="T29" s="1012"/>
      <c r="V29" s="1012" t="s">
        <v>505</v>
      </c>
      <c r="W29" s="1012"/>
      <c r="X29" s="1012"/>
      <c r="Y29" s="1012"/>
      <c r="Z29" s="1012"/>
      <c r="AA29" s="1012"/>
      <c r="AB29" s="1012"/>
      <c r="AC29" s="1012"/>
      <c r="AE29" s="1012" t="s">
        <v>506</v>
      </c>
      <c r="AF29" s="1012"/>
      <c r="AG29" s="1012"/>
      <c r="AH29" s="1012"/>
      <c r="AI29" s="1012"/>
      <c r="AJ29" s="1012"/>
      <c r="AK29" s="1012"/>
      <c r="AL29" s="1012"/>
      <c r="AN29" s="1012" t="s">
        <v>507</v>
      </c>
      <c r="AO29" s="1012"/>
      <c r="AP29" s="1012"/>
      <c r="AQ29" s="1012"/>
      <c r="AR29" s="1012"/>
      <c r="AS29" s="1012"/>
      <c r="AT29" s="1012"/>
      <c r="AU29" s="1012"/>
      <c r="AW29" s="1012" t="s">
        <v>508</v>
      </c>
      <c r="AX29" s="1012"/>
      <c r="AY29" s="1012"/>
      <c r="AZ29" s="1012"/>
      <c r="BA29" s="1012"/>
      <c r="BB29" s="1012"/>
      <c r="BC29" s="1012"/>
      <c r="BD29" s="1012"/>
      <c r="BF29" s="1012" t="s">
        <v>509</v>
      </c>
      <c r="BG29" s="1012"/>
      <c r="BH29" s="1012"/>
      <c r="BI29" s="1012"/>
      <c r="BJ29" s="1012"/>
      <c r="BK29" s="1012"/>
      <c r="BL29" s="1012"/>
      <c r="BM29" s="1012"/>
    </row>
    <row r="31" spans="1:65" s="20" customFormat="1" ht="54" customHeight="1">
      <c r="B31" s="3" t="s">
        <v>6</v>
      </c>
      <c r="C31" s="3" t="s">
        <v>365</v>
      </c>
      <c r="D31" s="36" t="s">
        <v>368</v>
      </c>
      <c r="E31" s="36" t="s">
        <v>372</v>
      </c>
      <c r="F31" s="37" t="s">
        <v>437</v>
      </c>
      <c r="G31" s="3" t="s">
        <v>438</v>
      </c>
      <c r="H31" s="3" t="s">
        <v>439</v>
      </c>
      <c r="I31" s="38" t="s">
        <v>440</v>
      </c>
      <c r="J31" s="173" t="s">
        <v>450</v>
      </c>
      <c r="L31" s="3" t="s">
        <v>6</v>
      </c>
      <c r="M31" s="3" t="s">
        <v>365</v>
      </c>
      <c r="N31" s="36" t="s">
        <v>368</v>
      </c>
      <c r="O31" s="36" t="s">
        <v>372</v>
      </c>
      <c r="P31" s="37" t="s">
        <v>437</v>
      </c>
      <c r="Q31" s="3" t="s">
        <v>438</v>
      </c>
      <c r="R31" s="3" t="s">
        <v>439</v>
      </c>
      <c r="S31" s="38" t="s">
        <v>440</v>
      </c>
      <c r="T31" s="173" t="s">
        <v>450</v>
      </c>
      <c r="V31" s="3" t="s">
        <v>6</v>
      </c>
      <c r="W31" s="3" t="s">
        <v>365</v>
      </c>
      <c r="X31" s="36" t="s">
        <v>368</v>
      </c>
      <c r="Y31" s="36" t="s">
        <v>372</v>
      </c>
      <c r="Z31" s="37" t="s">
        <v>437</v>
      </c>
      <c r="AA31" s="3" t="s">
        <v>438</v>
      </c>
      <c r="AB31" s="3" t="s">
        <v>439</v>
      </c>
      <c r="AC31" s="38" t="s">
        <v>440</v>
      </c>
      <c r="AE31" s="3" t="s">
        <v>6</v>
      </c>
      <c r="AF31" s="3" t="s">
        <v>365</v>
      </c>
      <c r="AG31" s="36" t="s">
        <v>368</v>
      </c>
      <c r="AH31" s="36" t="s">
        <v>372</v>
      </c>
      <c r="AI31" s="37" t="s">
        <v>437</v>
      </c>
      <c r="AJ31" s="3" t="s">
        <v>438</v>
      </c>
      <c r="AK31" s="3" t="s">
        <v>439</v>
      </c>
      <c r="AL31" s="38" t="s">
        <v>440</v>
      </c>
      <c r="AN31" s="3" t="s">
        <v>6</v>
      </c>
      <c r="AO31" s="3" t="s">
        <v>365</v>
      </c>
      <c r="AP31" s="36" t="s">
        <v>368</v>
      </c>
      <c r="AQ31" s="36" t="s">
        <v>372</v>
      </c>
      <c r="AR31" s="37" t="s">
        <v>437</v>
      </c>
      <c r="AS31" s="3" t="s">
        <v>438</v>
      </c>
      <c r="AT31" s="3" t="s">
        <v>439</v>
      </c>
      <c r="AU31" s="38" t="s">
        <v>440</v>
      </c>
      <c r="AW31" s="3" t="s">
        <v>6</v>
      </c>
      <c r="AX31" s="3" t="s">
        <v>365</v>
      </c>
      <c r="AY31" s="36" t="s">
        <v>368</v>
      </c>
      <c r="AZ31" s="36" t="s">
        <v>372</v>
      </c>
      <c r="BA31" s="37" t="s">
        <v>437</v>
      </c>
      <c r="BB31" s="3" t="s">
        <v>438</v>
      </c>
      <c r="BC31" s="3" t="s">
        <v>439</v>
      </c>
      <c r="BD31" s="38" t="s">
        <v>440</v>
      </c>
      <c r="BF31" s="3" t="s">
        <v>6</v>
      </c>
      <c r="BG31" s="3" t="s">
        <v>365</v>
      </c>
      <c r="BH31" s="36" t="s">
        <v>368</v>
      </c>
      <c r="BI31" s="36" t="s">
        <v>372</v>
      </c>
      <c r="BJ31" s="37" t="s">
        <v>437</v>
      </c>
      <c r="BK31" s="3" t="s">
        <v>438</v>
      </c>
      <c r="BL31" s="3" t="s">
        <v>439</v>
      </c>
      <c r="BM31" s="38" t="s">
        <v>440</v>
      </c>
    </row>
    <row r="32" spans="1:65" ht="25.5" customHeight="1">
      <c r="A32" s="2">
        <f>COUNT(D44:D58)</f>
        <v>0</v>
      </c>
      <c r="B32" s="5" t="str">
        <f>B43</f>
        <v>Facility (Overdraft)</v>
      </c>
      <c r="C32" s="7" t="s">
        <v>368</v>
      </c>
      <c r="D32" s="79">
        <f>D59</f>
        <v>0</v>
      </c>
      <c r="E32" s="79">
        <f>E59</f>
        <v>0</v>
      </c>
      <c r="F32" s="79">
        <f>F59</f>
        <v>0</v>
      </c>
      <c r="G32" s="79">
        <f>I59</f>
        <v>0</v>
      </c>
      <c r="H32" s="79">
        <f>F32*12</f>
        <v>0</v>
      </c>
      <c r="I32" s="34">
        <f>SUM(G32:H32)</f>
        <v>0</v>
      </c>
      <c r="J32" s="172"/>
      <c r="L32" s="5" t="str">
        <f>L43</f>
        <v>Facility (Overdraft)</v>
      </c>
      <c r="M32" s="7" t="s">
        <v>368</v>
      </c>
      <c r="N32" s="79">
        <f>N59</f>
        <v>0</v>
      </c>
      <c r="O32" s="79">
        <f>O59</f>
        <v>0</v>
      </c>
      <c r="P32" s="79">
        <f>P59</f>
        <v>0</v>
      </c>
      <c r="Q32" s="79">
        <f>S59</f>
        <v>0</v>
      </c>
      <c r="R32" s="79">
        <f>P32*12</f>
        <v>0</v>
      </c>
      <c r="S32" s="34">
        <f>SUM(Q32:R32)</f>
        <v>0</v>
      </c>
      <c r="T32" s="172"/>
      <c r="V32" s="5" t="str">
        <f>V43</f>
        <v>Facility (Overdraft)</v>
      </c>
      <c r="W32" s="7" t="s">
        <v>368</v>
      </c>
      <c r="X32" s="79">
        <f>X59</f>
        <v>0</v>
      </c>
      <c r="Y32" s="79">
        <f>Y59</f>
        <v>0</v>
      </c>
      <c r="Z32" s="79">
        <f>Z59</f>
        <v>0</v>
      </c>
      <c r="AA32" s="79">
        <f>AC59</f>
        <v>0</v>
      </c>
      <c r="AB32" s="79">
        <f>Z32*12</f>
        <v>0</v>
      </c>
      <c r="AC32" s="34">
        <f>SUM(AA32:AB32)</f>
        <v>0</v>
      </c>
      <c r="AE32" s="5" t="str">
        <f>AE43</f>
        <v>Facility (Overdraft)</v>
      </c>
      <c r="AF32" s="7" t="s">
        <v>368</v>
      </c>
      <c r="AG32" s="79">
        <f>AG59</f>
        <v>0</v>
      </c>
      <c r="AH32" s="79">
        <f>AH59</f>
        <v>0</v>
      </c>
      <c r="AI32" s="79">
        <f>AI59</f>
        <v>0</v>
      </c>
      <c r="AJ32" s="79">
        <f>AL59</f>
        <v>0</v>
      </c>
      <c r="AK32" s="79">
        <f>AI32*12</f>
        <v>0</v>
      </c>
      <c r="AL32" s="34">
        <f>SUM(AJ32:AK32)</f>
        <v>0</v>
      </c>
      <c r="AN32" s="5" t="str">
        <f>AN43</f>
        <v>Facility (Overdraft)</v>
      </c>
      <c r="AO32" s="7" t="s">
        <v>368</v>
      </c>
      <c r="AP32" s="79">
        <f>AP59</f>
        <v>0</v>
      </c>
      <c r="AQ32" s="79">
        <f>AQ59</f>
        <v>0</v>
      </c>
      <c r="AR32" s="79">
        <f>AR59</f>
        <v>0</v>
      </c>
      <c r="AS32" s="79">
        <f>AU59</f>
        <v>0</v>
      </c>
      <c r="AT32" s="79">
        <f>AR32*12</f>
        <v>0</v>
      </c>
      <c r="AU32" s="34">
        <f>SUM(AS32:AT32)</f>
        <v>0</v>
      </c>
      <c r="AW32" s="5" t="str">
        <f>AW43</f>
        <v>Facility (Overdraft)</v>
      </c>
      <c r="AX32" s="7" t="s">
        <v>368</v>
      </c>
      <c r="AY32" s="79">
        <f>AY59</f>
        <v>0</v>
      </c>
      <c r="AZ32" s="79">
        <f>AZ59</f>
        <v>0</v>
      </c>
      <c r="BA32" s="79">
        <f>BA59</f>
        <v>0</v>
      </c>
      <c r="BB32" s="79">
        <f>BD59</f>
        <v>0</v>
      </c>
      <c r="BC32" s="79">
        <f>BA32*12</f>
        <v>0</v>
      </c>
      <c r="BD32" s="34">
        <f>SUM(BB32:BC32)</f>
        <v>0</v>
      </c>
      <c r="BF32" s="5" t="str">
        <f>BF43</f>
        <v>Facility (Overdraft)</v>
      </c>
      <c r="BG32" s="7" t="s">
        <v>368</v>
      </c>
      <c r="BH32" s="79">
        <f>BH59</f>
        <v>0</v>
      </c>
      <c r="BI32" s="79">
        <f>BI59</f>
        <v>0</v>
      </c>
      <c r="BJ32" s="79">
        <f>BJ59</f>
        <v>0</v>
      </c>
      <c r="BK32" s="79">
        <f>BM59</f>
        <v>0</v>
      </c>
      <c r="BL32" s="79">
        <f>BJ32*12</f>
        <v>0</v>
      </c>
      <c r="BM32" s="34">
        <f>SUM(BK32:BL32)</f>
        <v>0</v>
      </c>
    </row>
    <row r="33" spans="1:65" ht="25.5" customHeight="1">
      <c r="A33" s="2">
        <f>COUNT(D62:D76)</f>
        <v>0</v>
      </c>
      <c r="B33" s="5" t="str">
        <f>B61</f>
        <v>Facility (Overdraft with Reduction/ Sinking Fund)</v>
      </c>
      <c r="C33" s="7" t="s">
        <v>510</v>
      </c>
      <c r="D33" s="79">
        <f>D77</f>
        <v>0</v>
      </c>
      <c r="E33" s="79">
        <f>E77</f>
        <v>0</v>
      </c>
      <c r="F33" s="79">
        <f>F77</f>
        <v>0</v>
      </c>
      <c r="G33" s="79">
        <f>I77</f>
        <v>0</v>
      </c>
      <c r="H33" s="79">
        <f t="shared" ref="H33:H40" si="5">F33*12</f>
        <v>0</v>
      </c>
      <c r="I33" s="34">
        <f t="shared" ref="I33:I40" si="6">SUM(G33:H33)</f>
        <v>0</v>
      </c>
      <c r="J33" s="172"/>
      <c r="L33" s="5" t="str">
        <f>L61</f>
        <v>Facility (Overdraft with Reduction/ Sinking Fund)</v>
      </c>
      <c r="M33" s="7" t="s">
        <v>510</v>
      </c>
      <c r="N33" s="79">
        <f>N77</f>
        <v>0</v>
      </c>
      <c r="O33" s="79">
        <f>O77</f>
        <v>0</v>
      </c>
      <c r="P33" s="79">
        <f>P77</f>
        <v>0</v>
      </c>
      <c r="Q33" s="79">
        <f>S77</f>
        <v>0</v>
      </c>
      <c r="R33" s="79">
        <f t="shared" ref="R33:R40" si="7">P33*12</f>
        <v>0</v>
      </c>
      <c r="S33" s="34">
        <f t="shared" ref="S33:S40" si="8">SUM(Q33:R33)</f>
        <v>0</v>
      </c>
      <c r="T33" s="172"/>
      <c r="V33" s="5" t="str">
        <f>V61</f>
        <v>Facility (Overdraft with Reduction/ Sinking Fund)</v>
      </c>
      <c r="W33" s="7" t="s">
        <v>510</v>
      </c>
      <c r="X33" s="79">
        <f>X77</f>
        <v>0</v>
      </c>
      <c r="Y33" s="79">
        <f>Y77</f>
        <v>0</v>
      </c>
      <c r="Z33" s="79">
        <f>Z77</f>
        <v>0</v>
      </c>
      <c r="AA33" s="79">
        <f>AC77</f>
        <v>0</v>
      </c>
      <c r="AB33" s="79">
        <f t="shared" ref="AB33:AB40" si="9">Z33*12</f>
        <v>0</v>
      </c>
      <c r="AC33" s="34">
        <f t="shared" ref="AC33:AC40" si="10">SUM(AA33:AB33)</f>
        <v>0</v>
      </c>
      <c r="AE33" s="5" t="str">
        <f>AE61</f>
        <v>Facility (Overdraft with Reduction/ Sinking Fund)</v>
      </c>
      <c r="AF33" s="7" t="s">
        <v>510</v>
      </c>
      <c r="AG33" s="79">
        <f>AG77</f>
        <v>0</v>
      </c>
      <c r="AH33" s="79">
        <f>AH77</f>
        <v>0</v>
      </c>
      <c r="AI33" s="79">
        <f>AI77</f>
        <v>0</v>
      </c>
      <c r="AJ33" s="79">
        <f>AL77</f>
        <v>0</v>
      </c>
      <c r="AK33" s="79">
        <f t="shared" ref="AK33:AK40" si="11">AI33*12</f>
        <v>0</v>
      </c>
      <c r="AL33" s="34">
        <f t="shared" ref="AL33:AL40" si="12">SUM(AJ33:AK33)</f>
        <v>0</v>
      </c>
      <c r="AN33" s="5" t="str">
        <f>AN61</f>
        <v>Facility (Overdraft with Reduction/ Sinking Fund)</v>
      </c>
      <c r="AO33" s="7" t="s">
        <v>510</v>
      </c>
      <c r="AP33" s="79">
        <f>AP77</f>
        <v>0</v>
      </c>
      <c r="AQ33" s="79">
        <f>AQ77</f>
        <v>0</v>
      </c>
      <c r="AR33" s="79">
        <f>AR77</f>
        <v>0</v>
      </c>
      <c r="AS33" s="79">
        <f>AU77</f>
        <v>0</v>
      </c>
      <c r="AT33" s="79">
        <f t="shared" ref="AT33:AT40" si="13">AR33*12</f>
        <v>0</v>
      </c>
      <c r="AU33" s="34">
        <f t="shared" ref="AU33:AU40" si="14">SUM(AS33:AT33)</f>
        <v>0</v>
      </c>
      <c r="AW33" s="5" t="str">
        <f>AW61</f>
        <v>Facility (Overdraft with Reduction/ Sinking Fund)</v>
      </c>
      <c r="AX33" s="7" t="s">
        <v>510</v>
      </c>
      <c r="AY33" s="79">
        <f>AY77</f>
        <v>0</v>
      </c>
      <c r="AZ33" s="79">
        <f>AZ77</f>
        <v>0</v>
      </c>
      <c r="BA33" s="79">
        <f>BA77</f>
        <v>0</v>
      </c>
      <c r="BB33" s="79">
        <f>BD77</f>
        <v>0</v>
      </c>
      <c r="BC33" s="79">
        <f t="shared" ref="BC33:BC40" si="15">BA33*12</f>
        <v>0</v>
      </c>
      <c r="BD33" s="34">
        <f t="shared" ref="BD33:BD40" si="16">SUM(BB33:BC33)</f>
        <v>0</v>
      </c>
      <c r="BF33" s="5" t="str">
        <f>BF61</f>
        <v>Facility (Overdraft with Reduction/ Sinking Fund)</v>
      </c>
      <c r="BG33" s="7" t="s">
        <v>510</v>
      </c>
      <c r="BH33" s="79">
        <f>BH77</f>
        <v>0</v>
      </c>
      <c r="BI33" s="79">
        <f>BI77</f>
        <v>0</v>
      </c>
      <c r="BJ33" s="79">
        <f>BJ77</f>
        <v>0</v>
      </c>
      <c r="BK33" s="79">
        <f>BM77</f>
        <v>0</v>
      </c>
      <c r="BL33" s="79">
        <f t="shared" ref="BL33:BL40" si="17">BJ33*12</f>
        <v>0</v>
      </c>
      <c r="BM33" s="34">
        <f t="shared" ref="BM33:BM40" si="18">SUM(BK33:BL33)</f>
        <v>0</v>
      </c>
    </row>
    <row r="34" spans="1:65" ht="25.5" customHeight="1">
      <c r="A34" s="2">
        <f>COUNT(D80:D94)</f>
        <v>0</v>
      </c>
      <c r="B34" s="5" t="str">
        <f>B79</f>
        <v>Facility (Trade Receivable)</v>
      </c>
      <c r="C34" s="7" t="s">
        <v>368</v>
      </c>
      <c r="D34" s="79">
        <f>D95</f>
        <v>0</v>
      </c>
      <c r="E34" s="79">
        <f>E95</f>
        <v>0</v>
      </c>
      <c r="F34" s="79">
        <f>F95</f>
        <v>0</v>
      </c>
      <c r="G34" s="79">
        <f>I95</f>
        <v>0</v>
      </c>
      <c r="H34" s="79">
        <f t="shared" si="5"/>
        <v>0</v>
      </c>
      <c r="I34" s="34">
        <f t="shared" si="6"/>
        <v>0</v>
      </c>
      <c r="J34" s="172"/>
      <c r="L34" s="5" t="str">
        <f>L79</f>
        <v>Facility (Trade Receivable)</v>
      </c>
      <c r="M34" s="7" t="s">
        <v>368</v>
      </c>
      <c r="N34" s="79">
        <f>N95</f>
        <v>0</v>
      </c>
      <c r="O34" s="79">
        <f>O95</f>
        <v>0</v>
      </c>
      <c r="P34" s="79">
        <f>P95</f>
        <v>0</v>
      </c>
      <c r="Q34" s="79">
        <f>S95</f>
        <v>0</v>
      </c>
      <c r="R34" s="79">
        <f t="shared" si="7"/>
        <v>0</v>
      </c>
      <c r="S34" s="34">
        <f t="shared" si="8"/>
        <v>0</v>
      </c>
      <c r="T34" s="172"/>
      <c r="V34" s="5" t="str">
        <f>V79</f>
        <v>Facility (Trade Receivable)</v>
      </c>
      <c r="W34" s="7" t="s">
        <v>368</v>
      </c>
      <c r="X34" s="79">
        <f>X95</f>
        <v>0</v>
      </c>
      <c r="Y34" s="79">
        <f>Y95</f>
        <v>0</v>
      </c>
      <c r="Z34" s="79">
        <f>Z95</f>
        <v>0</v>
      </c>
      <c r="AA34" s="79">
        <f>AC95</f>
        <v>0</v>
      </c>
      <c r="AB34" s="79">
        <f t="shared" si="9"/>
        <v>0</v>
      </c>
      <c r="AC34" s="34">
        <f t="shared" si="10"/>
        <v>0</v>
      </c>
      <c r="AE34" s="5" t="str">
        <f>AE79</f>
        <v>Facility (Trade Receivable)</v>
      </c>
      <c r="AF34" s="7" t="s">
        <v>368</v>
      </c>
      <c r="AG34" s="79">
        <f>AG95</f>
        <v>0</v>
      </c>
      <c r="AH34" s="79">
        <f>AH95</f>
        <v>0</v>
      </c>
      <c r="AI34" s="79">
        <f>AI95</f>
        <v>0</v>
      </c>
      <c r="AJ34" s="79">
        <f>AL95</f>
        <v>0</v>
      </c>
      <c r="AK34" s="79">
        <f t="shared" si="11"/>
        <v>0</v>
      </c>
      <c r="AL34" s="34">
        <f t="shared" si="12"/>
        <v>0</v>
      </c>
      <c r="AN34" s="5" t="str">
        <f>AN79</f>
        <v>Facility (Trade Receivable)</v>
      </c>
      <c r="AO34" s="7" t="s">
        <v>368</v>
      </c>
      <c r="AP34" s="79">
        <f>AP95</f>
        <v>0</v>
      </c>
      <c r="AQ34" s="79">
        <f>AQ95</f>
        <v>0</v>
      </c>
      <c r="AR34" s="79">
        <f>AR95</f>
        <v>0</v>
      </c>
      <c r="AS34" s="79">
        <f>AU95</f>
        <v>0</v>
      </c>
      <c r="AT34" s="79">
        <f t="shared" si="13"/>
        <v>0</v>
      </c>
      <c r="AU34" s="34">
        <f t="shared" si="14"/>
        <v>0</v>
      </c>
      <c r="AW34" s="5" t="str">
        <f>AW79</f>
        <v>Facility (Trade Receivable)</v>
      </c>
      <c r="AX34" s="7" t="s">
        <v>368</v>
      </c>
      <c r="AY34" s="79">
        <f>AY95</f>
        <v>0</v>
      </c>
      <c r="AZ34" s="79">
        <f>AZ95</f>
        <v>0</v>
      </c>
      <c r="BA34" s="79">
        <f>BA95</f>
        <v>0</v>
      </c>
      <c r="BB34" s="79">
        <f>BD95</f>
        <v>0</v>
      </c>
      <c r="BC34" s="79">
        <f t="shared" si="15"/>
        <v>0</v>
      </c>
      <c r="BD34" s="34">
        <f t="shared" si="16"/>
        <v>0</v>
      </c>
      <c r="BF34" s="5" t="str">
        <f>BF79</f>
        <v>Facility (Trade Receivable)</v>
      </c>
      <c r="BG34" s="7" t="s">
        <v>368</v>
      </c>
      <c r="BH34" s="79">
        <f>BH95</f>
        <v>0</v>
      </c>
      <c r="BI34" s="79">
        <f>BI95</f>
        <v>0</v>
      </c>
      <c r="BJ34" s="79">
        <f>BJ95</f>
        <v>0</v>
      </c>
      <c r="BK34" s="79">
        <f>BM95</f>
        <v>0</v>
      </c>
      <c r="BL34" s="79">
        <f t="shared" si="17"/>
        <v>0</v>
      </c>
      <c r="BM34" s="34">
        <f t="shared" si="18"/>
        <v>0</v>
      </c>
    </row>
    <row r="35" spans="1:65" ht="25.5" customHeight="1">
      <c r="A35" s="2">
        <f>COUNT(D98:D112)</f>
        <v>0</v>
      </c>
      <c r="B35" s="5" t="str">
        <f>B97</f>
        <v>Facility (BA)</v>
      </c>
      <c r="C35" s="7" t="s">
        <v>368</v>
      </c>
      <c r="D35" s="79">
        <f>D113</f>
        <v>0</v>
      </c>
      <c r="E35" s="79">
        <f>E113</f>
        <v>0</v>
      </c>
      <c r="F35" s="79">
        <f>F113</f>
        <v>0</v>
      </c>
      <c r="G35" s="79">
        <f>I113</f>
        <v>0</v>
      </c>
      <c r="H35" s="79">
        <f t="shared" si="5"/>
        <v>0</v>
      </c>
      <c r="I35" s="34">
        <f t="shared" si="6"/>
        <v>0</v>
      </c>
      <c r="J35" s="172"/>
      <c r="L35" s="5" t="str">
        <f>L97</f>
        <v>Facility (BA)</v>
      </c>
      <c r="M35" s="7" t="s">
        <v>368</v>
      </c>
      <c r="N35" s="79">
        <f>N113</f>
        <v>0</v>
      </c>
      <c r="O35" s="79">
        <f>O113</f>
        <v>0</v>
      </c>
      <c r="P35" s="79">
        <f>P113</f>
        <v>0</v>
      </c>
      <c r="Q35" s="79">
        <f>S113</f>
        <v>0</v>
      </c>
      <c r="R35" s="79">
        <f t="shared" si="7"/>
        <v>0</v>
      </c>
      <c r="S35" s="34">
        <f t="shared" si="8"/>
        <v>0</v>
      </c>
      <c r="T35" s="172"/>
      <c r="V35" s="5" t="str">
        <f>V97</f>
        <v>Facility (BA)</v>
      </c>
      <c r="W35" s="7" t="s">
        <v>368</v>
      </c>
      <c r="X35" s="79">
        <f>X113</f>
        <v>0</v>
      </c>
      <c r="Y35" s="79">
        <f>Y113</f>
        <v>0</v>
      </c>
      <c r="Z35" s="79">
        <f>Z113</f>
        <v>0</v>
      </c>
      <c r="AA35" s="79">
        <f>AC113</f>
        <v>0</v>
      </c>
      <c r="AB35" s="79">
        <f t="shared" si="9"/>
        <v>0</v>
      </c>
      <c r="AC35" s="34">
        <f t="shared" si="10"/>
        <v>0</v>
      </c>
      <c r="AE35" s="5" t="str">
        <f>AE97</f>
        <v>Facility (BA)</v>
      </c>
      <c r="AF35" s="7" t="s">
        <v>368</v>
      </c>
      <c r="AG35" s="79">
        <f>AG113</f>
        <v>0</v>
      </c>
      <c r="AH35" s="79">
        <f>AH113</f>
        <v>0</v>
      </c>
      <c r="AI35" s="79">
        <f>AI113</f>
        <v>0</v>
      </c>
      <c r="AJ35" s="79">
        <f>AL113</f>
        <v>0</v>
      </c>
      <c r="AK35" s="79">
        <f t="shared" si="11"/>
        <v>0</v>
      </c>
      <c r="AL35" s="34">
        <f t="shared" si="12"/>
        <v>0</v>
      </c>
      <c r="AN35" s="5" t="str">
        <f>AN97</f>
        <v>Facility (BA)</v>
      </c>
      <c r="AO35" s="7" t="s">
        <v>368</v>
      </c>
      <c r="AP35" s="79">
        <f>AP113</f>
        <v>0</v>
      </c>
      <c r="AQ35" s="79">
        <f>AQ113</f>
        <v>0</v>
      </c>
      <c r="AR35" s="79">
        <f>AR113</f>
        <v>0</v>
      </c>
      <c r="AS35" s="79">
        <f>AU113</f>
        <v>0</v>
      </c>
      <c r="AT35" s="79">
        <f t="shared" si="13"/>
        <v>0</v>
      </c>
      <c r="AU35" s="34">
        <f t="shared" si="14"/>
        <v>0</v>
      </c>
      <c r="AW35" s="5" t="str">
        <f>AW97</f>
        <v>Facility (BA)</v>
      </c>
      <c r="AX35" s="7" t="s">
        <v>368</v>
      </c>
      <c r="AY35" s="79">
        <f>AY113</f>
        <v>0</v>
      </c>
      <c r="AZ35" s="79">
        <f>AZ113</f>
        <v>0</v>
      </c>
      <c r="BA35" s="79">
        <f>BA113</f>
        <v>0</v>
      </c>
      <c r="BB35" s="79">
        <f>BD113</f>
        <v>0</v>
      </c>
      <c r="BC35" s="79">
        <f t="shared" si="15"/>
        <v>0</v>
      </c>
      <c r="BD35" s="34">
        <f t="shared" si="16"/>
        <v>0</v>
      </c>
      <c r="BF35" s="5" t="str">
        <f>BF97</f>
        <v>Facility (BA)</v>
      </c>
      <c r="BG35" s="7" t="s">
        <v>368</v>
      </c>
      <c r="BH35" s="79">
        <f>BH113</f>
        <v>0</v>
      </c>
      <c r="BI35" s="79">
        <f>BI113</f>
        <v>0</v>
      </c>
      <c r="BJ35" s="79">
        <f>BJ113</f>
        <v>0</v>
      </c>
      <c r="BK35" s="79">
        <f>BM113</f>
        <v>0</v>
      </c>
      <c r="BL35" s="79">
        <f t="shared" si="17"/>
        <v>0</v>
      </c>
      <c r="BM35" s="34">
        <f t="shared" si="18"/>
        <v>0</v>
      </c>
    </row>
    <row r="36" spans="1:65" ht="27.6">
      <c r="A36" s="2">
        <f>COUNT(D116:D130)</f>
        <v>0</v>
      </c>
      <c r="B36" s="5" t="str">
        <f>B115</f>
        <v>Facility (Term-loan)</v>
      </c>
      <c r="C36" s="7" t="s">
        <v>510</v>
      </c>
      <c r="D36" s="79">
        <f>D131</f>
        <v>0</v>
      </c>
      <c r="E36" s="79">
        <f>E131</f>
        <v>0</v>
      </c>
      <c r="F36" s="79">
        <f>F131</f>
        <v>0</v>
      </c>
      <c r="G36" s="79">
        <f>I131</f>
        <v>0</v>
      </c>
      <c r="H36" s="79">
        <f t="shared" si="5"/>
        <v>0</v>
      </c>
      <c r="I36" s="34">
        <f t="shared" si="6"/>
        <v>0</v>
      </c>
      <c r="J36" s="172"/>
      <c r="L36" s="5" t="str">
        <f>L115</f>
        <v>Facility (Term-loan)</v>
      </c>
      <c r="M36" s="7" t="s">
        <v>510</v>
      </c>
      <c r="N36" s="79">
        <f>N131</f>
        <v>0</v>
      </c>
      <c r="O36" s="79">
        <f>O131</f>
        <v>0</v>
      </c>
      <c r="P36" s="79">
        <f>P131</f>
        <v>0</v>
      </c>
      <c r="Q36" s="79">
        <f>S131</f>
        <v>0</v>
      </c>
      <c r="R36" s="79">
        <f t="shared" si="7"/>
        <v>0</v>
      </c>
      <c r="S36" s="34">
        <f t="shared" si="8"/>
        <v>0</v>
      </c>
      <c r="T36" s="224"/>
      <c r="V36" s="5" t="str">
        <f>V115</f>
        <v>Facility (Term-loan)</v>
      </c>
      <c r="W36" s="7" t="s">
        <v>510</v>
      </c>
      <c r="X36" s="79">
        <f>X131</f>
        <v>0</v>
      </c>
      <c r="Y36" s="79">
        <f>Y131</f>
        <v>0</v>
      </c>
      <c r="Z36" s="79">
        <f>Z131</f>
        <v>0</v>
      </c>
      <c r="AA36" s="79">
        <f>AC131</f>
        <v>0</v>
      </c>
      <c r="AB36" s="79">
        <f t="shared" si="9"/>
        <v>0</v>
      </c>
      <c r="AC36" s="34">
        <f t="shared" si="10"/>
        <v>0</v>
      </c>
      <c r="AE36" s="5" t="str">
        <f>AE115</f>
        <v>Facility (Term-loan)</v>
      </c>
      <c r="AF36" s="7" t="s">
        <v>510</v>
      </c>
      <c r="AG36" s="79">
        <f>AG131</f>
        <v>0</v>
      </c>
      <c r="AH36" s="79">
        <f>AH131</f>
        <v>0</v>
      </c>
      <c r="AI36" s="79">
        <f>AI131</f>
        <v>0</v>
      </c>
      <c r="AJ36" s="79">
        <f>AL131</f>
        <v>0</v>
      </c>
      <c r="AK36" s="79">
        <f t="shared" si="11"/>
        <v>0</v>
      </c>
      <c r="AL36" s="34">
        <f t="shared" si="12"/>
        <v>0</v>
      </c>
      <c r="AN36" s="5" t="str">
        <f>AN115</f>
        <v>Facility (Term-loan)</v>
      </c>
      <c r="AO36" s="7" t="s">
        <v>510</v>
      </c>
      <c r="AP36" s="79">
        <f>AP131</f>
        <v>0</v>
      </c>
      <c r="AQ36" s="79">
        <f>AQ131</f>
        <v>0</v>
      </c>
      <c r="AR36" s="79">
        <f>AR131</f>
        <v>0</v>
      </c>
      <c r="AS36" s="79">
        <f>AU131</f>
        <v>0</v>
      </c>
      <c r="AT36" s="79">
        <f t="shared" si="13"/>
        <v>0</v>
      </c>
      <c r="AU36" s="34">
        <f t="shared" si="14"/>
        <v>0</v>
      </c>
      <c r="AW36" s="5" t="str">
        <f>AW115</f>
        <v>Facility (Term-loan)</v>
      </c>
      <c r="AX36" s="7" t="s">
        <v>510</v>
      </c>
      <c r="AY36" s="79">
        <f>AY131</f>
        <v>0</v>
      </c>
      <c r="AZ36" s="79">
        <f>AZ131</f>
        <v>0</v>
      </c>
      <c r="BA36" s="79">
        <f>BA131</f>
        <v>0</v>
      </c>
      <c r="BB36" s="79">
        <f>BD131</f>
        <v>0</v>
      </c>
      <c r="BC36" s="79">
        <f t="shared" si="15"/>
        <v>0</v>
      </c>
      <c r="BD36" s="34">
        <f t="shared" si="16"/>
        <v>0</v>
      </c>
      <c r="BF36" s="5" t="str">
        <f>BF115</f>
        <v>Facility (Term-loan)</v>
      </c>
      <c r="BG36" s="7" t="s">
        <v>510</v>
      </c>
      <c r="BH36" s="79">
        <f>BH131</f>
        <v>0</v>
      </c>
      <c r="BI36" s="79">
        <f>BI131</f>
        <v>0</v>
      </c>
      <c r="BJ36" s="79">
        <f>BJ131</f>
        <v>0</v>
      </c>
      <c r="BK36" s="79">
        <f>BM131</f>
        <v>0</v>
      </c>
      <c r="BL36" s="79">
        <f t="shared" si="17"/>
        <v>0</v>
      </c>
      <c r="BM36" s="34">
        <f t="shared" si="18"/>
        <v>0</v>
      </c>
    </row>
    <row r="37" spans="1:65" ht="25.5" customHeight="1">
      <c r="A37" s="2">
        <f>COUNT(D134:D148)</f>
        <v>0</v>
      </c>
      <c r="B37" s="5" t="str">
        <f>B133</f>
        <v>Facility (Hire Purchase / Leasing)</v>
      </c>
      <c r="C37" s="7" t="s">
        <v>510</v>
      </c>
      <c r="D37" s="79">
        <f>D149</f>
        <v>0</v>
      </c>
      <c r="E37" s="79">
        <f>E149</f>
        <v>0</v>
      </c>
      <c r="F37" s="79">
        <f>F149</f>
        <v>0</v>
      </c>
      <c r="G37" s="79">
        <f>I149</f>
        <v>0</v>
      </c>
      <c r="H37" s="79">
        <f t="shared" si="5"/>
        <v>0</v>
      </c>
      <c r="I37" s="34">
        <f t="shared" si="6"/>
        <v>0</v>
      </c>
      <c r="J37" s="172"/>
      <c r="L37" s="5" t="str">
        <f>L133</f>
        <v>Facility (Hire Purchase / Leasing)</v>
      </c>
      <c r="M37" s="7" t="s">
        <v>510</v>
      </c>
      <c r="N37" s="79">
        <f>N149</f>
        <v>0</v>
      </c>
      <c r="O37" s="79">
        <f>O149</f>
        <v>0</v>
      </c>
      <c r="P37" s="79">
        <f>P149</f>
        <v>0</v>
      </c>
      <c r="Q37" s="79">
        <f>S149</f>
        <v>0</v>
      </c>
      <c r="R37" s="79">
        <f t="shared" si="7"/>
        <v>0</v>
      </c>
      <c r="S37" s="34">
        <f t="shared" si="8"/>
        <v>0</v>
      </c>
      <c r="T37" s="172"/>
      <c r="V37" s="5" t="str">
        <f>V133</f>
        <v>Facility (Hire Purchase / Leasing)</v>
      </c>
      <c r="W37" s="7" t="s">
        <v>510</v>
      </c>
      <c r="X37" s="79">
        <f>X149</f>
        <v>0</v>
      </c>
      <c r="Y37" s="79">
        <f>Y149</f>
        <v>0</v>
      </c>
      <c r="Z37" s="79">
        <f>Z149</f>
        <v>0</v>
      </c>
      <c r="AA37" s="79">
        <f>AC149</f>
        <v>0</v>
      </c>
      <c r="AB37" s="79">
        <f t="shared" si="9"/>
        <v>0</v>
      </c>
      <c r="AC37" s="34">
        <f t="shared" si="10"/>
        <v>0</v>
      </c>
      <c r="AE37" s="5" t="str">
        <f>AE133</f>
        <v>Facility (Hire Purchase / Leasing)</v>
      </c>
      <c r="AF37" s="7" t="s">
        <v>510</v>
      </c>
      <c r="AG37" s="79">
        <f>AG149</f>
        <v>0</v>
      </c>
      <c r="AH37" s="79">
        <f>AH149</f>
        <v>0</v>
      </c>
      <c r="AI37" s="79">
        <f>AI149</f>
        <v>0</v>
      </c>
      <c r="AJ37" s="79">
        <f>AL149</f>
        <v>0</v>
      </c>
      <c r="AK37" s="79">
        <f t="shared" si="11"/>
        <v>0</v>
      </c>
      <c r="AL37" s="34">
        <f t="shared" si="12"/>
        <v>0</v>
      </c>
      <c r="AN37" s="5" t="str">
        <f>AN133</f>
        <v>Facility (Hire Purchase / Leasing)</v>
      </c>
      <c r="AO37" s="7" t="s">
        <v>510</v>
      </c>
      <c r="AP37" s="79">
        <f>AP149</f>
        <v>0</v>
      </c>
      <c r="AQ37" s="79">
        <f>AQ149</f>
        <v>0</v>
      </c>
      <c r="AR37" s="79">
        <f>AR149</f>
        <v>0</v>
      </c>
      <c r="AS37" s="79">
        <f>AU149</f>
        <v>0</v>
      </c>
      <c r="AT37" s="79">
        <f t="shared" si="13"/>
        <v>0</v>
      </c>
      <c r="AU37" s="34">
        <f t="shared" si="14"/>
        <v>0</v>
      </c>
      <c r="AW37" s="5" t="str">
        <f>AW133</f>
        <v>Facility (Hire Purchase / Leasing)</v>
      </c>
      <c r="AX37" s="7" t="s">
        <v>510</v>
      </c>
      <c r="AY37" s="79">
        <f>AY149</f>
        <v>0</v>
      </c>
      <c r="AZ37" s="79">
        <f>AZ149</f>
        <v>0</v>
      </c>
      <c r="BA37" s="79">
        <f>BA149</f>
        <v>0</v>
      </c>
      <c r="BB37" s="79">
        <f>BD149</f>
        <v>0</v>
      </c>
      <c r="BC37" s="79">
        <f t="shared" si="15"/>
        <v>0</v>
      </c>
      <c r="BD37" s="34">
        <f t="shared" si="16"/>
        <v>0</v>
      </c>
      <c r="BF37" s="5" t="str">
        <f>BF133</f>
        <v>Facility (Hire Purchase / Leasing)</v>
      </c>
      <c r="BG37" s="7" t="s">
        <v>510</v>
      </c>
      <c r="BH37" s="79">
        <f>BH149</f>
        <v>0</v>
      </c>
      <c r="BI37" s="79">
        <f>BI149</f>
        <v>0</v>
      </c>
      <c r="BJ37" s="79">
        <f>BJ149</f>
        <v>0</v>
      </c>
      <c r="BK37" s="79">
        <f>BM149</f>
        <v>0</v>
      </c>
      <c r="BL37" s="79">
        <f t="shared" si="17"/>
        <v>0</v>
      </c>
      <c r="BM37" s="34">
        <f t="shared" si="18"/>
        <v>0</v>
      </c>
    </row>
    <row r="38" spans="1:65" ht="25.5" customHeight="1">
      <c r="A38" s="2">
        <f>COUNT(D152:D166)</f>
        <v>0</v>
      </c>
      <c r="B38" s="5" t="str">
        <f>B151</f>
        <v>Facility (Credit Card)</v>
      </c>
      <c r="C38" s="7" t="s">
        <v>372</v>
      </c>
      <c r="D38" s="79">
        <f>D167</f>
        <v>0</v>
      </c>
      <c r="E38" s="79">
        <f>E167</f>
        <v>0</v>
      </c>
      <c r="F38" s="79">
        <f>F167</f>
        <v>0</v>
      </c>
      <c r="G38" s="213">
        <f>I167*12</f>
        <v>0</v>
      </c>
      <c r="H38" s="79">
        <f t="shared" si="5"/>
        <v>0</v>
      </c>
      <c r="I38" s="34">
        <f t="shared" si="6"/>
        <v>0</v>
      </c>
      <c r="J38" s="172"/>
      <c r="L38" s="5" t="str">
        <f>L151</f>
        <v>Facility (Credit Card)</v>
      </c>
      <c r="M38" s="7" t="s">
        <v>372</v>
      </c>
      <c r="N38" s="79">
        <f>N167</f>
        <v>0</v>
      </c>
      <c r="O38" s="79">
        <f>O167</f>
        <v>0</v>
      </c>
      <c r="P38" s="79">
        <f>P167</f>
        <v>0</v>
      </c>
      <c r="Q38" s="213">
        <f>S167*12</f>
        <v>0</v>
      </c>
      <c r="R38" s="79">
        <f t="shared" si="7"/>
        <v>0</v>
      </c>
      <c r="S38" s="34">
        <f t="shared" si="8"/>
        <v>0</v>
      </c>
      <c r="T38" s="172"/>
      <c r="V38" s="5" t="str">
        <f>V151</f>
        <v>Facility (Credit Card)</v>
      </c>
      <c r="W38" s="7" t="s">
        <v>372</v>
      </c>
      <c r="X38" s="79">
        <f>X167</f>
        <v>0</v>
      </c>
      <c r="Y38" s="79">
        <f>Y167</f>
        <v>0</v>
      </c>
      <c r="Z38" s="79">
        <f>Z167</f>
        <v>0</v>
      </c>
      <c r="AA38" s="79">
        <f>AC167</f>
        <v>0</v>
      </c>
      <c r="AB38" s="79">
        <f t="shared" si="9"/>
        <v>0</v>
      </c>
      <c r="AC38" s="34">
        <f t="shared" si="10"/>
        <v>0</v>
      </c>
      <c r="AE38" s="5" t="str">
        <f>AE151</f>
        <v>Facility (Credit Card)</v>
      </c>
      <c r="AF38" s="7" t="s">
        <v>372</v>
      </c>
      <c r="AG38" s="79">
        <f>AG167</f>
        <v>0</v>
      </c>
      <c r="AH38" s="79">
        <f>AH167</f>
        <v>0</v>
      </c>
      <c r="AI38" s="79">
        <f>AI167</f>
        <v>0</v>
      </c>
      <c r="AJ38" s="79">
        <f>AL167</f>
        <v>0</v>
      </c>
      <c r="AK38" s="79">
        <f t="shared" si="11"/>
        <v>0</v>
      </c>
      <c r="AL38" s="34">
        <f t="shared" si="12"/>
        <v>0</v>
      </c>
      <c r="AN38" s="5" t="str">
        <f>AN151</f>
        <v>Facility (Credit Card)</v>
      </c>
      <c r="AO38" s="7" t="s">
        <v>372</v>
      </c>
      <c r="AP38" s="79">
        <f>AP167</f>
        <v>0</v>
      </c>
      <c r="AQ38" s="79">
        <f>AQ167</f>
        <v>0</v>
      </c>
      <c r="AR38" s="79">
        <f>AR167</f>
        <v>0</v>
      </c>
      <c r="AS38" s="79">
        <f>AU167</f>
        <v>0</v>
      </c>
      <c r="AT38" s="79">
        <f t="shared" si="13"/>
        <v>0</v>
      </c>
      <c r="AU38" s="34">
        <f t="shared" si="14"/>
        <v>0</v>
      </c>
      <c r="AW38" s="5" t="str">
        <f>AW151</f>
        <v>Facility (Credit Card)</v>
      </c>
      <c r="AX38" s="7" t="s">
        <v>372</v>
      </c>
      <c r="AY38" s="79">
        <f>AY167</f>
        <v>0</v>
      </c>
      <c r="AZ38" s="79">
        <f>AZ167</f>
        <v>0</v>
      </c>
      <c r="BA38" s="79">
        <f>BA167</f>
        <v>0</v>
      </c>
      <c r="BB38" s="79">
        <f>BD167</f>
        <v>0</v>
      </c>
      <c r="BC38" s="79">
        <f t="shared" si="15"/>
        <v>0</v>
      </c>
      <c r="BD38" s="34">
        <f t="shared" si="16"/>
        <v>0</v>
      </c>
      <c r="BF38" s="5" t="str">
        <f>BF151</f>
        <v>Facility (Credit Card)</v>
      </c>
      <c r="BG38" s="7" t="s">
        <v>372</v>
      </c>
      <c r="BH38" s="79">
        <f>BH167</f>
        <v>0</v>
      </c>
      <c r="BI38" s="79">
        <f>BI167</f>
        <v>0</v>
      </c>
      <c r="BJ38" s="79">
        <f>BJ167</f>
        <v>0</v>
      </c>
      <c r="BK38" s="79">
        <f>BM167</f>
        <v>0</v>
      </c>
      <c r="BL38" s="79">
        <f t="shared" si="17"/>
        <v>0</v>
      </c>
      <c r="BM38" s="34">
        <f t="shared" si="18"/>
        <v>0</v>
      </c>
    </row>
    <row r="39" spans="1:65" ht="25.5" customHeight="1">
      <c r="A39" s="2">
        <f>COUNT(D170:D184)</f>
        <v>0</v>
      </c>
      <c r="B39" s="5" t="str">
        <f>B169</f>
        <v>P2P (Term-loan)</v>
      </c>
      <c r="C39" s="7" t="s">
        <v>511</v>
      </c>
      <c r="D39" s="79">
        <f>D185</f>
        <v>0</v>
      </c>
      <c r="E39" s="79">
        <f t="shared" ref="E39:F39" si="19">E185</f>
        <v>0</v>
      </c>
      <c r="F39" s="79">
        <f t="shared" si="19"/>
        <v>0</v>
      </c>
      <c r="G39" s="79">
        <f>I185</f>
        <v>0</v>
      </c>
      <c r="H39" s="79">
        <f t="shared" si="5"/>
        <v>0</v>
      </c>
      <c r="I39" s="34">
        <f t="shared" si="6"/>
        <v>0</v>
      </c>
      <c r="J39" s="172"/>
      <c r="L39" s="5" t="s">
        <v>512</v>
      </c>
      <c r="M39" s="7" t="s">
        <v>511</v>
      </c>
      <c r="N39" s="79">
        <f>N185</f>
        <v>0</v>
      </c>
      <c r="O39" s="79">
        <f t="shared" ref="O39:P39" si="20">O185</f>
        <v>0</v>
      </c>
      <c r="P39" s="79">
        <f t="shared" si="20"/>
        <v>0</v>
      </c>
      <c r="Q39" s="79">
        <f>S185</f>
        <v>0</v>
      </c>
      <c r="R39" s="79">
        <f t="shared" si="7"/>
        <v>0</v>
      </c>
      <c r="S39" s="34">
        <f t="shared" si="8"/>
        <v>0</v>
      </c>
      <c r="T39" s="172"/>
      <c r="V39" s="5" t="s">
        <v>512</v>
      </c>
      <c r="W39" s="7" t="s">
        <v>511</v>
      </c>
      <c r="X39" s="79">
        <f>X185</f>
        <v>0</v>
      </c>
      <c r="Y39" s="79">
        <f t="shared" ref="Y39:Z39" si="21">Y185</f>
        <v>0</v>
      </c>
      <c r="Z39" s="79">
        <f t="shared" si="21"/>
        <v>0</v>
      </c>
      <c r="AA39" s="79">
        <f>AC185</f>
        <v>0</v>
      </c>
      <c r="AB39" s="79">
        <f t="shared" si="9"/>
        <v>0</v>
      </c>
      <c r="AC39" s="34">
        <f t="shared" si="10"/>
        <v>0</v>
      </c>
      <c r="AE39" s="5" t="s">
        <v>512</v>
      </c>
      <c r="AF39" s="7" t="s">
        <v>511</v>
      </c>
      <c r="AG39" s="79">
        <f>AG185</f>
        <v>0</v>
      </c>
      <c r="AH39" s="79">
        <f t="shared" ref="AH39:AI39" si="22">AH185</f>
        <v>0</v>
      </c>
      <c r="AI39" s="79">
        <f t="shared" si="22"/>
        <v>0</v>
      </c>
      <c r="AJ39" s="79">
        <f>AL185</f>
        <v>0</v>
      </c>
      <c r="AK39" s="79">
        <f t="shared" si="11"/>
        <v>0</v>
      </c>
      <c r="AL39" s="34">
        <f t="shared" si="12"/>
        <v>0</v>
      </c>
      <c r="AN39" s="5" t="s">
        <v>512</v>
      </c>
      <c r="AO39" s="7" t="s">
        <v>511</v>
      </c>
      <c r="AP39" s="79">
        <f>AP185</f>
        <v>0</v>
      </c>
      <c r="AQ39" s="79">
        <f t="shared" ref="AQ39:AR39" si="23">AQ185</f>
        <v>0</v>
      </c>
      <c r="AR39" s="79">
        <f t="shared" si="23"/>
        <v>0</v>
      </c>
      <c r="AS39" s="79">
        <f>AU185</f>
        <v>0</v>
      </c>
      <c r="AT39" s="79">
        <f t="shared" si="13"/>
        <v>0</v>
      </c>
      <c r="AU39" s="34">
        <f t="shared" si="14"/>
        <v>0</v>
      </c>
      <c r="AW39" s="5" t="s">
        <v>512</v>
      </c>
      <c r="AX39" s="7" t="s">
        <v>511</v>
      </c>
      <c r="AY39" s="79">
        <f>AY185</f>
        <v>0</v>
      </c>
      <c r="AZ39" s="79">
        <f t="shared" ref="AZ39:BA39" si="24">AZ185</f>
        <v>0</v>
      </c>
      <c r="BA39" s="79">
        <f t="shared" si="24"/>
        <v>0</v>
      </c>
      <c r="BB39" s="79">
        <f>BD185</f>
        <v>0</v>
      </c>
      <c r="BC39" s="79">
        <f t="shared" si="15"/>
        <v>0</v>
      </c>
      <c r="BD39" s="34">
        <f t="shared" si="16"/>
        <v>0</v>
      </c>
      <c r="BF39" s="5" t="s">
        <v>512</v>
      </c>
      <c r="BG39" s="7" t="s">
        <v>511</v>
      </c>
      <c r="BH39" s="79">
        <f>BH185</f>
        <v>0</v>
      </c>
      <c r="BI39" s="79">
        <f t="shared" ref="BI39:BJ39" si="25">BI185</f>
        <v>0</v>
      </c>
      <c r="BJ39" s="79">
        <f t="shared" si="25"/>
        <v>0</v>
      </c>
      <c r="BK39" s="79">
        <f>BM185</f>
        <v>0</v>
      </c>
      <c r="BL39" s="79">
        <f t="shared" si="17"/>
        <v>0</v>
      </c>
      <c r="BM39" s="34">
        <f t="shared" si="18"/>
        <v>0</v>
      </c>
    </row>
    <row r="40" spans="1:65" ht="25.5" customHeight="1">
      <c r="A40" s="2">
        <f>COUNT(D188:D202)</f>
        <v>0</v>
      </c>
      <c r="B40" s="5" t="str">
        <f>B187</f>
        <v>P2P (Trade Receivable)</v>
      </c>
      <c r="C40" s="7" t="s">
        <v>368</v>
      </c>
      <c r="D40" s="79">
        <f>D203</f>
        <v>0</v>
      </c>
      <c r="E40" s="79">
        <f t="shared" ref="E40:F40" si="26">E203</f>
        <v>0</v>
      </c>
      <c r="F40" s="79">
        <f t="shared" si="26"/>
        <v>0</v>
      </c>
      <c r="G40" s="79">
        <f>I203</f>
        <v>0</v>
      </c>
      <c r="H40" s="79">
        <f t="shared" si="5"/>
        <v>0</v>
      </c>
      <c r="I40" s="34">
        <f t="shared" si="6"/>
        <v>0</v>
      </c>
      <c r="J40" s="172"/>
      <c r="L40" s="5" t="s">
        <v>512</v>
      </c>
      <c r="M40" s="7" t="s">
        <v>368</v>
      </c>
      <c r="N40" s="79">
        <f>N203</f>
        <v>0</v>
      </c>
      <c r="O40" s="79">
        <f t="shared" ref="O40:P40" si="27">O203</f>
        <v>0</v>
      </c>
      <c r="P40" s="79">
        <f t="shared" si="27"/>
        <v>0</v>
      </c>
      <c r="Q40" s="79">
        <f>S203</f>
        <v>0</v>
      </c>
      <c r="R40" s="79">
        <f t="shared" si="7"/>
        <v>0</v>
      </c>
      <c r="S40" s="34">
        <f t="shared" si="8"/>
        <v>0</v>
      </c>
      <c r="T40" s="172"/>
      <c r="V40" s="5" t="s">
        <v>512</v>
      </c>
      <c r="W40" s="7" t="s">
        <v>368</v>
      </c>
      <c r="X40" s="79">
        <f>X203</f>
        <v>0</v>
      </c>
      <c r="Y40" s="79">
        <f t="shared" ref="Y40:Z40" si="28">Y203</f>
        <v>0</v>
      </c>
      <c r="Z40" s="79">
        <f t="shared" si="28"/>
        <v>0</v>
      </c>
      <c r="AA40" s="79">
        <f>AC203</f>
        <v>0</v>
      </c>
      <c r="AB40" s="79">
        <f t="shared" si="9"/>
        <v>0</v>
      </c>
      <c r="AC40" s="34">
        <f t="shared" si="10"/>
        <v>0</v>
      </c>
      <c r="AE40" s="5" t="s">
        <v>512</v>
      </c>
      <c r="AF40" s="7" t="s">
        <v>368</v>
      </c>
      <c r="AG40" s="79">
        <f>AG203</f>
        <v>0</v>
      </c>
      <c r="AH40" s="79">
        <f t="shared" ref="AH40:AI40" si="29">AH203</f>
        <v>0</v>
      </c>
      <c r="AI40" s="79">
        <f t="shared" si="29"/>
        <v>0</v>
      </c>
      <c r="AJ40" s="79">
        <f>AL203</f>
        <v>0</v>
      </c>
      <c r="AK40" s="79">
        <f t="shared" si="11"/>
        <v>0</v>
      </c>
      <c r="AL40" s="34">
        <f t="shared" si="12"/>
        <v>0</v>
      </c>
      <c r="AN40" s="5" t="s">
        <v>512</v>
      </c>
      <c r="AO40" s="7" t="s">
        <v>368</v>
      </c>
      <c r="AP40" s="79">
        <f>AP203</f>
        <v>0</v>
      </c>
      <c r="AQ40" s="79">
        <f t="shared" ref="AQ40:AR40" si="30">AQ203</f>
        <v>0</v>
      </c>
      <c r="AR40" s="79">
        <f t="shared" si="30"/>
        <v>0</v>
      </c>
      <c r="AS40" s="79">
        <f>AU203</f>
        <v>0</v>
      </c>
      <c r="AT40" s="79">
        <f t="shared" si="13"/>
        <v>0</v>
      </c>
      <c r="AU40" s="34">
        <f t="shared" si="14"/>
        <v>0</v>
      </c>
      <c r="AW40" s="5" t="s">
        <v>512</v>
      </c>
      <c r="AX40" s="7" t="s">
        <v>368</v>
      </c>
      <c r="AY40" s="79">
        <f>AY203</f>
        <v>0</v>
      </c>
      <c r="AZ40" s="79">
        <f t="shared" ref="AZ40:BA40" si="31">AZ203</f>
        <v>0</v>
      </c>
      <c r="BA40" s="79">
        <f t="shared" si="31"/>
        <v>0</v>
      </c>
      <c r="BB40" s="79">
        <f>BD203</f>
        <v>0</v>
      </c>
      <c r="BC40" s="79">
        <f t="shared" si="15"/>
        <v>0</v>
      </c>
      <c r="BD40" s="34">
        <f t="shared" si="16"/>
        <v>0</v>
      </c>
      <c r="BF40" s="5" t="s">
        <v>512</v>
      </c>
      <c r="BG40" s="7" t="s">
        <v>368</v>
      </c>
      <c r="BH40" s="79">
        <f>BH203</f>
        <v>0</v>
      </c>
      <c r="BI40" s="79">
        <f t="shared" ref="BI40:BJ40" si="32">BI203</f>
        <v>0</v>
      </c>
      <c r="BJ40" s="79">
        <f t="shared" si="32"/>
        <v>0</v>
      </c>
      <c r="BK40" s="79">
        <f>BM203</f>
        <v>0</v>
      </c>
      <c r="BL40" s="79">
        <f t="shared" si="17"/>
        <v>0</v>
      </c>
      <c r="BM40" s="34">
        <f t="shared" si="18"/>
        <v>0</v>
      </c>
    </row>
    <row r="41" spans="1:65" ht="25.5" customHeight="1">
      <c r="B41" s="39" t="s">
        <v>513</v>
      </c>
      <c r="C41" s="33"/>
      <c r="D41" s="35">
        <f>SUM(D32:D40)</f>
        <v>0</v>
      </c>
      <c r="E41" s="35">
        <f t="shared" ref="E41:I41" si="33">SUM(E32:E40)</f>
        <v>0</v>
      </c>
      <c r="F41" s="35">
        <f t="shared" si="33"/>
        <v>0</v>
      </c>
      <c r="G41" s="35">
        <f t="shared" si="33"/>
        <v>0</v>
      </c>
      <c r="H41" s="35">
        <f t="shared" si="33"/>
        <v>0</v>
      </c>
      <c r="I41" s="35">
        <f t="shared" si="33"/>
        <v>0</v>
      </c>
      <c r="J41" s="212"/>
      <c r="L41" s="39" t="s">
        <v>513</v>
      </c>
      <c r="M41" s="33"/>
      <c r="N41" s="35">
        <f>SUM(N32:N40)</f>
        <v>0</v>
      </c>
      <c r="O41" s="35">
        <f t="shared" ref="O41:S41" si="34">SUM(O32:O40)</f>
        <v>0</v>
      </c>
      <c r="P41" s="35">
        <f t="shared" si="34"/>
        <v>0</v>
      </c>
      <c r="Q41" s="35">
        <f t="shared" si="34"/>
        <v>0</v>
      </c>
      <c r="R41" s="35">
        <f t="shared" si="34"/>
        <v>0</v>
      </c>
      <c r="S41" s="35">
        <f t="shared" si="34"/>
        <v>0</v>
      </c>
      <c r="T41" s="212"/>
      <c r="V41" s="39" t="s">
        <v>513</v>
      </c>
      <c r="W41" s="33"/>
      <c r="X41" s="35">
        <f>SUM(X32:X40)</f>
        <v>0</v>
      </c>
      <c r="Y41" s="35">
        <f t="shared" ref="Y41:AC41" si="35">SUM(Y32:Y40)</f>
        <v>0</v>
      </c>
      <c r="Z41" s="35">
        <f t="shared" si="35"/>
        <v>0</v>
      </c>
      <c r="AA41" s="35">
        <f t="shared" si="35"/>
        <v>0</v>
      </c>
      <c r="AB41" s="35">
        <f t="shared" si="35"/>
        <v>0</v>
      </c>
      <c r="AC41" s="35">
        <f t="shared" si="35"/>
        <v>0</v>
      </c>
      <c r="AE41" s="39" t="s">
        <v>513</v>
      </c>
      <c r="AF41" s="33"/>
      <c r="AG41" s="35">
        <f>SUM(AG32:AG40)</f>
        <v>0</v>
      </c>
      <c r="AH41" s="35">
        <f t="shared" ref="AH41:AL41" si="36">SUM(AH32:AH40)</f>
        <v>0</v>
      </c>
      <c r="AI41" s="35">
        <f t="shared" si="36"/>
        <v>0</v>
      </c>
      <c r="AJ41" s="35">
        <f t="shared" si="36"/>
        <v>0</v>
      </c>
      <c r="AK41" s="35">
        <f t="shared" si="36"/>
        <v>0</v>
      </c>
      <c r="AL41" s="35">
        <f t="shared" si="36"/>
        <v>0</v>
      </c>
      <c r="AN41" s="39" t="s">
        <v>513</v>
      </c>
      <c r="AO41" s="33"/>
      <c r="AP41" s="35">
        <f>SUM(AP32:AP40)</f>
        <v>0</v>
      </c>
      <c r="AQ41" s="35">
        <f t="shared" ref="AQ41:AU41" si="37">SUM(AQ32:AQ40)</f>
        <v>0</v>
      </c>
      <c r="AR41" s="35">
        <f t="shared" si="37"/>
        <v>0</v>
      </c>
      <c r="AS41" s="35">
        <f t="shared" si="37"/>
        <v>0</v>
      </c>
      <c r="AT41" s="35">
        <f t="shared" si="37"/>
        <v>0</v>
      </c>
      <c r="AU41" s="35">
        <f t="shared" si="37"/>
        <v>0</v>
      </c>
      <c r="AW41" s="39" t="s">
        <v>513</v>
      </c>
      <c r="AX41" s="33"/>
      <c r="AY41" s="35">
        <f>SUM(AY32:AY40)</f>
        <v>0</v>
      </c>
      <c r="AZ41" s="35">
        <f t="shared" ref="AZ41:BD41" si="38">SUM(AZ32:AZ40)</f>
        <v>0</v>
      </c>
      <c r="BA41" s="35">
        <f t="shared" si="38"/>
        <v>0</v>
      </c>
      <c r="BB41" s="35">
        <f t="shared" si="38"/>
        <v>0</v>
      </c>
      <c r="BC41" s="35">
        <f t="shared" si="38"/>
        <v>0</v>
      </c>
      <c r="BD41" s="35">
        <f t="shared" si="38"/>
        <v>0</v>
      </c>
      <c r="BF41" s="39" t="s">
        <v>513</v>
      </c>
      <c r="BG41" s="33"/>
      <c r="BH41" s="35">
        <f>SUM(BH32:BH40)</f>
        <v>0</v>
      </c>
      <c r="BI41" s="35">
        <f t="shared" ref="BI41:BM41" si="39">SUM(BI32:BI40)</f>
        <v>0</v>
      </c>
      <c r="BJ41" s="35">
        <f t="shared" si="39"/>
        <v>0</v>
      </c>
      <c r="BK41" s="35">
        <f t="shared" si="39"/>
        <v>0</v>
      </c>
      <c r="BL41" s="35">
        <f t="shared" si="39"/>
        <v>0</v>
      </c>
      <c r="BM41" s="35">
        <f t="shared" si="39"/>
        <v>0</v>
      </c>
    </row>
    <row r="43" spans="1:65" s="20" customFormat="1" ht="41.4">
      <c r="B43" s="27" t="s">
        <v>9</v>
      </c>
      <c r="C43" s="3" t="s">
        <v>149</v>
      </c>
      <c r="D43" s="3" t="s">
        <v>444</v>
      </c>
      <c r="E43" s="3" t="s">
        <v>445</v>
      </c>
      <c r="F43" s="3" t="s">
        <v>446</v>
      </c>
      <c r="G43" s="3" t="s">
        <v>447</v>
      </c>
      <c r="H43" s="3" t="s">
        <v>448</v>
      </c>
      <c r="I43" s="3" t="s">
        <v>449</v>
      </c>
      <c r="J43" s="173" t="s">
        <v>450</v>
      </c>
      <c r="L43" s="27" t="s">
        <v>9</v>
      </c>
      <c r="M43" s="3" t="s">
        <v>149</v>
      </c>
      <c r="N43" s="3" t="s">
        <v>444</v>
      </c>
      <c r="O43" s="3" t="s">
        <v>445</v>
      </c>
      <c r="P43" s="3" t="s">
        <v>446</v>
      </c>
      <c r="Q43" s="3" t="s">
        <v>447</v>
      </c>
      <c r="R43" s="3" t="s">
        <v>448</v>
      </c>
      <c r="S43" s="3" t="s">
        <v>449</v>
      </c>
      <c r="T43" s="173" t="s">
        <v>450</v>
      </c>
      <c r="V43" s="27" t="s">
        <v>9</v>
      </c>
      <c r="W43" s="3" t="s">
        <v>149</v>
      </c>
      <c r="X43" s="3" t="s">
        <v>444</v>
      </c>
      <c r="Y43" s="3" t="s">
        <v>445</v>
      </c>
      <c r="Z43" s="3" t="s">
        <v>446</v>
      </c>
      <c r="AA43" s="3" t="s">
        <v>447</v>
      </c>
      <c r="AB43" s="3" t="s">
        <v>448</v>
      </c>
      <c r="AC43" s="3" t="s">
        <v>449</v>
      </c>
      <c r="AE43" s="27" t="s">
        <v>9</v>
      </c>
      <c r="AF43" s="3" t="s">
        <v>149</v>
      </c>
      <c r="AG43" s="3" t="s">
        <v>444</v>
      </c>
      <c r="AH43" s="3" t="s">
        <v>445</v>
      </c>
      <c r="AI43" s="3" t="s">
        <v>446</v>
      </c>
      <c r="AJ43" s="3" t="s">
        <v>447</v>
      </c>
      <c r="AK43" s="3" t="s">
        <v>448</v>
      </c>
      <c r="AL43" s="3" t="s">
        <v>449</v>
      </c>
      <c r="AN43" s="27" t="s">
        <v>9</v>
      </c>
      <c r="AO43" s="3" t="s">
        <v>149</v>
      </c>
      <c r="AP43" s="3" t="s">
        <v>444</v>
      </c>
      <c r="AQ43" s="3" t="s">
        <v>445</v>
      </c>
      <c r="AR43" s="3" t="s">
        <v>446</v>
      </c>
      <c r="AS43" s="3" t="s">
        <v>447</v>
      </c>
      <c r="AT43" s="3" t="s">
        <v>448</v>
      </c>
      <c r="AU43" s="3" t="s">
        <v>449</v>
      </c>
      <c r="AW43" s="27" t="s">
        <v>9</v>
      </c>
      <c r="AX43" s="3" t="s">
        <v>149</v>
      </c>
      <c r="AY43" s="3" t="s">
        <v>444</v>
      </c>
      <c r="AZ43" s="3" t="s">
        <v>445</v>
      </c>
      <c r="BA43" s="3" t="s">
        <v>446</v>
      </c>
      <c r="BB43" s="3" t="s">
        <v>447</v>
      </c>
      <c r="BC43" s="3" t="s">
        <v>448</v>
      </c>
      <c r="BD43" s="3" t="s">
        <v>449</v>
      </c>
      <c r="BF43" s="27" t="s">
        <v>9</v>
      </c>
      <c r="BG43" s="3" t="s">
        <v>149</v>
      </c>
      <c r="BH43" s="3" t="s">
        <v>444</v>
      </c>
      <c r="BI43" s="3" t="s">
        <v>445</v>
      </c>
      <c r="BJ43" s="3" t="s">
        <v>446</v>
      </c>
      <c r="BK43" s="3" t="s">
        <v>447</v>
      </c>
      <c r="BL43" s="3" t="s">
        <v>448</v>
      </c>
      <c r="BM43" s="3" t="s">
        <v>449</v>
      </c>
    </row>
    <row r="44" spans="1:65">
      <c r="B44" s="41" t="s">
        <v>514</v>
      </c>
      <c r="C44" s="41" t="s">
        <v>355</v>
      </c>
      <c r="D44" s="40"/>
      <c r="E44" s="40"/>
      <c r="F44" s="29"/>
      <c r="G44" s="22"/>
      <c r="H44" s="23">
        <v>0.75</v>
      </c>
      <c r="I44" s="75">
        <f>D44*G44*H44</f>
        <v>0</v>
      </c>
      <c r="J44" s="172"/>
      <c r="L44" s="41" t="s">
        <v>514</v>
      </c>
      <c r="M44" s="41" t="s">
        <v>355</v>
      </c>
      <c r="N44" s="40"/>
      <c r="O44" s="40"/>
      <c r="P44" s="29"/>
      <c r="Q44" s="22"/>
      <c r="R44" s="23">
        <v>0.75</v>
      </c>
      <c r="S44" s="6">
        <f>N44*Q44*R44</f>
        <v>0</v>
      </c>
      <c r="T44" s="172"/>
      <c r="V44" s="41" t="s">
        <v>514</v>
      </c>
      <c r="W44" s="41" t="s">
        <v>355</v>
      </c>
      <c r="X44" s="40"/>
      <c r="Y44" s="40"/>
      <c r="Z44" s="29"/>
      <c r="AA44" s="22">
        <v>0.08</v>
      </c>
      <c r="AB44" s="23">
        <v>0.75</v>
      </c>
      <c r="AC44" s="6">
        <f>X44*AA44*AB44</f>
        <v>0</v>
      </c>
      <c r="AE44" s="41" t="s">
        <v>514</v>
      </c>
      <c r="AF44" s="41" t="s">
        <v>355</v>
      </c>
      <c r="AG44" s="40"/>
      <c r="AH44" s="40"/>
      <c r="AI44" s="29"/>
      <c r="AJ44" s="22">
        <v>0.08</v>
      </c>
      <c r="AK44" s="23">
        <v>0.75</v>
      </c>
      <c r="AL44" s="6">
        <f>AG44*AJ44*AK44</f>
        <v>0</v>
      </c>
      <c r="AN44" s="41" t="s">
        <v>514</v>
      </c>
      <c r="AO44" s="41" t="s">
        <v>355</v>
      </c>
      <c r="AP44" s="40"/>
      <c r="AQ44" s="40"/>
      <c r="AR44" s="29"/>
      <c r="AS44" s="22">
        <v>0.08</v>
      </c>
      <c r="AT44" s="23">
        <v>0.75</v>
      </c>
      <c r="AU44" s="6">
        <f>AP44*AS44*AT44</f>
        <v>0</v>
      </c>
      <c r="AW44" s="41" t="s">
        <v>514</v>
      </c>
      <c r="AX44" s="41" t="s">
        <v>355</v>
      </c>
      <c r="AY44" s="40"/>
      <c r="AZ44" s="40"/>
      <c r="BA44" s="29"/>
      <c r="BB44" s="22">
        <v>0.08</v>
      </c>
      <c r="BC44" s="23">
        <v>0.75</v>
      </c>
      <c r="BD44" s="6">
        <f>AY44*BB44*BC44</f>
        <v>0</v>
      </c>
      <c r="BF44" s="41" t="s">
        <v>514</v>
      </c>
      <c r="BG44" s="41" t="s">
        <v>355</v>
      </c>
      <c r="BH44" s="40"/>
      <c r="BI44" s="40"/>
      <c r="BJ44" s="29"/>
      <c r="BK44" s="22">
        <v>0.08</v>
      </c>
      <c r="BL44" s="23">
        <v>0.75</v>
      </c>
      <c r="BM44" s="6">
        <f>BH44*BK44*BL44</f>
        <v>0</v>
      </c>
    </row>
    <row r="45" spans="1:65">
      <c r="B45" s="41" t="s">
        <v>514</v>
      </c>
      <c r="C45" s="41" t="s">
        <v>355</v>
      </c>
      <c r="D45" s="40"/>
      <c r="E45" s="40"/>
      <c r="F45" s="29"/>
      <c r="G45" s="22"/>
      <c r="H45" s="23">
        <v>0.75</v>
      </c>
      <c r="I45" s="75">
        <f t="shared" ref="I45:I58" si="40">D45*G45*H45</f>
        <v>0</v>
      </c>
      <c r="J45" s="172"/>
      <c r="L45" s="41" t="s">
        <v>514</v>
      </c>
      <c r="M45" s="41" t="s">
        <v>355</v>
      </c>
      <c r="N45" s="40"/>
      <c r="O45" s="40"/>
      <c r="P45" s="29"/>
      <c r="Q45" s="22"/>
      <c r="R45" s="23">
        <v>0.75</v>
      </c>
      <c r="S45" s="6">
        <f t="shared" ref="S45:S58" si="41">N45*Q45*R45</f>
        <v>0</v>
      </c>
      <c r="T45" s="172"/>
      <c r="V45" s="41" t="s">
        <v>514</v>
      </c>
      <c r="W45" s="41" t="s">
        <v>355</v>
      </c>
      <c r="X45" s="40"/>
      <c r="Y45" s="40"/>
      <c r="Z45" s="29"/>
      <c r="AA45" s="22"/>
      <c r="AB45" s="23">
        <v>0.75</v>
      </c>
      <c r="AC45" s="6">
        <f t="shared" ref="AC45:AC58" si="42">X45*AA45*AB45</f>
        <v>0</v>
      </c>
      <c r="AE45" s="41" t="s">
        <v>514</v>
      </c>
      <c r="AF45" s="41" t="s">
        <v>355</v>
      </c>
      <c r="AG45" s="40"/>
      <c r="AH45" s="40"/>
      <c r="AI45" s="29"/>
      <c r="AJ45" s="22"/>
      <c r="AK45" s="23">
        <v>0.75</v>
      </c>
      <c r="AL45" s="6">
        <f t="shared" ref="AL45:AL58" si="43">AG45*AJ45*AK45</f>
        <v>0</v>
      </c>
      <c r="AN45" s="41" t="s">
        <v>514</v>
      </c>
      <c r="AO45" s="41" t="s">
        <v>355</v>
      </c>
      <c r="AP45" s="40"/>
      <c r="AQ45" s="40"/>
      <c r="AR45" s="29"/>
      <c r="AS45" s="22"/>
      <c r="AT45" s="23">
        <v>0.75</v>
      </c>
      <c r="AU45" s="6">
        <f t="shared" ref="AU45:AU58" si="44">AP45*AS45*AT45</f>
        <v>0</v>
      </c>
      <c r="AW45" s="41" t="s">
        <v>514</v>
      </c>
      <c r="AX45" s="41" t="s">
        <v>355</v>
      </c>
      <c r="AY45" s="40"/>
      <c r="AZ45" s="40"/>
      <c r="BA45" s="29"/>
      <c r="BB45" s="22"/>
      <c r="BC45" s="23">
        <v>0.75</v>
      </c>
      <c r="BD45" s="6">
        <f t="shared" ref="BD45:BD58" si="45">AY45*BB45*BC45</f>
        <v>0</v>
      </c>
      <c r="BF45" s="41" t="s">
        <v>514</v>
      </c>
      <c r="BG45" s="41" t="s">
        <v>355</v>
      </c>
      <c r="BH45" s="40"/>
      <c r="BI45" s="40"/>
      <c r="BJ45" s="29"/>
      <c r="BK45" s="22"/>
      <c r="BL45" s="23">
        <v>0.75</v>
      </c>
      <c r="BM45" s="6">
        <f t="shared" ref="BM45:BM58" si="46">BH45*BK45*BL45</f>
        <v>0</v>
      </c>
    </row>
    <row r="46" spans="1:65">
      <c r="B46" s="41" t="s">
        <v>514</v>
      </c>
      <c r="C46" s="41" t="s">
        <v>355</v>
      </c>
      <c r="D46" s="40"/>
      <c r="E46" s="40"/>
      <c r="F46" s="29"/>
      <c r="G46" s="22"/>
      <c r="H46" s="23">
        <v>0.75</v>
      </c>
      <c r="I46" s="75">
        <f t="shared" si="40"/>
        <v>0</v>
      </c>
      <c r="J46" s="172"/>
      <c r="L46" s="41" t="s">
        <v>514</v>
      </c>
      <c r="M46" s="41" t="s">
        <v>355</v>
      </c>
      <c r="N46" s="40"/>
      <c r="O46" s="40"/>
      <c r="P46" s="29"/>
      <c r="Q46" s="22"/>
      <c r="R46" s="23">
        <v>0.75</v>
      </c>
      <c r="S46" s="6">
        <f t="shared" si="41"/>
        <v>0</v>
      </c>
      <c r="T46" s="172"/>
      <c r="V46" s="41" t="s">
        <v>514</v>
      </c>
      <c r="W46" s="41" t="s">
        <v>355</v>
      </c>
      <c r="X46" s="40"/>
      <c r="Y46" s="40"/>
      <c r="Z46" s="29"/>
      <c r="AA46" s="22"/>
      <c r="AB46" s="23">
        <v>0.75</v>
      </c>
      <c r="AC46" s="6">
        <f t="shared" si="42"/>
        <v>0</v>
      </c>
      <c r="AE46" s="41" t="s">
        <v>514</v>
      </c>
      <c r="AF46" s="41" t="s">
        <v>355</v>
      </c>
      <c r="AG46" s="40"/>
      <c r="AH46" s="40"/>
      <c r="AI46" s="29"/>
      <c r="AJ46" s="22"/>
      <c r="AK46" s="23">
        <v>0.75</v>
      </c>
      <c r="AL46" s="6">
        <f t="shared" si="43"/>
        <v>0</v>
      </c>
      <c r="AN46" s="41" t="s">
        <v>514</v>
      </c>
      <c r="AO46" s="41" t="s">
        <v>355</v>
      </c>
      <c r="AP46" s="40"/>
      <c r="AQ46" s="40"/>
      <c r="AR46" s="29"/>
      <c r="AS46" s="22"/>
      <c r="AT46" s="23">
        <v>0.75</v>
      </c>
      <c r="AU46" s="6">
        <f t="shared" si="44"/>
        <v>0</v>
      </c>
      <c r="AW46" s="41" t="s">
        <v>514</v>
      </c>
      <c r="AX46" s="41" t="s">
        <v>355</v>
      </c>
      <c r="AY46" s="40"/>
      <c r="AZ46" s="40"/>
      <c r="BA46" s="29"/>
      <c r="BB46" s="22"/>
      <c r="BC46" s="23">
        <v>0.75</v>
      </c>
      <c r="BD46" s="6">
        <f t="shared" si="45"/>
        <v>0</v>
      </c>
      <c r="BF46" s="41" t="s">
        <v>514</v>
      </c>
      <c r="BG46" s="41" t="s">
        <v>355</v>
      </c>
      <c r="BH46" s="40"/>
      <c r="BI46" s="40"/>
      <c r="BJ46" s="29"/>
      <c r="BK46" s="22"/>
      <c r="BL46" s="23">
        <v>0.75</v>
      </c>
      <c r="BM46" s="6">
        <f t="shared" si="46"/>
        <v>0</v>
      </c>
    </row>
    <row r="47" spans="1:65">
      <c r="B47" s="41" t="s">
        <v>514</v>
      </c>
      <c r="C47" s="41" t="s">
        <v>355</v>
      </c>
      <c r="D47" s="40"/>
      <c r="E47" s="40"/>
      <c r="F47" s="29"/>
      <c r="G47" s="22"/>
      <c r="H47" s="23">
        <v>0.75</v>
      </c>
      <c r="I47" s="75">
        <f t="shared" si="40"/>
        <v>0</v>
      </c>
      <c r="J47" s="172"/>
      <c r="L47" s="41" t="s">
        <v>514</v>
      </c>
      <c r="M47" s="41" t="s">
        <v>355</v>
      </c>
      <c r="N47" s="40"/>
      <c r="O47" s="40"/>
      <c r="P47" s="29"/>
      <c r="Q47" s="22"/>
      <c r="R47" s="23">
        <v>0.75</v>
      </c>
      <c r="S47" s="6">
        <f t="shared" si="41"/>
        <v>0</v>
      </c>
      <c r="T47" s="172"/>
      <c r="V47" s="41" t="s">
        <v>514</v>
      </c>
      <c r="W47" s="41" t="s">
        <v>355</v>
      </c>
      <c r="X47" s="40"/>
      <c r="Y47" s="40"/>
      <c r="Z47" s="29"/>
      <c r="AA47" s="22"/>
      <c r="AB47" s="23">
        <v>0.75</v>
      </c>
      <c r="AC47" s="6">
        <f t="shared" si="42"/>
        <v>0</v>
      </c>
      <c r="AE47" s="41" t="s">
        <v>514</v>
      </c>
      <c r="AF47" s="41" t="s">
        <v>355</v>
      </c>
      <c r="AG47" s="40"/>
      <c r="AH47" s="40"/>
      <c r="AI47" s="29"/>
      <c r="AJ47" s="22"/>
      <c r="AK47" s="23">
        <v>0.75</v>
      </c>
      <c r="AL47" s="6">
        <f t="shared" si="43"/>
        <v>0</v>
      </c>
      <c r="AN47" s="41" t="s">
        <v>514</v>
      </c>
      <c r="AO47" s="41" t="s">
        <v>355</v>
      </c>
      <c r="AP47" s="40"/>
      <c r="AQ47" s="40"/>
      <c r="AR47" s="29"/>
      <c r="AS47" s="22"/>
      <c r="AT47" s="23">
        <v>0.75</v>
      </c>
      <c r="AU47" s="6">
        <f t="shared" si="44"/>
        <v>0</v>
      </c>
      <c r="AW47" s="41" t="s">
        <v>514</v>
      </c>
      <c r="AX47" s="41" t="s">
        <v>355</v>
      </c>
      <c r="AY47" s="40"/>
      <c r="AZ47" s="40"/>
      <c r="BA47" s="29"/>
      <c r="BB47" s="22"/>
      <c r="BC47" s="23">
        <v>0.75</v>
      </c>
      <c r="BD47" s="6">
        <f t="shared" si="45"/>
        <v>0</v>
      </c>
      <c r="BF47" s="41" t="s">
        <v>514</v>
      </c>
      <c r="BG47" s="41" t="s">
        <v>355</v>
      </c>
      <c r="BH47" s="40"/>
      <c r="BI47" s="40"/>
      <c r="BJ47" s="29"/>
      <c r="BK47" s="22"/>
      <c r="BL47" s="23">
        <v>0.75</v>
      </c>
      <c r="BM47" s="6">
        <f t="shared" si="46"/>
        <v>0</v>
      </c>
    </row>
    <row r="48" spans="1:65">
      <c r="B48" s="41" t="s">
        <v>514</v>
      </c>
      <c r="C48" s="41" t="s">
        <v>355</v>
      </c>
      <c r="D48" s="40"/>
      <c r="E48" s="40"/>
      <c r="F48" s="29"/>
      <c r="G48" s="22"/>
      <c r="H48" s="23">
        <v>0.75</v>
      </c>
      <c r="I48" s="75">
        <f t="shared" si="40"/>
        <v>0</v>
      </c>
      <c r="J48" s="172"/>
      <c r="L48" s="41" t="s">
        <v>514</v>
      </c>
      <c r="M48" s="41" t="s">
        <v>355</v>
      </c>
      <c r="N48" s="40"/>
      <c r="O48" s="40"/>
      <c r="P48" s="29"/>
      <c r="Q48" s="22"/>
      <c r="R48" s="23">
        <v>0.75</v>
      </c>
      <c r="S48" s="6">
        <f t="shared" si="41"/>
        <v>0</v>
      </c>
      <c r="T48" s="172"/>
      <c r="V48" s="41" t="s">
        <v>514</v>
      </c>
      <c r="W48" s="41" t="s">
        <v>355</v>
      </c>
      <c r="X48" s="40"/>
      <c r="Y48" s="40"/>
      <c r="Z48" s="29"/>
      <c r="AA48" s="22"/>
      <c r="AB48" s="23">
        <v>0.75</v>
      </c>
      <c r="AC48" s="6">
        <f t="shared" si="42"/>
        <v>0</v>
      </c>
      <c r="AE48" s="41" t="s">
        <v>514</v>
      </c>
      <c r="AF48" s="41" t="s">
        <v>355</v>
      </c>
      <c r="AG48" s="40"/>
      <c r="AH48" s="40"/>
      <c r="AI48" s="29"/>
      <c r="AJ48" s="22"/>
      <c r="AK48" s="23">
        <v>0.75</v>
      </c>
      <c r="AL48" s="6">
        <f t="shared" si="43"/>
        <v>0</v>
      </c>
      <c r="AN48" s="41" t="s">
        <v>514</v>
      </c>
      <c r="AO48" s="41" t="s">
        <v>355</v>
      </c>
      <c r="AP48" s="40"/>
      <c r="AQ48" s="40"/>
      <c r="AR48" s="29"/>
      <c r="AS48" s="22"/>
      <c r="AT48" s="23">
        <v>0.75</v>
      </c>
      <c r="AU48" s="6">
        <f t="shared" si="44"/>
        <v>0</v>
      </c>
      <c r="AW48" s="41" t="s">
        <v>514</v>
      </c>
      <c r="AX48" s="41" t="s">
        <v>355</v>
      </c>
      <c r="AY48" s="40"/>
      <c r="AZ48" s="40"/>
      <c r="BA48" s="29"/>
      <c r="BB48" s="22"/>
      <c r="BC48" s="23">
        <v>0.75</v>
      </c>
      <c r="BD48" s="6">
        <f t="shared" si="45"/>
        <v>0</v>
      </c>
      <c r="BF48" s="41" t="s">
        <v>514</v>
      </c>
      <c r="BG48" s="41" t="s">
        <v>355</v>
      </c>
      <c r="BH48" s="40"/>
      <c r="BI48" s="40"/>
      <c r="BJ48" s="29"/>
      <c r="BK48" s="22"/>
      <c r="BL48" s="23">
        <v>0.75</v>
      </c>
      <c r="BM48" s="6">
        <f t="shared" si="46"/>
        <v>0</v>
      </c>
    </row>
    <row r="49" spans="2:65">
      <c r="B49" s="41" t="s">
        <v>514</v>
      </c>
      <c r="C49" s="41" t="s">
        <v>355</v>
      </c>
      <c r="D49" s="40"/>
      <c r="E49" s="40"/>
      <c r="F49" s="29"/>
      <c r="G49" s="22"/>
      <c r="H49" s="23">
        <v>0.75</v>
      </c>
      <c r="I49" s="75">
        <f t="shared" si="40"/>
        <v>0</v>
      </c>
      <c r="J49" s="172"/>
      <c r="L49" s="41" t="s">
        <v>514</v>
      </c>
      <c r="M49" s="41" t="s">
        <v>355</v>
      </c>
      <c r="N49" s="40"/>
      <c r="O49" s="40"/>
      <c r="P49" s="29"/>
      <c r="Q49" s="22"/>
      <c r="R49" s="23">
        <v>0.75</v>
      </c>
      <c r="S49" s="6">
        <f t="shared" si="41"/>
        <v>0</v>
      </c>
      <c r="T49" s="172"/>
      <c r="V49" s="41" t="s">
        <v>514</v>
      </c>
      <c r="W49" s="41" t="s">
        <v>355</v>
      </c>
      <c r="X49" s="40"/>
      <c r="Y49" s="40"/>
      <c r="Z49" s="29"/>
      <c r="AA49" s="22"/>
      <c r="AB49" s="23">
        <v>0.75</v>
      </c>
      <c r="AC49" s="6">
        <f t="shared" si="42"/>
        <v>0</v>
      </c>
      <c r="AE49" s="41" t="s">
        <v>514</v>
      </c>
      <c r="AF49" s="41" t="s">
        <v>355</v>
      </c>
      <c r="AG49" s="40"/>
      <c r="AH49" s="40"/>
      <c r="AI49" s="29"/>
      <c r="AJ49" s="22"/>
      <c r="AK49" s="23">
        <v>0.75</v>
      </c>
      <c r="AL49" s="6">
        <f t="shared" si="43"/>
        <v>0</v>
      </c>
      <c r="AN49" s="41" t="s">
        <v>514</v>
      </c>
      <c r="AO49" s="41" t="s">
        <v>355</v>
      </c>
      <c r="AP49" s="40"/>
      <c r="AQ49" s="40"/>
      <c r="AR49" s="29"/>
      <c r="AS49" s="22"/>
      <c r="AT49" s="23">
        <v>0.75</v>
      </c>
      <c r="AU49" s="6">
        <f t="shared" si="44"/>
        <v>0</v>
      </c>
      <c r="AW49" s="41" t="s">
        <v>514</v>
      </c>
      <c r="AX49" s="41" t="s">
        <v>355</v>
      </c>
      <c r="AY49" s="40"/>
      <c r="AZ49" s="40"/>
      <c r="BA49" s="29"/>
      <c r="BB49" s="22"/>
      <c r="BC49" s="23">
        <v>0.75</v>
      </c>
      <c r="BD49" s="6">
        <f t="shared" si="45"/>
        <v>0</v>
      </c>
      <c r="BF49" s="41" t="s">
        <v>514</v>
      </c>
      <c r="BG49" s="41" t="s">
        <v>355</v>
      </c>
      <c r="BH49" s="40"/>
      <c r="BI49" s="40"/>
      <c r="BJ49" s="29"/>
      <c r="BK49" s="22"/>
      <c r="BL49" s="23">
        <v>0.75</v>
      </c>
      <c r="BM49" s="6">
        <f t="shared" si="46"/>
        <v>0</v>
      </c>
    </row>
    <row r="50" spans="2:65">
      <c r="B50" s="41" t="s">
        <v>514</v>
      </c>
      <c r="C50" s="41" t="s">
        <v>355</v>
      </c>
      <c r="D50" s="40"/>
      <c r="E50" s="40"/>
      <c r="F50" s="29"/>
      <c r="G50" s="22"/>
      <c r="H50" s="23">
        <v>0.75</v>
      </c>
      <c r="I50" s="75">
        <f t="shared" si="40"/>
        <v>0</v>
      </c>
      <c r="J50" s="172"/>
      <c r="L50" s="41" t="s">
        <v>514</v>
      </c>
      <c r="M50" s="41" t="s">
        <v>355</v>
      </c>
      <c r="N50" s="40"/>
      <c r="O50" s="40"/>
      <c r="P50" s="29"/>
      <c r="Q50" s="22"/>
      <c r="R50" s="23">
        <v>0.75</v>
      </c>
      <c r="S50" s="6">
        <f t="shared" si="41"/>
        <v>0</v>
      </c>
      <c r="T50" s="172"/>
      <c r="V50" s="41" t="s">
        <v>514</v>
      </c>
      <c r="W50" s="41" t="s">
        <v>355</v>
      </c>
      <c r="X50" s="40"/>
      <c r="Y50" s="40"/>
      <c r="Z50" s="29"/>
      <c r="AA50" s="22"/>
      <c r="AB50" s="23">
        <v>0.75</v>
      </c>
      <c r="AC50" s="6">
        <f t="shared" si="42"/>
        <v>0</v>
      </c>
      <c r="AE50" s="41" t="s">
        <v>514</v>
      </c>
      <c r="AF50" s="41" t="s">
        <v>355</v>
      </c>
      <c r="AG50" s="40"/>
      <c r="AH50" s="40"/>
      <c r="AI50" s="29"/>
      <c r="AJ50" s="22"/>
      <c r="AK50" s="23">
        <v>0.75</v>
      </c>
      <c r="AL50" s="6">
        <f t="shared" si="43"/>
        <v>0</v>
      </c>
      <c r="AN50" s="41" t="s">
        <v>514</v>
      </c>
      <c r="AO50" s="41" t="s">
        <v>355</v>
      </c>
      <c r="AP50" s="40"/>
      <c r="AQ50" s="40"/>
      <c r="AR50" s="29"/>
      <c r="AS50" s="22"/>
      <c r="AT50" s="23">
        <v>0.75</v>
      </c>
      <c r="AU50" s="6">
        <f t="shared" si="44"/>
        <v>0</v>
      </c>
      <c r="AW50" s="41" t="s">
        <v>514</v>
      </c>
      <c r="AX50" s="41" t="s">
        <v>355</v>
      </c>
      <c r="AY50" s="40"/>
      <c r="AZ50" s="40"/>
      <c r="BA50" s="29"/>
      <c r="BB50" s="22"/>
      <c r="BC50" s="23">
        <v>0.75</v>
      </c>
      <c r="BD50" s="6">
        <f t="shared" si="45"/>
        <v>0</v>
      </c>
      <c r="BF50" s="41" t="s">
        <v>514</v>
      </c>
      <c r="BG50" s="41" t="s">
        <v>355</v>
      </c>
      <c r="BH50" s="40"/>
      <c r="BI50" s="40"/>
      <c r="BJ50" s="29"/>
      <c r="BK50" s="22"/>
      <c r="BL50" s="23">
        <v>0.75</v>
      </c>
      <c r="BM50" s="6">
        <f t="shared" si="46"/>
        <v>0</v>
      </c>
    </row>
    <row r="51" spans="2:65" outlineLevel="1">
      <c r="B51" s="41" t="s">
        <v>514</v>
      </c>
      <c r="C51" s="41" t="s">
        <v>355</v>
      </c>
      <c r="D51" s="40"/>
      <c r="E51" s="40"/>
      <c r="F51" s="29"/>
      <c r="G51" s="22"/>
      <c r="H51" s="23">
        <v>0.75</v>
      </c>
      <c r="I51" s="75">
        <f t="shared" si="40"/>
        <v>0</v>
      </c>
      <c r="J51" s="172"/>
      <c r="L51" s="41" t="s">
        <v>514</v>
      </c>
      <c r="M51" s="41" t="s">
        <v>355</v>
      </c>
      <c r="N51" s="40"/>
      <c r="O51" s="40"/>
      <c r="P51" s="29"/>
      <c r="Q51" s="22"/>
      <c r="R51" s="23">
        <v>0.75</v>
      </c>
      <c r="S51" s="6">
        <f t="shared" si="41"/>
        <v>0</v>
      </c>
      <c r="T51" s="172"/>
      <c r="V51" s="41" t="s">
        <v>514</v>
      </c>
      <c r="W51" s="41" t="s">
        <v>355</v>
      </c>
      <c r="X51" s="40"/>
      <c r="Y51" s="40"/>
      <c r="Z51" s="29"/>
      <c r="AA51" s="22"/>
      <c r="AB51" s="23">
        <v>0.75</v>
      </c>
      <c r="AC51" s="6">
        <f t="shared" si="42"/>
        <v>0</v>
      </c>
      <c r="AE51" s="41" t="s">
        <v>514</v>
      </c>
      <c r="AF51" s="41" t="s">
        <v>355</v>
      </c>
      <c r="AG51" s="40"/>
      <c r="AH51" s="40"/>
      <c r="AI51" s="29"/>
      <c r="AJ51" s="22"/>
      <c r="AK51" s="23">
        <v>0.75</v>
      </c>
      <c r="AL51" s="6">
        <f t="shared" si="43"/>
        <v>0</v>
      </c>
      <c r="AN51" s="41" t="s">
        <v>514</v>
      </c>
      <c r="AO51" s="41" t="s">
        <v>355</v>
      </c>
      <c r="AP51" s="40"/>
      <c r="AQ51" s="40"/>
      <c r="AR51" s="29"/>
      <c r="AS51" s="22"/>
      <c r="AT51" s="23">
        <v>0.75</v>
      </c>
      <c r="AU51" s="6">
        <f t="shared" si="44"/>
        <v>0</v>
      </c>
      <c r="AW51" s="41" t="s">
        <v>514</v>
      </c>
      <c r="AX51" s="41" t="s">
        <v>355</v>
      </c>
      <c r="AY51" s="40"/>
      <c r="AZ51" s="40"/>
      <c r="BA51" s="29"/>
      <c r="BB51" s="22"/>
      <c r="BC51" s="23">
        <v>0.75</v>
      </c>
      <c r="BD51" s="6">
        <f t="shared" si="45"/>
        <v>0</v>
      </c>
      <c r="BF51" s="41" t="s">
        <v>514</v>
      </c>
      <c r="BG51" s="41" t="s">
        <v>355</v>
      </c>
      <c r="BH51" s="40"/>
      <c r="BI51" s="40"/>
      <c r="BJ51" s="29"/>
      <c r="BK51" s="22"/>
      <c r="BL51" s="23">
        <v>0.75</v>
      </c>
      <c r="BM51" s="6">
        <f t="shared" si="46"/>
        <v>0</v>
      </c>
    </row>
    <row r="52" spans="2:65" outlineLevel="1">
      <c r="B52" s="41" t="s">
        <v>514</v>
      </c>
      <c r="C52" s="41" t="s">
        <v>355</v>
      </c>
      <c r="D52" s="40"/>
      <c r="E52" s="40"/>
      <c r="F52" s="29"/>
      <c r="G52" s="22"/>
      <c r="H52" s="23">
        <v>0.75</v>
      </c>
      <c r="I52" s="75">
        <f t="shared" si="40"/>
        <v>0</v>
      </c>
      <c r="J52" s="172"/>
      <c r="L52" s="41" t="s">
        <v>514</v>
      </c>
      <c r="M52" s="41" t="s">
        <v>355</v>
      </c>
      <c r="N52" s="40"/>
      <c r="O52" s="40"/>
      <c r="P52" s="29"/>
      <c r="Q52" s="22"/>
      <c r="R52" s="23">
        <v>0.75</v>
      </c>
      <c r="S52" s="6">
        <f t="shared" si="41"/>
        <v>0</v>
      </c>
      <c r="T52" s="172"/>
      <c r="V52" s="41" t="s">
        <v>514</v>
      </c>
      <c r="W52" s="41" t="s">
        <v>355</v>
      </c>
      <c r="X52" s="40"/>
      <c r="Y52" s="40"/>
      <c r="Z52" s="29"/>
      <c r="AA52" s="22"/>
      <c r="AB52" s="23">
        <v>0.75</v>
      </c>
      <c r="AC52" s="6">
        <f t="shared" si="42"/>
        <v>0</v>
      </c>
      <c r="AE52" s="41" t="s">
        <v>514</v>
      </c>
      <c r="AF52" s="41" t="s">
        <v>355</v>
      </c>
      <c r="AG52" s="40"/>
      <c r="AH52" s="40"/>
      <c r="AI52" s="29"/>
      <c r="AJ52" s="22"/>
      <c r="AK52" s="23">
        <v>0.75</v>
      </c>
      <c r="AL52" s="6">
        <f t="shared" si="43"/>
        <v>0</v>
      </c>
      <c r="AN52" s="41" t="s">
        <v>514</v>
      </c>
      <c r="AO52" s="41" t="s">
        <v>355</v>
      </c>
      <c r="AP52" s="40"/>
      <c r="AQ52" s="40"/>
      <c r="AR52" s="29"/>
      <c r="AS52" s="22"/>
      <c r="AT52" s="23">
        <v>0.75</v>
      </c>
      <c r="AU52" s="6">
        <f t="shared" si="44"/>
        <v>0</v>
      </c>
      <c r="AW52" s="41" t="s">
        <v>514</v>
      </c>
      <c r="AX52" s="41" t="s">
        <v>355</v>
      </c>
      <c r="AY52" s="40"/>
      <c r="AZ52" s="40"/>
      <c r="BA52" s="29"/>
      <c r="BB52" s="22"/>
      <c r="BC52" s="23">
        <v>0.75</v>
      </c>
      <c r="BD52" s="6">
        <f t="shared" si="45"/>
        <v>0</v>
      </c>
      <c r="BF52" s="41" t="s">
        <v>514</v>
      </c>
      <c r="BG52" s="41" t="s">
        <v>355</v>
      </c>
      <c r="BH52" s="40"/>
      <c r="BI52" s="40"/>
      <c r="BJ52" s="29"/>
      <c r="BK52" s="22"/>
      <c r="BL52" s="23">
        <v>0.75</v>
      </c>
      <c r="BM52" s="6">
        <f t="shared" si="46"/>
        <v>0</v>
      </c>
    </row>
    <row r="53" spans="2:65" outlineLevel="1">
      <c r="B53" s="41" t="s">
        <v>514</v>
      </c>
      <c r="C53" s="41" t="s">
        <v>355</v>
      </c>
      <c r="D53" s="40"/>
      <c r="E53" s="40"/>
      <c r="F53" s="29"/>
      <c r="G53" s="22"/>
      <c r="H53" s="23">
        <v>0.75</v>
      </c>
      <c r="I53" s="75">
        <f t="shared" si="40"/>
        <v>0</v>
      </c>
      <c r="J53" s="172"/>
      <c r="L53" s="41" t="s">
        <v>514</v>
      </c>
      <c r="M53" s="41" t="s">
        <v>355</v>
      </c>
      <c r="N53" s="40"/>
      <c r="O53" s="40"/>
      <c r="P53" s="29"/>
      <c r="Q53" s="22"/>
      <c r="R53" s="23">
        <v>0.75</v>
      </c>
      <c r="S53" s="6">
        <f t="shared" si="41"/>
        <v>0</v>
      </c>
      <c r="T53" s="172"/>
      <c r="V53" s="41" t="s">
        <v>514</v>
      </c>
      <c r="W53" s="41" t="s">
        <v>355</v>
      </c>
      <c r="X53" s="40"/>
      <c r="Y53" s="40"/>
      <c r="Z53" s="29"/>
      <c r="AA53" s="22"/>
      <c r="AB53" s="23">
        <v>0.75</v>
      </c>
      <c r="AC53" s="6">
        <f t="shared" si="42"/>
        <v>0</v>
      </c>
      <c r="AE53" s="41" t="s">
        <v>514</v>
      </c>
      <c r="AF53" s="41" t="s">
        <v>355</v>
      </c>
      <c r="AG53" s="40"/>
      <c r="AH53" s="40"/>
      <c r="AI53" s="29"/>
      <c r="AJ53" s="22"/>
      <c r="AK53" s="23">
        <v>0.75</v>
      </c>
      <c r="AL53" s="6">
        <f t="shared" si="43"/>
        <v>0</v>
      </c>
      <c r="AN53" s="41" t="s">
        <v>514</v>
      </c>
      <c r="AO53" s="41" t="s">
        <v>355</v>
      </c>
      <c r="AP53" s="40"/>
      <c r="AQ53" s="40"/>
      <c r="AR53" s="29"/>
      <c r="AS53" s="22"/>
      <c r="AT53" s="23">
        <v>0.75</v>
      </c>
      <c r="AU53" s="6">
        <f t="shared" si="44"/>
        <v>0</v>
      </c>
      <c r="AW53" s="41" t="s">
        <v>514</v>
      </c>
      <c r="AX53" s="41" t="s">
        <v>355</v>
      </c>
      <c r="AY53" s="40"/>
      <c r="AZ53" s="40"/>
      <c r="BA53" s="29"/>
      <c r="BB53" s="22"/>
      <c r="BC53" s="23">
        <v>0.75</v>
      </c>
      <c r="BD53" s="6">
        <f t="shared" si="45"/>
        <v>0</v>
      </c>
      <c r="BF53" s="41" t="s">
        <v>514</v>
      </c>
      <c r="BG53" s="41" t="s">
        <v>355</v>
      </c>
      <c r="BH53" s="40"/>
      <c r="BI53" s="40"/>
      <c r="BJ53" s="29"/>
      <c r="BK53" s="22"/>
      <c r="BL53" s="23">
        <v>0.75</v>
      </c>
      <c r="BM53" s="6">
        <f t="shared" si="46"/>
        <v>0</v>
      </c>
    </row>
    <row r="54" spans="2:65" outlineLevel="1">
      <c r="B54" s="41" t="s">
        <v>514</v>
      </c>
      <c r="C54" s="41" t="s">
        <v>355</v>
      </c>
      <c r="D54" s="40"/>
      <c r="E54" s="40"/>
      <c r="F54" s="29"/>
      <c r="G54" s="22"/>
      <c r="H54" s="23">
        <v>0.75</v>
      </c>
      <c r="I54" s="75">
        <f t="shared" si="40"/>
        <v>0</v>
      </c>
      <c r="J54" s="172"/>
      <c r="L54" s="41" t="s">
        <v>514</v>
      </c>
      <c r="M54" s="41" t="s">
        <v>355</v>
      </c>
      <c r="N54" s="40"/>
      <c r="O54" s="40"/>
      <c r="P54" s="29"/>
      <c r="Q54" s="22"/>
      <c r="R54" s="23">
        <v>0.75</v>
      </c>
      <c r="S54" s="6">
        <f t="shared" si="41"/>
        <v>0</v>
      </c>
      <c r="T54" s="172"/>
      <c r="V54" s="41" t="s">
        <v>514</v>
      </c>
      <c r="W54" s="41" t="s">
        <v>355</v>
      </c>
      <c r="X54" s="40"/>
      <c r="Y54" s="40"/>
      <c r="Z54" s="29"/>
      <c r="AA54" s="22"/>
      <c r="AB54" s="23">
        <v>0.75</v>
      </c>
      <c r="AC54" s="6">
        <f t="shared" si="42"/>
        <v>0</v>
      </c>
      <c r="AE54" s="41" t="s">
        <v>514</v>
      </c>
      <c r="AF54" s="41" t="s">
        <v>355</v>
      </c>
      <c r="AG54" s="40"/>
      <c r="AH54" s="40"/>
      <c r="AI54" s="29"/>
      <c r="AJ54" s="22"/>
      <c r="AK54" s="23">
        <v>0.75</v>
      </c>
      <c r="AL54" s="6">
        <f t="shared" si="43"/>
        <v>0</v>
      </c>
      <c r="AN54" s="41" t="s">
        <v>514</v>
      </c>
      <c r="AO54" s="41" t="s">
        <v>355</v>
      </c>
      <c r="AP54" s="40"/>
      <c r="AQ54" s="40"/>
      <c r="AR54" s="29"/>
      <c r="AS54" s="22"/>
      <c r="AT54" s="23">
        <v>0.75</v>
      </c>
      <c r="AU54" s="6">
        <f t="shared" si="44"/>
        <v>0</v>
      </c>
      <c r="AW54" s="41" t="s">
        <v>514</v>
      </c>
      <c r="AX54" s="41" t="s">
        <v>355</v>
      </c>
      <c r="AY54" s="40"/>
      <c r="AZ54" s="40"/>
      <c r="BA54" s="29"/>
      <c r="BB54" s="22"/>
      <c r="BC54" s="23">
        <v>0.75</v>
      </c>
      <c r="BD54" s="6">
        <f t="shared" si="45"/>
        <v>0</v>
      </c>
      <c r="BF54" s="41" t="s">
        <v>514</v>
      </c>
      <c r="BG54" s="41" t="s">
        <v>355</v>
      </c>
      <c r="BH54" s="40"/>
      <c r="BI54" s="40"/>
      <c r="BJ54" s="29"/>
      <c r="BK54" s="22"/>
      <c r="BL54" s="23">
        <v>0.75</v>
      </c>
      <c r="BM54" s="6">
        <f t="shared" si="46"/>
        <v>0</v>
      </c>
    </row>
    <row r="55" spans="2:65" outlineLevel="1">
      <c r="B55" s="41" t="s">
        <v>514</v>
      </c>
      <c r="C55" s="41" t="s">
        <v>355</v>
      </c>
      <c r="D55" s="40"/>
      <c r="E55" s="40"/>
      <c r="F55" s="29"/>
      <c r="G55" s="22"/>
      <c r="H55" s="23">
        <v>0.75</v>
      </c>
      <c r="I55" s="75">
        <f t="shared" si="40"/>
        <v>0</v>
      </c>
      <c r="J55" s="172"/>
      <c r="L55" s="41" t="s">
        <v>514</v>
      </c>
      <c r="M55" s="41" t="s">
        <v>355</v>
      </c>
      <c r="N55" s="40"/>
      <c r="O55" s="40"/>
      <c r="P55" s="29"/>
      <c r="Q55" s="22"/>
      <c r="R55" s="23">
        <v>0.75</v>
      </c>
      <c r="S55" s="6">
        <f t="shared" si="41"/>
        <v>0</v>
      </c>
      <c r="T55" s="172"/>
      <c r="V55" s="41" t="s">
        <v>514</v>
      </c>
      <c r="W55" s="41" t="s">
        <v>355</v>
      </c>
      <c r="X55" s="40"/>
      <c r="Y55" s="40"/>
      <c r="Z55" s="29"/>
      <c r="AA55" s="22"/>
      <c r="AB55" s="23">
        <v>0.75</v>
      </c>
      <c r="AC55" s="6">
        <f t="shared" si="42"/>
        <v>0</v>
      </c>
      <c r="AE55" s="41" t="s">
        <v>514</v>
      </c>
      <c r="AF55" s="41" t="s">
        <v>355</v>
      </c>
      <c r="AG55" s="40"/>
      <c r="AH55" s="40"/>
      <c r="AI55" s="29"/>
      <c r="AJ55" s="22"/>
      <c r="AK55" s="23">
        <v>0.75</v>
      </c>
      <c r="AL55" s="6">
        <f t="shared" si="43"/>
        <v>0</v>
      </c>
      <c r="AN55" s="41" t="s">
        <v>514</v>
      </c>
      <c r="AO55" s="41" t="s">
        <v>355</v>
      </c>
      <c r="AP55" s="40"/>
      <c r="AQ55" s="40"/>
      <c r="AR55" s="29"/>
      <c r="AS55" s="22"/>
      <c r="AT55" s="23">
        <v>0.75</v>
      </c>
      <c r="AU55" s="6">
        <f t="shared" si="44"/>
        <v>0</v>
      </c>
      <c r="AW55" s="41" t="s">
        <v>514</v>
      </c>
      <c r="AX55" s="41" t="s">
        <v>355</v>
      </c>
      <c r="AY55" s="40"/>
      <c r="AZ55" s="40"/>
      <c r="BA55" s="29"/>
      <c r="BB55" s="22"/>
      <c r="BC55" s="23">
        <v>0.75</v>
      </c>
      <c r="BD55" s="6">
        <f t="shared" si="45"/>
        <v>0</v>
      </c>
      <c r="BF55" s="41" t="s">
        <v>514</v>
      </c>
      <c r="BG55" s="41" t="s">
        <v>355</v>
      </c>
      <c r="BH55" s="40"/>
      <c r="BI55" s="40"/>
      <c r="BJ55" s="29"/>
      <c r="BK55" s="22"/>
      <c r="BL55" s="23">
        <v>0.75</v>
      </c>
      <c r="BM55" s="6">
        <f t="shared" si="46"/>
        <v>0</v>
      </c>
    </row>
    <row r="56" spans="2:65" outlineLevel="1">
      <c r="B56" s="41" t="s">
        <v>514</v>
      </c>
      <c r="C56" s="41" t="s">
        <v>355</v>
      </c>
      <c r="D56" s="40"/>
      <c r="E56" s="40"/>
      <c r="F56" s="29"/>
      <c r="G56" s="22"/>
      <c r="H56" s="23">
        <v>0.75</v>
      </c>
      <c r="I56" s="75">
        <f t="shared" si="40"/>
        <v>0</v>
      </c>
      <c r="J56" s="172"/>
      <c r="L56" s="41" t="s">
        <v>514</v>
      </c>
      <c r="M56" s="41" t="s">
        <v>355</v>
      </c>
      <c r="N56" s="40"/>
      <c r="O56" s="40"/>
      <c r="P56" s="29"/>
      <c r="Q56" s="22"/>
      <c r="R56" s="23">
        <v>0.75</v>
      </c>
      <c r="S56" s="6">
        <f t="shared" si="41"/>
        <v>0</v>
      </c>
      <c r="T56" s="172"/>
      <c r="V56" s="41" t="s">
        <v>514</v>
      </c>
      <c r="W56" s="41" t="s">
        <v>355</v>
      </c>
      <c r="X56" s="40"/>
      <c r="Y56" s="40"/>
      <c r="Z56" s="29"/>
      <c r="AA56" s="22"/>
      <c r="AB56" s="23">
        <v>0.75</v>
      </c>
      <c r="AC56" s="6">
        <f t="shared" si="42"/>
        <v>0</v>
      </c>
      <c r="AE56" s="41" t="s">
        <v>514</v>
      </c>
      <c r="AF56" s="41" t="s">
        <v>355</v>
      </c>
      <c r="AG56" s="40"/>
      <c r="AH56" s="40"/>
      <c r="AI56" s="29"/>
      <c r="AJ56" s="22"/>
      <c r="AK56" s="23">
        <v>0.75</v>
      </c>
      <c r="AL56" s="6">
        <f t="shared" si="43"/>
        <v>0</v>
      </c>
      <c r="AN56" s="41" t="s">
        <v>514</v>
      </c>
      <c r="AO56" s="41" t="s">
        <v>355</v>
      </c>
      <c r="AP56" s="40"/>
      <c r="AQ56" s="40"/>
      <c r="AR56" s="29"/>
      <c r="AS56" s="22"/>
      <c r="AT56" s="23">
        <v>0.75</v>
      </c>
      <c r="AU56" s="6">
        <f t="shared" si="44"/>
        <v>0</v>
      </c>
      <c r="AW56" s="41" t="s">
        <v>514</v>
      </c>
      <c r="AX56" s="41" t="s">
        <v>355</v>
      </c>
      <c r="AY56" s="40"/>
      <c r="AZ56" s="40"/>
      <c r="BA56" s="29"/>
      <c r="BB56" s="22"/>
      <c r="BC56" s="23">
        <v>0.75</v>
      </c>
      <c r="BD56" s="6">
        <f t="shared" si="45"/>
        <v>0</v>
      </c>
      <c r="BF56" s="41" t="s">
        <v>514</v>
      </c>
      <c r="BG56" s="41" t="s">
        <v>355</v>
      </c>
      <c r="BH56" s="40"/>
      <c r="BI56" s="40"/>
      <c r="BJ56" s="29"/>
      <c r="BK56" s="22"/>
      <c r="BL56" s="23">
        <v>0.75</v>
      </c>
      <c r="BM56" s="6">
        <f t="shared" si="46"/>
        <v>0</v>
      </c>
    </row>
    <row r="57" spans="2:65" outlineLevel="1">
      <c r="B57" s="41" t="s">
        <v>514</v>
      </c>
      <c r="C57" s="41" t="s">
        <v>355</v>
      </c>
      <c r="D57" s="40"/>
      <c r="E57" s="40"/>
      <c r="F57" s="29"/>
      <c r="G57" s="22"/>
      <c r="H57" s="23">
        <v>0.75</v>
      </c>
      <c r="I57" s="75">
        <f t="shared" si="40"/>
        <v>0</v>
      </c>
      <c r="J57" s="172"/>
      <c r="L57" s="41" t="s">
        <v>514</v>
      </c>
      <c r="M57" s="41" t="s">
        <v>355</v>
      </c>
      <c r="N57" s="40"/>
      <c r="O57" s="40"/>
      <c r="P57" s="29"/>
      <c r="Q57" s="22"/>
      <c r="R57" s="23">
        <v>0.75</v>
      </c>
      <c r="S57" s="6">
        <f t="shared" si="41"/>
        <v>0</v>
      </c>
      <c r="T57" s="172"/>
      <c r="V57" s="41" t="s">
        <v>514</v>
      </c>
      <c r="W57" s="41" t="s">
        <v>355</v>
      </c>
      <c r="X57" s="40"/>
      <c r="Y57" s="40"/>
      <c r="Z57" s="29"/>
      <c r="AA57" s="22"/>
      <c r="AB57" s="23">
        <v>0.75</v>
      </c>
      <c r="AC57" s="6">
        <f t="shared" si="42"/>
        <v>0</v>
      </c>
      <c r="AE57" s="41" t="s">
        <v>514</v>
      </c>
      <c r="AF57" s="41" t="s">
        <v>355</v>
      </c>
      <c r="AG57" s="40"/>
      <c r="AH57" s="40"/>
      <c r="AI57" s="29"/>
      <c r="AJ57" s="22"/>
      <c r="AK57" s="23">
        <v>0.75</v>
      </c>
      <c r="AL57" s="6">
        <f t="shared" si="43"/>
        <v>0</v>
      </c>
      <c r="AN57" s="41" t="s">
        <v>514</v>
      </c>
      <c r="AO57" s="41" t="s">
        <v>355</v>
      </c>
      <c r="AP57" s="40"/>
      <c r="AQ57" s="40"/>
      <c r="AR57" s="29"/>
      <c r="AS57" s="22"/>
      <c r="AT57" s="23">
        <v>0.75</v>
      </c>
      <c r="AU57" s="6">
        <f t="shared" si="44"/>
        <v>0</v>
      </c>
      <c r="AW57" s="41" t="s">
        <v>514</v>
      </c>
      <c r="AX57" s="41" t="s">
        <v>355</v>
      </c>
      <c r="AY57" s="40"/>
      <c r="AZ57" s="40"/>
      <c r="BA57" s="29"/>
      <c r="BB57" s="22"/>
      <c r="BC57" s="23">
        <v>0.75</v>
      </c>
      <c r="BD57" s="6">
        <f t="shared" si="45"/>
        <v>0</v>
      </c>
      <c r="BF57" s="41" t="s">
        <v>514</v>
      </c>
      <c r="BG57" s="41" t="s">
        <v>355</v>
      </c>
      <c r="BH57" s="40"/>
      <c r="BI57" s="40"/>
      <c r="BJ57" s="29"/>
      <c r="BK57" s="22"/>
      <c r="BL57" s="23">
        <v>0.75</v>
      </c>
      <c r="BM57" s="6">
        <f t="shared" si="46"/>
        <v>0</v>
      </c>
    </row>
    <row r="58" spans="2:65" outlineLevel="1">
      <c r="B58" s="41" t="s">
        <v>514</v>
      </c>
      <c r="C58" s="41" t="s">
        <v>355</v>
      </c>
      <c r="D58" s="40"/>
      <c r="E58" s="40"/>
      <c r="F58" s="29"/>
      <c r="G58" s="22"/>
      <c r="H58" s="23">
        <v>0.75</v>
      </c>
      <c r="I58" s="75">
        <f t="shared" si="40"/>
        <v>0</v>
      </c>
      <c r="J58" s="172"/>
      <c r="L58" s="41" t="s">
        <v>514</v>
      </c>
      <c r="M58" s="41" t="s">
        <v>355</v>
      </c>
      <c r="N58" s="40"/>
      <c r="O58" s="40"/>
      <c r="P58" s="29"/>
      <c r="Q58" s="22"/>
      <c r="R58" s="23">
        <v>0.75</v>
      </c>
      <c r="S58" s="6">
        <f t="shared" si="41"/>
        <v>0</v>
      </c>
      <c r="T58" s="172"/>
      <c r="V58" s="41" t="s">
        <v>514</v>
      </c>
      <c r="W58" s="41" t="s">
        <v>355</v>
      </c>
      <c r="X58" s="40"/>
      <c r="Y58" s="40"/>
      <c r="Z58" s="29"/>
      <c r="AA58" s="22"/>
      <c r="AB58" s="23">
        <v>0.75</v>
      </c>
      <c r="AC58" s="6">
        <f t="shared" si="42"/>
        <v>0</v>
      </c>
      <c r="AE58" s="41" t="s">
        <v>514</v>
      </c>
      <c r="AF58" s="41" t="s">
        <v>355</v>
      </c>
      <c r="AG58" s="40"/>
      <c r="AH58" s="40"/>
      <c r="AI58" s="29"/>
      <c r="AJ58" s="22"/>
      <c r="AK58" s="23">
        <v>0.75</v>
      </c>
      <c r="AL58" s="6">
        <f t="shared" si="43"/>
        <v>0</v>
      </c>
      <c r="AN58" s="41" t="s">
        <v>514</v>
      </c>
      <c r="AO58" s="41" t="s">
        <v>355</v>
      </c>
      <c r="AP58" s="40"/>
      <c r="AQ58" s="40"/>
      <c r="AR58" s="29"/>
      <c r="AS58" s="22"/>
      <c r="AT58" s="23">
        <v>0.75</v>
      </c>
      <c r="AU58" s="6">
        <f t="shared" si="44"/>
        <v>0</v>
      </c>
      <c r="AW58" s="41" t="s">
        <v>514</v>
      </c>
      <c r="AX58" s="41" t="s">
        <v>355</v>
      </c>
      <c r="AY58" s="40"/>
      <c r="AZ58" s="40"/>
      <c r="BA58" s="29"/>
      <c r="BB58" s="22"/>
      <c r="BC58" s="23">
        <v>0.75</v>
      </c>
      <c r="BD58" s="6">
        <f t="shared" si="45"/>
        <v>0</v>
      </c>
      <c r="BF58" s="41" t="s">
        <v>514</v>
      </c>
      <c r="BG58" s="41" t="s">
        <v>355</v>
      </c>
      <c r="BH58" s="40"/>
      <c r="BI58" s="40"/>
      <c r="BJ58" s="29"/>
      <c r="BK58" s="22"/>
      <c r="BL58" s="23">
        <v>0.75</v>
      </c>
      <c r="BM58" s="6">
        <f t="shared" si="46"/>
        <v>0</v>
      </c>
    </row>
    <row r="59" spans="2:65" s="24" customFormat="1">
      <c r="B59" s="8" t="s">
        <v>386</v>
      </c>
      <c r="C59" s="25"/>
      <c r="D59" s="28">
        <f>SUM(D44:D58)</f>
        <v>0</v>
      </c>
      <c r="E59" s="28">
        <f>SUM(E44:E58)</f>
        <v>0</v>
      </c>
      <c r="F59" s="30"/>
      <c r="G59" s="25"/>
      <c r="H59" s="26"/>
      <c r="I59" s="28">
        <f>SUM(I44:I58)</f>
        <v>0</v>
      </c>
      <c r="J59" s="171"/>
      <c r="L59" s="8" t="s">
        <v>386</v>
      </c>
      <c r="M59" s="25"/>
      <c r="N59" s="28">
        <f>SUM(N44:N58)</f>
        <v>0</v>
      </c>
      <c r="O59" s="28">
        <f>SUM(O44:O58)</f>
        <v>0</v>
      </c>
      <c r="P59" s="30"/>
      <c r="Q59" s="25"/>
      <c r="R59" s="26"/>
      <c r="S59" s="28">
        <f>SUM(S44:S58)</f>
        <v>0</v>
      </c>
      <c r="T59" s="171"/>
      <c r="V59" s="8" t="s">
        <v>386</v>
      </c>
      <c r="W59" s="25"/>
      <c r="X59" s="28">
        <f>SUM(X44:X58)</f>
        <v>0</v>
      </c>
      <c r="Y59" s="28">
        <f>SUM(Y44:Y58)</f>
        <v>0</v>
      </c>
      <c r="Z59" s="30"/>
      <c r="AA59" s="25"/>
      <c r="AB59" s="26"/>
      <c r="AC59" s="28">
        <f>SUM(AC44:AC58)</f>
        <v>0</v>
      </c>
      <c r="AE59" s="8" t="s">
        <v>386</v>
      </c>
      <c r="AF59" s="25"/>
      <c r="AG59" s="28">
        <f>SUM(AG44:AG58)</f>
        <v>0</v>
      </c>
      <c r="AH59" s="28">
        <f>SUM(AH44:AH58)</f>
        <v>0</v>
      </c>
      <c r="AI59" s="30"/>
      <c r="AJ59" s="25"/>
      <c r="AK59" s="26"/>
      <c r="AL59" s="28">
        <f>SUM(AL44:AL58)</f>
        <v>0</v>
      </c>
      <c r="AN59" s="8" t="s">
        <v>386</v>
      </c>
      <c r="AO59" s="25"/>
      <c r="AP59" s="28">
        <f>SUM(AP44:AP58)</f>
        <v>0</v>
      </c>
      <c r="AQ59" s="28">
        <f>SUM(AQ44:AQ58)</f>
        <v>0</v>
      </c>
      <c r="AR59" s="30"/>
      <c r="AS59" s="25"/>
      <c r="AT59" s="26"/>
      <c r="AU59" s="28">
        <f>SUM(AU44:AU58)</f>
        <v>0</v>
      </c>
      <c r="AW59" s="8" t="s">
        <v>386</v>
      </c>
      <c r="AX59" s="25"/>
      <c r="AY59" s="28">
        <f>SUM(AY44:AY58)</f>
        <v>0</v>
      </c>
      <c r="AZ59" s="28">
        <f>SUM(AZ44:AZ58)</f>
        <v>0</v>
      </c>
      <c r="BA59" s="30"/>
      <c r="BB59" s="25"/>
      <c r="BC59" s="26"/>
      <c r="BD59" s="28">
        <f>SUM(BD44:BD58)</f>
        <v>0</v>
      </c>
      <c r="BF59" s="8" t="s">
        <v>386</v>
      </c>
      <c r="BG59" s="25"/>
      <c r="BH59" s="28">
        <f>SUM(BH44:BH58)</f>
        <v>0</v>
      </c>
      <c r="BI59" s="28">
        <f>SUM(BI44:BI58)</f>
        <v>0</v>
      </c>
      <c r="BJ59" s="30"/>
      <c r="BK59" s="25"/>
      <c r="BL59" s="26"/>
      <c r="BM59" s="28">
        <f>SUM(BM44:BM58)</f>
        <v>0</v>
      </c>
    </row>
    <row r="61" spans="2:65" s="20" customFormat="1" ht="41.4">
      <c r="B61" s="27" t="s">
        <v>11</v>
      </c>
      <c r="C61" s="3" t="str">
        <f>C$43</f>
        <v>Source</v>
      </c>
      <c r="D61" s="3" t="str">
        <f t="shared" ref="D61:I61" si="47">D$43</f>
        <v>Limit (A)</v>
      </c>
      <c r="E61" s="3" t="str">
        <f t="shared" si="47"/>
        <v>Outstanding (A1)</v>
      </c>
      <c r="F61" s="3" t="str">
        <f t="shared" si="47"/>
        <v>Monthly Repayment (B)</v>
      </c>
      <c r="G61" s="3" t="str">
        <f t="shared" si="47"/>
        <v>Interest Rate (C)</v>
      </c>
      <c r="H61" s="3" t="str">
        <f t="shared" si="47"/>
        <v>Factor (D)</v>
      </c>
      <c r="I61" s="3" t="str">
        <f t="shared" si="47"/>
        <v>Interest (E) = (A or A1) * (C) * (D)</v>
      </c>
      <c r="J61" s="173" t="s">
        <v>450</v>
      </c>
      <c r="L61" s="27" t="s">
        <v>11</v>
      </c>
      <c r="M61" s="3" t="str">
        <f>M$43</f>
        <v>Source</v>
      </c>
      <c r="N61" s="3" t="str">
        <f t="shared" ref="N61:S61" si="48">N$43</f>
        <v>Limit (A)</v>
      </c>
      <c r="O61" s="3" t="str">
        <f t="shared" si="48"/>
        <v>Outstanding (A1)</v>
      </c>
      <c r="P61" s="3" t="str">
        <f t="shared" si="48"/>
        <v>Monthly Repayment (B)</v>
      </c>
      <c r="Q61" s="3" t="str">
        <f t="shared" si="48"/>
        <v>Interest Rate (C)</v>
      </c>
      <c r="R61" s="3" t="str">
        <f t="shared" si="48"/>
        <v>Factor (D)</v>
      </c>
      <c r="S61" s="3" t="str">
        <f t="shared" si="48"/>
        <v>Interest (E) = (A or A1) * (C) * (D)</v>
      </c>
      <c r="T61" s="173" t="s">
        <v>450</v>
      </c>
      <c r="V61" s="27" t="s">
        <v>11</v>
      </c>
      <c r="W61" s="3" t="str">
        <f>W$43</f>
        <v>Source</v>
      </c>
      <c r="X61" s="3" t="str">
        <f t="shared" ref="X61:AC61" si="49">X$43</f>
        <v>Limit (A)</v>
      </c>
      <c r="Y61" s="3" t="str">
        <f t="shared" si="49"/>
        <v>Outstanding (A1)</v>
      </c>
      <c r="Z61" s="3" t="str">
        <f t="shared" si="49"/>
        <v>Monthly Repayment (B)</v>
      </c>
      <c r="AA61" s="3" t="str">
        <f t="shared" si="49"/>
        <v>Interest Rate (C)</v>
      </c>
      <c r="AB61" s="3" t="str">
        <f t="shared" si="49"/>
        <v>Factor (D)</v>
      </c>
      <c r="AC61" s="3" t="str">
        <f t="shared" si="49"/>
        <v>Interest (E) = (A or A1) * (C) * (D)</v>
      </c>
      <c r="AE61" s="27" t="s">
        <v>11</v>
      </c>
      <c r="AF61" s="3" t="str">
        <f>AF$43</f>
        <v>Source</v>
      </c>
      <c r="AG61" s="3" t="str">
        <f t="shared" ref="AG61:AL61" si="50">AG$43</f>
        <v>Limit (A)</v>
      </c>
      <c r="AH61" s="3" t="str">
        <f t="shared" si="50"/>
        <v>Outstanding (A1)</v>
      </c>
      <c r="AI61" s="3" t="str">
        <f t="shared" si="50"/>
        <v>Monthly Repayment (B)</v>
      </c>
      <c r="AJ61" s="3" t="str">
        <f t="shared" si="50"/>
        <v>Interest Rate (C)</v>
      </c>
      <c r="AK61" s="3" t="str">
        <f t="shared" si="50"/>
        <v>Factor (D)</v>
      </c>
      <c r="AL61" s="3" t="str">
        <f t="shared" si="50"/>
        <v>Interest (E) = (A or A1) * (C) * (D)</v>
      </c>
      <c r="AN61" s="27" t="s">
        <v>11</v>
      </c>
      <c r="AO61" s="3" t="str">
        <f>AO$43</f>
        <v>Source</v>
      </c>
      <c r="AP61" s="3" t="str">
        <f t="shared" ref="AP61:AU61" si="51">AP$43</f>
        <v>Limit (A)</v>
      </c>
      <c r="AQ61" s="3" t="str">
        <f t="shared" si="51"/>
        <v>Outstanding (A1)</v>
      </c>
      <c r="AR61" s="3" t="str">
        <f t="shared" si="51"/>
        <v>Monthly Repayment (B)</v>
      </c>
      <c r="AS61" s="3" t="str">
        <f t="shared" si="51"/>
        <v>Interest Rate (C)</v>
      </c>
      <c r="AT61" s="3" t="str">
        <f t="shared" si="51"/>
        <v>Factor (D)</v>
      </c>
      <c r="AU61" s="3" t="str">
        <f t="shared" si="51"/>
        <v>Interest (E) = (A or A1) * (C) * (D)</v>
      </c>
      <c r="AW61" s="27" t="s">
        <v>11</v>
      </c>
      <c r="AX61" s="3" t="str">
        <f>AX$43</f>
        <v>Source</v>
      </c>
      <c r="AY61" s="3" t="str">
        <f t="shared" ref="AY61:BD61" si="52">AY$43</f>
        <v>Limit (A)</v>
      </c>
      <c r="AZ61" s="3" t="str">
        <f t="shared" si="52"/>
        <v>Outstanding (A1)</v>
      </c>
      <c r="BA61" s="3" t="str">
        <f t="shared" si="52"/>
        <v>Monthly Repayment (B)</v>
      </c>
      <c r="BB61" s="3" t="str">
        <f t="shared" si="52"/>
        <v>Interest Rate (C)</v>
      </c>
      <c r="BC61" s="3" t="str">
        <f t="shared" si="52"/>
        <v>Factor (D)</v>
      </c>
      <c r="BD61" s="3" t="str">
        <f t="shared" si="52"/>
        <v>Interest (E) = (A or A1) * (C) * (D)</v>
      </c>
      <c r="BF61" s="27" t="s">
        <v>11</v>
      </c>
      <c r="BG61" s="3" t="str">
        <f>BG$43</f>
        <v>Source</v>
      </c>
      <c r="BH61" s="3" t="str">
        <f t="shared" ref="BH61:BM61" si="53">BH$43</f>
        <v>Limit (A)</v>
      </c>
      <c r="BI61" s="3" t="str">
        <f t="shared" si="53"/>
        <v>Outstanding (A1)</v>
      </c>
      <c r="BJ61" s="3" t="str">
        <f t="shared" si="53"/>
        <v>Monthly Repayment (B)</v>
      </c>
      <c r="BK61" s="3" t="str">
        <f t="shared" si="53"/>
        <v>Interest Rate (C)</v>
      </c>
      <c r="BL61" s="3" t="str">
        <f t="shared" si="53"/>
        <v>Factor (D)</v>
      </c>
      <c r="BM61" s="3" t="str">
        <f t="shared" si="53"/>
        <v>Interest (E) = (A or A1) * (C) * (D)</v>
      </c>
    </row>
    <row r="62" spans="2:65">
      <c r="B62" s="41" t="s">
        <v>514</v>
      </c>
      <c r="C62" s="41" t="s">
        <v>355</v>
      </c>
      <c r="D62" s="40"/>
      <c r="E62" s="40"/>
      <c r="F62" s="40"/>
      <c r="G62" s="31"/>
      <c r="H62" s="32"/>
      <c r="I62" s="29"/>
      <c r="J62" s="172"/>
      <c r="L62" s="41" t="s">
        <v>514</v>
      </c>
      <c r="M62" s="41" t="s">
        <v>355</v>
      </c>
      <c r="N62" s="40"/>
      <c r="O62" s="40"/>
      <c r="P62" s="40"/>
      <c r="Q62" s="31"/>
      <c r="R62" s="32"/>
      <c r="S62" s="29"/>
      <c r="T62" s="172"/>
      <c r="V62" s="41" t="s">
        <v>514</v>
      </c>
      <c r="W62" s="41" t="s">
        <v>355</v>
      </c>
      <c r="X62" s="40"/>
      <c r="Y62" s="40"/>
      <c r="Z62" s="40"/>
      <c r="AA62" s="31"/>
      <c r="AB62" s="32"/>
      <c r="AC62" s="29"/>
      <c r="AE62" s="41" t="s">
        <v>514</v>
      </c>
      <c r="AF62" s="41" t="s">
        <v>355</v>
      </c>
      <c r="AG62" s="40"/>
      <c r="AH62" s="40"/>
      <c r="AI62" s="40"/>
      <c r="AJ62" s="31"/>
      <c r="AK62" s="32"/>
      <c r="AL62" s="29"/>
      <c r="AN62" s="41" t="s">
        <v>514</v>
      </c>
      <c r="AO62" s="41" t="s">
        <v>355</v>
      </c>
      <c r="AP62" s="40"/>
      <c r="AQ62" s="40"/>
      <c r="AR62" s="40"/>
      <c r="AS62" s="31"/>
      <c r="AT62" s="32"/>
      <c r="AU62" s="29"/>
      <c r="AW62" s="41" t="s">
        <v>514</v>
      </c>
      <c r="AX62" s="41" t="s">
        <v>355</v>
      </c>
      <c r="AY62" s="40"/>
      <c r="AZ62" s="40"/>
      <c r="BA62" s="40"/>
      <c r="BB62" s="31"/>
      <c r="BC62" s="32"/>
      <c r="BD62" s="29"/>
      <c r="BF62" s="41" t="s">
        <v>514</v>
      </c>
      <c r="BG62" s="41" t="s">
        <v>355</v>
      </c>
      <c r="BH62" s="40"/>
      <c r="BI62" s="40"/>
      <c r="BJ62" s="40"/>
      <c r="BK62" s="31"/>
      <c r="BL62" s="32"/>
      <c r="BM62" s="29"/>
    </row>
    <row r="63" spans="2:65">
      <c r="B63" s="41" t="s">
        <v>514</v>
      </c>
      <c r="C63" s="41" t="s">
        <v>355</v>
      </c>
      <c r="D63" s="40"/>
      <c r="E63" s="40"/>
      <c r="F63" s="40"/>
      <c r="G63" s="31"/>
      <c r="H63" s="32"/>
      <c r="I63" s="29"/>
      <c r="J63" s="172"/>
      <c r="L63" s="41" t="s">
        <v>514</v>
      </c>
      <c r="M63" s="41" t="s">
        <v>355</v>
      </c>
      <c r="N63" s="40"/>
      <c r="O63" s="40"/>
      <c r="P63" s="40"/>
      <c r="Q63" s="31"/>
      <c r="R63" s="32"/>
      <c r="S63" s="29"/>
      <c r="T63" s="172"/>
      <c r="V63" s="41" t="s">
        <v>514</v>
      </c>
      <c r="W63" s="41" t="s">
        <v>355</v>
      </c>
      <c r="X63" s="40"/>
      <c r="Y63" s="40"/>
      <c r="Z63" s="40"/>
      <c r="AA63" s="31"/>
      <c r="AB63" s="32"/>
      <c r="AC63" s="29"/>
      <c r="AE63" s="41" t="s">
        <v>514</v>
      </c>
      <c r="AF63" s="41" t="s">
        <v>355</v>
      </c>
      <c r="AG63" s="40"/>
      <c r="AH63" s="40"/>
      <c r="AI63" s="40"/>
      <c r="AJ63" s="31"/>
      <c r="AK63" s="32"/>
      <c r="AL63" s="29"/>
      <c r="AN63" s="41" t="s">
        <v>514</v>
      </c>
      <c r="AO63" s="41" t="s">
        <v>355</v>
      </c>
      <c r="AP63" s="40"/>
      <c r="AQ63" s="40"/>
      <c r="AR63" s="40"/>
      <c r="AS63" s="31"/>
      <c r="AT63" s="32"/>
      <c r="AU63" s="29"/>
      <c r="AW63" s="41" t="s">
        <v>514</v>
      </c>
      <c r="AX63" s="41" t="s">
        <v>355</v>
      </c>
      <c r="AY63" s="40"/>
      <c r="AZ63" s="40"/>
      <c r="BA63" s="40"/>
      <c r="BB63" s="31"/>
      <c r="BC63" s="32"/>
      <c r="BD63" s="29"/>
      <c r="BF63" s="41" t="s">
        <v>514</v>
      </c>
      <c r="BG63" s="41" t="s">
        <v>355</v>
      </c>
      <c r="BH63" s="40"/>
      <c r="BI63" s="40"/>
      <c r="BJ63" s="40"/>
      <c r="BK63" s="31"/>
      <c r="BL63" s="32"/>
      <c r="BM63" s="29"/>
    </row>
    <row r="64" spans="2:65">
      <c r="B64" s="41" t="s">
        <v>514</v>
      </c>
      <c r="C64" s="41" t="s">
        <v>355</v>
      </c>
      <c r="D64" s="40"/>
      <c r="E64" s="40"/>
      <c r="F64" s="40"/>
      <c r="G64" s="31"/>
      <c r="H64" s="32"/>
      <c r="I64" s="29"/>
      <c r="J64" s="172"/>
      <c r="L64" s="41" t="s">
        <v>514</v>
      </c>
      <c r="M64" s="41" t="s">
        <v>355</v>
      </c>
      <c r="N64" s="40"/>
      <c r="O64" s="40"/>
      <c r="P64" s="40"/>
      <c r="Q64" s="31"/>
      <c r="R64" s="32"/>
      <c r="S64" s="29"/>
      <c r="T64" s="172"/>
      <c r="V64" s="41" t="s">
        <v>514</v>
      </c>
      <c r="W64" s="41" t="s">
        <v>355</v>
      </c>
      <c r="X64" s="40"/>
      <c r="Y64" s="40"/>
      <c r="Z64" s="40"/>
      <c r="AA64" s="31"/>
      <c r="AB64" s="32"/>
      <c r="AC64" s="29"/>
      <c r="AE64" s="41" t="s">
        <v>514</v>
      </c>
      <c r="AF64" s="41" t="s">
        <v>355</v>
      </c>
      <c r="AG64" s="40"/>
      <c r="AH64" s="40"/>
      <c r="AI64" s="40"/>
      <c r="AJ64" s="31"/>
      <c r="AK64" s="32"/>
      <c r="AL64" s="29"/>
      <c r="AN64" s="41" t="s">
        <v>514</v>
      </c>
      <c r="AO64" s="41" t="s">
        <v>355</v>
      </c>
      <c r="AP64" s="40"/>
      <c r="AQ64" s="40"/>
      <c r="AR64" s="40"/>
      <c r="AS64" s="31"/>
      <c r="AT64" s="32"/>
      <c r="AU64" s="29"/>
      <c r="AW64" s="41" t="s">
        <v>514</v>
      </c>
      <c r="AX64" s="41" t="s">
        <v>355</v>
      </c>
      <c r="AY64" s="40"/>
      <c r="AZ64" s="40"/>
      <c r="BA64" s="40"/>
      <c r="BB64" s="31"/>
      <c r="BC64" s="32"/>
      <c r="BD64" s="29"/>
      <c r="BF64" s="41" t="s">
        <v>514</v>
      </c>
      <c r="BG64" s="41" t="s">
        <v>355</v>
      </c>
      <c r="BH64" s="40"/>
      <c r="BI64" s="40"/>
      <c r="BJ64" s="40"/>
      <c r="BK64" s="31"/>
      <c r="BL64" s="32"/>
      <c r="BM64" s="29"/>
    </row>
    <row r="65" spans="2:65">
      <c r="B65" s="41" t="s">
        <v>514</v>
      </c>
      <c r="C65" s="41" t="s">
        <v>355</v>
      </c>
      <c r="D65" s="40"/>
      <c r="E65" s="40"/>
      <c r="F65" s="40"/>
      <c r="G65" s="31"/>
      <c r="H65" s="32"/>
      <c r="I65" s="29"/>
      <c r="J65" s="172"/>
      <c r="L65" s="41" t="s">
        <v>514</v>
      </c>
      <c r="M65" s="41" t="s">
        <v>355</v>
      </c>
      <c r="N65" s="40"/>
      <c r="O65" s="40"/>
      <c r="P65" s="40"/>
      <c r="Q65" s="31"/>
      <c r="R65" s="32"/>
      <c r="S65" s="29"/>
      <c r="T65" s="172"/>
      <c r="V65" s="41" t="s">
        <v>514</v>
      </c>
      <c r="W65" s="41" t="s">
        <v>355</v>
      </c>
      <c r="X65" s="40"/>
      <c r="Y65" s="40"/>
      <c r="Z65" s="40"/>
      <c r="AA65" s="31"/>
      <c r="AB65" s="32"/>
      <c r="AC65" s="29"/>
      <c r="AE65" s="41" t="s">
        <v>514</v>
      </c>
      <c r="AF65" s="41" t="s">
        <v>355</v>
      </c>
      <c r="AG65" s="40"/>
      <c r="AH65" s="40"/>
      <c r="AI65" s="40"/>
      <c r="AJ65" s="31"/>
      <c r="AK65" s="32"/>
      <c r="AL65" s="29"/>
      <c r="AN65" s="41" t="s">
        <v>514</v>
      </c>
      <c r="AO65" s="41" t="s">
        <v>355</v>
      </c>
      <c r="AP65" s="40"/>
      <c r="AQ65" s="40"/>
      <c r="AR65" s="40"/>
      <c r="AS65" s="31"/>
      <c r="AT65" s="32"/>
      <c r="AU65" s="29"/>
      <c r="AW65" s="41" t="s">
        <v>514</v>
      </c>
      <c r="AX65" s="41" t="s">
        <v>355</v>
      </c>
      <c r="AY65" s="40"/>
      <c r="AZ65" s="40"/>
      <c r="BA65" s="40"/>
      <c r="BB65" s="31"/>
      <c r="BC65" s="32"/>
      <c r="BD65" s="29"/>
      <c r="BF65" s="41" t="s">
        <v>514</v>
      </c>
      <c r="BG65" s="41" t="s">
        <v>355</v>
      </c>
      <c r="BH65" s="40"/>
      <c r="BI65" s="40"/>
      <c r="BJ65" s="40"/>
      <c r="BK65" s="31"/>
      <c r="BL65" s="32"/>
      <c r="BM65" s="29"/>
    </row>
    <row r="66" spans="2:65">
      <c r="B66" s="41" t="s">
        <v>514</v>
      </c>
      <c r="C66" s="41" t="s">
        <v>355</v>
      </c>
      <c r="D66" s="40"/>
      <c r="E66" s="40"/>
      <c r="F66" s="40"/>
      <c r="G66" s="31"/>
      <c r="H66" s="32"/>
      <c r="I66" s="29"/>
      <c r="J66" s="172"/>
      <c r="L66" s="41" t="s">
        <v>514</v>
      </c>
      <c r="M66" s="41" t="s">
        <v>355</v>
      </c>
      <c r="N66" s="40"/>
      <c r="O66" s="40"/>
      <c r="P66" s="40"/>
      <c r="Q66" s="31"/>
      <c r="R66" s="32"/>
      <c r="S66" s="29"/>
      <c r="T66" s="172"/>
      <c r="V66" s="41" t="s">
        <v>514</v>
      </c>
      <c r="W66" s="41" t="s">
        <v>355</v>
      </c>
      <c r="X66" s="40"/>
      <c r="Y66" s="40"/>
      <c r="Z66" s="40"/>
      <c r="AA66" s="31"/>
      <c r="AB66" s="32"/>
      <c r="AC66" s="29"/>
      <c r="AE66" s="41" t="s">
        <v>514</v>
      </c>
      <c r="AF66" s="41" t="s">
        <v>355</v>
      </c>
      <c r="AG66" s="40"/>
      <c r="AH66" s="40"/>
      <c r="AI66" s="40"/>
      <c r="AJ66" s="31"/>
      <c r="AK66" s="32"/>
      <c r="AL66" s="29"/>
      <c r="AN66" s="41" t="s">
        <v>514</v>
      </c>
      <c r="AO66" s="41" t="s">
        <v>355</v>
      </c>
      <c r="AP66" s="40"/>
      <c r="AQ66" s="40"/>
      <c r="AR66" s="40"/>
      <c r="AS66" s="31"/>
      <c r="AT66" s="32"/>
      <c r="AU66" s="29"/>
      <c r="AW66" s="41" t="s">
        <v>514</v>
      </c>
      <c r="AX66" s="41" t="s">
        <v>355</v>
      </c>
      <c r="AY66" s="40"/>
      <c r="AZ66" s="40"/>
      <c r="BA66" s="40"/>
      <c r="BB66" s="31"/>
      <c r="BC66" s="32"/>
      <c r="BD66" s="29"/>
      <c r="BF66" s="41" t="s">
        <v>514</v>
      </c>
      <c r="BG66" s="41" t="s">
        <v>355</v>
      </c>
      <c r="BH66" s="40"/>
      <c r="BI66" s="40"/>
      <c r="BJ66" s="40"/>
      <c r="BK66" s="31"/>
      <c r="BL66" s="32"/>
      <c r="BM66" s="29"/>
    </row>
    <row r="67" spans="2:65">
      <c r="B67" s="41" t="s">
        <v>514</v>
      </c>
      <c r="C67" s="41" t="s">
        <v>355</v>
      </c>
      <c r="D67" s="40"/>
      <c r="E67" s="40"/>
      <c r="F67" s="40"/>
      <c r="G67" s="31"/>
      <c r="H67" s="32"/>
      <c r="I67" s="29"/>
      <c r="J67" s="172"/>
      <c r="L67" s="41" t="s">
        <v>514</v>
      </c>
      <c r="M67" s="41" t="s">
        <v>355</v>
      </c>
      <c r="N67" s="40"/>
      <c r="O67" s="40"/>
      <c r="P67" s="40"/>
      <c r="Q67" s="31"/>
      <c r="R67" s="32"/>
      <c r="S67" s="29"/>
      <c r="T67" s="172"/>
      <c r="V67" s="41" t="s">
        <v>514</v>
      </c>
      <c r="W67" s="41" t="s">
        <v>355</v>
      </c>
      <c r="X67" s="40"/>
      <c r="Y67" s="40"/>
      <c r="Z67" s="40"/>
      <c r="AA67" s="31"/>
      <c r="AB67" s="32"/>
      <c r="AC67" s="29"/>
      <c r="AE67" s="41" t="s">
        <v>514</v>
      </c>
      <c r="AF67" s="41" t="s">
        <v>355</v>
      </c>
      <c r="AG67" s="40"/>
      <c r="AH67" s="40"/>
      <c r="AI67" s="40"/>
      <c r="AJ67" s="31"/>
      <c r="AK67" s="32"/>
      <c r="AL67" s="29"/>
      <c r="AN67" s="41" t="s">
        <v>514</v>
      </c>
      <c r="AO67" s="41" t="s">
        <v>355</v>
      </c>
      <c r="AP67" s="40"/>
      <c r="AQ67" s="40"/>
      <c r="AR67" s="40"/>
      <c r="AS67" s="31"/>
      <c r="AT67" s="32"/>
      <c r="AU67" s="29"/>
      <c r="AW67" s="41" t="s">
        <v>514</v>
      </c>
      <c r="AX67" s="41" t="s">
        <v>355</v>
      </c>
      <c r="AY67" s="40"/>
      <c r="AZ67" s="40"/>
      <c r="BA67" s="40"/>
      <c r="BB67" s="31"/>
      <c r="BC67" s="32"/>
      <c r="BD67" s="29"/>
      <c r="BF67" s="41" t="s">
        <v>514</v>
      </c>
      <c r="BG67" s="41" t="s">
        <v>355</v>
      </c>
      <c r="BH67" s="40"/>
      <c r="BI67" s="40"/>
      <c r="BJ67" s="40"/>
      <c r="BK67" s="31"/>
      <c r="BL67" s="32"/>
      <c r="BM67" s="29"/>
    </row>
    <row r="68" spans="2:65">
      <c r="B68" s="41" t="s">
        <v>514</v>
      </c>
      <c r="C68" s="41" t="s">
        <v>355</v>
      </c>
      <c r="D68" s="40"/>
      <c r="E68" s="40"/>
      <c r="F68" s="40"/>
      <c r="G68" s="31"/>
      <c r="H68" s="32"/>
      <c r="I68" s="29"/>
      <c r="J68" s="172"/>
      <c r="L68" s="41" t="s">
        <v>514</v>
      </c>
      <c r="M68" s="41" t="s">
        <v>355</v>
      </c>
      <c r="N68" s="40"/>
      <c r="O68" s="40"/>
      <c r="P68" s="40"/>
      <c r="Q68" s="31"/>
      <c r="R68" s="32"/>
      <c r="S68" s="29"/>
      <c r="T68" s="172"/>
      <c r="V68" s="41" t="s">
        <v>514</v>
      </c>
      <c r="W68" s="41" t="s">
        <v>355</v>
      </c>
      <c r="X68" s="40"/>
      <c r="Y68" s="40"/>
      <c r="Z68" s="40"/>
      <c r="AA68" s="31"/>
      <c r="AB68" s="32"/>
      <c r="AC68" s="29"/>
      <c r="AE68" s="41" t="s">
        <v>514</v>
      </c>
      <c r="AF68" s="41" t="s">
        <v>355</v>
      </c>
      <c r="AG68" s="40"/>
      <c r="AH68" s="40"/>
      <c r="AI68" s="40"/>
      <c r="AJ68" s="31"/>
      <c r="AK68" s="32"/>
      <c r="AL68" s="29"/>
      <c r="AN68" s="41" t="s">
        <v>514</v>
      </c>
      <c r="AO68" s="41" t="s">
        <v>355</v>
      </c>
      <c r="AP68" s="40"/>
      <c r="AQ68" s="40"/>
      <c r="AR68" s="40"/>
      <c r="AS68" s="31"/>
      <c r="AT68" s="32"/>
      <c r="AU68" s="29"/>
      <c r="AW68" s="41" t="s">
        <v>514</v>
      </c>
      <c r="AX68" s="41" t="s">
        <v>355</v>
      </c>
      <c r="AY68" s="40"/>
      <c r="AZ68" s="40"/>
      <c r="BA68" s="40"/>
      <c r="BB68" s="31"/>
      <c r="BC68" s="32"/>
      <c r="BD68" s="29"/>
      <c r="BF68" s="41" t="s">
        <v>514</v>
      </c>
      <c r="BG68" s="41" t="s">
        <v>355</v>
      </c>
      <c r="BH68" s="40"/>
      <c r="BI68" s="40"/>
      <c r="BJ68" s="40"/>
      <c r="BK68" s="31"/>
      <c r="BL68" s="32"/>
      <c r="BM68" s="29"/>
    </row>
    <row r="69" spans="2:65" outlineLevel="1">
      <c r="B69" s="41" t="s">
        <v>514</v>
      </c>
      <c r="C69" s="41" t="s">
        <v>355</v>
      </c>
      <c r="D69" s="40"/>
      <c r="E69" s="40"/>
      <c r="F69" s="40"/>
      <c r="G69" s="31"/>
      <c r="H69" s="32"/>
      <c r="I69" s="29"/>
      <c r="J69" s="172"/>
      <c r="L69" s="41" t="s">
        <v>514</v>
      </c>
      <c r="M69" s="41" t="s">
        <v>355</v>
      </c>
      <c r="N69" s="40"/>
      <c r="O69" s="40"/>
      <c r="P69" s="40"/>
      <c r="Q69" s="31"/>
      <c r="R69" s="32"/>
      <c r="S69" s="29"/>
      <c r="T69" s="172"/>
      <c r="V69" s="41" t="s">
        <v>514</v>
      </c>
      <c r="W69" s="41" t="s">
        <v>355</v>
      </c>
      <c r="X69" s="40"/>
      <c r="Y69" s="40"/>
      <c r="Z69" s="40"/>
      <c r="AA69" s="31"/>
      <c r="AB69" s="32"/>
      <c r="AC69" s="29"/>
      <c r="AE69" s="41" t="s">
        <v>514</v>
      </c>
      <c r="AF69" s="41" t="s">
        <v>355</v>
      </c>
      <c r="AG69" s="40"/>
      <c r="AH69" s="40"/>
      <c r="AI69" s="40"/>
      <c r="AJ69" s="31"/>
      <c r="AK69" s="32"/>
      <c r="AL69" s="29"/>
      <c r="AN69" s="41" t="s">
        <v>514</v>
      </c>
      <c r="AO69" s="41" t="s">
        <v>355</v>
      </c>
      <c r="AP69" s="40"/>
      <c r="AQ69" s="40"/>
      <c r="AR69" s="40"/>
      <c r="AS69" s="31"/>
      <c r="AT69" s="32"/>
      <c r="AU69" s="29"/>
      <c r="AW69" s="41" t="s">
        <v>514</v>
      </c>
      <c r="AX69" s="41" t="s">
        <v>355</v>
      </c>
      <c r="AY69" s="40"/>
      <c r="AZ69" s="40"/>
      <c r="BA69" s="40"/>
      <c r="BB69" s="31"/>
      <c r="BC69" s="32"/>
      <c r="BD69" s="29"/>
      <c r="BF69" s="41" t="s">
        <v>514</v>
      </c>
      <c r="BG69" s="41" t="s">
        <v>355</v>
      </c>
      <c r="BH69" s="40"/>
      <c r="BI69" s="40"/>
      <c r="BJ69" s="40"/>
      <c r="BK69" s="31"/>
      <c r="BL69" s="32"/>
      <c r="BM69" s="29"/>
    </row>
    <row r="70" spans="2:65" outlineLevel="1">
      <c r="B70" s="41" t="s">
        <v>514</v>
      </c>
      <c r="C70" s="41" t="s">
        <v>355</v>
      </c>
      <c r="D70" s="40"/>
      <c r="E70" s="40"/>
      <c r="F70" s="40"/>
      <c r="G70" s="31"/>
      <c r="H70" s="32"/>
      <c r="I70" s="29"/>
      <c r="J70" s="172"/>
      <c r="L70" s="41" t="s">
        <v>514</v>
      </c>
      <c r="M70" s="41" t="s">
        <v>355</v>
      </c>
      <c r="N70" s="40"/>
      <c r="O70" s="40"/>
      <c r="P70" s="40"/>
      <c r="Q70" s="31"/>
      <c r="R70" s="32"/>
      <c r="S70" s="29"/>
      <c r="T70" s="172"/>
      <c r="V70" s="41" t="s">
        <v>514</v>
      </c>
      <c r="W70" s="41" t="s">
        <v>355</v>
      </c>
      <c r="X70" s="40"/>
      <c r="Y70" s="40"/>
      <c r="Z70" s="40"/>
      <c r="AA70" s="31"/>
      <c r="AB70" s="32"/>
      <c r="AC70" s="29"/>
      <c r="AE70" s="41" t="s">
        <v>514</v>
      </c>
      <c r="AF70" s="41" t="s">
        <v>355</v>
      </c>
      <c r="AG70" s="40"/>
      <c r="AH70" s="40"/>
      <c r="AI70" s="40"/>
      <c r="AJ70" s="31"/>
      <c r="AK70" s="32"/>
      <c r="AL70" s="29"/>
      <c r="AN70" s="41" t="s">
        <v>514</v>
      </c>
      <c r="AO70" s="41" t="s">
        <v>355</v>
      </c>
      <c r="AP70" s="40"/>
      <c r="AQ70" s="40"/>
      <c r="AR70" s="40"/>
      <c r="AS70" s="31"/>
      <c r="AT70" s="32"/>
      <c r="AU70" s="29"/>
      <c r="AW70" s="41" t="s">
        <v>514</v>
      </c>
      <c r="AX70" s="41" t="s">
        <v>355</v>
      </c>
      <c r="AY70" s="40"/>
      <c r="AZ70" s="40"/>
      <c r="BA70" s="40"/>
      <c r="BB70" s="31"/>
      <c r="BC70" s="32"/>
      <c r="BD70" s="29"/>
      <c r="BF70" s="41" t="s">
        <v>514</v>
      </c>
      <c r="BG70" s="41" t="s">
        <v>355</v>
      </c>
      <c r="BH70" s="40"/>
      <c r="BI70" s="40"/>
      <c r="BJ70" s="40"/>
      <c r="BK70" s="31"/>
      <c r="BL70" s="32"/>
      <c r="BM70" s="29"/>
    </row>
    <row r="71" spans="2:65" outlineLevel="1">
      <c r="B71" s="41" t="s">
        <v>514</v>
      </c>
      <c r="C71" s="41" t="s">
        <v>355</v>
      </c>
      <c r="D71" s="40"/>
      <c r="E71" s="40"/>
      <c r="F71" s="40"/>
      <c r="G71" s="31"/>
      <c r="H71" s="32"/>
      <c r="I71" s="29"/>
      <c r="J71" s="172"/>
      <c r="L71" s="41" t="s">
        <v>514</v>
      </c>
      <c r="M71" s="41" t="s">
        <v>355</v>
      </c>
      <c r="N71" s="40"/>
      <c r="O71" s="40"/>
      <c r="P71" s="40"/>
      <c r="Q71" s="31"/>
      <c r="R71" s="32"/>
      <c r="S71" s="29"/>
      <c r="T71" s="172"/>
      <c r="V71" s="41" t="s">
        <v>514</v>
      </c>
      <c r="W71" s="41" t="s">
        <v>355</v>
      </c>
      <c r="X71" s="40"/>
      <c r="Y71" s="40"/>
      <c r="Z71" s="40"/>
      <c r="AA71" s="31"/>
      <c r="AB71" s="32"/>
      <c r="AC71" s="29"/>
      <c r="AE71" s="41" t="s">
        <v>514</v>
      </c>
      <c r="AF71" s="41" t="s">
        <v>355</v>
      </c>
      <c r="AG71" s="40"/>
      <c r="AH71" s="40"/>
      <c r="AI71" s="40"/>
      <c r="AJ71" s="31"/>
      <c r="AK71" s="32"/>
      <c r="AL71" s="29"/>
      <c r="AN71" s="41" t="s">
        <v>514</v>
      </c>
      <c r="AO71" s="41" t="s">
        <v>355</v>
      </c>
      <c r="AP71" s="40"/>
      <c r="AQ71" s="40"/>
      <c r="AR71" s="40"/>
      <c r="AS71" s="31"/>
      <c r="AT71" s="32"/>
      <c r="AU71" s="29"/>
      <c r="AW71" s="41" t="s">
        <v>514</v>
      </c>
      <c r="AX71" s="41" t="s">
        <v>355</v>
      </c>
      <c r="AY71" s="40"/>
      <c r="AZ71" s="40"/>
      <c r="BA71" s="40"/>
      <c r="BB71" s="31"/>
      <c r="BC71" s="32"/>
      <c r="BD71" s="29"/>
      <c r="BF71" s="41" t="s">
        <v>514</v>
      </c>
      <c r="BG71" s="41" t="s">
        <v>355</v>
      </c>
      <c r="BH71" s="40"/>
      <c r="BI71" s="40"/>
      <c r="BJ71" s="40"/>
      <c r="BK71" s="31"/>
      <c r="BL71" s="32"/>
      <c r="BM71" s="29"/>
    </row>
    <row r="72" spans="2:65" outlineLevel="1">
      <c r="B72" s="41" t="s">
        <v>514</v>
      </c>
      <c r="C72" s="41" t="s">
        <v>355</v>
      </c>
      <c r="D72" s="40"/>
      <c r="E72" s="40"/>
      <c r="F72" s="40"/>
      <c r="G72" s="31"/>
      <c r="H72" s="32"/>
      <c r="I72" s="29"/>
      <c r="J72" s="172"/>
      <c r="L72" s="41" t="s">
        <v>514</v>
      </c>
      <c r="M72" s="41" t="s">
        <v>355</v>
      </c>
      <c r="N72" s="40"/>
      <c r="O72" s="40"/>
      <c r="P72" s="40"/>
      <c r="Q72" s="31"/>
      <c r="R72" s="32"/>
      <c r="S72" s="29"/>
      <c r="T72" s="172"/>
      <c r="V72" s="41" t="s">
        <v>514</v>
      </c>
      <c r="W72" s="41" t="s">
        <v>355</v>
      </c>
      <c r="X72" s="40"/>
      <c r="Y72" s="40"/>
      <c r="Z72" s="40"/>
      <c r="AA72" s="31"/>
      <c r="AB72" s="32"/>
      <c r="AC72" s="29"/>
      <c r="AE72" s="41" t="s">
        <v>514</v>
      </c>
      <c r="AF72" s="41" t="s">
        <v>355</v>
      </c>
      <c r="AG72" s="40"/>
      <c r="AH72" s="40"/>
      <c r="AI72" s="40"/>
      <c r="AJ72" s="31"/>
      <c r="AK72" s="32"/>
      <c r="AL72" s="29"/>
      <c r="AN72" s="41" t="s">
        <v>514</v>
      </c>
      <c r="AO72" s="41" t="s">
        <v>355</v>
      </c>
      <c r="AP72" s="40"/>
      <c r="AQ72" s="40"/>
      <c r="AR72" s="40"/>
      <c r="AS72" s="31"/>
      <c r="AT72" s="32"/>
      <c r="AU72" s="29"/>
      <c r="AW72" s="41" t="s">
        <v>514</v>
      </c>
      <c r="AX72" s="41" t="s">
        <v>355</v>
      </c>
      <c r="AY72" s="40"/>
      <c r="AZ72" s="40"/>
      <c r="BA72" s="40"/>
      <c r="BB72" s="31"/>
      <c r="BC72" s="32"/>
      <c r="BD72" s="29"/>
      <c r="BF72" s="41" t="s">
        <v>514</v>
      </c>
      <c r="BG72" s="41" t="s">
        <v>355</v>
      </c>
      <c r="BH72" s="40"/>
      <c r="BI72" s="40"/>
      <c r="BJ72" s="40"/>
      <c r="BK72" s="31"/>
      <c r="BL72" s="32"/>
      <c r="BM72" s="29"/>
    </row>
    <row r="73" spans="2:65" outlineLevel="1">
      <c r="B73" s="41" t="s">
        <v>514</v>
      </c>
      <c r="C73" s="41" t="s">
        <v>355</v>
      </c>
      <c r="D73" s="40"/>
      <c r="E73" s="40"/>
      <c r="F73" s="40"/>
      <c r="G73" s="31"/>
      <c r="H73" s="32"/>
      <c r="I73" s="29"/>
      <c r="J73" s="172"/>
      <c r="L73" s="41" t="s">
        <v>514</v>
      </c>
      <c r="M73" s="41" t="s">
        <v>355</v>
      </c>
      <c r="N73" s="40"/>
      <c r="O73" s="40"/>
      <c r="P73" s="40"/>
      <c r="Q73" s="31"/>
      <c r="R73" s="32"/>
      <c r="S73" s="29"/>
      <c r="T73" s="172"/>
      <c r="V73" s="41" t="s">
        <v>514</v>
      </c>
      <c r="W73" s="41" t="s">
        <v>355</v>
      </c>
      <c r="X73" s="40"/>
      <c r="Y73" s="40"/>
      <c r="Z73" s="40"/>
      <c r="AA73" s="31"/>
      <c r="AB73" s="32"/>
      <c r="AC73" s="29"/>
      <c r="AE73" s="41" t="s">
        <v>514</v>
      </c>
      <c r="AF73" s="41" t="s">
        <v>355</v>
      </c>
      <c r="AG73" s="40"/>
      <c r="AH73" s="40"/>
      <c r="AI73" s="40"/>
      <c r="AJ73" s="31"/>
      <c r="AK73" s="32"/>
      <c r="AL73" s="29"/>
      <c r="AN73" s="41" t="s">
        <v>514</v>
      </c>
      <c r="AO73" s="41" t="s">
        <v>355</v>
      </c>
      <c r="AP73" s="40"/>
      <c r="AQ73" s="40"/>
      <c r="AR73" s="40"/>
      <c r="AS73" s="31"/>
      <c r="AT73" s="32"/>
      <c r="AU73" s="29"/>
      <c r="AW73" s="41" t="s">
        <v>514</v>
      </c>
      <c r="AX73" s="41" t="s">
        <v>355</v>
      </c>
      <c r="AY73" s="40"/>
      <c r="AZ73" s="40"/>
      <c r="BA73" s="40"/>
      <c r="BB73" s="31"/>
      <c r="BC73" s="32"/>
      <c r="BD73" s="29"/>
      <c r="BF73" s="41" t="s">
        <v>514</v>
      </c>
      <c r="BG73" s="41" t="s">
        <v>355</v>
      </c>
      <c r="BH73" s="40"/>
      <c r="BI73" s="40"/>
      <c r="BJ73" s="40"/>
      <c r="BK73" s="31"/>
      <c r="BL73" s="32"/>
      <c r="BM73" s="29"/>
    </row>
    <row r="74" spans="2:65" outlineLevel="1">
      <c r="B74" s="41" t="s">
        <v>514</v>
      </c>
      <c r="C74" s="41" t="s">
        <v>355</v>
      </c>
      <c r="D74" s="40"/>
      <c r="E74" s="40"/>
      <c r="F74" s="40"/>
      <c r="G74" s="31"/>
      <c r="H74" s="32"/>
      <c r="I74" s="29"/>
      <c r="J74" s="172"/>
      <c r="L74" s="41" t="s">
        <v>514</v>
      </c>
      <c r="M74" s="41" t="s">
        <v>355</v>
      </c>
      <c r="N74" s="40"/>
      <c r="O74" s="40"/>
      <c r="P74" s="40"/>
      <c r="Q74" s="31"/>
      <c r="R74" s="32"/>
      <c r="S74" s="29"/>
      <c r="T74" s="172"/>
      <c r="V74" s="41" t="s">
        <v>514</v>
      </c>
      <c r="W74" s="41" t="s">
        <v>355</v>
      </c>
      <c r="X74" s="40"/>
      <c r="Y74" s="40"/>
      <c r="Z74" s="40"/>
      <c r="AA74" s="31"/>
      <c r="AB74" s="32"/>
      <c r="AC74" s="29"/>
      <c r="AE74" s="41" t="s">
        <v>514</v>
      </c>
      <c r="AF74" s="41" t="s">
        <v>355</v>
      </c>
      <c r="AG74" s="40"/>
      <c r="AH74" s="40"/>
      <c r="AI74" s="40"/>
      <c r="AJ74" s="31"/>
      <c r="AK74" s="32"/>
      <c r="AL74" s="29"/>
      <c r="AN74" s="41" t="s">
        <v>514</v>
      </c>
      <c r="AO74" s="41" t="s">
        <v>355</v>
      </c>
      <c r="AP74" s="40"/>
      <c r="AQ74" s="40"/>
      <c r="AR74" s="40"/>
      <c r="AS74" s="31"/>
      <c r="AT74" s="32"/>
      <c r="AU74" s="29"/>
      <c r="AW74" s="41" t="s">
        <v>514</v>
      </c>
      <c r="AX74" s="41" t="s">
        <v>355</v>
      </c>
      <c r="AY74" s="40"/>
      <c r="AZ74" s="40"/>
      <c r="BA74" s="40"/>
      <c r="BB74" s="31"/>
      <c r="BC74" s="32"/>
      <c r="BD74" s="29"/>
      <c r="BF74" s="41" t="s">
        <v>514</v>
      </c>
      <c r="BG74" s="41" t="s">
        <v>355</v>
      </c>
      <c r="BH74" s="40"/>
      <c r="BI74" s="40"/>
      <c r="BJ74" s="40"/>
      <c r="BK74" s="31"/>
      <c r="BL74" s="32"/>
      <c r="BM74" s="29"/>
    </row>
    <row r="75" spans="2:65" outlineLevel="1">
      <c r="B75" s="41" t="s">
        <v>514</v>
      </c>
      <c r="C75" s="41" t="s">
        <v>355</v>
      </c>
      <c r="D75" s="40"/>
      <c r="E75" s="40"/>
      <c r="F75" s="40"/>
      <c r="G75" s="31"/>
      <c r="H75" s="32"/>
      <c r="I75" s="29"/>
      <c r="J75" s="172"/>
      <c r="L75" s="41" t="s">
        <v>514</v>
      </c>
      <c r="M75" s="41" t="s">
        <v>355</v>
      </c>
      <c r="N75" s="40"/>
      <c r="O75" s="40"/>
      <c r="P75" s="40"/>
      <c r="Q75" s="31"/>
      <c r="R75" s="32"/>
      <c r="S75" s="29"/>
      <c r="T75" s="172"/>
      <c r="V75" s="41" t="s">
        <v>514</v>
      </c>
      <c r="W75" s="41" t="s">
        <v>355</v>
      </c>
      <c r="X75" s="40"/>
      <c r="Y75" s="40"/>
      <c r="Z75" s="40"/>
      <c r="AA75" s="31"/>
      <c r="AB75" s="32"/>
      <c r="AC75" s="29"/>
      <c r="AE75" s="41" t="s">
        <v>514</v>
      </c>
      <c r="AF75" s="41" t="s">
        <v>355</v>
      </c>
      <c r="AG75" s="40"/>
      <c r="AH75" s="40"/>
      <c r="AI75" s="40"/>
      <c r="AJ75" s="31"/>
      <c r="AK75" s="32"/>
      <c r="AL75" s="29"/>
      <c r="AN75" s="41" t="s">
        <v>514</v>
      </c>
      <c r="AO75" s="41" t="s">
        <v>355</v>
      </c>
      <c r="AP75" s="40"/>
      <c r="AQ75" s="40"/>
      <c r="AR75" s="40"/>
      <c r="AS75" s="31"/>
      <c r="AT75" s="32"/>
      <c r="AU75" s="29"/>
      <c r="AW75" s="41" t="s">
        <v>514</v>
      </c>
      <c r="AX75" s="41" t="s">
        <v>355</v>
      </c>
      <c r="AY75" s="40"/>
      <c r="AZ75" s="40"/>
      <c r="BA75" s="40"/>
      <c r="BB75" s="31"/>
      <c r="BC75" s="32"/>
      <c r="BD75" s="29"/>
      <c r="BF75" s="41" t="s">
        <v>514</v>
      </c>
      <c r="BG75" s="41" t="s">
        <v>355</v>
      </c>
      <c r="BH75" s="40"/>
      <c r="BI75" s="40"/>
      <c r="BJ75" s="40"/>
      <c r="BK75" s="31"/>
      <c r="BL75" s="32"/>
      <c r="BM75" s="29"/>
    </row>
    <row r="76" spans="2:65" outlineLevel="1">
      <c r="B76" s="41" t="s">
        <v>514</v>
      </c>
      <c r="C76" s="41" t="s">
        <v>355</v>
      </c>
      <c r="D76" s="40"/>
      <c r="E76" s="40"/>
      <c r="F76" s="40"/>
      <c r="G76" s="31"/>
      <c r="H76" s="32"/>
      <c r="I76" s="29"/>
      <c r="J76" s="172"/>
      <c r="L76" s="41" t="s">
        <v>514</v>
      </c>
      <c r="M76" s="41" t="s">
        <v>355</v>
      </c>
      <c r="N76" s="40"/>
      <c r="O76" s="40"/>
      <c r="P76" s="40"/>
      <c r="Q76" s="31"/>
      <c r="R76" s="32"/>
      <c r="S76" s="29"/>
      <c r="T76" s="172"/>
      <c r="V76" s="41" t="s">
        <v>514</v>
      </c>
      <c r="W76" s="41" t="s">
        <v>355</v>
      </c>
      <c r="X76" s="40"/>
      <c r="Y76" s="40"/>
      <c r="Z76" s="40"/>
      <c r="AA76" s="31"/>
      <c r="AB76" s="32"/>
      <c r="AC76" s="29"/>
      <c r="AE76" s="41" t="s">
        <v>514</v>
      </c>
      <c r="AF76" s="41" t="s">
        <v>355</v>
      </c>
      <c r="AG76" s="40"/>
      <c r="AH76" s="40"/>
      <c r="AI76" s="40"/>
      <c r="AJ76" s="31"/>
      <c r="AK76" s="32"/>
      <c r="AL76" s="29"/>
      <c r="AN76" s="41" t="s">
        <v>514</v>
      </c>
      <c r="AO76" s="41" t="s">
        <v>355</v>
      </c>
      <c r="AP76" s="40"/>
      <c r="AQ76" s="40"/>
      <c r="AR76" s="40"/>
      <c r="AS76" s="31"/>
      <c r="AT76" s="32"/>
      <c r="AU76" s="29"/>
      <c r="AW76" s="41" t="s">
        <v>514</v>
      </c>
      <c r="AX76" s="41" t="s">
        <v>355</v>
      </c>
      <c r="AY76" s="40"/>
      <c r="AZ76" s="40"/>
      <c r="BA76" s="40"/>
      <c r="BB76" s="31"/>
      <c r="BC76" s="32"/>
      <c r="BD76" s="29"/>
      <c r="BF76" s="41" t="s">
        <v>514</v>
      </c>
      <c r="BG76" s="41" t="s">
        <v>355</v>
      </c>
      <c r="BH76" s="40"/>
      <c r="BI76" s="40"/>
      <c r="BJ76" s="40"/>
      <c r="BK76" s="31"/>
      <c r="BL76" s="32"/>
      <c r="BM76" s="29"/>
    </row>
    <row r="77" spans="2:65" s="24" customFormat="1">
      <c r="B77" s="8" t="s">
        <v>515</v>
      </c>
      <c r="C77" s="25"/>
      <c r="D77" s="28">
        <f t="shared" ref="D77:F77" si="54">SUM(D62:D76)</f>
        <v>0</v>
      </c>
      <c r="E77" s="28">
        <f t="shared" si="54"/>
        <v>0</v>
      </c>
      <c r="F77" s="28">
        <f t="shared" si="54"/>
        <v>0</v>
      </c>
      <c r="G77" s="25"/>
      <c r="H77" s="26"/>
      <c r="I77" s="30"/>
      <c r="J77" s="171"/>
      <c r="L77" s="8" t="s">
        <v>515</v>
      </c>
      <c r="M77" s="25"/>
      <c r="N77" s="28">
        <f t="shared" ref="N77:P77" si="55">SUM(N62:N76)</f>
        <v>0</v>
      </c>
      <c r="O77" s="28">
        <f t="shared" si="55"/>
        <v>0</v>
      </c>
      <c r="P77" s="28">
        <f t="shared" si="55"/>
        <v>0</v>
      </c>
      <c r="Q77" s="25"/>
      <c r="R77" s="26"/>
      <c r="S77" s="30"/>
      <c r="T77" s="171"/>
      <c r="V77" s="8" t="s">
        <v>515</v>
      </c>
      <c r="W77" s="25"/>
      <c r="X77" s="28">
        <f t="shared" ref="X77:Z77" si="56">SUM(X62:X76)</f>
        <v>0</v>
      </c>
      <c r="Y77" s="28">
        <f t="shared" si="56"/>
        <v>0</v>
      </c>
      <c r="Z77" s="28">
        <f t="shared" si="56"/>
        <v>0</v>
      </c>
      <c r="AA77" s="25"/>
      <c r="AB77" s="26"/>
      <c r="AC77" s="30"/>
      <c r="AE77" s="8" t="s">
        <v>515</v>
      </c>
      <c r="AF77" s="25"/>
      <c r="AG77" s="28">
        <f t="shared" ref="AG77:AI77" si="57">SUM(AG62:AG76)</f>
        <v>0</v>
      </c>
      <c r="AH77" s="28">
        <f t="shared" si="57"/>
        <v>0</v>
      </c>
      <c r="AI77" s="28">
        <f t="shared" si="57"/>
        <v>0</v>
      </c>
      <c r="AJ77" s="25"/>
      <c r="AK77" s="26"/>
      <c r="AL77" s="30"/>
      <c r="AN77" s="8" t="s">
        <v>515</v>
      </c>
      <c r="AO77" s="25"/>
      <c r="AP77" s="28">
        <f t="shared" ref="AP77:AR77" si="58">SUM(AP62:AP76)</f>
        <v>0</v>
      </c>
      <c r="AQ77" s="28">
        <f t="shared" si="58"/>
        <v>0</v>
      </c>
      <c r="AR77" s="28">
        <f t="shared" si="58"/>
        <v>0</v>
      </c>
      <c r="AS77" s="25"/>
      <c r="AT77" s="26"/>
      <c r="AU77" s="30"/>
      <c r="AW77" s="8" t="s">
        <v>515</v>
      </c>
      <c r="AX77" s="25"/>
      <c r="AY77" s="28">
        <f t="shared" ref="AY77:BA77" si="59">SUM(AY62:AY76)</f>
        <v>0</v>
      </c>
      <c r="AZ77" s="28">
        <f t="shared" si="59"/>
        <v>0</v>
      </c>
      <c r="BA77" s="28">
        <f t="shared" si="59"/>
        <v>0</v>
      </c>
      <c r="BB77" s="25"/>
      <c r="BC77" s="26"/>
      <c r="BD77" s="30"/>
      <c r="BF77" s="8" t="s">
        <v>515</v>
      </c>
      <c r="BG77" s="25"/>
      <c r="BH77" s="28">
        <f t="shared" ref="BH77:BJ77" si="60">SUM(BH62:BH76)</f>
        <v>0</v>
      </c>
      <c r="BI77" s="28">
        <f t="shared" si="60"/>
        <v>0</v>
      </c>
      <c r="BJ77" s="28">
        <f t="shared" si="60"/>
        <v>0</v>
      </c>
      <c r="BK77" s="25"/>
      <c r="BL77" s="26"/>
      <c r="BM77" s="30"/>
    </row>
    <row r="79" spans="2:65" s="20" customFormat="1" ht="41.4">
      <c r="B79" s="27" t="s">
        <v>14</v>
      </c>
      <c r="C79" s="3" t="str">
        <f>C$43</f>
        <v>Source</v>
      </c>
      <c r="D79" s="3" t="str">
        <f t="shared" ref="D79:I79" si="61">D$43</f>
        <v>Limit (A)</v>
      </c>
      <c r="E79" s="3" t="str">
        <f t="shared" si="61"/>
        <v>Outstanding (A1)</v>
      </c>
      <c r="F79" s="3" t="str">
        <f t="shared" si="61"/>
        <v>Monthly Repayment (B)</v>
      </c>
      <c r="G79" s="3" t="str">
        <f t="shared" si="61"/>
        <v>Interest Rate (C)</v>
      </c>
      <c r="H79" s="3" t="str">
        <f t="shared" si="61"/>
        <v>Factor (D)</v>
      </c>
      <c r="I79" s="3" t="str">
        <f t="shared" si="61"/>
        <v>Interest (E) = (A or A1) * (C) * (D)</v>
      </c>
      <c r="J79" s="173" t="s">
        <v>450</v>
      </c>
      <c r="L79" s="27" t="s">
        <v>14</v>
      </c>
      <c r="M79" s="3" t="str">
        <f>M$43</f>
        <v>Source</v>
      </c>
      <c r="N79" s="3" t="str">
        <f t="shared" ref="N79:S79" si="62">N$43</f>
        <v>Limit (A)</v>
      </c>
      <c r="O79" s="3" t="str">
        <f t="shared" si="62"/>
        <v>Outstanding (A1)</v>
      </c>
      <c r="P79" s="3" t="str">
        <f t="shared" si="62"/>
        <v>Monthly Repayment (B)</v>
      </c>
      <c r="Q79" s="3" t="str">
        <f t="shared" si="62"/>
        <v>Interest Rate (C)</v>
      </c>
      <c r="R79" s="3" t="str">
        <f t="shared" si="62"/>
        <v>Factor (D)</v>
      </c>
      <c r="S79" s="3" t="str">
        <f t="shared" si="62"/>
        <v>Interest (E) = (A or A1) * (C) * (D)</v>
      </c>
      <c r="T79" s="173" t="s">
        <v>450</v>
      </c>
      <c r="V79" s="27" t="s">
        <v>14</v>
      </c>
      <c r="W79" s="3" t="str">
        <f>W$43</f>
        <v>Source</v>
      </c>
      <c r="X79" s="3" t="str">
        <f t="shared" ref="X79:AC79" si="63">X$43</f>
        <v>Limit (A)</v>
      </c>
      <c r="Y79" s="3" t="str">
        <f t="shared" si="63"/>
        <v>Outstanding (A1)</v>
      </c>
      <c r="Z79" s="3" t="str">
        <f t="shared" si="63"/>
        <v>Monthly Repayment (B)</v>
      </c>
      <c r="AA79" s="3" t="str">
        <f t="shared" si="63"/>
        <v>Interest Rate (C)</v>
      </c>
      <c r="AB79" s="3" t="str">
        <f t="shared" si="63"/>
        <v>Factor (D)</v>
      </c>
      <c r="AC79" s="3" t="str">
        <f t="shared" si="63"/>
        <v>Interest (E) = (A or A1) * (C) * (D)</v>
      </c>
      <c r="AE79" s="27" t="s">
        <v>14</v>
      </c>
      <c r="AF79" s="3" t="str">
        <f>AF$43</f>
        <v>Source</v>
      </c>
      <c r="AG79" s="3" t="str">
        <f t="shared" ref="AG79:AL79" si="64">AG$43</f>
        <v>Limit (A)</v>
      </c>
      <c r="AH79" s="3" t="str">
        <f t="shared" si="64"/>
        <v>Outstanding (A1)</v>
      </c>
      <c r="AI79" s="3" t="str">
        <f t="shared" si="64"/>
        <v>Monthly Repayment (B)</v>
      </c>
      <c r="AJ79" s="3" t="str">
        <f t="shared" si="64"/>
        <v>Interest Rate (C)</v>
      </c>
      <c r="AK79" s="3" t="str">
        <f t="shared" si="64"/>
        <v>Factor (D)</v>
      </c>
      <c r="AL79" s="3" t="str">
        <f t="shared" si="64"/>
        <v>Interest (E) = (A or A1) * (C) * (D)</v>
      </c>
      <c r="AN79" s="27" t="s">
        <v>14</v>
      </c>
      <c r="AO79" s="3" t="str">
        <f>AO$43</f>
        <v>Source</v>
      </c>
      <c r="AP79" s="3" t="str">
        <f t="shared" ref="AP79:AU79" si="65">AP$43</f>
        <v>Limit (A)</v>
      </c>
      <c r="AQ79" s="3" t="str">
        <f t="shared" si="65"/>
        <v>Outstanding (A1)</v>
      </c>
      <c r="AR79" s="3" t="str">
        <f t="shared" si="65"/>
        <v>Monthly Repayment (B)</v>
      </c>
      <c r="AS79" s="3" t="str">
        <f t="shared" si="65"/>
        <v>Interest Rate (C)</v>
      </c>
      <c r="AT79" s="3" t="str">
        <f t="shared" si="65"/>
        <v>Factor (D)</v>
      </c>
      <c r="AU79" s="3" t="str">
        <f t="shared" si="65"/>
        <v>Interest (E) = (A or A1) * (C) * (D)</v>
      </c>
      <c r="AW79" s="27" t="s">
        <v>14</v>
      </c>
      <c r="AX79" s="3" t="str">
        <f>AX$43</f>
        <v>Source</v>
      </c>
      <c r="AY79" s="3" t="str">
        <f t="shared" ref="AY79:BD79" si="66">AY$43</f>
        <v>Limit (A)</v>
      </c>
      <c r="AZ79" s="3" t="str">
        <f t="shared" si="66"/>
        <v>Outstanding (A1)</v>
      </c>
      <c r="BA79" s="3" t="str">
        <f t="shared" si="66"/>
        <v>Monthly Repayment (B)</v>
      </c>
      <c r="BB79" s="3" t="str">
        <f t="shared" si="66"/>
        <v>Interest Rate (C)</v>
      </c>
      <c r="BC79" s="3" t="str">
        <f t="shared" si="66"/>
        <v>Factor (D)</v>
      </c>
      <c r="BD79" s="3" t="str">
        <f t="shared" si="66"/>
        <v>Interest (E) = (A or A1) * (C) * (D)</v>
      </c>
      <c r="BF79" s="27" t="s">
        <v>14</v>
      </c>
      <c r="BG79" s="3" t="str">
        <f>BG$43</f>
        <v>Source</v>
      </c>
      <c r="BH79" s="3" t="str">
        <f t="shared" ref="BH79:BM79" si="67">BH$43</f>
        <v>Limit (A)</v>
      </c>
      <c r="BI79" s="3" t="str">
        <f t="shared" si="67"/>
        <v>Outstanding (A1)</v>
      </c>
      <c r="BJ79" s="3" t="str">
        <f t="shared" si="67"/>
        <v>Monthly Repayment (B)</v>
      </c>
      <c r="BK79" s="3" t="str">
        <f t="shared" si="67"/>
        <v>Interest Rate (C)</v>
      </c>
      <c r="BL79" s="3" t="str">
        <f t="shared" si="67"/>
        <v>Factor (D)</v>
      </c>
      <c r="BM79" s="3" t="str">
        <f t="shared" si="67"/>
        <v>Interest (E) = (A or A1) * (C) * (D)</v>
      </c>
    </row>
    <row r="80" spans="2:65">
      <c r="B80" s="41" t="s">
        <v>514</v>
      </c>
      <c r="C80" s="41" t="s">
        <v>355</v>
      </c>
      <c r="D80" s="40"/>
      <c r="E80" s="40"/>
      <c r="F80" s="29"/>
      <c r="G80" s="22"/>
      <c r="H80" s="23">
        <v>0.82</v>
      </c>
      <c r="I80" s="75">
        <f>D80*G80*H80</f>
        <v>0</v>
      </c>
      <c r="J80" s="172"/>
      <c r="L80" s="41" t="s">
        <v>514</v>
      </c>
      <c r="M80" s="41" t="s">
        <v>355</v>
      </c>
      <c r="N80" s="40"/>
      <c r="O80" s="40"/>
      <c r="P80" s="29"/>
      <c r="Q80" s="22"/>
      <c r="R80" s="23">
        <v>0.82</v>
      </c>
      <c r="S80" s="75">
        <f>N80*Q80*R80</f>
        <v>0</v>
      </c>
      <c r="T80" s="172"/>
      <c r="V80" s="41" t="s">
        <v>514</v>
      </c>
      <c r="W80" s="41" t="s">
        <v>355</v>
      </c>
      <c r="X80" s="40"/>
      <c r="Y80" s="40"/>
      <c r="Z80" s="29"/>
      <c r="AA80" s="22">
        <v>0.08</v>
      </c>
      <c r="AB80" s="23">
        <v>0.82</v>
      </c>
      <c r="AC80" s="75">
        <f>X80*AA80*AB80</f>
        <v>0</v>
      </c>
      <c r="AE80" s="41" t="s">
        <v>514</v>
      </c>
      <c r="AF80" s="41" t="s">
        <v>355</v>
      </c>
      <c r="AG80" s="40"/>
      <c r="AH80" s="40"/>
      <c r="AI80" s="29"/>
      <c r="AJ80" s="22">
        <v>0.08</v>
      </c>
      <c r="AK80" s="23">
        <v>0.82</v>
      </c>
      <c r="AL80" s="75">
        <f>AG80*AJ80*AK80</f>
        <v>0</v>
      </c>
      <c r="AN80" s="41" t="s">
        <v>514</v>
      </c>
      <c r="AO80" s="41" t="s">
        <v>355</v>
      </c>
      <c r="AP80" s="40"/>
      <c r="AQ80" s="40"/>
      <c r="AR80" s="29"/>
      <c r="AS80" s="22">
        <v>0.08</v>
      </c>
      <c r="AT80" s="23">
        <v>0.82</v>
      </c>
      <c r="AU80" s="75">
        <f>AP80*AS80*AT80</f>
        <v>0</v>
      </c>
      <c r="AW80" s="41" t="s">
        <v>514</v>
      </c>
      <c r="AX80" s="41" t="s">
        <v>355</v>
      </c>
      <c r="AY80" s="40"/>
      <c r="AZ80" s="40"/>
      <c r="BA80" s="29"/>
      <c r="BB80" s="22">
        <v>0.08</v>
      </c>
      <c r="BC80" s="23">
        <v>0.82</v>
      </c>
      <c r="BD80" s="75">
        <f>AY80*BB80*BC80</f>
        <v>0</v>
      </c>
      <c r="BF80" s="41" t="s">
        <v>514</v>
      </c>
      <c r="BG80" s="41" t="s">
        <v>355</v>
      </c>
      <c r="BH80" s="40"/>
      <c r="BI80" s="40"/>
      <c r="BJ80" s="29"/>
      <c r="BK80" s="22">
        <v>0.08</v>
      </c>
      <c r="BL80" s="23">
        <v>0.82</v>
      </c>
      <c r="BM80" s="75">
        <f>BH80*BK80*BL80</f>
        <v>0</v>
      </c>
    </row>
    <row r="81" spans="2:65">
      <c r="B81" s="41" t="s">
        <v>514</v>
      </c>
      <c r="C81" s="41" t="s">
        <v>355</v>
      </c>
      <c r="D81" s="40"/>
      <c r="E81" s="40"/>
      <c r="F81" s="29"/>
      <c r="G81" s="22"/>
      <c r="H81" s="23">
        <v>0.82</v>
      </c>
      <c r="I81" s="75">
        <f t="shared" ref="I81:I94" si="68">D81*G81*H81</f>
        <v>0</v>
      </c>
      <c r="J81" s="172"/>
      <c r="L81" s="41" t="s">
        <v>514</v>
      </c>
      <c r="M81" s="41" t="s">
        <v>355</v>
      </c>
      <c r="N81" s="40"/>
      <c r="O81" s="40"/>
      <c r="P81" s="29"/>
      <c r="Q81" s="22"/>
      <c r="R81" s="23">
        <v>0.82</v>
      </c>
      <c r="S81" s="75">
        <f t="shared" ref="S81:S94" si="69">N81*Q81*R81</f>
        <v>0</v>
      </c>
      <c r="T81" s="172"/>
      <c r="V81" s="41" t="s">
        <v>514</v>
      </c>
      <c r="W81" s="41" t="s">
        <v>355</v>
      </c>
      <c r="X81" s="40"/>
      <c r="Y81" s="40"/>
      <c r="Z81" s="29"/>
      <c r="AA81" s="22"/>
      <c r="AB81" s="23">
        <v>0.82</v>
      </c>
      <c r="AC81" s="75">
        <f t="shared" ref="AC81:AC94" si="70">X81*AA81*AB81</f>
        <v>0</v>
      </c>
      <c r="AE81" s="41" t="s">
        <v>514</v>
      </c>
      <c r="AF81" s="41" t="s">
        <v>355</v>
      </c>
      <c r="AG81" s="40"/>
      <c r="AH81" s="40"/>
      <c r="AI81" s="29"/>
      <c r="AJ81" s="22"/>
      <c r="AK81" s="23">
        <v>0.82</v>
      </c>
      <c r="AL81" s="75">
        <f t="shared" ref="AL81:AL94" si="71">AG81*AJ81*AK81</f>
        <v>0</v>
      </c>
      <c r="AN81" s="41" t="s">
        <v>514</v>
      </c>
      <c r="AO81" s="41" t="s">
        <v>355</v>
      </c>
      <c r="AP81" s="40"/>
      <c r="AQ81" s="40"/>
      <c r="AR81" s="29"/>
      <c r="AS81" s="22"/>
      <c r="AT81" s="23">
        <v>0.82</v>
      </c>
      <c r="AU81" s="75">
        <f t="shared" ref="AU81:AU94" si="72">AP81*AS81*AT81</f>
        <v>0</v>
      </c>
      <c r="AW81" s="41" t="s">
        <v>514</v>
      </c>
      <c r="AX81" s="41" t="s">
        <v>355</v>
      </c>
      <c r="AY81" s="40"/>
      <c r="AZ81" s="40"/>
      <c r="BA81" s="29"/>
      <c r="BB81" s="22"/>
      <c r="BC81" s="23">
        <v>0.82</v>
      </c>
      <c r="BD81" s="75">
        <f t="shared" ref="BD81:BD94" si="73">AY81*BB81*BC81</f>
        <v>0</v>
      </c>
      <c r="BF81" s="41" t="s">
        <v>514</v>
      </c>
      <c r="BG81" s="41" t="s">
        <v>355</v>
      </c>
      <c r="BH81" s="40"/>
      <c r="BI81" s="40"/>
      <c r="BJ81" s="29"/>
      <c r="BK81" s="22"/>
      <c r="BL81" s="23">
        <v>0.82</v>
      </c>
      <c r="BM81" s="75">
        <f t="shared" ref="BM81:BM94" si="74">BH81*BK81*BL81</f>
        <v>0</v>
      </c>
    </row>
    <row r="82" spans="2:65">
      <c r="B82" s="41" t="s">
        <v>514</v>
      </c>
      <c r="C82" s="41" t="s">
        <v>355</v>
      </c>
      <c r="D82" s="40"/>
      <c r="E82" s="40"/>
      <c r="F82" s="29"/>
      <c r="G82" s="22"/>
      <c r="H82" s="23">
        <v>0.82</v>
      </c>
      <c r="I82" s="75">
        <f t="shared" si="68"/>
        <v>0</v>
      </c>
      <c r="J82" s="172"/>
      <c r="L82" s="41" t="s">
        <v>514</v>
      </c>
      <c r="M82" s="41" t="s">
        <v>355</v>
      </c>
      <c r="N82" s="40"/>
      <c r="O82" s="40"/>
      <c r="P82" s="29"/>
      <c r="Q82" s="22"/>
      <c r="R82" s="23">
        <v>0.82</v>
      </c>
      <c r="S82" s="75">
        <f t="shared" si="69"/>
        <v>0</v>
      </c>
      <c r="T82" s="172"/>
      <c r="V82" s="41" t="s">
        <v>514</v>
      </c>
      <c r="W82" s="41" t="s">
        <v>355</v>
      </c>
      <c r="X82" s="40"/>
      <c r="Y82" s="40"/>
      <c r="Z82" s="29"/>
      <c r="AA82" s="22"/>
      <c r="AB82" s="23">
        <v>0.82</v>
      </c>
      <c r="AC82" s="75">
        <f t="shared" si="70"/>
        <v>0</v>
      </c>
      <c r="AE82" s="41" t="s">
        <v>514</v>
      </c>
      <c r="AF82" s="41" t="s">
        <v>355</v>
      </c>
      <c r="AG82" s="40"/>
      <c r="AH82" s="40"/>
      <c r="AI82" s="29"/>
      <c r="AJ82" s="22"/>
      <c r="AK82" s="23">
        <v>0.82</v>
      </c>
      <c r="AL82" s="75">
        <f t="shared" si="71"/>
        <v>0</v>
      </c>
      <c r="AN82" s="41" t="s">
        <v>514</v>
      </c>
      <c r="AO82" s="41" t="s">
        <v>355</v>
      </c>
      <c r="AP82" s="40"/>
      <c r="AQ82" s="40"/>
      <c r="AR82" s="29"/>
      <c r="AS82" s="22"/>
      <c r="AT82" s="23">
        <v>0.82</v>
      </c>
      <c r="AU82" s="75">
        <f t="shared" si="72"/>
        <v>0</v>
      </c>
      <c r="AW82" s="41" t="s">
        <v>514</v>
      </c>
      <c r="AX82" s="41" t="s">
        <v>355</v>
      </c>
      <c r="AY82" s="40"/>
      <c r="AZ82" s="40"/>
      <c r="BA82" s="29"/>
      <c r="BB82" s="22"/>
      <c r="BC82" s="23">
        <v>0.82</v>
      </c>
      <c r="BD82" s="75">
        <f t="shared" si="73"/>
        <v>0</v>
      </c>
      <c r="BF82" s="41" t="s">
        <v>514</v>
      </c>
      <c r="BG82" s="41" t="s">
        <v>355</v>
      </c>
      <c r="BH82" s="40"/>
      <c r="BI82" s="40"/>
      <c r="BJ82" s="29"/>
      <c r="BK82" s="22"/>
      <c r="BL82" s="23">
        <v>0.82</v>
      </c>
      <c r="BM82" s="75">
        <f t="shared" si="74"/>
        <v>0</v>
      </c>
    </row>
    <row r="83" spans="2:65">
      <c r="B83" s="41" t="s">
        <v>514</v>
      </c>
      <c r="C83" s="41" t="s">
        <v>355</v>
      </c>
      <c r="D83" s="40"/>
      <c r="E83" s="40"/>
      <c r="F83" s="29"/>
      <c r="G83" s="22"/>
      <c r="H83" s="23">
        <v>0.82</v>
      </c>
      <c r="I83" s="75">
        <f t="shared" si="68"/>
        <v>0</v>
      </c>
      <c r="J83" s="172"/>
      <c r="L83" s="41" t="s">
        <v>514</v>
      </c>
      <c r="M83" s="41" t="s">
        <v>355</v>
      </c>
      <c r="N83" s="40"/>
      <c r="O83" s="40"/>
      <c r="P83" s="29"/>
      <c r="Q83" s="22"/>
      <c r="R83" s="23">
        <v>0.82</v>
      </c>
      <c r="S83" s="75">
        <f t="shared" si="69"/>
        <v>0</v>
      </c>
      <c r="T83" s="172"/>
      <c r="V83" s="41" t="s">
        <v>514</v>
      </c>
      <c r="W83" s="41" t="s">
        <v>355</v>
      </c>
      <c r="X83" s="40"/>
      <c r="Y83" s="40"/>
      <c r="Z83" s="29"/>
      <c r="AA83" s="22"/>
      <c r="AB83" s="23">
        <v>0.82</v>
      </c>
      <c r="AC83" s="75">
        <f t="shared" si="70"/>
        <v>0</v>
      </c>
      <c r="AE83" s="41" t="s">
        <v>514</v>
      </c>
      <c r="AF83" s="41" t="s">
        <v>355</v>
      </c>
      <c r="AG83" s="40"/>
      <c r="AH83" s="40"/>
      <c r="AI83" s="29"/>
      <c r="AJ83" s="22"/>
      <c r="AK83" s="23">
        <v>0.82</v>
      </c>
      <c r="AL83" s="75">
        <f t="shared" si="71"/>
        <v>0</v>
      </c>
      <c r="AN83" s="41" t="s">
        <v>514</v>
      </c>
      <c r="AO83" s="41" t="s">
        <v>355</v>
      </c>
      <c r="AP83" s="40"/>
      <c r="AQ83" s="40"/>
      <c r="AR83" s="29"/>
      <c r="AS83" s="22"/>
      <c r="AT83" s="23">
        <v>0.82</v>
      </c>
      <c r="AU83" s="75">
        <f t="shared" si="72"/>
        <v>0</v>
      </c>
      <c r="AW83" s="41" t="s">
        <v>514</v>
      </c>
      <c r="AX83" s="41" t="s">
        <v>355</v>
      </c>
      <c r="AY83" s="40"/>
      <c r="AZ83" s="40"/>
      <c r="BA83" s="29"/>
      <c r="BB83" s="22"/>
      <c r="BC83" s="23">
        <v>0.82</v>
      </c>
      <c r="BD83" s="75">
        <f t="shared" si="73"/>
        <v>0</v>
      </c>
      <c r="BF83" s="41" t="s">
        <v>514</v>
      </c>
      <c r="BG83" s="41" t="s">
        <v>355</v>
      </c>
      <c r="BH83" s="40"/>
      <c r="BI83" s="40"/>
      <c r="BJ83" s="29"/>
      <c r="BK83" s="22"/>
      <c r="BL83" s="23">
        <v>0.82</v>
      </c>
      <c r="BM83" s="75">
        <f t="shared" si="74"/>
        <v>0</v>
      </c>
    </row>
    <row r="84" spans="2:65">
      <c r="B84" s="41" t="s">
        <v>514</v>
      </c>
      <c r="C84" s="41" t="s">
        <v>355</v>
      </c>
      <c r="D84" s="40"/>
      <c r="E84" s="40"/>
      <c r="F84" s="29"/>
      <c r="G84" s="22"/>
      <c r="H84" s="23">
        <v>0.82</v>
      </c>
      <c r="I84" s="75">
        <f t="shared" si="68"/>
        <v>0</v>
      </c>
      <c r="J84" s="172"/>
      <c r="L84" s="41" t="s">
        <v>514</v>
      </c>
      <c r="M84" s="41" t="s">
        <v>355</v>
      </c>
      <c r="N84" s="40"/>
      <c r="O84" s="40"/>
      <c r="P84" s="29"/>
      <c r="Q84" s="22"/>
      <c r="R84" s="23">
        <v>0.82</v>
      </c>
      <c r="S84" s="75">
        <f t="shared" si="69"/>
        <v>0</v>
      </c>
      <c r="T84" s="172"/>
      <c r="V84" s="41" t="s">
        <v>514</v>
      </c>
      <c r="W84" s="41" t="s">
        <v>355</v>
      </c>
      <c r="X84" s="40"/>
      <c r="Y84" s="40"/>
      <c r="Z84" s="29"/>
      <c r="AA84" s="22"/>
      <c r="AB84" s="23">
        <v>0.82</v>
      </c>
      <c r="AC84" s="75">
        <f t="shared" si="70"/>
        <v>0</v>
      </c>
      <c r="AE84" s="41" t="s">
        <v>514</v>
      </c>
      <c r="AF84" s="41" t="s">
        <v>355</v>
      </c>
      <c r="AG84" s="40"/>
      <c r="AH84" s="40"/>
      <c r="AI84" s="29"/>
      <c r="AJ84" s="22"/>
      <c r="AK84" s="23">
        <v>0.82</v>
      </c>
      <c r="AL84" s="75">
        <f t="shared" si="71"/>
        <v>0</v>
      </c>
      <c r="AN84" s="41" t="s">
        <v>514</v>
      </c>
      <c r="AO84" s="41" t="s">
        <v>355</v>
      </c>
      <c r="AP84" s="40"/>
      <c r="AQ84" s="40"/>
      <c r="AR84" s="29"/>
      <c r="AS84" s="22"/>
      <c r="AT84" s="23">
        <v>0.82</v>
      </c>
      <c r="AU84" s="75">
        <f t="shared" si="72"/>
        <v>0</v>
      </c>
      <c r="AW84" s="41" t="s">
        <v>514</v>
      </c>
      <c r="AX84" s="41" t="s">
        <v>355</v>
      </c>
      <c r="AY84" s="40"/>
      <c r="AZ84" s="40"/>
      <c r="BA84" s="29"/>
      <c r="BB84" s="22"/>
      <c r="BC84" s="23">
        <v>0.82</v>
      </c>
      <c r="BD84" s="75">
        <f t="shared" si="73"/>
        <v>0</v>
      </c>
      <c r="BF84" s="41" t="s">
        <v>514</v>
      </c>
      <c r="BG84" s="41" t="s">
        <v>355</v>
      </c>
      <c r="BH84" s="40"/>
      <c r="BI84" s="40"/>
      <c r="BJ84" s="29"/>
      <c r="BK84" s="22"/>
      <c r="BL84" s="23">
        <v>0.82</v>
      </c>
      <c r="BM84" s="75">
        <f t="shared" si="74"/>
        <v>0</v>
      </c>
    </row>
    <row r="85" spans="2:65">
      <c r="B85" s="41" t="s">
        <v>514</v>
      </c>
      <c r="C85" s="41" t="s">
        <v>355</v>
      </c>
      <c r="D85" s="40"/>
      <c r="E85" s="40"/>
      <c r="F85" s="29"/>
      <c r="G85" s="22"/>
      <c r="H85" s="23">
        <v>0.82</v>
      </c>
      <c r="I85" s="75">
        <f t="shared" si="68"/>
        <v>0</v>
      </c>
      <c r="J85" s="172"/>
      <c r="L85" s="41" t="s">
        <v>514</v>
      </c>
      <c r="M85" s="41" t="s">
        <v>355</v>
      </c>
      <c r="N85" s="40"/>
      <c r="O85" s="40"/>
      <c r="P85" s="29"/>
      <c r="Q85" s="22"/>
      <c r="R85" s="23">
        <v>0.82</v>
      </c>
      <c r="S85" s="75">
        <f t="shared" si="69"/>
        <v>0</v>
      </c>
      <c r="T85" s="172"/>
      <c r="V85" s="41" t="s">
        <v>514</v>
      </c>
      <c r="W85" s="41" t="s">
        <v>355</v>
      </c>
      <c r="X85" s="40"/>
      <c r="Y85" s="40"/>
      <c r="Z85" s="29"/>
      <c r="AA85" s="22"/>
      <c r="AB85" s="23">
        <v>0.82</v>
      </c>
      <c r="AC85" s="75">
        <f t="shared" si="70"/>
        <v>0</v>
      </c>
      <c r="AE85" s="41" t="s">
        <v>514</v>
      </c>
      <c r="AF85" s="41" t="s">
        <v>355</v>
      </c>
      <c r="AG85" s="40"/>
      <c r="AH85" s="40"/>
      <c r="AI85" s="29"/>
      <c r="AJ85" s="22"/>
      <c r="AK85" s="23">
        <v>0.82</v>
      </c>
      <c r="AL85" s="75">
        <f t="shared" si="71"/>
        <v>0</v>
      </c>
      <c r="AN85" s="41" t="s">
        <v>514</v>
      </c>
      <c r="AO85" s="41" t="s">
        <v>355</v>
      </c>
      <c r="AP85" s="40"/>
      <c r="AQ85" s="40"/>
      <c r="AR85" s="29"/>
      <c r="AS85" s="22"/>
      <c r="AT85" s="23">
        <v>0.82</v>
      </c>
      <c r="AU85" s="75">
        <f t="shared" si="72"/>
        <v>0</v>
      </c>
      <c r="AW85" s="41" t="s">
        <v>514</v>
      </c>
      <c r="AX85" s="41" t="s">
        <v>355</v>
      </c>
      <c r="AY85" s="40"/>
      <c r="AZ85" s="40"/>
      <c r="BA85" s="29"/>
      <c r="BB85" s="22"/>
      <c r="BC85" s="23">
        <v>0.82</v>
      </c>
      <c r="BD85" s="75">
        <f t="shared" si="73"/>
        <v>0</v>
      </c>
      <c r="BF85" s="41" t="s">
        <v>514</v>
      </c>
      <c r="BG85" s="41" t="s">
        <v>355</v>
      </c>
      <c r="BH85" s="40"/>
      <c r="BI85" s="40"/>
      <c r="BJ85" s="29"/>
      <c r="BK85" s="22"/>
      <c r="BL85" s="23">
        <v>0.82</v>
      </c>
      <c r="BM85" s="75">
        <f t="shared" si="74"/>
        <v>0</v>
      </c>
    </row>
    <row r="86" spans="2:65">
      <c r="B86" s="41" t="s">
        <v>514</v>
      </c>
      <c r="C86" s="41" t="s">
        <v>355</v>
      </c>
      <c r="D86" s="40"/>
      <c r="E86" s="40"/>
      <c r="F86" s="29"/>
      <c r="G86" s="22"/>
      <c r="H86" s="23">
        <v>0.82</v>
      </c>
      <c r="I86" s="75">
        <f t="shared" si="68"/>
        <v>0</v>
      </c>
      <c r="J86" s="172"/>
      <c r="L86" s="41" t="s">
        <v>514</v>
      </c>
      <c r="M86" s="41" t="s">
        <v>355</v>
      </c>
      <c r="N86" s="40"/>
      <c r="O86" s="40"/>
      <c r="P86" s="29"/>
      <c r="Q86" s="22"/>
      <c r="R86" s="23">
        <v>0.82</v>
      </c>
      <c r="S86" s="75">
        <f t="shared" si="69"/>
        <v>0</v>
      </c>
      <c r="T86" s="172"/>
      <c r="V86" s="41" t="s">
        <v>514</v>
      </c>
      <c r="W86" s="41" t="s">
        <v>355</v>
      </c>
      <c r="X86" s="40"/>
      <c r="Y86" s="40"/>
      <c r="Z86" s="29"/>
      <c r="AA86" s="22"/>
      <c r="AB86" s="23">
        <v>0.82</v>
      </c>
      <c r="AC86" s="75">
        <f t="shared" si="70"/>
        <v>0</v>
      </c>
      <c r="AE86" s="41" t="s">
        <v>514</v>
      </c>
      <c r="AF86" s="41" t="s">
        <v>355</v>
      </c>
      <c r="AG86" s="40"/>
      <c r="AH86" s="40"/>
      <c r="AI86" s="29"/>
      <c r="AJ86" s="22"/>
      <c r="AK86" s="23">
        <v>0.82</v>
      </c>
      <c r="AL86" s="75">
        <f t="shared" si="71"/>
        <v>0</v>
      </c>
      <c r="AN86" s="41" t="s">
        <v>514</v>
      </c>
      <c r="AO86" s="41" t="s">
        <v>355</v>
      </c>
      <c r="AP86" s="40"/>
      <c r="AQ86" s="40"/>
      <c r="AR86" s="29"/>
      <c r="AS86" s="22"/>
      <c r="AT86" s="23">
        <v>0.82</v>
      </c>
      <c r="AU86" s="75">
        <f t="shared" si="72"/>
        <v>0</v>
      </c>
      <c r="AW86" s="41" t="s">
        <v>514</v>
      </c>
      <c r="AX86" s="41" t="s">
        <v>355</v>
      </c>
      <c r="AY86" s="40"/>
      <c r="AZ86" s="40"/>
      <c r="BA86" s="29"/>
      <c r="BB86" s="22"/>
      <c r="BC86" s="23">
        <v>0.82</v>
      </c>
      <c r="BD86" s="75">
        <f t="shared" si="73"/>
        <v>0</v>
      </c>
      <c r="BF86" s="41" t="s">
        <v>514</v>
      </c>
      <c r="BG86" s="41" t="s">
        <v>355</v>
      </c>
      <c r="BH86" s="40"/>
      <c r="BI86" s="40"/>
      <c r="BJ86" s="29"/>
      <c r="BK86" s="22"/>
      <c r="BL86" s="23">
        <v>0.82</v>
      </c>
      <c r="BM86" s="75">
        <f t="shared" si="74"/>
        <v>0</v>
      </c>
    </row>
    <row r="87" spans="2:65" outlineLevel="1">
      <c r="B87" s="41" t="s">
        <v>514</v>
      </c>
      <c r="C87" s="41" t="s">
        <v>355</v>
      </c>
      <c r="D87" s="40"/>
      <c r="E87" s="40"/>
      <c r="F87" s="29"/>
      <c r="G87" s="22"/>
      <c r="H87" s="23">
        <v>0.82</v>
      </c>
      <c r="I87" s="75">
        <f t="shared" si="68"/>
        <v>0</v>
      </c>
      <c r="J87" s="172"/>
      <c r="L87" s="41" t="s">
        <v>514</v>
      </c>
      <c r="M87" s="41" t="s">
        <v>355</v>
      </c>
      <c r="N87" s="40"/>
      <c r="O87" s="40"/>
      <c r="P87" s="29"/>
      <c r="Q87" s="22"/>
      <c r="R87" s="23">
        <v>0.82</v>
      </c>
      <c r="S87" s="75">
        <f t="shared" si="69"/>
        <v>0</v>
      </c>
      <c r="T87" s="172"/>
      <c r="V87" s="41" t="s">
        <v>514</v>
      </c>
      <c r="W87" s="41" t="s">
        <v>355</v>
      </c>
      <c r="X87" s="40"/>
      <c r="Y87" s="40"/>
      <c r="Z87" s="29"/>
      <c r="AA87" s="22"/>
      <c r="AB87" s="23">
        <v>0.82</v>
      </c>
      <c r="AC87" s="75">
        <f t="shared" si="70"/>
        <v>0</v>
      </c>
      <c r="AE87" s="41" t="s">
        <v>514</v>
      </c>
      <c r="AF87" s="41" t="s">
        <v>355</v>
      </c>
      <c r="AG87" s="40"/>
      <c r="AH87" s="40"/>
      <c r="AI87" s="29"/>
      <c r="AJ87" s="22"/>
      <c r="AK87" s="23">
        <v>0.82</v>
      </c>
      <c r="AL87" s="75">
        <f t="shared" si="71"/>
        <v>0</v>
      </c>
      <c r="AN87" s="41" t="s">
        <v>514</v>
      </c>
      <c r="AO87" s="41" t="s">
        <v>355</v>
      </c>
      <c r="AP87" s="40"/>
      <c r="AQ87" s="40"/>
      <c r="AR87" s="29"/>
      <c r="AS87" s="22"/>
      <c r="AT87" s="23">
        <v>0.82</v>
      </c>
      <c r="AU87" s="75">
        <f t="shared" si="72"/>
        <v>0</v>
      </c>
      <c r="AW87" s="41" t="s">
        <v>514</v>
      </c>
      <c r="AX87" s="41" t="s">
        <v>355</v>
      </c>
      <c r="AY87" s="40"/>
      <c r="AZ87" s="40"/>
      <c r="BA87" s="29"/>
      <c r="BB87" s="22"/>
      <c r="BC87" s="23">
        <v>0.82</v>
      </c>
      <c r="BD87" s="75">
        <f t="shared" si="73"/>
        <v>0</v>
      </c>
      <c r="BF87" s="41" t="s">
        <v>514</v>
      </c>
      <c r="BG87" s="41" t="s">
        <v>355</v>
      </c>
      <c r="BH87" s="40"/>
      <c r="BI87" s="40"/>
      <c r="BJ87" s="29"/>
      <c r="BK87" s="22"/>
      <c r="BL87" s="23">
        <v>0.82</v>
      </c>
      <c r="BM87" s="75">
        <f t="shared" si="74"/>
        <v>0</v>
      </c>
    </row>
    <row r="88" spans="2:65" outlineLevel="1">
      <c r="B88" s="41" t="s">
        <v>514</v>
      </c>
      <c r="C88" s="41" t="s">
        <v>355</v>
      </c>
      <c r="D88" s="40"/>
      <c r="E88" s="40"/>
      <c r="F88" s="29"/>
      <c r="G88" s="22"/>
      <c r="H88" s="23">
        <v>0.82</v>
      </c>
      <c r="I88" s="75">
        <f t="shared" si="68"/>
        <v>0</v>
      </c>
      <c r="J88" s="172"/>
      <c r="L88" s="41" t="s">
        <v>514</v>
      </c>
      <c r="M88" s="41" t="s">
        <v>355</v>
      </c>
      <c r="N88" s="40"/>
      <c r="O88" s="40"/>
      <c r="P88" s="29"/>
      <c r="Q88" s="22"/>
      <c r="R88" s="23">
        <v>0.82</v>
      </c>
      <c r="S88" s="75">
        <f t="shared" si="69"/>
        <v>0</v>
      </c>
      <c r="T88" s="172"/>
      <c r="V88" s="41" t="s">
        <v>514</v>
      </c>
      <c r="W88" s="41" t="s">
        <v>355</v>
      </c>
      <c r="X88" s="40"/>
      <c r="Y88" s="40"/>
      <c r="Z88" s="29"/>
      <c r="AA88" s="22"/>
      <c r="AB88" s="23">
        <v>0.82</v>
      </c>
      <c r="AC88" s="75">
        <f t="shared" si="70"/>
        <v>0</v>
      </c>
      <c r="AE88" s="41" t="s">
        <v>514</v>
      </c>
      <c r="AF88" s="41" t="s">
        <v>355</v>
      </c>
      <c r="AG88" s="40"/>
      <c r="AH88" s="40"/>
      <c r="AI88" s="29"/>
      <c r="AJ88" s="22"/>
      <c r="AK88" s="23">
        <v>0.82</v>
      </c>
      <c r="AL88" s="75">
        <f t="shared" si="71"/>
        <v>0</v>
      </c>
      <c r="AN88" s="41" t="s">
        <v>514</v>
      </c>
      <c r="AO88" s="41" t="s">
        <v>355</v>
      </c>
      <c r="AP88" s="40"/>
      <c r="AQ88" s="40"/>
      <c r="AR88" s="29"/>
      <c r="AS88" s="22"/>
      <c r="AT88" s="23">
        <v>0.82</v>
      </c>
      <c r="AU88" s="75">
        <f t="shared" si="72"/>
        <v>0</v>
      </c>
      <c r="AW88" s="41" t="s">
        <v>514</v>
      </c>
      <c r="AX88" s="41" t="s">
        <v>355</v>
      </c>
      <c r="AY88" s="40"/>
      <c r="AZ88" s="40"/>
      <c r="BA88" s="29"/>
      <c r="BB88" s="22"/>
      <c r="BC88" s="23">
        <v>0.82</v>
      </c>
      <c r="BD88" s="75">
        <f t="shared" si="73"/>
        <v>0</v>
      </c>
      <c r="BF88" s="41" t="s">
        <v>514</v>
      </c>
      <c r="BG88" s="41" t="s">
        <v>355</v>
      </c>
      <c r="BH88" s="40"/>
      <c r="BI88" s="40"/>
      <c r="BJ88" s="29"/>
      <c r="BK88" s="22"/>
      <c r="BL88" s="23">
        <v>0.82</v>
      </c>
      <c r="BM88" s="75">
        <f t="shared" si="74"/>
        <v>0</v>
      </c>
    </row>
    <row r="89" spans="2:65" outlineLevel="1">
      <c r="B89" s="41" t="s">
        <v>514</v>
      </c>
      <c r="C89" s="41" t="s">
        <v>355</v>
      </c>
      <c r="D89" s="40"/>
      <c r="E89" s="40"/>
      <c r="F89" s="29"/>
      <c r="G89" s="22"/>
      <c r="H89" s="23">
        <v>0.82</v>
      </c>
      <c r="I89" s="75">
        <f t="shared" si="68"/>
        <v>0</v>
      </c>
      <c r="J89" s="172"/>
      <c r="L89" s="41" t="s">
        <v>514</v>
      </c>
      <c r="M89" s="41" t="s">
        <v>355</v>
      </c>
      <c r="N89" s="40"/>
      <c r="O89" s="40"/>
      <c r="P89" s="29"/>
      <c r="Q89" s="22"/>
      <c r="R89" s="23">
        <v>0.82</v>
      </c>
      <c r="S89" s="75">
        <f t="shared" si="69"/>
        <v>0</v>
      </c>
      <c r="T89" s="172"/>
      <c r="V89" s="41" t="s">
        <v>514</v>
      </c>
      <c r="W89" s="41" t="s">
        <v>355</v>
      </c>
      <c r="X89" s="40"/>
      <c r="Y89" s="40"/>
      <c r="Z89" s="29"/>
      <c r="AA89" s="22"/>
      <c r="AB89" s="23">
        <v>0.82</v>
      </c>
      <c r="AC89" s="75">
        <f t="shared" si="70"/>
        <v>0</v>
      </c>
      <c r="AE89" s="41" t="s">
        <v>514</v>
      </c>
      <c r="AF89" s="41" t="s">
        <v>355</v>
      </c>
      <c r="AG89" s="40"/>
      <c r="AH89" s="40"/>
      <c r="AI89" s="29"/>
      <c r="AJ89" s="22"/>
      <c r="AK89" s="23">
        <v>0.82</v>
      </c>
      <c r="AL89" s="75">
        <f t="shared" si="71"/>
        <v>0</v>
      </c>
      <c r="AN89" s="41" t="s">
        <v>514</v>
      </c>
      <c r="AO89" s="41" t="s">
        <v>355</v>
      </c>
      <c r="AP89" s="40"/>
      <c r="AQ89" s="40"/>
      <c r="AR89" s="29"/>
      <c r="AS89" s="22"/>
      <c r="AT89" s="23">
        <v>0.82</v>
      </c>
      <c r="AU89" s="75">
        <f t="shared" si="72"/>
        <v>0</v>
      </c>
      <c r="AW89" s="41" t="s">
        <v>514</v>
      </c>
      <c r="AX89" s="41" t="s">
        <v>355</v>
      </c>
      <c r="AY89" s="40"/>
      <c r="AZ89" s="40"/>
      <c r="BA89" s="29"/>
      <c r="BB89" s="22"/>
      <c r="BC89" s="23">
        <v>0.82</v>
      </c>
      <c r="BD89" s="75">
        <f t="shared" si="73"/>
        <v>0</v>
      </c>
      <c r="BF89" s="41" t="s">
        <v>514</v>
      </c>
      <c r="BG89" s="41" t="s">
        <v>355</v>
      </c>
      <c r="BH89" s="40"/>
      <c r="BI89" s="40"/>
      <c r="BJ89" s="29"/>
      <c r="BK89" s="22"/>
      <c r="BL89" s="23">
        <v>0.82</v>
      </c>
      <c r="BM89" s="75">
        <f t="shared" si="74"/>
        <v>0</v>
      </c>
    </row>
    <row r="90" spans="2:65" outlineLevel="1">
      <c r="B90" s="41" t="s">
        <v>514</v>
      </c>
      <c r="C90" s="41" t="s">
        <v>355</v>
      </c>
      <c r="D90" s="40"/>
      <c r="E90" s="40"/>
      <c r="F90" s="29"/>
      <c r="G90" s="22"/>
      <c r="H90" s="23">
        <v>0.82</v>
      </c>
      <c r="I90" s="75">
        <f t="shared" si="68"/>
        <v>0</v>
      </c>
      <c r="J90" s="172"/>
      <c r="L90" s="41" t="s">
        <v>514</v>
      </c>
      <c r="M90" s="41" t="s">
        <v>355</v>
      </c>
      <c r="N90" s="40"/>
      <c r="O90" s="40"/>
      <c r="P90" s="29"/>
      <c r="Q90" s="22"/>
      <c r="R90" s="23">
        <v>0.82</v>
      </c>
      <c r="S90" s="75">
        <f t="shared" si="69"/>
        <v>0</v>
      </c>
      <c r="T90" s="172"/>
      <c r="V90" s="41" t="s">
        <v>514</v>
      </c>
      <c r="W90" s="41" t="s">
        <v>355</v>
      </c>
      <c r="X90" s="40"/>
      <c r="Y90" s="40"/>
      <c r="Z90" s="29"/>
      <c r="AA90" s="22"/>
      <c r="AB90" s="23">
        <v>0.82</v>
      </c>
      <c r="AC90" s="75">
        <f t="shared" si="70"/>
        <v>0</v>
      </c>
      <c r="AE90" s="41" t="s">
        <v>514</v>
      </c>
      <c r="AF90" s="41" t="s">
        <v>355</v>
      </c>
      <c r="AG90" s="40"/>
      <c r="AH90" s="40"/>
      <c r="AI90" s="29"/>
      <c r="AJ90" s="22"/>
      <c r="AK90" s="23">
        <v>0.82</v>
      </c>
      <c r="AL90" s="75">
        <f t="shared" si="71"/>
        <v>0</v>
      </c>
      <c r="AN90" s="41" t="s">
        <v>514</v>
      </c>
      <c r="AO90" s="41" t="s">
        <v>355</v>
      </c>
      <c r="AP90" s="40"/>
      <c r="AQ90" s="40"/>
      <c r="AR90" s="29"/>
      <c r="AS90" s="22"/>
      <c r="AT90" s="23">
        <v>0.82</v>
      </c>
      <c r="AU90" s="75">
        <f t="shared" si="72"/>
        <v>0</v>
      </c>
      <c r="AW90" s="41" t="s">
        <v>514</v>
      </c>
      <c r="AX90" s="41" t="s">
        <v>355</v>
      </c>
      <c r="AY90" s="40"/>
      <c r="AZ90" s="40"/>
      <c r="BA90" s="29"/>
      <c r="BB90" s="22"/>
      <c r="BC90" s="23">
        <v>0.82</v>
      </c>
      <c r="BD90" s="75">
        <f t="shared" si="73"/>
        <v>0</v>
      </c>
      <c r="BF90" s="41" t="s">
        <v>514</v>
      </c>
      <c r="BG90" s="41" t="s">
        <v>355</v>
      </c>
      <c r="BH90" s="40"/>
      <c r="BI90" s="40"/>
      <c r="BJ90" s="29"/>
      <c r="BK90" s="22"/>
      <c r="BL90" s="23">
        <v>0.82</v>
      </c>
      <c r="BM90" s="75">
        <f t="shared" si="74"/>
        <v>0</v>
      </c>
    </row>
    <row r="91" spans="2:65" outlineLevel="1">
      <c r="B91" s="41" t="s">
        <v>514</v>
      </c>
      <c r="C91" s="41" t="s">
        <v>355</v>
      </c>
      <c r="D91" s="40"/>
      <c r="E91" s="40"/>
      <c r="F91" s="29"/>
      <c r="G91" s="22"/>
      <c r="H91" s="23">
        <v>0.82</v>
      </c>
      <c r="I91" s="75">
        <f t="shared" si="68"/>
        <v>0</v>
      </c>
      <c r="J91" s="172"/>
      <c r="L91" s="41" t="s">
        <v>514</v>
      </c>
      <c r="M91" s="41" t="s">
        <v>355</v>
      </c>
      <c r="N91" s="40"/>
      <c r="O91" s="40"/>
      <c r="P91" s="29"/>
      <c r="Q91" s="22"/>
      <c r="R91" s="23">
        <v>0.82</v>
      </c>
      <c r="S91" s="75">
        <f t="shared" si="69"/>
        <v>0</v>
      </c>
      <c r="T91" s="172"/>
      <c r="V91" s="41" t="s">
        <v>514</v>
      </c>
      <c r="W91" s="41" t="s">
        <v>355</v>
      </c>
      <c r="X91" s="40"/>
      <c r="Y91" s="40"/>
      <c r="Z91" s="29"/>
      <c r="AA91" s="22"/>
      <c r="AB91" s="23">
        <v>0.82</v>
      </c>
      <c r="AC91" s="75">
        <f t="shared" si="70"/>
        <v>0</v>
      </c>
      <c r="AE91" s="41" t="s">
        <v>514</v>
      </c>
      <c r="AF91" s="41" t="s">
        <v>355</v>
      </c>
      <c r="AG91" s="40"/>
      <c r="AH91" s="40"/>
      <c r="AI91" s="29"/>
      <c r="AJ91" s="22"/>
      <c r="AK91" s="23">
        <v>0.82</v>
      </c>
      <c r="AL91" s="75">
        <f t="shared" si="71"/>
        <v>0</v>
      </c>
      <c r="AN91" s="41" t="s">
        <v>514</v>
      </c>
      <c r="AO91" s="41" t="s">
        <v>355</v>
      </c>
      <c r="AP91" s="40"/>
      <c r="AQ91" s="40"/>
      <c r="AR91" s="29"/>
      <c r="AS91" s="22"/>
      <c r="AT91" s="23">
        <v>0.82</v>
      </c>
      <c r="AU91" s="75">
        <f t="shared" si="72"/>
        <v>0</v>
      </c>
      <c r="AW91" s="41" t="s">
        <v>514</v>
      </c>
      <c r="AX91" s="41" t="s">
        <v>355</v>
      </c>
      <c r="AY91" s="40"/>
      <c r="AZ91" s="40"/>
      <c r="BA91" s="29"/>
      <c r="BB91" s="22"/>
      <c r="BC91" s="23">
        <v>0.82</v>
      </c>
      <c r="BD91" s="75">
        <f t="shared" si="73"/>
        <v>0</v>
      </c>
      <c r="BF91" s="41" t="s">
        <v>514</v>
      </c>
      <c r="BG91" s="41" t="s">
        <v>355</v>
      </c>
      <c r="BH91" s="40"/>
      <c r="BI91" s="40"/>
      <c r="BJ91" s="29"/>
      <c r="BK91" s="22"/>
      <c r="BL91" s="23">
        <v>0.82</v>
      </c>
      <c r="BM91" s="75">
        <f t="shared" si="74"/>
        <v>0</v>
      </c>
    </row>
    <row r="92" spans="2:65" outlineLevel="1">
      <c r="B92" s="41" t="s">
        <v>514</v>
      </c>
      <c r="C92" s="41" t="s">
        <v>355</v>
      </c>
      <c r="D92" s="40"/>
      <c r="E92" s="40"/>
      <c r="F92" s="29"/>
      <c r="G92" s="22"/>
      <c r="H92" s="23">
        <v>0.82</v>
      </c>
      <c r="I92" s="75">
        <f t="shared" si="68"/>
        <v>0</v>
      </c>
      <c r="J92" s="172"/>
      <c r="L92" s="41" t="s">
        <v>514</v>
      </c>
      <c r="M92" s="41" t="s">
        <v>355</v>
      </c>
      <c r="N92" s="40"/>
      <c r="O92" s="40"/>
      <c r="P92" s="29"/>
      <c r="Q92" s="22"/>
      <c r="R92" s="23">
        <v>0.82</v>
      </c>
      <c r="S92" s="75">
        <f t="shared" si="69"/>
        <v>0</v>
      </c>
      <c r="T92" s="172"/>
      <c r="V92" s="41" t="s">
        <v>514</v>
      </c>
      <c r="W92" s="41" t="s">
        <v>355</v>
      </c>
      <c r="X92" s="40"/>
      <c r="Y92" s="40"/>
      <c r="Z92" s="29"/>
      <c r="AA92" s="22"/>
      <c r="AB92" s="23">
        <v>0.82</v>
      </c>
      <c r="AC92" s="75">
        <f t="shared" si="70"/>
        <v>0</v>
      </c>
      <c r="AE92" s="41" t="s">
        <v>514</v>
      </c>
      <c r="AF92" s="41" t="s">
        <v>355</v>
      </c>
      <c r="AG92" s="40"/>
      <c r="AH92" s="40"/>
      <c r="AI92" s="29"/>
      <c r="AJ92" s="22"/>
      <c r="AK92" s="23">
        <v>0.82</v>
      </c>
      <c r="AL92" s="75">
        <f t="shared" si="71"/>
        <v>0</v>
      </c>
      <c r="AN92" s="41" t="s">
        <v>514</v>
      </c>
      <c r="AO92" s="41" t="s">
        <v>355</v>
      </c>
      <c r="AP92" s="40"/>
      <c r="AQ92" s="40"/>
      <c r="AR92" s="29"/>
      <c r="AS92" s="22"/>
      <c r="AT92" s="23">
        <v>0.82</v>
      </c>
      <c r="AU92" s="75">
        <f t="shared" si="72"/>
        <v>0</v>
      </c>
      <c r="AW92" s="41" t="s">
        <v>514</v>
      </c>
      <c r="AX92" s="41" t="s">
        <v>355</v>
      </c>
      <c r="AY92" s="40"/>
      <c r="AZ92" s="40"/>
      <c r="BA92" s="29"/>
      <c r="BB92" s="22"/>
      <c r="BC92" s="23">
        <v>0.82</v>
      </c>
      <c r="BD92" s="75">
        <f t="shared" si="73"/>
        <v>0</v>
      </c>
      <c r="BF92" s="41" t="s">
        <v>514</v>
      </c>
      <c r="BG92" s="41" t="s">
        <v>355</v>
      </c>
      <c r="BH92" s="40"/>
      <c r="BI92" s="40"/>
      <c r="BJ92" s="29"/>
      <c r="BK92" s="22"/>
      <c r="BL92" s="23">
        <v>0.82</v>
      </c>
      <c r="BM92" s="75">
        <f t="shared" si="74"/>
        <v>0</v>
      </c>
    </row>
    <row r="93" spans="2:65" outlineLevel="1">
      <c r="B93" s="41" t="s">
        <v>514</v>
      </c>
      <c r="C93" s="41" t="s">
        <v>355</v>
      </c>
      <c r="D93" s="40"/>
      <c r="E93" s="40"/>
      <c r="F93" s="29"/>
      <c r="G93" s="22"/>
      <c r="H93" s="23">
        <v>0.82</v>
      </c>
      <c r="I93" s="75">
        <f t="shared" si="68"/>
        <v>0</v>
      </c>
      <c r="J93" s="172"/>
      <c r="L93" s="41" t="s">
        <v>514</v>
      </c>
      <c r="M93" s="41" t="s">
        <v>355</v>
      </c>
      <c r="N93" s="40"/>
      <c r="O93" s="40"/>
      <c r="P93" s="29"/>
      <c r="Q93" s="22"/>
      <c r="R93" s="23">
        <v>0.82</v>
      </c>
      <c r="S93" s="75">
        <f t="shared" si="69"/>
        <v>0</v>
      </c>
      <c r="T93" s="172"/>
      <c r="V93" s="41" t="s">
        <v>514</v>
      </c>
      <c r="W93" s="41" t="s">
        <v>355</v>
      </c>
      <c r="X93" s="40"/>
      <c r="Y93" s="40"/>
      <c r="Z93" s="29"/>
      <c r="AA93" s="22"/>
      <c r="AB93" s="23">
        <v>0.82</v>
      </c>
      <c r="AC93" s="75">
        <f t="shared" si="70"/>
        <v>0</v>
      </c>
      <c r="AE93" s="41" t="s">
        <v>514</v>
      </c>
      <c r="AF93" s="41" t="s">
        <v>355</v>
      </c>
      <c r="AG93" s="40"/>
      <c r="AH93" s="40"/>
      <c r="AI93" s="29"/>
      <c r="AJ93" s="22"/>
      <c r="AK93" s="23">
        <v>0.82</v>
      </c>
      <c r="AL93" s="75">
        <f t="shared" si="71"/>
        <v>0</v>
      </c>
      <c r="AN93" s="41" t="s">
        <v>514</v>
      </c>
      <c r="AO93" s="41" t="s">
        <v>355</v>
      </c>
      <c r="AP93" s="40"/>
      <c r="AQ93" s="40"/>
      <c r="AR93" s="29"/>
      <c r="AS93" s="22"/>
      <c r="AT93" s="23">
        <v>0.82</v>
      </c>
      <c r="AU93" s="75">
        <f t="shared" si="72"/>
        <v>0</v>
      </c>
      <c r="AW93" s="41" t="s">
        <v>514</v>
      </c>
      <c r="AX93" s="41" t="s">
        <v>355</v>
      </c>
      <c r="AY93" s="40"/>
      <c r="AZ93" s="40"/>
      <c r="BA93" s="29"/>
      <c r="BB93" s="22"/>
      <c r="BC93" s="23">
        <v>0.82</v>
      </c>
      <c r="BD93" s="75">
        <f t="shared" si="73"/>
        <v>0</v>
      </c>
      <c r="BF93" s="41" t="s">
        <v>514</v>
      </c>
      <c r="BG93" s="41" t="s">
        <v>355</v>
      </c>
      <c r="BH93" s="40"/>
      <c r="BI93" s="40"/>
      <c r="BJ93" s="29"/>
      <c r="BK93" s="22"/>
      <c r="BL93" s="23">
        <v>0.82</v>
      </c>
      <c r="BM93" s="75">
        <f t="shared" si="74"/>
        <v>0</v>
      </c>
    </row>
    <row r="94" spans="2:65" outlineLevel="1">
      <c r="B94" s="41" t="s">
        <v>514</v>
      </c>
      <c r="C94" s="41" t="s">
        <v>355</v>
      </c>
      <c r="D94" s="40"/>
      <c r="E94" s="40"/>
      <c r="F94" s="29"/>
      <c r="G94" s="22"/>
      <c r="H94" s="23">
        <v>0.82</v>
      </c>
      <c r="I94" s="75">
        <f t="shared" si="68"/>
        <v>0</v>
      </c>
      <c r="J94" s="172"/>
      <c r="L94" s="41" t="s">
        <v>514</v>
      </c>
      <c r="M94" s="41" t="s">
        <v>355</v>
      </c>
      <c r="N94" s="40"/>
      <c r="O94" s="40"/>
      <c r="P94" s="29"/>
      <c r="Q94" s="22"/>
      <c r="R94" s="23">
        <v>0.82</v>
      </c>
      <c r="S94" s="75">
        <f t="shared" si="69"/>
        <v>0</v>
      </c>
      <c r="T94" s="172"/>
      <c r="V94" s="41" t="s">
        <v>514</v>
      </c>
      <c r="W94" s="41" t="s">
        <v>355</v>
      </c>
      <c r="X94" s="40"/>
      <c r="Y94" s="40"/>
      <c r="Z94" s="29"/>
      <c r="AA94" s="22"/>
      <c r="AB94" s="23">
        <v>0.82</v>
      </c>
      <c r="AC94" s="75">
        <f t="shared" si="70"/>
        <v>0</v>
      </c>
      <c r="AE94" s="41" t="s">
        <v>514</v>
      </c>
      <c r="AF94" s="41" t="s">
        <v>355</v>
      </c>
      <c r="AG94" s="40"/>
      <c r="AH94" s="40"/>
      <c r="AI94" s="29"/>
      <c r="AJ94" s="22"/>
      <c r="AK94" s="23">
        <v>0.82</v>
      </c>
      <c r="AL94" s="75">
        <f t="shared" si="71"/>
        <v>0</v>
      </c>
      <c r="AN94" s="41" t="s">
        <v>514</v>
      </c>
      <c r="AO94" s="41" t="s">
        <v>355</v>
      </c>
      <c r="AP94" s="40"/>
      <c r="AQ94" s="40"/>
      <c r="AR94" s="29"/>
      <c r="AS94" s="22"/>
      <c r="AT94" s="23">
        <v>0.82</v>
      </c>
      <c r="AU94" s="75">
        <f t="shared" si="72"/>
        <v>0</v>
      </c>
      <c r="AW94" s="41" t="s">
        <v>514</v>
      </c>
      <c r="AX94" s="41" t="s">
        <v>355</v>
      </c>
      <c r="AY94" s="40"/>
      <c r="AZ94" s="40"/>
      <c r="BA94" s="29"/>
      <c r="BB94" s="22"/>
      <c r="BC94" s="23">
        <v>0.82</v>
      </c>
      <c r="BD94" s="75">
        <f t="shared" si="73"/>
        <v>0</v>
      </c>
      <c r="BF94" s="41" t="s">
        <v>514</v>
      </c>
      <c r="BG94" s="41" t="s">
        <v>355</v>
      </c>
      <c r="BH94" s="40"/>
      <c r="BI94" s="40"/>
      <c r="BJ94" s="29"/>
      <c r="BK94" s="22"/>
      <c r="BL94" s="23">
        <v>0.82</v>
      </c>
      <c r="BM94" s="75">
        <f t="shared" si="74"/>
        <v>0</v>
      </c>
    </row>
    <row r="95" spans="2:65" s="24" customFormat="1">
      <c r="B95" s="8" t="s">
        <v>516</v>
      </c>
      <c r="C95" s="25"/>
      <c r="D95" s="28">
        <f>SUM(D80:D94)</f>
        <v>0</v>
      </c>
      <c r="E95" s="28">
        <f>SUM(E80:E94)</f>
        <v>0</v>
      </c>
      <c r="F95" s="30"/>
      <c r="G95" s="25"/>
      <c r="H95" s="26"/>
      <c r="I95" s="28">
        <f>SUM(I80:I94)</f>
        <v>0</v>
      </c>
      <c r="J95" s="171"/>
      <c r="L95" s="8" t="s">
        <v>516</v>
      </c>
      <c r="M95" s="25"/>
      <c r="N95" s="28">
        <f>SUM(N80:N94)</f>
        <v>0</v>
      </c>
      <c r="O95" s="28">
        <f>SUM(O80:O94)</f>
        <v>0</v>
      </c>
      <c r="P95" s="30"/>
      <c r="Q95" s="25"/>
      <c r="R95" s="26"/>
      <c r="S95" s="28">
        <f>SUM(S80:S94)</f>
        <v>0</v>
      </c>
      <c r="T95" s="171"/>
      <c r="V95" s="8" t="s">
        <v>516</v>
      </c>
      <c r="W95" s="25"/>
      <c r="X95" s="28">
        <f>SUM(X80:X94)</f>
        <v>0</v>
      </c>
      <c r="Y95" s="28">
        <f>SUM(Y80:Y94)</f>
        <v>0</v>
      </c>
      <c r="Z95" s="30"/>
      <c r="AA95" s="25"/>
      <c r="AB95" s="26"/>
      <c r="AC95" s="28">
        <f>SUM(AC80:AC94)</f>
        <v>0</v>
      </c>
      <c r="AE95" s="8" t="s">
        <v>516</v>
      </c>
      <c r="AF95" s="25"/>
      <c r="AG95" s="28">
        <f>SUM(AG80:AG94)</f>
        <v>0</v>
      </c>
      <c r="AH95" s="28">
        <f>SUM(AH80:AH94)</f>
        <v>0</v>
      </c>
      <c r="AI95" s="30"/>
      <c r="AJ95" s="25"/>
      <c r="AK95" s="26"/>
      <c r="AL95" s="28">
        <f>SUM(AL80:AL94)</f>
        <v>0</v>
      </c>
      <c r="AN95" s="8" t="s">
        <v>516</v>
      </c>
      <c r="AO95" s="25"/>
      <c r="AP95" s="28">
        <f>SUM(AP80:AP94)</f>
        <v>0</v>
      </c>
      <c r="AQ95" s="28">
        <f>SUM(AQ80:AQ94)</f>
        <v>0</v>
      </c>
      <c r="AR95" s="30"/>
      <c r="AS95" s="25"/>
      <c r="AT95" s="26"/>
      <c r="AU95" s="28">
        <f>SUM(AU80:AU94)</f>
        <v>0</v>
      </c>
      <c r="AW95" s="8" t="s">
        <v>516</v>
      </c>
      <c r="AX95" s="25"/>
      <c r="AY95" s="28">
        <f>SUM(AY80:AY94)</f>
        <v>0</v>
      </c>
      <c r="AZ95" s="28">
        <f>SUM(AZ80:AZ94)</f>
        <v>0</v>
      </c>
      <c r="BA95" s="30"/>
      <c r="BB95" s="25"/>
      <c r="BC95" s="26"/>
      <c r="BD95" s="28">
        <f>SUM(BD80:BD94)</f>
        <v>0</v>
      </c>
      <c r="BF95" s="8" t="s">
        <v>516</v>
      </c>
      <c r="BG95" s="25"/>
      <c r="BH95" s="28">
        <f>SUM(BH80:BH94)</f>
        <v>0</v>
      </c>
      <c r="BI95" s="28">
        <f>SUM(BI80:BI94)</f>
        <v>0</v>
      </c>
      <c r="BJ95" s="30"/>
      <c r="BK95" s="25"/>
      <c r="BL95" s="26"/>
      <c r="BM95" s="28">
        <f>SUM(BM80:BM94)</f>
        <v>0</v>
      </c>
    </row>
    <row r="97" spans="2:65" s="20" customFormat="1" ht="41.4">
      <c r="B97" s="27" t="s">
        <v>15</v>
      </c>
      <c r="C97" s="3" t="str">
        <f>C$43</f>
        <v>Source</v>
      </c>
      <c r="D97" s="3" t="str">
        <f t="shared" ref="D97:I97" si="75">D$43</f>
        <v>Limit (A)</v>
      </c>
      <c r="E97" s="3" t="str">
        <f t="shared" si="75"/>
        <v>Outstanding (A1)</v>
      </c>
      <c r="F97" s="3" t="str">
        <f t="shared" si="75"/>
        <v>Monthly Repayment (B)</v>
      </c>
      <c r="G97" s="3" t="str">
        <f t="shared" si="75"/>
        <v>Interest Rate (C)</v>
      </c>
      <c r="H97" s="3" t="str">
        <f t="shared" si="75"/>
        <v>Factor (D)</v>
      </c>
      <c r="I97" s="3" t="str">
        <f t="shared" si="75"/>
        <v>Interest (E) = (A or A1) * (C) * (D)</v>
      </c>
      <c r="J97" s="173" t="s">
        <v>450</v>
      </c>
      <c r="L97" s="27" t="s">
        <v>15</v>
      </c>
      <c r="M97" s="3" t="str">
        <f>M$43</f>
        <v>Source</v>
      </c>
      <c r="N97" s="3" t="str">
        <f t="shared" ref="N97:S97" si="76">N$43</f>
        <v>Limit (A)</v>
      </c>
      <c r="O97" s="3" t="str">
        <f t="shared" si="76"/>
        <v>Outstanding (A1)</v>
      </c>
      <c r="P97" s="3" t="str">
        <f t="shared" si="76"/>
        <v>Monthly Repayment (B)</v>
      </c>
      <c r="Q97" s="3" t="str">
        <f t="shared" si="76"/>
        <v>Interest Rate (C)</v>
      </c>
      <c r="R97" s="3" t="str">
        <f t="shared" si="76"/>
        <v>Factor (D)</v>
      </c>
      <c r="S97" s="3" t="str">
        <f t="shared" si="76"/>
        <v>Interest (E) = (A or A1) * (C) * (D)</v>
      </c>
      <c r="T97" s="173" t="s">
        <v>450</v>
      </c>
      <c r="V97" s="27" t="s">
        <v>15</v>
      </c>
      <c r="W97" s="3" t="str">
        <f>W$43</f>
        <v>Source</v>
      </c>
      <c r="X97" s="3" t="str">
        <f t="shared" ref="X97:AC97" si="77">X$43</f>
        <v>Limit (A)</v>
      </c>
      <c r="Y97" s="3" t="str">
        <f t="shared" si="77"/>
        <v>Outstanding (A1)</v>
      </c>
      <c r="Z97" s="3" t="str">
        <f t="shared" si="77"/>
        <v>Monthly Repayment (B)</v>
      </c>
      <c r="AA97" s="3" t="str">
        <f t="shared" si="77"/>
        <v>Interest Rate (C)</v>
      </c>
      <c r="AB97" s="3" t="str">
        <f t="shared" si="77"/>
        <v>Factor (D)</v>
      </c>
      <c r="AC97" s="3" t="str">
        <f t="shared" si="77"/>
        <v>Interest (E) = (A or A1) * (C) * (D)</v>
      </c>
      <c r="AE97" s="27" t="s">
        <v>15</v>
      </c>
      <c r="AF97" s="3" t="str">
        <f>AF$43</f>
        <v>Source</v>
      </c>
      <c r="AG97" s="3" t="str">
        <f t="shared" ref="AG97:AL97" si="78">AG$43</f>
        <v>Limit (A)</v>
      </c>
      <c r="AH97" s="3" t="str">
        <f t="shared" si="78"/>
        <v>Outstanding (A1)</v>
      </c>
      <c r="AI97" s="3" t="str">
        <f t="shared" si="78"/>
        <v>Monthly Repayment (B)</v>
      </c>
      <c r="AJ97" s="3" t="str">
        <f t="shared" si="78"/>
        <v>Interest Rate (C)</v>
      </c>
      <c r="AK97" s="3" t="str">
        <f t="shared" si="78"/>
        <v>Factor (D)</v>
      </c>
      <c r="AL97" s="3" t="str">
        <f t="shared" si="78"/>
        <v>Interest (E) = (A or A1) * (C) * (D)</v>
      </c>
      <c r="AN97" s="27" t="s">
        <v>15</v>
      </c>
      <c r="AO97" s="3" t="str">
        <f>AO$43</f>
        <v>Source</v>
      </c>
      <c r="AP97" s="3" t="str">
        <f t="shared" ref="AP97:AU97" si="79">AP$43</f>
        <v>Limit (A)</v>
      </c>
      <c r="AQ97" s="3" t="str">
        <f t="shared" si="79"/>
        <v>Outstanding (A1)</v>
      </c>
      <c r="AR97" s="3" t="str">
        <f t="shared" si="79"/>
        <v>Monthly Repayment (B)</v>
      </c>
      <c r="AS97" s="3" t="str">
        <f t="shared" si="79"/>
        <v>Interest Rate (C)</v>
      </c>
      <c r="AT97" s="3" t="str">
        <f t="shared" si="79"/>
        <v>Factor (D)</v>
      </c>
      <c r="AU97" s="3" t="str">
        <f t="shared" si="79"/>
        <v>Interest (E) = (A or A1) * (C) * (D)</v>
      </c>
      <c r="AW97" s="27" t="s">
        <v>15</v>
      </c>
      <c r="AX97" s="3" t="str">
        <f>AX$43</f>
        <v>Source</v>
      </c>
      <c r="AY97" s="3" t="str">
        <f t="shared" ref="AY97:BD97" si="80">AY$43</f>
        <v>Limit (A)</v>
      </c>
      <c r="AZ97" s="3" t="str">
        <f t="shared" si="80"/>
        <v>Outstanding (A1)</v>
      </c>
      <c r="BA97" s="3" t="str">
        <f t="shared" si="80"/>
        <v>Monthly Repayment (B)</v>
      </c>
      <c r="BB97" s="3" t="str">
        <f t="shared" si="80"/>
        <v>Interest Rate (C)</v>
      </c>
      <c r="BC97" s="3" t="str">
        <f t="shared" si="80"/>
        <v>Factor (D)</v>
      </c>
      <c r="BD97" s="3" t="str">
        <f t="shared" si="80"/>
        <v>Interest (E) = (A or A1) * (C) * (D)</v>
      </c>
      <c r="BF97" s="27" t="s">
        <v>15</v>
      </c>
      <c r="BG97" s="3" t="str">
        <f>BG$43</f>
        <v>Source</v>
      </c>
      <c r="BH97" s="3" t="str">
        <f t="shared" ref="BH97:BM97" si="81">BH$43</f>
        <v>Limit (A)</v>
      </c>
      <c r="BI97" s="3" t="str">
        <f t="shared" si="81"/>
        <v>Outstanding (A1)</v>
      </c>
      <c r="BJ97" s="3" t="str">
        <f t="shared" si="81"/>
        <v>Monthly Repayment (B)</v>
      </c>
      <c r="BK97" s="3" t="str">
        <f t="shared" si="81"/>
        <v>Interest Rate (C)</v>
      </c>
      <c r="BL97" s="3" t="str">
        <f t="shared" si="81"/>
        <v>Factor (D)</v>
      </c>
      <c r="BM97" s="3" t="str">
        <f t="shared" si="81"/>
        <v>Interest (E) = (A or A1) * (C) * (D)</v>
      </c>
    </row>
    <row r="98" spans="2:65">
      <c r="B98" s="41" t="s">
        <v>514</v>
      </c>
      <c r="C98" s="41" t="s">
        <v>355</v>
      </c>
      <c r="D98" s="40"/>
      <c r="E98" s="40"/>
      <c r="F98" s="29"/>
      <c r="G98" s="22"/>
      <c r="H98" s="23">
        <v>0.82</v>
      </c>
      <c r="I98" s="75">
        <f>D98*G98*H98</f>
        <v>0</v>
      </c>
      <c r="J98" s="172"/>
      <c r="L98" s="41" t="s">
        <v>514</v>
      </c>
      <c r="M98" s="41" t="s">
        <v>355</v>
      </c>
      <c r="N98" s="40"/>
      <c r="O98" s="40"/>
      <c r="P98" s="29"/>
      <c r="Q98" s="22"/>
      <c r="R98" s="23">
        <v>0.82</v>
      </c>
      <c r="S98" s="75">
        <f>N98*Q98*R98</f>
        <v>0</v>
      </c>
      <c r="T98" s="172"/>
      <c r="V98" s="41" t="s">
        <v>514</v>
      </c>
      <c r="W98" s="41" t="s">
        <v>355</v>
      </c>
      <c r="X98" s="40"/>
      <c r="Y98" s="40"/>
      <c r="Z98" s="29"/>
      <c r="AA98" s="22">
        <v>0.08</v>
      </c>
      <c r="AB98" s="23">
        <v>0.82</v>
      </c>
      <c r="AC98" s="75">
        <f>X98*AA98*AB98</f>
        <v>0</v>
      </c>
      <c r="AE98" s="41" t="s">
        <v>514</v>
      </c>
      <c r="AF98" s="41" t="s">
        <v>355</v>
      </c>
      <c r="AG98" s="40"/>
      <c r="AH98" s="40"/>
      <c r="AI98" s="29"/>
      <c r="AJ98" s="22">
        <v>0.08</v>
      </c>
      <c r="AK98" s="23">
        <v>0.82</v>
      </c>
      <c r="AL98" s="75">
        <f>AG98*AJ98*AK98</f>
        <v>0</v>
      </c>
      <c r="AN98" s="41" t="s">
        <v>514</v>
      </c>
      <c r="AO98" s="41" t="s">
        <v>355</v>
      </c>
      <c r="AP98" s="40"/>
      <c r="AQ98" s="40"/>
      <c r="AR98" s="29"/>
      <c r="AS98" s="22">
        <v>0.08</v>
      </c>
      <c r="AT98" s="23">
        <v>0.82</v>
      </c>
      <c r="AU98" s="75">
        <f>AP98*AS98*AT98</f>
        <v>0</v>
      </c>
      <c r="AW98" s="41" t="s">
        <v>514</v>
      </c>
      <c r="AX98" s="41" t="s">
        <v>355</v>
      </c>
      <c r="AY98" s="40"/>
      <c r="AZ98" s="40"/>
      <c r="BA98" s="29"/>
      <c r="BB98" s="22">
        <v>0.08</v>
      </c>
      <c r="BC98" s="23">
        <v>0.82</v>
      </c>
      <c r="BD98" s="75">
        <f>AY98*BB98*BC98</f>
        <v>0</v>
      </c>
      <c r="BF98" s="41" t="s">
        <v>514</v>
      </c>
      <c r="BG98" s="41" t="s">
        <v>355</v>
      </c>
      <c r="BH98" s="40"/>
      <c r="BI98" s="40"/>
      <c r="BJ98" s="29"/>
      <c r="BK98" s="22">
        <v>0.08</v>
      </c>
      <c r="BL98" s="23">
        <v>0.82</v>
      </c>
      <c r="BM98" s="75">
        <f>BH98*BK98*BL98</f>
        <v>0</v>
      </c>
    </row>
    <row r="99" spans="2:65">
      <c r="B99" s="41" t="s">
        <v>514</v>
      </c>
      <c r="C99" s="41" t="s">
        <v>355</v>
      </c>
      <c r="D99" s="40"/>
      <c r="E99" s="40"/>
      <c r="F99" s="29"/>
      <c r="G99" s="22"/>
      <c r="H99" s="23">
        <v>0.82</v>
      </c>
      <c r="I99" s="75">
        <f t="shared" ref="I99:I112" si="82">D99*G99*H99</f>
        <v>0</v>
      </c>
      <c r="J99" s="172"/>
      <c r="L99" s="41" t="s">
        <v>514</v>
      </c>
      <c r="M99" s="41" t="s">
        <v>355</v>
      </c>
      <c r="N99" s="40"/>
      <c r="O99" s="40"/>
      <c r="P99" s="29"/>
      <c r="Q99" s="22"/>
      <c r="R99" s="23">
        <v>0.82</v>
      </c>
      <c r="S99" s="75">
        <f t="shared" ref="S99:S112" si="83">N99*Q99*R99</f>
        <v>0</v>
      </c>
      <c r="T99" s="172"/>
      <c r="V99" s="41" t="s">
        <v>514</v>
      </c>
      <c r="W99" s="41" t="s">
        <v>355</v>
      </c>
      <c r="X99" s="40"/>
      <c r="Y99" s="40"/>
      <c r="Z99" s="29"/>
      <c r="AA99" s="22"/>
      <c r="AB99" s="23">
        <v>0.82</v>
      </c>
      <c r="AC99" s="75">
        <f t="shared" ref="AC99:AC112" si="84">X99*AA99*AB99</f>
        <v>0</v>
      </c>
      <c r="AE99" s="41" t="s">
        <v>514</v>
      </c>
      <c r="AF99" s="41" t="s">
        <v>355</v>
      </c>
      <c r="AG99" s="40"/>
      <c r="AH99" s="40"/>
      <c r="AI99" s="29"/>
      <c r="AJ99" s="22"/>
      <c r="AK99" s="23">
        <v>0.82</v>
      </c>
      <c r="AL99" s="75">
        <f t="shared" ref="AL99:AL112" si="85">AG99*AJ99*AK99</f>
        <v>0</v>
      </c>
      <c r="AN99" s="41" t="s">
        <v>514</v>
      </c>
      <c r="AO99" s="41" t="s">
        <v>355</v>
      </c>
      <c r="AP99" s="40"/>
      <c r="AQ99" s="40"/>
      <c r="AR99" s="29"/>
      <c r="AS99" s="22"/>
      <c r="AT99" s="23">
        <v>0.82</v>
      </c>
      <c r="AU99" s="75">
        <f t="shared" ref="AU99:AU112" si="86">AP99*AS99*AT99</f>
        <v>0</v>
      </c>
      <c r="AW99" s="41" t="s">
        <v>514</v>
      </c>
      <c r="AX99" s="41" t="s">
        <v>355</v>
      </c>
      <c r="AY99" s="40"/>
      <c r="AZ99" s="40"/>
      <c r="BA99" s="29"/>
      <c r="BB99" s="22"/>
      <c r="BC99" s="23">
        <v>0.82</v>
      </c>
      <c r="BD99" s="75">
        <f t="shared" ref="BD99:BD112" si="87">AY99*BB99*BC99</f>
        <v>0</v>
      </c>
      <c r="BF99" s="41" t="s">
        <v>514</v>
      </c>
      <c r="BG99" s="41" t="s">
        <v>355</v>
      </c>
      <c r="BH99" s="40"/>
      <c r="BI99" s="40"/>
      <c r="BJ99" s="29"/>
      <c r="BK99" s="22"/>
      <c r="BL99" s="23">
        <v>0.82</v>
      </c>
      <c r="BM99" s="75">
        <f t="shared" ref="BM99:BM112" si="88">BH99*BK99*BL99</f>
        <v>0</v>
      </c>
    </row>
    <row r="100" spans="2:65">
      <c r="B100" s="41" t="s">
        <v>514</v>
      </c>
      <c r="C100" s="41" t="s">
        <v>355</v>
      </c>
      <c r="D100" s="40"/>
      <c r="E100" s="40"/>
      <c r="F100" s="29"/>
      <c r="G100" s="22"/>
      <c r="H100" s="23">
        <v>0.82</v>
      </c>
      <c r="I100" s="75">
        <f t="shared" si="82"/>
        <v>0</v>
      </c>
      <c r="J100" s="172"/>
      <c r="L100" s="41" t="s">
        <v>514</v>
      </c>
      <c r="M100" s="41" t="s">
        <v>355</v>
      </c>
      <c r="N100" s="40"/>
      <c r="O100" s="40"/>
      <c r="P100" s="29"/>
      <c r="Q100" s="22"/>
      <c r="R100" s="23">
        <v>0.82</v>
      </c>
      <c r="S100" s="75">
        <f t="shared" si="83"/>
        <v>0</v>
      </c>
      <c r="T100" s="172"/>
      <c r="V100" s="41" t="s">
        <v>514</v>
      </c>
      <c r="W100" s="41" t="s">
        <v>355</v>
      </c>
      <c r="X100" s="40"/>
      <c r="Y100" s="40"/>
      <c r="Z100" s="29"/>
      <c r="AA100" s="22"/>
      <c r="AB100" s="23">
        <v>0.82</v>
      </c>
      <c r="AC100" s="75">
        <f t="shared" si="84"/>
        <v>0</v>
      </c>
      <c r="AE100" s="41" t="s">
        <v>514</v>
      </c>
      <c r="AF100" s="41" t="s">
        <v>355</v>
      </c>
      <c r="AG100" s="40"/>
      <c r="AH100" s="40"/>
      <c r="AI100" s="29"/>
      <c r="AJ100" s="22"/>
      <c r="AK100" s="23">
        <v>0.82</v>
      </c>
      <c r="AL100" s="75">
        <f t="shared" si="85"/>
        <v>0</v>
      </c>
      <c r="AN100" s="41" t="s">
        <v>514</v>
      </c>
      <c r="AO100" s="41" t="s">
        <v>355</v>
      </c>
      <c r="AP100" s="40"/>
      <c r="AQ100" s="40"/>
      <c r="AR100" s="29"/>
      <c r="AS100" s="22"/>
      <c r="AT100" s="23">
        <v>0.82</v>
      </c>
      <c r="AU100" s="75">
        <f t="shared" si="86"/>
        <v>0</v>
      </c>
      <c r="AW100" s="41" t="s">
        <v>514</v>
      </c>
      <c r="AX100" s="41" t="s">
        <v>355</v>
      </c>
      <c r="AY100" s="40"/>
      <c r="AZ100" s="40"/>
      <c r="BA100" s="29"/>
      <c r="BB100" s="22"/>
      <c r="BC100" s="23">
        <v>0.82</v>
      </c>
      <c r="BD100" s="75">
        <f t="shared" si="87"/>
        <v>0</v>
      </c>
      <c r="BF100" s="41" t="s">
        <v>514</v>
      </c>
      <c r="BG100" s="41" t="s">
        <v>355</v>
      </c>
      <c r="BH100" s="40"/>
      <c r="BI100" s="40"/>
      <c r="BJ100" s="29"/>
      <c r="BK100" s="22"/>
      <c r="BL100" s="23">
        <v>0.82</v>
      </c>
      <c r="BM100" s="75">
        <f t="shared" si="88"/>
        <v>0</v>
      </c>
    </row>
    <row r="101" spans="2:65">
      <c r="B101" s="41" t="s">
        <v>514</v>
      </c>
      <c r="C101" s="41" t="s">
        <v>355</v>
      </c>
      <c r="D101" s="40"/>
      <c r="E101" s="40"/>
      <c r="F101" s="29"/>
      <c r="G101" s="22"/>
      <c r="H101" s="23">
        <v>0.82</v>
      </c>
      <c r="I101" s="75">
        <f t="shared" si="82"/>
        <v>0</v>
      </c>
      <c r="J101" s="172"/>
      <c r="L101" s="41" t="s">
        <v>514</v>
      </c>
      <c r="M101" s="41" t="s">
        <v>355</v>
      </c>
      <c r="N101" s="40"/>
      <c r="O101" s="40"/>
      <c r="P101" s="29"/>
      <c r="Q101" s="22"/>
      <c r="R101" s="23">
        <v>0.82</v>
      </c>
      <c r="S101" s="75">
        <f t="shared" si="83"/>
        <v>0</v>
      </c>
      <c r="T101" s="172"/>
      <c r="V101" s="41" t="s">
        <v>514</v>
      </c>
      <c r="W101" s="41" t="s">
        <v>355</v>
      </c>
      <c r="X101" s="40"/>
      <c r="Y101" s="40"/>
      <c r="Z101" s="29"/>
      <c r="AA101" s="22"/>
      <c r="AB101" s="23">
        <v>0.82</v>
      </c>
      <c r="AC101" s="75">
        <f t="shared" si="84"/>
        <v>0</v>
      </c>
      <c r="AE101" s="41" t="s">
        <v>514</v>
      </c>
      <c r="AF101" s="41" t="s">
        <v>355</v>
      </c>
      <c r="AG101" s="40"/>
      <c r="AH101" s="40"/>
      <c r="AI101" s="29"/>
      <c r="AJ101" s="22"/>
      <c r="AK101" s="23">
        <v>0.82</v>
      </c>
      <c r="AL101" s="75">
        <f t="shared" si="85"/>
        <v>0</v>
      </c>
      <c r="AN101" s="41" t="s">
        <v>514</v>
      </c>
      <c r="AO101" s="41" t="s">
        <v>355</v>
      </c>
      <c r="AP101" s="40"/>
      <c r="AQ101" s="40"/>
      <c r="AR101" s="29"/>
      <c r="AS101" s="22"/>
      <c r="AT101" s="23">
        <v>0.82</v>
      </c>
      <c r="AU101" s="75">
        <f t="shared" si="86"/>
        <v>0</v>
      </c>
      <c r="AW101" s="41" t="s">
        <v>514</v>
      </c>
      <c r="AX101" s="41" t="s">
        <v>355</v>
      </c>
      <c r="AY101" s="40"/>
      <c r="AZ101" s="40"/>
      <c r="BA101" s="29"/>
      <c r="BB101" s="22"/>
      <c r="BC101" s="23">
        <v>0.82</v>
      </c>
      <c r="BD101" s="75">
        <f t="shared" si="87"/>
        <v>0</v>
      </c>
      <c r="BF101" s="41" t="s">
        <v>514</v>
      </c>
      <c r="BG101" s="41" t="s">
        <v>355</v>
      </c>
      <c r="BH101" s="40"/>
      <c r="BI101" s="40"/>
      <c r="BJ101" s="29"/>
      <c r="BK101" s="22"/>
      <c r="BL101" s="23">
        <v>0.82</v>
      </c>
      <c r="BM101" s="75">
        <f t="shared" si="88"/>
        <v>0</v>
      </c>
    </row>
    <row r="102" spans="2:65">
      <c r="B102" s="41" t="s">
        <v>514</v>
      </c>
      <c r="C102" s="41" t="s">
        <v>355</v>
      </c>
      <c r="D102" s="40"/>
      <c r="E102" s="40"/>
      <c r="F102" s="29"/>
      <c r="G102" s="22"/>
      <c r="H102" s="23">
        <v>0.82</v>
      </c>
      <c r="I102" s="75">
        <f t="shared" si="82"/>
        <v>0</v>
      </c>
      <c r="J102" s="172"/>
      <c r="L102" s="41" t="s">
        <v>514</v>
      </c>
      <c r="M102" s="41" t="s">
        <v>355</v>
      </c>
      <c r="N102" s="40"/>
      <c r="O102" s="40"/>
      <c r="P102" s="29"/>
      <c r="Q102" s="22"/>
      <c r="R102" s="23">
        <v>0.82</v>
      </c>
      <c r="S102" s="75">
        <f t="shared" si="83"/>
        <v>0</v>
      </c>
      <c r="T102" s="172"/>
      <c r="V102" s="41" t="s">
        <v>514</v>
      </c>
      <c r="W102" s="41" t="s">
        <v>355</v>
      </c>
      <c r="X102" s="40"/>
      <c r="Y102" s="40"/>
      <c r="Z102" s="29"/>
      <c r="AA102" s="22"/>
      <c r="AB102" s="23">
        <v>0.82</v>
      </c>
      <c r="AC102" s="75">
        <f t="shared" si="84"/>
        <v>0</v>
      </c>
      <c r="AE102" s="41" t="s">
        <v>514</v>
      </c>
      <c r="AF102" s="41" t="s">
        <v>355</v>
      </c>
      <c r="AG102" s="40"/>
      <c r="AH102" s="40"/>
      <c r="AI102" s="29"/>
      <c r="AJ102" s="22"/>
      <c r="AK102" s="23">
        <v>0.82</v>
      </c>
      <c r="AL102" s="75">
        <f t="shared" si="85"/>
        <v>0</v>
      </c>
      <c r="AN102" s="41" t="s">
        <v>514</v>
      </c>
      <c r="AO102" s="41" t="s">
        <v>355</v>
      </c>
      <c r="AP102" s="40"/>
      <c r="AQ102" s="40"/>
      <c r="AR102" s="29"/>
      <c r="AS102" s="22"/>
      <c r="AT102" s="23">
        <v>0.82</v>
      </c>
      <c r="AU102" s="75">
        <f t="shared" si="86"/>
        <v>0</v>
      </c>
      <c r="AW102" s="41" t="s">
        <v>514</v>
      </c>
      <c r="AX102" s="41" t="s">
        <v>355</v>
      </c>
      <c r="AY102" s="40"/>
      <c r="AZ102" s="40"/>
      <c r="BA102" s="29"/>
      <c r="BB102" s="22"/>
      <c r="BC102" s="23">
        <v>0.82</v>
      </c>
      <c r="BD102" s="75">
        <f t="shared" si="87"/>
        <v>0</v>
      </c>
      <c r="BF102" s="41" t="s">
        <v>514</v>
      </c>
      <c r="BG102" s="41" t="s">
        <v>355</v>
      </c>
      <c r="BH102" s="40"/>
      <c r="BI102" s="40"/>
      <c r="BJ102" s="29"/>
      <c r="BK102" s="22"/>
      <c r="BL102" s="23">
        <v>0.82</v>
      </c>
      <c r="BM102" s="75">
        <f t="shared" si="88"/>
        <v>0</v>
      </c>
    </row>
    <row r="103" spans="2:65">
      <c r="B103" s="41" t="s">
        <v>514</v>
      </c>
      <c r="C103" s="41" t="s">
        <v>355</v>
      </c>
      <c r="D103" s="40"/>
      <c r="E103" s="40"/>
      <c r="F103" s="29"/>
      <c r="G103" s="22"/>
      <c r="H103" s="23">
        <v>0.82</v>
      </c>
      <c r="I103" s="75">
        <f t="shared" si="82"/>
        <v>0</v>
      </c>
      <c r="J103" s="172"/>
      <c r="L103" s="41" t="s">
        <v>514</v>
      </c>
      <c r="M103" s="41" t="s">
        <v>355</v>
      </c>
      <c r="N103" s="40"/>
      <c r="O103" s="40"/>
      <c r="P103" s="29"/>
      <c r="Q103" s="22"/>
      <c r="R103" s="23">
        <v>0.82</v>
      </c>
      <c r="S103" s="75">
        <f t="shared" si="83"/>
        <v>0</v>
      </c>
      <c r="T103" s="172"/>
      <c r="V103" s="41" t="s">
        <v>514</v>
      </c>
      <c r="W103" s="41" t="s">
        <v>355</v>
      </c>
      <c r="X103" s="40"/>
      <c r="Y103" s="40"/>
      <c r="Z103" s="29"/>
      <c r="AA103" s="22"/>
      <c r="AB103" s="23">
        <v>0.82</v>
      </c>
      <c r="AC103" s="75">
        <f t="shared" si="84"/>
        <v>0</v>
      </c>
      <c r="AE103" s="41" t="s">
        <v>514</v>
      </c>
      <c r="AF103" s="41" t="s">
        <v>355</v>
      </c>
      <c r="AG103" s="40"/>
      <c r="AH103" s="40"/>
      <c r="AI103" s="29"/>
      <c r="AJ103" s="22"/>
      <c r="AK103" s="23">
        <v>0.82</v>
      </c>
      <c r="AL103" s="75">
        <f t="shared" si="85"/>
        <v>0</v>
      </c>
      <c r="AN103" s="41" t="s">
        <v>514</v>
      </c>
      <c r="AO103" s="41" t="s">
        <v>355</v>
      </c>
      <c r="AP103" s="40"/>
      <c r="AQ103" s="40"/>
      <c r="AR103" s="29"/>
      <c r="AS103" s="22"/>
      <c r="AT103" s="23">
        <v>0.82</v>
      </c>
      <c r="AU103" s="75">
        <f t="shared" si="86"/>
        <v>0</v>
      </c>
      <c r="AW103" s="41" t="s">
        <v>514</v>
      </c>
      <c r="AX103" s="41" t="s">
        <v>355</v>
      </c>
      <c r="AY103" s="40"/>
      <c r="AZ103" s="40"/>
      <c r="BA103" s="29"/>
      <c r="BB103" s="22"/>
      <c r="BC103" s="23">
        <v>0.82</v>
      </c>
      <c r="BD103" s="75">
        <f t="shared" si="87"/>
        <v>0</v>
      </c>
      <c r="BF103" s="41" t="s">
        <v>514</v>
      </c>
      <c r="BG103" s="41" t="s">
        <v>355</v>
      </c>
      <c r="BH103" s="40"/>
      <c r="BI103" s="40"/>
      <c r="BJ103" s="29"/>
      <c r="BK103" s="22"/>
      <c r="BL103" s="23">
        <v>0.82</v>
      </c>
      <c r="BM103" s="75">
        <f t="shared" si="88"/>
        <v>0</v>
      </c>
    </row>
    <row r="104" spans="2:65">
      <c r="B104" s="41" t="s">
        <v>514</v>
      </c>
      <c r="C104" s="41" t="s">
        <v>355</v>
      </c>
      <c r="D104" s="40"/>
      <c r="E104" s="40"/>
      <c r="F104" s="29"/>
      <c r="G104" s="22"/>
      <c r="H104" s="23">
        <v>0.82</v>
      </c>
      <c r="I104" s="75">
        <f t="shared" si="82"/>
        <v>0</v>
      </c>
      <c r="J104" s="172"/>
      <c r="L104" s="41" t="s">
        <v>514</v>
      </c>
      <c r="M104" s="41" t="s">
        <v>355</v>
      </c>
      <c r="N104" s="40"/>
      <c r="O104" s="40"/>
      <c r="P104" s="29"/>
      <c r="Q104" s="22"/>
      <c r="R104" s="23">
        <v>0.82</v>
      </c>
      <c r="S104" s="75">
        <f t="shared" si="83"/>
        <v>0</v>
      </c>
      <c r="T104" s="172"/>
      <c r="V104" s="41" t="s">
        <v>514</v>
      </c>
      <c r="W104" s="41" t="s">
        <v>355</v>
      </c>
      <c r="X104" s="40"/>
      <c r="Y104" s="40"/>
      <c r="Z104" s="29"/>
      <c r="AA104" s="22"/>
      <c r="AB104" s="23">
        <v>0.82</v>
      </c>
      <c r="AC104" s="75">
        <f t="shared" si="84"/>
        <v>0</v>
      </c>
      <c r="AE104" s="41" t="s">
        <v>514</v>
      </c>
      <c r="AF104" s="41" t="s">
        <v>355</v>
      </c>
      <c r="AG104" s="40"/>
      <c r="AH104" s="40"/>
      <c r="AI104" s="29"/>
      <c r="AJ104" s="22"/>
      <c r="AK104" s="23">
        <v>0.82</v>
      </c>
      <c r="AL104" s="75">
        <f t="shared" si="85"/>
        <v>0</v>
      </c>
      <c r="AN104" s="41" t="s">
        <v>514</v>
      </c>
      <c r="AO104" s="41" t="s">
        <v>355</v>
      </c>
      <c r="AP104" s="40"/>
      <c r="AQ104" s="40"/>
      <c r="AR104" s="29"/>
      <c r="AS104" s="22"/>
      <c r="AT104" s="23">
        <v>0.82</v>
      </c>
      <c r="AU104" s="75">
        <f t="shared" si="86"/>
        <v>0</v>
      </c>
      <c r="AW104" s="41" t="s">
        <v>514</v>
      </c>
      <c r="AX104" s="41" t="s">
        <v>355</v>
      </c>
      <c r="AY104" s="40"/>
      <c r="AZ104" s="40"/>
      <c r="BA104" s="29"/>
      <c r="BB104" s="22"/>
      <c r="BC104" s="23">
        <v>0.82</v>
      </c>
      <c r="BD104" s="75">
        <f t="shared" si="87"/>
        <v>0</v>
      </c>
      <c r="BF104" s="41" t="s">
        <v>514</v>
      </c>
      <c r="BG104" s="41" t="s">
        <v>355</v>
      </c>
      <c r="BH104" s="40"/>
      <c r="BI104" s="40"/>
      <c r="BJ104" s="29"/>
      <c r="BK104" s="22"/>
      <c r="BL104" s="23">
        <v>0.82</v>
      </c>
      <c r="BM104" s="75">
        <f t="shared" si="88"/>
        <v>0</v>
      </c>
    </row>
    <row r="105" spans="2:65" outlineLevel="1">
      <c r="B105" s="41" t="s">
        <v>514</v>
      </c>
      <c r="C105" s="41" t="s">
        <v>355</v>
      </c>
      <c r="D105" s="40"/>
      <c r="E105" s="40"/>
      <c r="F105" s="29"/>
      <c r="G105" s="22"/>
      <c r="H105" s="23">
        <v>0.82</v>
      </c>
      <c r="I105" s="75">
        <f t="shared" si="82"/>
        <v>0</v>
      </c>
      <c r="J105" s="172"/>
      <c r="L105" s="41" t="s">
        <v>514</v>
      </c>
      <c r="M105" s="41" t="s">
        <v>355</v>
      </c>
      <c r="N105" s="40"/>
      <c r="O105" s="40"/>
      <c r="P105" s="29"/>
      <c r="Q105" s="22"/>
      <c r="R105" s="23">
        <v>0.82</v>
      </c>
      <c r="S105" s="75">
        <f t="shared" si="83"/>
        <v>0</v>
      </c>
      <c r="T105" s="172"/>
      <c r="V105" s="41" t="s">
        <v>514</v>
      </c>
      <c r="W105" s="41" t="s">
        <v>355</v>
      </c>
      <c r="X105" s="40"/>
      <c r="Y105" s="40"/>
      <c r="Z105" s="29"/>
      <c r="AA105" s="22"/>
      <c r="AB105" s="23">
        <v>0.82</v>
      </c>
      <c r="AC105" s="75">
        <f t="shared" si="84"/>
        <v>0</v>
      </c>
      <c r="AE105" s="41" t="s">
        <v>514</v>
      </c>
      <c r="AF105" s="41" t="s">
        <v>355</v>
      </c>
      <c r="AG105" s="40"/>
      <c r="AH105" s="40"/>
      <c r="AI105" s="29"/>
      <c r="AJ105" s="22"/>
      <c r="AK105" s="23">
        <v>0.82</v>
      </c>
      <c r="AL105" s="75">
        <f t="shared" si="85"/>
        <v>0</v>
      </c>
      <c r="AN105" s="41" t="s">
        <v>514</v>
      </c>
      <c r="AO105" s="41" t="s">
        <v>355</v>
      </c>
      <c r="AP105" s="40"/>
      <c r="AQ105" s="40"/>
      <c r="AR105" s="29"/>
      <c r="AS105" s="22"/>
      <c r="AT105" s="23">
        <v>0.82</v>
      </c>
      <c r="AU105" s="75">
        <f t="shared" si="86"/>
        <v>0</v>
      </c>
      <c r="AW105" s="41" t="s">
        <v>514</v>
      </c>
      <c r="AX105" s="41" t="s">
        <v>355</v>
      </c>
      <c r="AY105" s="40"/>
      <c r="AZ105" s="40"/>
      <c r="BA105" s="29"/>
      <c r="BB105" s="22"/>
      <c r="BC105" s="23">
        <v>0.82</v>
      </c>
      <c r="BD105" s="75">
        <f t="shared" si="87"/>
        <v>0</v>
      </c>
      <c r="BF105" s="41" t="s">
        <v>514</v>
      </c>
      <c r="BG105" s="41" t="s">
        <v>355</v>
      </c>
      <c r="BH105" s="40"/>
      <c r="BI105" s="40"/>
      <c r="BJ105" s="29"/>
      <c r="BK105" s="22"/>
      <c r="BL105" s="23">
        <v>0.82</v>
      </c>
      <c r="BM105" s="75">
        <f t="shared" si="88"/>
        <v>0</v>
      </c>
    </row>
    <row r="106" spans="2:65" outlineLevel="1">
      <c r="B106" s="41" t="s">
        <v>514</v>
      </c>
      <c r="C106" s="41" t="s">
        <v>355</v>
      </c>
      <c r="D106" s="40"/>
      <c r="E106" s="40"/>
      <c r="F106" s="29"/>
      <c r="G106" s="22"/>
      <c r="H106" s="23">
        <v>0.82</v>
      </c>
      <c r="I106" s="75">
        <f t="shared" si="82"/>
        <v>0</v>
      </c>
      <c r="J106" s="172"/>
      <c r="L106" s="41" t="s">
        <v>514</v>
      </c>
      <c r="M106" s="41" t="s">
        <v>355</v>
      </c>
      <c r="N106" s="40"/>
      <c r="O106" s="40"/>
      <c r="P106" s="29"/>
      <c r="Q106" s="22"/>
      <c r="R106" s="23">
        <v>0.82</v>
      </c>
      <c r="S106" s="75">
        <f t="shared" si="83"/>
        <v>0</v>
      </c>
      <c r="T106" s="172"/>
      <c r="V106" s="41" t="s">
        <v>514</v>
      </c>
      <c r="W106" s="41" t="s">
        <v>355</v>
      </c>
      <c r="X106" s="40"/>
      <c r="Y106" s="40"/>
      <c r="Z106" s="29"/>
      <c r="AA106" s="22"/>
      <c r="AB106" s="23">
        <v>0.82</v>
      </c>
      <c r="AC106" s="75">
        <f t="shared" si="84"/>
        <v>0</v>
      </c>
      <c r="AE106" s="41" t="s">
        <v>514</v>
      </c>
      <c r="AF106" s="41" t="s">
        <v>355</v>
      </c>
      <c r="AG106" s="40"/>
      <c r="AH106" s="40"/>
      <c r="AI106" s="29"/>
      <c r="AJ106" s="22"/>
      <c r="AK106" s="23">
        <v>0.82</v>
      </c>
      <c r="AL106" s="75">
        <f t="shared" si="85"/>
        <v>0</v>
      </c>
      <c r="AN106" s="41" t="s">
        <v>514</v>
      </c>
      <c r="AO106" s="41" t="s">
        <v>355</v>
      </c>
      <c r="AP106" s="40"/>
      <c r="AQ106" s="40"/>
      <c r="AR106" s="29"/>
      <c r="AS106" s="22"/>
      <c r="AT106" s="23">
        <v>0.82</v>
      </c>
      <c r="AU106" s="75">
        <f t="shared" si="86"/>
        <v>0</v>
      </c>
      <c r="AW106" s="41" t="s">
        <v>514</v>
      </c>
      <c r="AX106" s="41" t="s">
        <v>355</v>
      </c>
      <c r="AY106" s="40"/>
      <c r="AZ106" s="40"/>
      <c r="BA106" s="29"/>
      <c r="BB106" s="22"/>
      <c r="BC106" s="23">
        <v>0.82</v>
      </c>
      <c r="BD106" s="75">
        <f t="shared" si="87"/>
        <v>0</v>
      </c>
      <c r="BF106" s="41" t="s">
        <v>514</v>
      </c>
      <c r="BG106" s="41" t="s">
        <v>355</v>
      </c>
      <c r="BH106" s="40"/>
      <c r="BI106" s="40"/>
      <c r="BJ106" s="29"/>
      <c r="BK106" s="22"/>
      <c r="BL106" s="23">
        <v>0.82</v>
      </c>
      <c r="BM106" s="75">
        <f t="shared" si="88"/>
        <v>0</v>
      </c>
    </row>
    <row r="107" spans="2:65" outlineLevel="1">
      <c r="B107" s="41" t="s">
        <v>514</v>
      </c>
      <c r="C107" s="41" t="s">
        <v>355</v>
      </c>
      <c r="D107" s="40"/>
      <c r="E107" s="40"/>
      <c r="F107" s="29"/>
      <c r="G107" s="22"/>
      <c r="H107" s="23">
        <v>0.82</v>
      </c>
      <c r="I107" s="75">
        <f t="shared" si="82"/>
        <v>0</v>
      </c>
      <c r="J107" s="172"/>
      <c r="L107" s="41" t="s">
        <v>514</v>
      </c>
      <c r="M107" s="41" t="s">
        <v>355</v>
      </c>
      <c r="N107" s="40"/>
      <c r="O107" s="40"/>
      <c r="P107" s="29"/>
      <c r="Q107" s="22"/>
      <c r="R107" s="23">
        <v>0.82</v>
      </c>
      <c r="S107" s="75">
        <f t="shared" si="83"/>
        <v>0</v>
      </c>
      <c r="T107" s="172"/>
      <c r="V107" s="41" t="s">
        <v>514</v>
      </c>
      <c r="W107" s="41" t="s">
        <v>355</v>
      </c>
      <c r="X107" s="40"/>
      <c r="Y107" s="40"/>
      <c r="Z107" s="29"/>
      <c r="AA107" s="22"/>
      <c r="AB107" s="23">
        <v>0.82</v>
      </c>
      <c r="AC107" s="75">
        <f t="shared" si="84"/>
        <v>0</v>
      </c>
      <c r="AE107" s="41" t="s">
        <v>514</v>
      </c>
      <c r="AF107" s="41" t="s">
        <v>355</v>
      </c>
      <c r="AG107" s="40"/>
      <c r="AH107" s="40"/>
      <c r="AI107" s="29"/>
      <c r="AJ107" s="22"/>
      <c r="AK107" s="23">
        <v>0.82</v>
      </c>
      <c r="AL107" s="75">
        <f t="shared" si="85"/>
        <v>0</v>
      </c>
      <c r="AN107" s="41" t="s">
        <v>514</v>
      </c>
      <c r="AO107" s="41" t="s">
        <v>355</v>
      </c>
      <c r="AP107" s="40"/>
      <c r="AQ107" s="40"/>
      <c r="AR107" s="29"/>
      <c r="AS107" s="22"/>
      <c r="AT107" s="23">
        <v>0.82</v>
      </c>
      <c r="AU107" s="75">
        <f t="shared" si="86"/>
        <v>0</v>
      </c>
      <c r="AW107" s="41" t="s">
        <v>514</v>
      </c>
      <c r="AX107" s="41" t="s">
        <v>355</v>
      </c>
      <c r="AY107" s="40"/>
      <c r="AZ107" s="40"/>
      <c r="BA107" s="29"/>
      <c r="BB107" s="22"/>
      <c r="BC107" s="23">
        <v>0.82</v>
      </c>
      <c r="BD107" s="75">
        <f t="shared" si="87"/>
        <v>0</v>
      </c>
      <c r="BF107" s="41" t="s">
        <v>514</v>
      </c>
      <c r="BG107" s="41" t="s">
        <v>355</v>
      </c>
      <c r="BH107" s="40"/>
      <c r="BI107" s="40"/>
      <c r="BJ107" s="29"/>
      <c r="BK107" s="22"/>
      <c r="BL107" s="23">
        <v>0.82</v>
      </c>
      <c r="BM107" s="75">
        <f t="shared" si="88"/>
        <v>0</v>
      </c>
    </row>
    <row r="108" spans="2:65" outlineLevel="1">
      <c r="B108" s="41" t="s">
        <v>514</v>
      </c>
      <c r="C108" s="41" t="s">
        <v>355</v>
      </c>
      <c r="D108" s="40"/>
      <c r="E108" s="40"/>
      <c r="F108" s="29"/>
      <c r="G108" s="22"/>
      <c r="H108" s="23">
        <v>0.82</v>
      </c>
      <c r="I108" s="75">
        <f t="shared" si="82"/>
        <v>0</v>
      </c>
      <c r="J108" s="172"/>
      <c r="L108" s="41" t="s">
        <v>514</v>
      </c>
      <c r="M108" s="41" t="s">
        <v>355</v>
      </c>
      <c r="N108" s="40"/>
      <c r="O108" s="40"/>
      <c r="P108" s="29"/>
      <c r="Q108" s="22"/>
      <c r="R108" s="23">
        <v>0.82</v>
      </c>
      <c r="S108" s="75">
        <f t="shared" si="83"/>
        <v>0</v>
      </c>
      <c r="T108" s="172"/>
      <c r="V108" s="41" t="s">
        <v>514</v>
      </c>
      <c r="W108" s="41" t="s">
        <v>355</v>
      </c>
      <c r="X108" s="40"/>
      <c r="Y108" s="40"/>
      <c r="Z108" s="29"/>
      <c r="AA108" s="22"/>
      <c r="AB108" s="23">
        <v>0.82</v>
      </c>
      <c r="AC108" s="75">
        <f t="shared" si="84"/>
        <v>0</v>
      </c>
      <c r="AE108" s="41" t="s">
        <v>514</v>
      </c>
      <c r="AF108" s="41" t="s">
        <v>355</v>
      </c>
      <c r="AG108" s="40"/>
      <c r="AH108" s="40"/>
      <c r="AI108" s="29"/>
      <c r="AJ108" s="22"/>
      <c r="AK108" s="23">
        <v>0.82</v>
      </c>
      <c r="AL108" s="75">
        <f t="shared" si="85"/>
        <v>0</v>
      </c>
      <c r="AN108" s="41" t="s">
        <v>514</v>
      </c>
      <c r="AO108" s="41" t="s">
        <v>355</v>
      </c>
      <c r="AP108" s="40"/>
      <c r="AQ108" s="40"/>
      <c r="AR108" s="29"/>
      <c r="AS108" s="22"/>
      <c r="AT108" s="23">
        <v>0.82</v>
      </c>
      <c r="AU108" s="75">
        <f t="shared" si="86"/>
        <v>0</v>
      </c>
      <c r="AW108" s="41" t="s">
        <v>514</v>
      </c>
      <c r="AX108" s="41" t="s">
        <v>355</v>
      </c>
      <c r="AY108" s="40"/>
      <c r="AZ108" s="40"/>
      <c r="BA108" s="29"/>
      <c r="BB108" s="22"/>
      <c r="BC108" s="23">
        <v>0.82</v>
      </c>
      <c r="BD108" s="75">
        <f t="shared" si="87"/>
        <v>0</v>
      </c>
      <c r="BF108" s="41" t="s">
        <v>514</v>
      </c>
      <c r="BG108" s="41" t="s">
        <v>355</v>
      </c>
      <c r="BH108" s="40"/>
      <c r="BI108" s="40"/>
      <c r="BJ108" s="29"/>
      <c r="BK108" s="22"/>
      <c r="BL108" s="23">
        <v>0.82</v>
      </c>
      <c r="BM108" s="75">
        <f t="shared" si="88"/>
        <v>0</v>
      </c>
    </row>
    <row r="109" spans="2:65" outlineLevel="1">
      <c r="B109" s="41" t="s">
        <v>514</v>
      </c>
      <c r="C109" s="41" t="s">
        <v>355</v>
      </c>
      <c r="D109" s="40"/>
      <c r="E109" s="40"/>
      <c r="F109" s="29"/>
      <c r="G109" s="22"/>
      <c r="H109" s="23">
        <v>0.82</v>
      </c>
      <c r="I109" s="75">
        <f t="shared" si="82"/>
        <v>0</v>
      </c>
      <c r="J109" s="172"/>
      <c r="L109" s="41" t="s">
        <v>514</v>
      </c>
      <c r="M109" s="41" t="s">
        <v>355</v>
      </c>
      <c r="N109" s="40"/>
      <c r="O109" s="40"/>
      <c r="P109" s="29"/>
      <c r="Q109" s="22"/>
      <c r="R109" s="23">
        <v>0.82</v>
      </c>
      <c r="S109" s="75">
        <f t="shared" si="83"/>
        <v>0</v>
      </c>
      <c r="T109" s="172"/>
      <c r="V109" s="41" t="s">
        <v>514</v>
      </c>
      <c r="W109" s="41" t="s">
        <v>355</v>
      </c>
      <c r="X109" s="40"/>
      <c r="Y109" s="40"/>
      <c r="Z109" s="29"/>
      <c r="AA109" s="22"/>
      <c r="AB109" s="23">
        <v>0.82</v>
      </c>
      <c r="AC109" s="75">
        <f t="shared" si="84"/>
        <v>0</v>
      </c>
      <c r="AE109" s="41" t="s">
        <v>514</v>
      </c>
      <c r="AF109" s="41" t="s">
        <v>355</v>
      </c>
      <c r="AG109" s="40"/>
      <c r="AH109" s="40"/>
      <c r="AI109" s="29"/>
      <c r="AJ109" s="22"/>
      <c r="AK109" s="23">
        <v>0.82</v>
      </c>
      <c r="AL109" s="75">
        <f t="shared" si="85"/>
        <v>0</v>
      </c>
      <c r="AN109" s="41" t="s">
        <v>514</v>
      </c>
      <c r="AO109" s="41" t="s">
        <v>355</v>
      </c>
      <c r="AP109" s="40"/>
      <c r="AQ109" s="40"/>
      <c r="AR109" s="29"/>
      <c r="AS109" s="22"/>
      <c r="AT109" s="23">
        <v>0.82</v>
      </c>
      <c r="AU109" s="75">
        <f t="shared" si="86"/>
        <v>0</v>
      </c>
      <c r="AW109" s="41" t="s">
        <v>514</v>
      </c>
      <c r="AX109" s="41" t="s">
        <v>355</v>
      </c>
      <c r="AY109" s="40"/>
      <c r="AZ109" s="40"/>
      <c r="BA109" s="29"/>
      <c r="BB109" s="22"/>
      <c r="BC109" s="23">
        <v>0.82</v>
      </c>
      <c r="BD109" s="75">
        <f t="shared" si="87"/>
        <v>0</v>
      </c>
      <c r="BF109" s="41" t="s">
        <v>514</v>
      </c>
      <c r="BG109" s="41" t="s">
        <v>355</v>
      </c>
      <c r="BH109" s="40"/>
      <c r="BI109" s="40"/>
      <c r="BJ109" s="29"/>
      <c r="BK109" s="22"/>
      <c r="BL109" s="23">
        <v>0.82</v>
      </c>
      <c r="BM109" s="75">
        <f t="shared" si="88"/>
        <v>0</v>
      </c>
    </row>
    <row r="110" spans="2:65" outlineLevel="1">
      <c r="B110" s="41" t="s">
        <v>514</v>
      </c>
      <c r="C110" s="41" t="s">
        <v>355</v>
      </c>
      <c r="D110" s="40"/>
      <c r="E110" s="40"/>
      <c r="F110" s="29"/>
      <c r="G110" s="22"/>
      <c r="H110" s="23">
        <v>0.82</v>
      </c>
      <c r="I110" s="75">
        <f t="shared" si="82"/>
        <v>0</v>
      </c>
      <c r="J110" s="172"/>
      <c r="L110" s="41" t="s">
        <v>514</v>
      </c>
      <c r="M110" s="41" t="s">
        <v>355</v>
      </c>
      <c r="N110" s="40"/>
      <c r="O110" s="40"/>
      <c r="P110" s="29"/>
      <c r="Q110" s="22"/>
      <c r="R110" s="23">
        <v>0.82</v>
      </c>
      <c r="S110" s="75">
        <f t="shared" si="83"/>
        <v>0</v>
      </c>
      <c r="T110" s="172"/>
      <c r="V110" s="41" t="s">
        <v>514</v>
      </c>
      <c r="W110" s="41" t="s">
        <v>355</v>
      </c>
      <c r="X110" s="40"/>
      <c r="Y110" s="40"/>
      <c r="Z110" s="29"/>
      <c r="AA110" s="22"/>
      <c r="AB110" s="23">
        <v>0.82</v>
      </c>
      <c r="AC110" s="75">
        <f t="shared" si="84"/>
        <v>0</v>
      </c>
      <c r="AE110" s="41" t="s">
        <v>514</v>
      </c>
      <c r="AF110" s="41" t="s">
        <v>355</v>
      </c>
      <c r="AG110" s="40"/>
      <c r="AH110" s="40"/>
      <c r="AI110" s="29"/>
      <c r="AJ110" s="22"/>
      <c r="AK110" s="23">
        <v>0.82</v>
      </c>
      <c r="AL110" s="75">
        <f t="shared" si="85"/>
        <v>0</v>
      </c>
      <c r="AN110" s="41" t="s">
        <v>514</v>
      </c>
      <c r="AO110" s="41" t="s">
        <v>355</v>
      </c>
      <c r="AP110" s="40"/>
      <c r="AQ110" s="40"/>
      <c r="AR110" s="29"/>
      <c r="AS110" s="22"/>
      <c r="AT110" s="23">
        <v>0.82</v>
      </c>
      <c r="AU110" s="75">
        <f t="shared" si="86"/>
        <v>0</v>
      </c>
      <c r="AW110" s="41" t="s">
        <v>514</v>
      </c>
      <c r="AX110" s="41" t="s">
        <v>355</v>
      </c>
      <c r="AY110" s="40"/>
      <c r="AZ110" s="40"/>
      <c r="BA110" s="29"/>
      <c r="BB110" s="22"/>
      <c r="BC110" s="23">
        <v>0.82</v>
      </c>
      <c r="BD110" s="75">
        <f t="shared" si="87"/>
        <v>0</v>
      </c>
      <c r="BF110" s="41" t="s">
        <v>514</v>
      </c>
      <c r="BG110" s="41" t="s">
        <v>355</v>
      </c>
      <c r="BH110" s="40"/>
      <c r="BI110" s="40"/>
      <c r="BJ110" s="29"/>
      <c r="BK110" s="22"/>
      <c r="BL110" s="23">
        <v>0.82</v>
      </c>
      <c r="BM110" s="75">
        <f t="shared" si="88"/>
        <v>0</v>
      </c>
    </row>
    <row r="111" spans="2:65" outlineLevel="1">
      <c r="B111" s="41" t="s">
        <v>514</v>
      </c>
      <c r="C111" s="41" t="s">
        <v>355</v>
      </c>
      <c r="D111" s="40"/>
      <c r="E111" s="40"/>
      <c r="F111" s="29"/>
      <c r="G111" s="22"/>
      <c r="H111" s="23">
        <v>0.82</v>
      </c>
      <c r="I111" s="75">
        <f t="shared" si="82"/>
        <v>0</v>
      </c>
      <c r="J111" s="172"/>
      <c r="L111" s="41" t="s">
        <v>514</v>
      </c>
      <c r="M111" s="41" t="s">
        <v>355</v>
      </c>
      <c r="N111" s="40"/>
      <c r="O111" s="40"/>
      <c r="P111" s="29"/>
      <c r="Q111" s="22"/>
      <c r="R111" s="23">
        <v>0.82</v>
      </c>
      <c r="S111" s="75">
        <f t="shared" si="83"/>
        <v>0</v>
      </c>
      <c r="T111" s="172"/>
      <c r="V111" s="41" t="s">
        <v>514</v>
      </c>
      <c r="W111" s="41" t="s">
        <v>355</v>
      </c>
      <c r="X111" s="40"/>
      <c r="Y111" s="40"/>
      <c r="Z111" s="29"/>
      <c r="AA111" s="22"/>
      <c r="AB111" s="23">
        <v>0.82</v>
      </c>
      <c r="AC111" s="75">
        <f t="shared" si="84"/>
        <v>0</v>
      </c>
      <c r="AE111" s="41" t="s">
        <v>514</v>
      </c>
      <c r="AF111" s="41" t="s">
        <v>355</v>
      </c>
      <c r="AG111" s="40"/>
      <c r="AH111" s="40"/>
      <c r="AI111" s="29"/>
      <c r="AJ111" s="22"/>
      <c r="AK111" s="23">
        <v>0.82</v>
      </c>
      <c r="AL111" s="75">
        <f t="shared" si="85"/>
        <v>0</v>
      </c>
      <c r="AN111" s="41" t="s">
        <v>514</v>
      </c>
      <c r="AO111" s="41" t="s">
        <v>355</v>
      </c>
      <c r="AP111" s="40"/>
      <c r="AQ111" s="40"/>
      <c r="AR111" s="29"/>
      <c r="AS111" s="22"/>
      <c r="AT111" s="23">
        <v>0.82</v>
      </c>
      <c r="AU111" s="75">
        <f t="shared" si="86"/>
        <v>0</v>
      </c>
      <c r="AW111" s="41" t="s">
        <v>514</v>
      </c>
      <c r="AX111" s="41" t="s">
        <v>355</v>
      </c>
      <c r="AY111" s="40"/>
      <c r="AZ111" s="40"/>
      <c r="BA111" s="29"/>
      <c r="BB111" s="22"/>
      <c r="BC111" s="23">
        <v>0.82</v>
      </c>
      <c r="BD111" s="75">
        <f t="shared" si="87"/>
        <v>0</v>
      </c>
      <c r="BF111" s="41" t="s">
        <v>514</v>
      </c>
      <c r="BG111" s="41" t="s">
        <v>355</v>
      </c>
      <c r="BH111" s="40"/>
      <c r="BI111" s="40"/>
      <c r="BJ111" s="29"/>
      <c r="BK111" s="22"/>
      <c r="BL111" s="23">
        <v>0.82</v>
      </c>
      <c r="BM111" s="75">
        <f t="shared" si="88"/>
        <v>0</v>
      </c>
    </row>
    <row r="112" spans="2:65" outlineLevel="1">
      <c r="B112" s="41" t="s">
        <v>514</v>
      </c>
      <c r="C112" s="41" t="s">
        <v>355</v>
      </c>
      <c r="D112" s="40"/>
      <c r="E112" s="40"/>
      <c r="F112" s="29"/>
      <c r="G112" s="22"/>
      <c r="H112" s="23">
        <v>0.82</v>
      </c>
      <c r="I112" s="75">
        <f t="shared" si="82"/>
        <v>0</v>
      </c>
      <c r="J112" s="172"/>
      <c r="L112" s="41" t="s">
        <v>514</v>
      </c>
      <c r="M112" s="41" t="s">
        <v>355</v>
      </c>
      <c r="N112" s="40"/>
      <c r="O112" s="40"/>
      <c r="P112" s="29"/>
      <c r="Q112" s="22"/>
      <c r="R112" s="23">
        <v>0.82</v>
      </c>
      <c r="S112" s="75">
        <f t="shared" si="83"/>
        <v>0</v>
      </c>
      <c r="T112" s="172"/>
      <c r="V112" s="41" t="s">
        <v>514</v>
      </c>
      <c r="W112" s="41" t="s">
        <v>355</v>
      </c>
      <c r="X112" s="40"/>
      <c r="Y112" s="40"/>
      <c r="Z112" s="29"/>
      <c r="AA112" s="22"/>
      <c r="AB112" s="23">
        <v>0.82</v>
      </c>
      <c r="AC112" s="75">
        <f t="shared" si="84"/>
        <v>0</v>
      </c>
      <c r="AE112" s="41" t="s">
        <v>514</v>
      </c>
      <c r="AF112" s="41" t="s">
        <v>355</v>
      </c>
      <c r="AG112" s="40"/>
      <c r="AH112" s="40"/>
      <c r="AI112" s="29"/>
      <c r="AJ112" s="22"/>
      <c r="AK112" s="23">
        <v>0.82</v>
      </c>
      <c r="AL112" s="75">
        <f t="shared" si="85"/>
        <v>0</v>
      </c>
      <c r="AN112" s="41" t="s">
        <v>514</v>
      </c>
      <c r="AO112" s="41" t="s">
        <v>355</v>
      </c>
      <c r="AP112" s="40"/>
      <c r="AQ112" s="40"/>
      <c r="AR112" s="29"/>
      <c r="AS112" s="22"/>
      <c r="AT112" s="23">
        <v>0.82</v>
      </c>
      <c r="AU112" s="75">
        <f t="shared" si="86"/>
        <v>0</v>
      </c>
      <c r="AW112" s="41" t="s">
        <v>514</v>
      </c>
      <c r="AX112" s="41" t="s">
        <v>355</v>
      </c>
      <c r="AY112" s="40"/>
      <c r="AZ112" s="40"/>
      <c r="BA112" s="29"/>
      <c r="BB112" s="22"/>
      <c r="BC112" s="23">
        <v>0.82</v>
      </c>
      <c r="BD112" s="75">
        <f t="shared" si="87"/>
        <v>0</v>
      </c>
      <c r="BF112" s="41" t="s">
        <v>514</v>
      </c>
      <c r="BG112" s="41" t="s">
        <v>355</v>
      </c>
      <c r="BH112" s="40"/>
      <c r="BI112" s="40"/>
      <c r="BJ112" s="29"/>
      <c r="BK112" s="22"/>
      <c r="BL112" s="23">
        <v>0.82</v>
      </c>
      <c r="BM112" s="75">
        <f t="shared" si="88"/>
        <v>0</v>
      </c>
    </row>
    <row r="113" spans="2:65" s="24" customFormat="1">
      <c r="B113" s="8" t="s">
        <v>517</v>
      </c>
      <c r="C113" s="25"/>
      <c r="D113" s="28">
        <f>SUM(D98:D112)</f>
        <v>0</v>
      </c>
      <c r="E113" s="28">
        <f>SUM(E98:E112)</f>
        <v>0</v>
      </c>
      <c r="F113" s="30"/>
      <c r="G113" s="25"/>
      <c r="H113" s="26"/>
      <c r="I113" s="28">
        <f>SUM(I98:I112)</f>
        <v>0</v>
      </c>
      <c r="J113" s="171"/>
      <c r="L113" s="8" t="s">
        <v>517</v>
      </c>
      <c r="M113" s="25"/>
      <c r="N113" s="28">
        <f>SUM(N98:N112)</f>
        <v>0</v>
      </c>
      <c r="O113" s="28">
        <f>SUM(O98:O112)</f>
        <v>0</v>
      </c>
      <c r="P113" s="30"/>
      <c r="Q113" s="25"/>
      <c r="R113" s="26"/>
      <c r="S113" s="28">
        <f>SUM(S98:S112)</f>
        <v>0</v>
      </c>
      <c r="T113" s="171"/>
      <c r="V113" s="8" t="s">
        <v>517</v>
      </c>
      <c r="W113" s="25"/>
      <c r="X113" s="28">
        <f>SUM(X98:X112)</f>
        <v>0</v>
      </c>
      <c r="Y113" s="28">
        <f>SUM(Y98:Y112)</f>
        <v>0</v>
      </c>
      <c r="Z113" s="30"/>
      <c r="AA113" s="25"/>
      <c r="AB113" s="26"/>
      <c r="AC113" s="28">
        <f>SUM(AC98:AC112)</f>
        <v>0</v>
      </c>
      <c r="AE113" s="8" t="s">
        <v>517</v>
      </c>
      <c r="AF113" s="25"/>
      <c r="AG113" s="28">
        <f>SUM(AG98:AG112)</f>
        <v>0</v>
      </c>
      <c r="AH113" s="28">
        <f>SUM(AH98:AH112)</f>
        <v>0</v>
      </c>
      <c r="AI113" s="30"/>
      <c r="AJ113" s="25"/>
      <c r="AK113" s="26"/>
      <c r="AL113" s="28">
        <f>SUM(AL98:AL112)</f>
        <v>0</v>
      </c>
      <c r="AN113" s="8" t="s">
        <v>517</v>
      </c>
      <c r="AO113" s="25"/>
      <c r="AP113" s="28">
        <f>SUM(AP98:AP112)</f>
        <v>0</v>
      </c>
      <c r="AQ113" s="28">
        <f>SUM(AQ98:AQ112)</f>
        <v>0</v>
      </c>
      <c r="AR113" s="30"/>
      <c r="AS113" s="25"/>
      <c r="AT113" s="26"/>
      <c r="AU113" s="28">
        <f>SUM(AU98:AU112)</f>
        <v>0</v>
      </c>
      <c r="AW113" s="8" t="s">
        <v>517</v>
      </c>
      <c r="AX113" s="25"/>
      <c r="AY113" s="28">
        <f>SUM(AY98:AY112)</f>
        <v>0</v>
      </c>
      <c r="AZ113" s="28">
        <f>SUM(AZ98:AZ112)</f>
        <v>0</v>
      </c>
      <c r="BA113" s="30"/>
      <c r="BB113" s="25"/>
      <c r="BC113" s="26"/>
      <c r="BD113" s="28">
        <f>SUM(BD98:BD112)</f>
        <v>0</v>
      </c>
      <c r="BF113" s="8" t="s">
        <v>517</v>
      </c>
      <c r="BG113" s="25"/>
      <c r="BH113" s="28">
        <f>SUM(BH98:BH112)</f>
        <v>0</v>
      </c>
      <c r="BI113" s="28">
        <f>SUM(BI98:BI112)</f>
        <v>0</v>
      </c>
      <c r="BJ113" s="30"/>
      <c r="BK113" s="25"/>
      <c r="BL113" s="26"/>
      <c r="BM113" s="28">
        <f>SUM(BM98:BM112)</f>
        <v>0</v>
      </c>
    </row>
    <row r="115" spans="2:65" s="20" customFormat="1" ht="41.4">
      <c r="B115" s="27" t="s">
        <v>16</v>
      </c>
      <c r="C115" s="3" t="str">
        <f>C$43</f>
        <v>Source</v>
      </c>
      <c r="D115" s="3" t="str">
        <f t="shared" ref="D115:I115" si="89">D$43</f>
        <v>Limit (A)</v>
      </c>
      <c r="E115" s="3" t="str">
        <f t="shared" si="89"/>
        <v>Outstanding (A1)</v>
      </c>
      <c r="F115" s="3" t="str">
        <f t="shared" si="89"/>
        <v>Monthly Repayment (B)</v>
      </c>
      <c r="G115" s="3" t="str">
        <f t="shared" si="89"/>
        <v>Interest Rate (C)</v>
      </c>
      <c r="H115" s="3" t="str">
        <f t="shared" si="89"/>
        <v>Factor (D)</v>
      </c>
      <c r="I115" s="3" t="str">
        <f t="shared" si="89"/>
        <v>Interest (E) = (A or A1) * (C) * (D)</v>
      </c>
      <c r="J115" s="173" t="s">
        <v>450</v>
      </c>
      <c r="L115" s="27" t="s">
        <v>16</v>
      </c>
      <c r="M115" s="3" t="str">
        <f>M$43</f>
        <v>Source</v>
      </c>
      <c r="N115" s="3" t="str">
        <f t="shared" ref="N115:S115" si="90">N$43</f>
        <v>Limit (A)</v>
      </c>
      <c r="O115" s="3" t="str">
        <f t="shared" si="90"/>
        <v>Outstanding (A1)</v>
      </c>
      <c r="P115" s="3" t="str">
        <f t="shared" si="90"/>
        <v>Monthly Repayment (B)</v>
      </c>
      <c r="Q115" s="3" t="str">
        <f t="shared" si="90"/>
        <v>Interest Rate (C)</v>
      </c>
      <c r="R115" s="3" t="str">
        <f t="shared" si="90"/>
        <v>Factor (D)</v>
      </c>
      <c r="S115" s="3" t="str">
        <f t="shared" si="90"/>
        <v>Interest (E) = (A or A1) * (C) * (D)</v>
      </c>
      <c r="T115" s="173" t="s">
        <v>450</v>
      </c>
      <c r="V115" s="27" t="s">
        <v>16</v>
      </c>
      <c r="W115" s="3" t="str">
        <f>W$43</f>
        <v>Source</v>
      </c>
      <c r="X115" s="3" t="str">
        <f t="shared" ref="X115:AC115" si="91">X$43</f>
        <v>Limit (A)</v>
      </c>
      <c r="Y115" s="3" t="str">
        <f t="shared" si="91"/>
        <v>Outstanding (A1)</v>
      </c>
      <c r="Z115" s="3" t="str">
        <f t="shared" si="91"/>
        <v>Monthly Repayment (B)</v>
      </c>
      <c r="AA115" s="3" t="str">
        <f t="shared" si="91"/>
        <v>Interest Rate (C)</v>
      </c>
      <c r="AB115" s="3" t="str">
        <f t="shared" si="91"/>
        <v>Factor (D)</v>
      </c>
      <c r="AC115" s="3" t="str">
        <f t="shared" si="91"/>
        <v>Interest (E) = (A or A1) * (C) * (D)</v>
      </c>
      <c r="AE115" s="27" t="s">
        <v>16</v>
      </c>
      <c r="AF115" s="3" t="str">
        <f>AF$43</f>
        <v>Source</v>
      </c>
      <c r="AG115" s="3" t="str">
        <f t="shared" ref="AG115:AL115" si="92">AG$43</f>
        <v>Limit (A)</v>
      </c>
      <c r="AH115" s="3" t="str">
        <f t="shared" si="92"/>
        <v>Outstanding (A1)</v>
      </c>
      <c r="AI115" s="3" t="str">
        <f t="shared" si="92"/>
        <v>Monthly Repayment (B)</v>
      </c>
      <c r="AJ115" s="3" t="str">
        <f t="shared" si="92"/>
        <v>Interest Rate (C)</v>
      </c>
      <c r="AK115" s="3" t="str">
        <f t="shared" si="92"/>
        <v>Factor (D)</v>
      </c>
      <c r="AL115" s="3" t="str">
        <f t="shared" si="92"/>
        <v>Interest (E) = (A or A1) * (C) * (D)</v>
      </c>
      <c r="AN115" s="27" t="s">
        <v>16</v>
      </c>
      <c r="AO115" s="3" t="str">
        <f>AO$43</f>
        <v>Source</v>
      </c>
      <c r="AP115" s="3" t="str">
        <f t="shared" ref="AP115:AU115" si="93">AP$43</f>
        <v>Limit (A)</v>
      </c>
      <c r="AQ115" s="3" t="str">
        <f t="shared" si="93"/>
        <v>Outstanding (A1)</v>
      </c>
      <c r="AR115" s="3" t="str">
        <f t="shared" si="93"/>
        <v>Monthly Repayment (B)</v>
      </c>
      <c r="AS115" s="3" t="str">
        <f t="shared" si="93"/>
        <v>Interest Rate (C)</v>
      </c>
      <c r="AT115" s="3" t="str">
        <f t="shared" si="93"/>
        <v>Factor (D)</v>
      </c>
      <c r="AU115" s="3" t="str">
        <f t="shared" si="93"/>
        <v>Interest (E) = (A or A1) * (C) * (D)</v>
      </c>
      <c r="AW115" s="27" t="s">
        <v>16</v>
      </c>
      <c r="AX115" s="3" t="str">
        <f>AX$43</f>
        <v>Source</v>
      </c>
      <c r="AY115" s="3" t="str">
        <f t="shared" ref="AY115:BD115" si="94">AY$43</f>
        <v>Limit (A)</v>
      </c>
      <c r="AZ115" s="3" t="str">
        <f t="shared" si="94"/>
        <v>Outstanding (A1)</v>
      </c>
      <c r="BA115" s="3" t="str">
        <f t="shared" si="94"/>
        <v>Monthly Repayment (B)</v>
      </c>
      <c r="BB115" s="3" t="str">
        <f t="shared" si="94"/>
        <v>Interest Rate (C)</v>
      </c>
      <c r="BC115" s="3" t="str">
        <f t="shared" si="94"/>
        <v>Factor (D)</v>
      </c>
      <c r="BD115" s="3" t="str">
        <f t="shared" si="94"/>
        <v>Interest (E) = (A or A1) * (C) * (D)</v>
      </c>
      <c r="BF115" s="27" t="s">
        <v>16</v>
      </c>
      <c r="BG115" s="3" t="str">
        <f>BG$43</f>
        <v>Source</v>
      </c>
      <c r="BH115" s="3" t="str">
        <f t="shared" ref="BH115:BM115" si="95">BH$43</f>
        <v>Limit (A)</v>
      </c>
      <c r="BI115" s="3" t="str">
        <f t="shared" si="95"/>
        <v>Outstanding (A1)</v>
      </c>
      <c r="BJ115" s="3" t="str">
        <f t="shared" si="95"/>
        <v>Monthly Repayment (B)</v>
      </c>
      <c r="BK115" s="3" t="str">
        <f t="shared" si="95"/>
        <v>Interest Rate (C)</v>
      </c>
      <c r="BL115" s="3" t="str">
        <f t="shared" si="95"/>
        <v>Factor (D)</v>
      </c>
      <c r="BM115" s="3" t="str">
        <f t="shared" si="95"/>
        <v>Interest (E) = (A or A1) * (C) * (D)</v>
      </c>
    </row>
    <row r="116" spans="2:65">
      <c r="B116" s="41" t="s">
        <v>514</v>
      </c>
      <c r="C116" s="41" t="s">
        <v>355</v>
      </c>
      <c r="D116" s="40"/>
      <c r="E116" s="40"/>
      <c r="F116" s="40"/>
      <c r="G116" s="31"/>
      <c r="H116" s="32"/>
      <c r="I116" s="29"/>
      <c r="J116" s="172"/>
      <c r="L116" s="41" t="s">
        <v>514</v>
      </c>
      <c r="M116" s="41" t="s">
        <v>355</v>
      </c>
      <c r="N116" s="40"/>
      <c r="O116" s="40"/>
      <c r="P116" s="40"/>
      <c r="Q116" s="31"/>
      <c r="R116" s="32"/>
      <c r="S116" s="29"/>
      <c r="T116" s="172"/>
      <c r="V116" s="41" t="s">
        <v>514</v>
      </c>
      <c r="W116" s="41" t="s">
        <v>355</v>
      </c>
      <c r="X116" s="40"/>
      <c r="Y116" s="40"/>
      <c r="Z116" s="40"/>
      <c r="AA116" s="31"/>
      <c r="AB116" s="32"/>
      <c r="AC116" s="29"/>
      <c r="AE116" s="41" t="s">
        <v>514</v>
      </c>
      <c r="AF116" s="41" t="s">
        <v>355</v>
      </c>
      <c r="AG116" s="40"/>
      <c r="AH116" s="40"/>
      <c r="AI116" s="40"/>
      <c r="AJ116" s="31"/>
      <c r="AK116" s="32"/>
      <c r="AL116" s="29"/>
      <c r="AN116" s="41" t="s">
        <v>514</v>
      </c>
      <c r="AO116" s="41" t="s">
        <v>355</v>
      </c>
      <c r="AP116" s="40"/>
      <c r="AQ116" s="40"/>
      <c r="AR116" s="40"/>
      <c r="AS116" s="31"/>
      <c r="AT116" s="32"/>
      <c r="AU116" s="29"/>
      <c r="AW116" s="41" t="s">
        <v>514</v>
      </c>
      <c r="AX116" s="41" t="s">
        <v>355</v>
      </c>
      <c r="AY116" s="40"/>
      <c r="AZ116" s="40"/>
      <c r="BA116" s="40"/>
      <c r="BB116" s="31"/>
      <c r="BC116" s="32"/>
      <c r="BD116" s="29"/>
      <c r="BF116" s="41" t="s">
        <v>514</v>
      </c>
      <c r="BG116" s="41" t="s">
        <v>355</v>
      </c>
      <c r="BH116" s="40"/>
      <c r="BI116" s="40"/>
      <c r="BJ116" s="40"/>
      <c r="BK116" s="31"/>
      <c r="BL116" s="32"/>
      <c r="BM116" s="29"/>
    </row>
    <row r="117" spans="2:65">
      <c r="B117" s="41" t="s">
        <v>514</v>
      </c>
      <c r="C117" s="41" t="s">
        <v>355</v>
      </c>
      <c r="D117" s="40"/>
      <c r="E117" s="40"/>
      <c r="F117" s="40"/>
      <c r="G117" s="31"/>
      <c r="H117" s="32"/>
      <c r="I117" s="29"/>
      <c r="J117" s="172"/>
      <c r="L117" s="41" t="s">
        <v>514</v>
      </c>
      <c r="M117" s="41" t="s">
        <v>355</v>
      </c>
      <c r="N117" s="40"/>
      <c r="O117" s="40"/>
      <c r="P117" s="40"/>
      <c r="Q117" s="31"/>
      <c r="R117" s="32"/>
      <c r="S117" s="29"/>
      <c r="T117" s="172"/>
      <c r="V117" s="41" t="s">
        <v>514</v>
      </c>
      <c r="W117" s="41" t="s">
        <v>355</v>
      </c>
      <c r="X117" s="40"/>
      <c r="Y117" s="40"/>
      <c r="Z117" s="40"/>
      <c r="AA117" s="31"/>
      <c r="AB117" s="32"/>
      <c r="AC117" s="29"/>
      <c r="AE117" s="41" t="s">
        <v>514</v>
      </c>
      <c r="AF117" s="41" t="s">
        <v>355</v>
      </c>
      <c r="AG117" s="40"/>
      <c r="AH117" s="40"/>
      <c r="AI117" s="40"/>
      <c r="AJ117" s="31"/>
      <c r="AK117" s="32"/>
      <c r="AL117" s="29"/>
      <c r="AN117" s="41" t="s">
        <v>514</v>
      </c>
      <c r="AO117" s="41" t="s">
        <v>355</v>
      </c>
      <c r="AP117" s="40"/>
      <c r="AQ117" s="40"/>
      <c r="AR117" s="40"/>
      <c r="AS117" s="31"/>
      <c r="AT117" s="32"/>
      <c r="AU117" s="29"/>
      <c r="AW117" s="41" t="s">
        <v>514</v>
      </c>
      <c r="AX117" s="41" t="s">
        <v>355</v>
      </c>
      <c r="AY117" s="40"/>
      <c r="AZ117" s="40"/>
      <c r="BA117" s="40"/>
      <c r="BB117" s="31"/>
      <c r="BC117" s="32"/>
      <c r="BD117" s="29"/>
      <c r="BF117" s="41" t="s">
        <v>514</v>
      </c>
      <c r="BG117" s="41" t="s">
        <v>355</v>
      </c>
      <c r="BH117" s="40"/>
      <c r="BI117" s="40"/>
      <c r="BJ117" s="40"/>
      <c r="BK117" s="31"/>
      <c r="BL117" s="32"/>
      <c r="BM117" s="29"/>
    </row>
    <row r="118" spans="2:65">
      <c r="B118" s="41" t="s">
        <v>514</v>
      </c>
      <c r="C118" s="41" t="s">
        <v>355</v>
      </c>
      <c r="D118" s="40"/>
      <c r="E118" s="40"/>
      <c r="F118" s="40"/>
      <c r="G118" s="31"/>
      <c r="H118" s="32"/>
      <c r="I118" s="29"/>
      <c r="J118" s="172"/>
      <c r="L118" s="41" t="s">
        <v>514</v>
      </c>
      <c r="M118" s="41" t="s">
        <v>355</v>
      </c>
      <c r="N118" s="40"/>
      <c r="O118" s="40"/>
      <c r="P118" s="40"/>
      <c r="Q118" s="31"/>
      <c r="R118" s="32"/>
      <c r="S118" s="29"/>
      <c r="T118" s="172"/>
      <c r="V118" s="41" t="s">
        <v>514</v>
      </c>
      <c r="W118" s="41" t="s">
        <v>355</v>
      </c>
      <c r="X118" s="40"/>
      <c r="Y118" s="40"/>
      <c r="Z118" s="40"/>
      <c r="AA118" s="31"/>
      <c r="AB118" s="32"/>
      <c r="AC118" s="29"/>
      <c r="AE118" s="41" t="s">
        <v>514</v>
      </c>
      <c r="AF118" s="41" t="s">
        <v>355</v>
      </c>
      <c r="AG118" s="40"/>
      <c r="AH118" s="40"/>
      <c r="AI118" s="40"/>
      <c r="AJ118" s="31"/>
      <c r="AK118" s="32"/>
      <c r="AL118" s="29"/>
      <c r="AN118" s="41" t="s">
        <v>514</v>
      </c>
      <c r="AO118" s="41" t="s">
        <v>355</v>
      </c>
      <c r="AP118" s="40"/>
      <c r="AQ118" s="40"/>
      <c r="AR118" s="40"/>
      <c r="AS118" s="31"/>
      <c r="AT118" s="32"/>
      <c r="AU118" s="29"/>
      <c r="AW118" s="41" t="s">
        <v>514</v>
      </c>
      <c r="AX118" s="41" t="s">
        <v>355</v>
      </c>
      <c r="AY118" s="40"/>
      <c r="AZ118" s="40"/>
      <c r="BA118" s="40"/>
      <c r="BB118" s="31"/>
      <c r="BC118" s="32"/>
      <c r="BD118" s="29"/>
      <c r="BF118" s="41" t="s">
        <v>514</v>
      </c>
      <c r="BG118" s="41" t="s">
        <v>355</v>
      </c>
      <c r="BH118" s="40"/>
      <c r="BI118" s="40"/>
      <c r="BJ118" s="40"/>
      <c r="BK118" s="31"/>
      <c r="BL118" s="32"/>
      <c r="BM118" s="29"/>
    </row>
    <row r="119" spans="2:65">
      <c r="B119" s="41" t="s">
        <v>514</v>
      </c>
      <c r="C119" s="41" t="s">
        <v>355</v>
      </c>
      <c r="D119" s="40"/>
      <c r="E119" s="40"/>
      <c r="F119" s="40"/>
      <c r="G119" s="31"/>
      <c r="H119" s="32"/>
      <c r="I119" s="29"/>
      <c r="J119" s="172"/>
      <c r="L119" s="41" t="s">
        <v>514</v>
      </c>
      <c r="M119" s="41" t="s">
        <v>355</v>
      </c>
      <c r="N119" s="40"/>
      <c r="O119" s="40"/>
      <c r="P119" s="40"/>
      <c r="Q119" s="31"/>
      <c r="R119" s="32"/>
      <c r="S119" s="29"/>
      <c r="T119" s="172"/>
      <c r="V119" s="41" t="s">
        <v>514</v>
      </c>
      <c r="W119" s="41" t="s">
        <v>355</v>
      </c>
      <c r="X119" s="40"/>
      <c r="Y119" s="40"/>
      <c r="Z119" s="40"/>
      <c r="AA119" s="31"/>
      <c r="AB119" s="32"/>
      <c r="AC119" s="29"/>
      <c r="AE119" s="41" t="s">
        <v>514</v>
      </c>
      <c r="AF119" s="41" t="s">
        <v>355</v>
      </c>
      <c r="AG119" s="40"/>
      <c r="AH119" s="40"/>
      <c r="AI119" s="40"/>
      <c r="AJ119" s="31"/>
      <c r="AK119" s="32"/>
      <c r="AL119" s="29"/>
      <c r="AN119" s="41" t="s">
        <v>514</v>
      </c>
      <c r="AO119" s="41" t="s">
        <v>355</v>
      </c>
      <c r="AP119" s="40"/>
      <c r="AQ119" s="40"/>
      <c r="AR119" s="40"/>
      <c r="AS119" s="31"/>
      <c r="AT119" s="32"/>
      <c r="AU119" s="29"/>
      <c r="AW119" s="41" t="s">
        <v>514</v>
      </c>
      <c r="AX119" s="41" t="s">
        <v>355</v>
      </c>
      <c r="AY119" s="40"/>
      <c r="AZ119" s="40"/>
      <c r="BA119" s="40"/>
      <c r="BB119" s="31"/>
      <c r="BC119" s="32"/>
      <c r="BD119" s="29"/>
      <c r="BF119" s="41" t="s">
        <v>514</v>
      </c>
      <c r="BG119" s="41" t="s">
        <v>355</v>
      </c>
      <c r="BH119" s="40"/>
      <c r="BI119" s="40"/>
      <c r="BJ119" s="40"/>
      <c r="BK119" s="31"/>
      <c r="BL119" s="32"/>
      <c r="BM119" s="29"/>
    </row>
    <row r="120" spans="2:65">
      <c r="B120" s="41" t="s">
        <v>514</v>
      </c>
      <c r="C120" s="41" t="s">
        <v>355</v>
      </c>
      <c r="D120" s="40"/>
      <c r="E120" s="40"/>
      <c r="F120" s="40"/>
      <c r="G120" s="31"/>
      <c r="H120" s="32"/>
      <c r="I120" s="29"/>
      <c r="J120" s="172"/>
      <c r="L120" s="41" t="s">
        <v>514</v>
      </c>
      <c r="M120" s="41" t="s">
        <v>355</v>
      </c>
      <c r="N120" s="40"/>
      <c r="O120" s="40"/>
      <c r="P120" s="40"/>
      <c r="Q120" s="31"/>
      <c r="R120" s="32"/>
      <c r="S120" s="29"/>
      <c r="T120" s="172"/>
      <c r="V120" s="41" t="s">
        <v>514</v>
      </c>
      <c r="W120" s="41" t="s">
        <v>355</v>
      </c>
      <c r="X120" s="40"/>
      <c r="Y120" s="40"/>
      <c r="Z120" s="40"/>
      <c r="AA120" s="31"/>
      <c r="AB120" s="32"/>
      <c r="AC120" s="29"/>
      <c r="AE120" s="41" t="s">
        <v>514</v>
      </c>
      <c r="AF120" s="41" t="s">
        <v>355</v>
      </c>
      <c r="AG120" s="40"/>
      <c r="AH120" s="40"/>
      <c r="AI120" s="40"/>
      <c r="AJ120" s="31"/>
      <c r="AK120" s="32"/>
      <c r="AL120" s="29"/>
      <c r="AN120" s="41" t="s">
        <v>514</v>
      </c>
      <c r="AO120" s="41" t="s">
        <v>355</v>
      </c>
      <c r="AP120" s="40"/>
      <c r="AQ120" s="40"/>
      <c r="AR120" s="40"/>
      <c r="AS120" s="31"/>
      <c r="AT120" s="32"/>
      <c r="AU120" s="29"/>
      <c r="AW120" s="41" t="s">
        <v>514</v>
      </c>
      <c r="AX120" s="41" t="s">
        <v>355</v>
      </c>
      <c r="AY120" s="40"/>
      <c r="AZ120" s="40"/>
      <c r="BA120" s="40"/>
      <c r="BB120" s="31"/>
      <c r="BC120" s="32"/>
      <c r="BD120" s="29"/>
      <c r="BF120" s="41" t="s">
        <v>514</v>
      </c>
      <c r="BG120" s="41" t="s">
        <v>355</v>
      </c>
      <c r="BH120" s="40"/>
      <c r="BI120" s="40"/>
      <c r="BJ120" s="40"/>
      <c r="BK120" s="31"/>
      <c r="BL120" s="32"/>
      <c r="BM120" s="29"/>
    </row>
    <row r="121" spans="2:65">
      <c r="B121" s="41" t="s">
        <v>514</v>
      </c>
      <c r="C121" s="41" t="s">
        <v>355</v>
      </c>
      <c r="D121" s="40"/>
      <c r="E121" s="40"/>
      <c r="F121" s="40"/>
      <c r="G121" s="31"/>
      <c r="H121" s="32"/>
      <c r="I121" s="29"/>
      <c r="J121" s="172"/>
      <c r="L121" s="41" t="s">
        <v>514</v>
      </c>
      <c r="M121" s="41" t="s">
        <v>355</v>
      </c>
      <c r="N121" s="40"/>
      <c r="O121" s="40"/>
      <c r="P121" s="40"/>
      <c r="Q121" s="31"/>
      <c r="R121" s="32"/>
      <c r="S121" s="29"/>
      <c r="T121" s="172"/>
      <c r="V121" s="41" t="s">
        <v>514</v>
      </c>
      <c r="W121" s="41" t="s">
        <v>355</v>
      </c>
      <c r="X121" s="40"/>
      <c r="Y121" s="40"/>
      <c r="Z121" s="40"/>
      <c r="AA121" s="31"/>
      <c r="AB121" s="32"/>
      <c r="AC121" s="29"/>
      <c r="AE121" s="41" t="s">
        <v>514</v>
      </c>
      <c r="AF121" s="41" t="s">
        <v>355</v>
      </c>
      <c r="AG121" s="40"/>
      <c r="AH121" s="40"/>
      <c r="AI121" s="40"/>
      <c r="AJ121" s="31"/>
      <c r="AK121" s="32"/>
      <c r="AL121" s="29"/>
      <c r="AN121" s="41" t="s">
        <v>514</v>
      </c>
      <c r="AO121" s="41" t="s">
        <v>355</v>
      </c>
      <c r="AP121" s="40"/>
      <c r="AQ121" s="40"/>
      <c r="AR121" s="40"/>
      <c r="AS121" s="31"/>
      <c r="AT121" s="32"/>
      <c r="AU121" s="29"/>
      <c r="AW121" s="41" t="s">
        <v>514</v>
      </c>
      <c r="AX121" s="41" t="s">
        <v>355</v>
      </c>
      <c r="AY121" s="40"/>
      <c r="AZ121" s="40"/>
      <c r="BA121" s="40"/>
      <c r="BB121" s="31"/>
      <c r="BC121" s="32"/>
      <c r="BD121" s="29"/>
      <c r="BF121" s="41" t="s">
        <v>514</v>
      </c>
      <c r="BG121" s="41" t="s">
        <v>355</v>
      </c>
      <c r="BH121" s="40"/>
      <c r="BI121" s="40"/>
      <c r="BJ121" s="40"/>
      <c r="BK121" s="31"/>
      <c r="BL121" s="32"/>
      <c r="BM121" s="29"/>
    </row>
    <row r="122" spans="2:65">
      <c r="B122" s="41" t="s">
        <v>514</v>
      </c>
      <c r="C122" s="41" t="s">
        <v>355</v>
      </c>
      <c r="D122" s="40"/>
      <c r="E122" s="40"/>
      <c r="F122" s="40"/>
      <c r="G122" s="31"/>
      <c r="H122" s="32"/>
      <c r="I122" s="29"/>
      <c r="J122" s="172"/>
      <c r="L122" s="41" t="s">
        <v>514</v>
      </c>
      <c r="M122" s="41" t="s">
        <v>355</v>
      </c>
      <c r="N122" s="40"/>
      <c r="O122" s="40"/>
      <c r="P122" s="40"/>
      <c r="Q122" s="31"/>
      <c r="R122" s="32"/>
      <c r="S122" s="29"/>
      <c r="T122" s="172"/>
      <c r="V122" s="41" t="s">
        <v>514</v>
      </c>
      <c r="W122" s="41" t="s">
        <v>355</v>
      </c>
      <c r="X122" s="40"/>
      <c r="Y122" s="40"/>
      <c r="Z122" s="40"/>
      <c r="AA122" s="31"/>
      <c r="AB122" s="32"/>
      <c r="AC122" s="29"/>
      <c r="AE122" s="41" t="s">
        <v>514</v>
      </c>
      <c r="AF122" s="41" t="s">
        <v>355</v>
      </c>
      <c r="AG122" s="40"/>
      <c r="AH122" s="40"/>
      <c r="AI122" s="40"/>
      <c r="AJ122" s="31"/>
      <c r="AK122" s="32"/>
      <c r="AL122" s="29"/>
      <c r="AN122" s="41" t="s">
        <v>514</v>
      </c>
      <c r="AO122" s="41" t="s">
        <v>355</v>
      </c>
      <c r="AP122" s="40"/>
      <c r="AQ122" s="40"/>
      <c r="AR122" s="40"/>
      <c r="AS122" s="31"/>
      <c r="AT122" s="32"/>
      <c r="AU122" s="29"/>
      <c r="AW122" s="41" t="s">
        <v>514</v>
      </c>
      <c r="AX122" s="41" t="s">
        <v>355</v>
      </c>
      <c r="AY122" s="40"/>
      <c r="AZ122" s="40"/>
      <c r="BA122" s="40"/>
      <c r="BB122" s="31"/>
      <c r="BC122" s="32"/>
      <c r="BD122" s="29"/>
      <c r="BF122" s="41" t="s">
        <v>514</v>
      </c>
      <c r="BG122" s="41" t="s">
        <v>355</v>
      </c>
      <c r="BH122" s="40"/>
      <c r="BI122" s="40"/>
      <c r="BJ122" s="40"/>
      <c r="BK122" s="31"/>
      <c r="BL122" s="32"/>
      <c r="BM122" s="29"/>
    </row>
    <row r="123" spans="2:65" outlineLevel="1">
      <c r="B123" s="41" t="s">
        <v>514</v>
      </c>
      <c r="C123" s="41" t="s">
        <v>355</v>
      </c>
      <c r="D123" s="40"/>
      <c r="E123" s="40"/>
      <c r="F123" s="40"/>
      <c r="G123" s="31"/>
      <c r="H123" s="32"/>
      <c r="I123" s="29"/>
      <c r="J123" s="172"/>
      <c r="L123" s="41" t="s">
        <v>514</v>
      </c>
      <c r="M123" s="41" t="s">
        <v>355</v>
      </c>
      <c r="N123" s="40"/>
      <c r="O123" s="40"/>
      <c r="P123" s="40"/>
      <c r="Q123" s="31"/>
      <c r="R123" s="32"/>
      <c r="S123" s="29"/>
      <c r="T123" s="172"/>
      <c r="V123" s="41" t="s">
        <v>514</v>
      </c>
      <c r="W123" s="41" t="s">
        <v>355</v>
      </c>
      <c r="X123" s="40"/>
      <c r="Y123" s="40"/>
      <c r="Z123" s="40"/>
      <c r="AA123" s="31"/>
      <c r="AB123" s="32"/>
      <c r="AC123" s="29"/>
      <c r="AE123" s="41" t="s">
        <v>514</v>
      </c>
      <c r="AF123" s="41" t="s">
        <v>355</v>
      </c>
      <c r="AG123" s="40"/>
      <c r="AH123" s="40"/>
      <c r="AI123" s="40"/>
      <c r="AJ123" s="31"/>
      <c r="AK123" s="32"/>
      <c r="AL123" s="29"/>
      <c r="AN123" s="41" t="s">
        <v>514</v>
      </c>
      <c r="AO123" s="41" t="s">
        <v>355</v>
      </c>
      <c r="AP123" s="40"/>
      <c r="AQ123" s="40"/>
      <c r="AR123" s="40"/>
      <c r="AS123" s="31"/>
      <c r="AT123" s="32"/>
      <c r="AU123" s="29"/>
      <c r="AW123" s="41" t="s">
        <v>514</v>
      </c>
      <c r="AX123" s="41" t="s">
        <v>355</v>
      </c>
      <c r="AY123" s="40"/>
      <c r="AZ123" s="40"/>
      <c r="BA123" s="40"/>
      <c r="BB123" s="31"/>
      <c r="BC123" s="32"/>
      <c r="BD123" s="29"/>
      <c r="BF123" s="41" t="s">
        <v>514</v>
      </c>
      <c r="BG123" s="41" t="s">
        <v>355</v>
      </c>
      <c r="BH123" s="40"/>
      <c r="BI123" s="40"/>
      <c r="BJ123" s="40"/>
      <c r="BK123" s="31"/>
      <c r="BL123" s="32"/>
      <c r="BM123" s="29"/>
    </row>
    <row r="124" spans="2:65" outlineLevel="1">
      <c r="B124" s="41" t="s">
        <v>514</v>
      </c>
      <c r="C124" s="41" t="s">
        <v>355</v>
      </c>
      <c r="D124" s="40"/>
      <c r="E124" s="40"/>
      <c r="F124" s="40"/>
      <c r="G124" s="31"/>
      <c r="H124" s="32"/>
      <c r="I124" s="29"/>
      <c r="J124" s="172"/>
      <c r="L124" s="41" t="s">
        <v>514</v>
      </c>
      <c r="M124" s="41" t="s">
        <v>355</v>
      </c>
      <c r="N124" s="40"/>
      <c r="O124" s="40"/>
      <c r="P124" s="40"/>
      <c r="Q124" s="31"/>
      <c r="R124" s="32"/>
      <c r="S124" s="29"/>
      <c r="T124" s="172"/>
      <c r="V124" s="41" t="s">
        <v>514</v>
      </c>
      <c r="W124" s="41" t="s">
        <v>355</v>
      </c>
      <c r="X124" s="40"/>
      <c r="Y124" s="40"/>
      <c r="Z124" s="40"/>
      <c r="AA124" s="31"/>
      <c r="AB124" s="32"/>
      <c r="AC124" s="29"/>
      <c r="AE124" s="41" t="s">
        <v>514</v>
      </c>
      <c r="AF124" s="41" t="s">
        <v>355</v>
      </c>
      <c r="AG124" s="40"/>
      <c r="AH124" s="40"/>
      <c r="AI124" s="40"/>
      <c r="AJ124" s="31"/>
      <c r="AK124" s="32"/>
      <c r="AL124" s="29"/>
      <c r="AN124" s="41" t="s">
        <v>514</v>
      </c>
      <c r="AO124" s="41" t="s">
        <v>355</v>
      </c>
      <c r="AP124" s="40"/>
      <c r="AQ124" s="40"/>
      <c r="AR124" s="40"/>
      <c r="AS124" s="31"/>
      <c r="AT124" s="32"/>
      <c r="AU124" s="29"/>
      <c r="AW124" s="41" t="s">
        <v>514</v>
      </c>
      <c r="AX124" s="41" t="s">
        <v>355</v>
      </c>
      <c r="AY124" s="40"/>
      <c r="AZ124" s="40"/>
      <c r="BA124" s="40"/>
      <c r="BB124" s="31"/>
      <c r="BC124" s="32"/>
      <c r="BD124" s="29"/>
      <c r="BF124" s="41" t="s">
        <v>514</v>
      </c>
      <c r="BG124" s="41" t="s">
        <v>355</v>
      </c>
      <c r="BH124" s="40"/>
      <c r="BI124" s="40"/>
      <c r="BJ124" s="40"/>
      <c r="BK124" s="31"/>
      <c r="BL124" s="32"/>
      <c r="BM124" s="29"/>
    </row>
    <row r="125" spans="2:65" outlineLevel="1">
      <c r="B125" s="41" t="s">
        <v>514</v>
      </c>
      <c r="C125" s="41" t="s">
        <v>355</v>
      </c>
      <c r="D125" s="40"/>
      <c r="E125" s="40"/>
      <c r="F125" s="40"/>
      <c r="G125" s="31"/>
      <c r="H125" s="32"/>
      <c r="I125" s="29"/>
      <c r="J125" s="172"/>
      <c r="L125" s="41" t="s">
        <v>514</v>
      </c>
      <c r="M125" s="41" t="s">
        <v>355</v>
      </c>
      <c r="N125" s="40"/>
      <c r="O125" s="40"/>
      <c r="P125" s="40"/>
      <c r="Q125" s="31"/>
      <c r="R125" s="32"/>
      <c r="S125" s="29"/>
      <c r="T125" s="172"/>
      <c r="V125" s="41" t="s">
        <v>514</v>
      </c>
      <c r="W125" s="41" t="s">
        <v>355</v>
      </c>
      <c r="X125" s="40"/>
      <c r="Y125" s="40"/>
      <c r="Z125" s="40"/>
      <c r="AA125" s="31"/>
      <c r="AB125" s="32"/>
      <c r="AC125" s="29"/>
      <c r="AE125" s="41" t="s">
        <v>514</v>
      </c>
      <c r="AF125" s="41" t="s">
        <v>355</v>
      </c>
      <c r="AG125" s="40"/>
      <c r="AH125" s="40"/>
      <c r="AI125" s="40"/>
      <c r="AJ125" s="31"/>
      <c r="AK125" s="32"/>
      <c r="AL125" s="29"/>
      <c r="AN125" s="41" t="s">
        <v>514</v>
      </c>
      <c r="AO125" s="41" t="s">
        <v>355</v>
      </c>
      <c r="AP125" s="40"/>
      <c r="AQ125" s="40"/>
      <c r="AR125" s="40"/>
      <c r="AS125" s="31"/>
      <c r="AT125" s="32"/>
      <c r="AU125" s="29"/>
      <c r="AW125" s="41" t="s">
        <v>514</v>
      </c>
      <c r="AX125" s="41" t="s">
        <v>355</v>
      </c>
      <c r="AY125" s="40"/>
      <c r="AZ125" s="40"/>
      <c r="BA125" s="40"/>
      <c r="BB125" s="31"/>
      <c r="BC125" s="32"/>
      <c r="BD125" s="29"/>
      <c r="BF125" s="41" t="s">
        <v>514</v>
      </c>
      <c r="BG125" s="41" t="s">
        <v>355</v>
      </c>
      <c r="BH125" s="40"/>
      <c r="BI125" s="40"/>
      <c r="BJ125" s="40"/>
      <c r="BK125" s="31"/>
      <c r="BL125" s="32"/>
      <c r="BM125" s="29"/>
    </row>
    <row r="126" spans="2:65" outlineLevel="1">
      <c r="B126" s="41" t="s">
        <v>514</v>
      </c>
      <c r="C126" s="41" t="s">
        <v>355</v>
      </c>
      <c r="D126" s="40"/>
      <c r="E126" s="40"/>
      <c r="F126" s="40"/>
      <c r="G126" s="31"/>
      <c r="H126" s="32"/>
      <c r="I126" s="29"/>
      <c r="J126" s="172"/>
      <c r="L126" s="41" t="s">
        <v>514</v>
      </c>
      <c r="M126" s="41" t="s">
        <v>355</v>
      </c>
      <c r="N126" s="40"/>
      <c r="O126" s="40"/>
      <c r="P126" s="40"/>
      <c r="Q126" s="31"/>
      <c r="R126" s="32"/>
      <c r="S126" s="29"/>
      <c r="T126" s="172"/>
      <c r="V126" s="41" t="s">
        <v>514</v>
      </c>
      <c r="W126" s="41" t="s">
        <v>355</v>
      </c>
      <c r="X126" s="40"/>
      <c r="Y126" s="40"/>
      <c r="Z126" s="40"/>
      <c r="AA126" s="31"/>
      <c r="AB126" s="32"/>
      <c r="AC126" s="29"/>
      <c r="AE126" s="41" t="s">
        <v>514</v>
      </c>
      <c r="AF126" s="41" t="s">
        <v>355</v>
      </c>
      <c r="AG126" s="40"/>
      <c r="AH126" s="40"/>
      <c r="AI126" s="40"/>
      <c r="AJ126" s="31"/>
      <c r="AK126" s="32"/>
      <c r="AL126" s="29"/>
      <c r="AN126" s="41" t="s">
        <v>514</v>
      </c>
      <c r="AO126" s="41" t="s">
        <v>355</v>
      </c>
      <c r="AP126" s="40"/>
      <c r="AQ126" s="40"/>
      <c r="AR126" s="40"/>
      <c r="AS126" s="31"/>
      <c r="AT126" s="32"/>
      <c r="AU126" s="29"/>
      <c r="AW126" s="41" t="s">
        <v>514</v>
      </c>
      <c r="AX126" s="41" t="s">
        <v>355</v>
      </c>
      <c r="AY126" s="40"/>
      <c r="AZ126" s="40"/>
      <c r="BA126" s="40"/>
      <c r="BB126" s="31"/>
      <c r="BC126" s="32"/>
      <c r="BD126" s="29"/>
      <c r="BF126" s="41" t="s">
        <v>514</v>
      </c>
      <c r="BG126" s="41" t="s">
        <v>355</v>
      </c>
      <c r="BH126" s="40"/>
      <c r="BI126" s="40"/>
      <c r="BJ126" s="40"/>
      <c r="BK126" s="31"/>
      <c r="BL126" s="32"/>
      <c r="BM126" s="29"/>
    </row>
    <row r="127" spans="2:65" outlineLevel="1">
      <c r="B127" s="41" t="s">
        <v>514</v>
      </c>
      <c r="C127" s="41" t="s">
        <v>355</v>
      </c>
      <c r="D127" s="40"/>
      <c r="E127" s="40"/>
      <c r="F127" s="40"/>
      <c r="G127" s="31"/>
      <c r="H127" s="32"/>
      <c r="I127" s="29"/>
      <c r="J127" s="172"/>
      <c r="L127" s="41" t="s">
        <v>514</v>
      </c>
      <c r="M127" s="41" t="s">
        <v>355</v>
      </c>
      <c r="N127" s="40"/>
      <c r="O127" s="40"/>
      <c r="P127" s="40"/>
      <c r="Q127" s="31"/>
      <c r="R127" s="32"/>
      <c r="S127" s="29"/>
      <c r="T127" s="172"/>
      <c r="V127" s="41" t="s">
        <v>514</v>
      </c>
      <c r="W127" s="41" t="s">
        <v>355</v>
      </c>
      <c r="X127" s="40"/>
      <c r="Y127" s="40"/>
      <c r="Z127" s="40"/>
      <c r="AA127" s="31"/>
      <c r="AB127" s="32"/>
      <c r="AC127" s="29"/>
      <c r="AE127" s="41" t="s">
        <v>514</v>
      </c>
      <c r="AF127" s="41" t="s">
        <v>355</v>
      </c>
      <c r="AG127" s="40"/>
      <c r="AH127" s="40"/>
      <c r="AI127" s="40"/>
      <c r="AJ127" s="31"/>
      <c r="AK127" s="32"/>
      <c r="AL127" s="29"/>
      <c r="AN127" s="41" t="s">
        <v>514</v>
      </c>
      <c r="AO127" s="41" t="s">
        <v>355</v>
      </c>
      <c r="AP127" s="40"/>
      <c r="AQ127" s="40"/>
      <c r="AR127" s="40"/>
      <c r="AS127" s="31"/>
      <c r="AT127" s="32"/>
      <c r="AU127" s="29"/>
      <c r="AW127" s="41" t="s">
        <v>514</v>
      </c>
      <c r="AX127" s="41" t="s">
        <v>355</v>
      </c>
      <c r="AY127" s="40"/>
      <c r="AZ127" s="40"/>
      <c r="BA127" s="40"/>
      <c r="BB127" s="31"/>
      <c r="BC127" s="32"/>
      <c r="BD127" s="29"/>
      <c r="BF127" s="41" t="s">
        <v>514</v>
      </c>
      <c r="BG127" s="41" t="s">
        <v>355</v>
      </c>
      <c r="BH127" s="40"/>
      <c r="BI127" s="40"/>
      <c r="BJ127" s="40"/>
      <c r="BK127" s="31"/>
      <c r="BL127" s="32"/>
      <c r="BM127" s="29"/>
    </row>
    <row r="128" spans="2:65" outlineLevel="1">
      <c r="B128" s="41" t="s">
        <v>514</v>
      </c>
      <c r="C128" s="41" t="s">
        <v>355</v>
      </c>
      <c r="D128" s="40"/>
      <c r="E128" s="40"/>
      <c r="F128" s="40"/>
      <c r="G128" s="31"/>
      <c r="H128" s="32"/>
      <c r="I128" s="29"/>
      <c r="J128" s="172"/>
      <c r="L128" s="41" t="s">
        <v>514</v>
      </c>
      <c r="M128" s="41" t="s">
        <v>355</v>
      </c>
      <c r="N128" s="40"/>
      <c r="O128" s="40"/>
      <c r="P128" s="40"/>
      <c r="Q128" s="31"/>
      <c r="R128" s="32"/>
      <c r="S128" s="29"/>
      <c r="T128" s="172"/>
      <c r="V128" s="41" t="s">
        <v>514</v>
      </c>
      <c r="W128" s="41" t="s">
        <v>355</v>
      </c>
      <c r="X128" s="40"/>
      <c r="Y128" s="40"/>
      <c r="Z128" s="40"/>
      <c r="AA128" s="31"/>
      <c r="AB128" s="32"/>
      <c r="AC128" s="29"/>
      <c r="AE128" s="41" t="s">
        <v>514</v>
      </c>
      <c r="AF128" s="41" t="s">
        <v>355</v>
      </c>
      <c r="AG128" s="40"/>
      <c r="AH128" s="40"/>
      <c r="AI128" s="40"/>
      <c r="AJ128" s="31"/>
      <c r="AK128" s="32"/>
      <c r="AL128" s="29"/>
      <c r="AN128" s="41" t="s">
        <v>514</v>
      </c>
      <c r="AO128" s="41" t="s">
        <v>355</v>
      </c>
      <c r="AP128" s="40"/>
      <c r="AQ128" s="40"/>
      <c r="AR128" s="40"/>
      <c r="AS128" s="31"/>
      <c r="AT128" s="32"/>
      <c r="AU128" s="29"/>
      <c r="AW128" s="41" t="s">
        <v>514</v>
      </c>
      <c r="AX128" s="41" t="s">
        <v>355</v>
      </c>
      <c r="AY128" s="40"/>
      <c r="AZ128" s="40"/>
      <c r="BA128" s="40"/>
      <c r="BB128" s="31"/>
      <c r="BC128" s="32"/>
      <c r="BD128" s="29"/>
      <c r="BF128" s="41" t="s">
        <v>514</v>
      </c>
      <c r="BG128" s="41" t="s">
        <v>355</v>
      </c>
      <c r="BH128" s="40"/>
      <c r="BI128" s="40"/>
      <c r="BJ128" s="40"/>
      <c r="BK128" s="31"/>
      <c r="BL128" s="32"/>
      <c r="BM128" s="29"/>
    </row>
    <row r="129" spans="2:65" outlineLevel="1">
      <c r="B129" s="41" t="s">
        <v>514</v>
      </c>
      <c r="C129" s="41" t="s">
        <v>355</v>
      </c>
      <c r="D129" s="40"/>
      <c r="E129" s="40"/>
      <c r="F129" s="40"/>
      <c r="G129" s="31"/>
      <c r="H129" s="32"/>
      <c r="I129" s="29"/>
      <c r="J129" s="172"/>
      <c r="L129" s="41" t="s">
        <v>514</v>
      </c>
      <c r="M129" s="41" t="s">
        <v>355</v>
      </c>
      <c r="N129" s="40"/>
      <c r="O129" s="40"/>
      <c r="P129" s="40"/>
      <c r="Q129" s="31"/>
      <c r="R129" s="32"/>
      <c r="S129" s="29"/>
      <c r="T129" s="172"/>
      <c r="V129" s="41" t="s">
        <v>514</v>
      </c>
      <c r="W129" s="41" t="s">
        <v>355</v>
      </c>
      <c r="X129" s="40"/>
      <c r="Y129" s="40"/>
      <c r="Z129" s="40"/>
      <c r="AA129" s="31"/>
      <c r="AB129" s="32"/>
      <c r="AC129" s="29"/>
      <c r="AE129" s="41" t="s">
        <v>514</v>
      </c>
      <c r="AF129" s="41" t="s">
        <v>355</v>
      </c>
      <c r="AG129" s="40"/>
      <c r="AH129" s="40"/>
      <c r="AI129" s="40"/>
      <c r="AJ129" s="31"/>
      <c r="AK129" s="32"/>
      <c r="AL129" s="29"/>
      <c r="AN129" s="41" t="s">
        <v>514</v>
      </c>
      <c r="AO129" s="41" t="s">
        <v>355</v>
      </c>
      <c r="AP129" s="40"/>
      <c r="AQ129" s="40"/>
      <c r="AR129" s="40"/>
      <c r="AS129" s="31"/>
      <c r="AT129" s="32"/>
      <c r="AU129" s="29"/>
      <c r="AW129" s="41" t="s">
        <v>514</v>
      </c>
      <c r="AX129" s="41" t="s">
        <v>355</v>
      </c>
      <c r="AY129" s="40"/>
      <c r="AZ129" s="40"/>
      <c r="BA129" s="40"/>
      <c r="BB129" s="31"/>
      <c r="BC129" s="32"/>
      <c r="BD129" s="29"/>
      <c r="BF129" s="41" t="s">
        <v>514</v>
      </c>
      <c r="BG129" s="41" t="s">
        <v>355</v>
      </c>
      <c r="BH129" s="40"/>
      <c r="BI129" s="40"/>
      <c r="BJ129" s="40"/>
      <c r="BK129" s="31"/>
      <c r="BL129" s="32"/>
      <c r="BM129" s="29"/>
    </row>
    <row r="130" spans="2:65" outlineLevel="1">
      <c r="B130" s="41" t="s">
        <v>514</v>
      </c>
      <c r="C130" s="41" t="s">
        <v>355</v>
      </c>
      <c r="D130" s="40"/>
      <c r="E130" s="40"/>
      <c r="F130" s="40"/>
      <c r="G130" s="31"/>
      <c r="H130" s="32"/>
      <c r="I130" s="29"/>
      <c r="J130" s="172"/>
      <c r="L130" s="41" t="s">
        <v>514</v>
      </c>
      <c r="M130" s="41" t="s">
        <v>355</v>
      </c>
      <c r="N130" s="40"/>
      <c r="O130" s="40"/>
      <c r="P130" s="40"/>
      <c r="Q130" s="31"/>
      <c r="R130" s="32"/>
      <c r="S130" s="29"/>
      <c r="T130" s="172"/>
      <c r="V130" s="41" t="s">
        <v>514</v>
      </c>
      <c r="W130" s="41" t="s">
        <v>355</v>
      </c>
      <c r="X130" s="40"/>
      <c r="Y130" s="40"/>
      <c r="Z130" s="40"/>
      <c r="AA130" s="31"/>
      <c r="AB130" s="32"/>
      <c r="AC130" s="29"/>
      <c r="AE130" s="41" t="s">
        <v>514</v>
      </c>
      <c r="AF130" s="41" t="s">
        <v>355</v>
      </c>
      <c r="AG130" s="40"/>
      <c r="AH130" s="40"/>
      <c r="AI130" s="40"/>
      <c r="AJ130" s="31"/>
      <c r="AK130" s="32"/>
      <c r="AL130" s="29"/>
      <c r="AN130" s="41" t="s">
        <v>514</v>
      </c>
      <c r="AO130" s="41" t="s">
        <v>355</v>
      </c>
      <c r="AP130" s="40"/>
      <c r="AQ130" s="40"/>
      <c r="AR130" s="40"/>
      <c r="AS130" s="31"/>
      <c r="AT130" s="32"/>
      <c r="AU130" s="29"/>
      <c r="AW130" s="41" t="s">
        <v>514</v>
      </c>
      <c r="AX130" s="41" t="s">
        <v>355</v>
      </c>
      <c r="AY130" s="40"/>
      <c r="AZ130" s="40"/>
      <c r="BA130" s="40"/>
      <c r="BB130" s="31"/>
      <c r="BC130" s="32"/>
      <c r="BD130" s="29"/>
      <c r="BF130" s="41" t="s">
        <v>514</v>
      </c>
      <c r="BG130" s="41" t="s">
        <v>355</v>
      </c>
      <c r="BH130" s="40"/>
      <c r="BI130" s="40"/>
      <c r="BJ130" s="40"/>
      <c r="BK130" s="31"/>
      <c r="BL130" s="32"/>
      <c r="BM130" s="29"/>
    </row>
    <row r="131" spans="2:65" s="24" customFormat="1">
      <c r="B131" s="8" t="s">
        <v>518</v>
      </c>
      <c r="C131" s="25"/>
      <c r="D131" s="28">
        <f>SUM(D116:D130)</f>
        <v>0</v>
      </c>
      <c r="E131" s="28">
        <f>SUM(E116:E130)</f>
        <v>0</v>
      </c>
      <c r="F131" s="28">
        <f>SUM(F116:F130)</f>
        <v>0</v>
      </c>
      <c r="G131" s="25"/>
      <c r="H131" s="26"/>
      <c r="I131" s="30"/>
      <c r="J131" s="171"/>
      <c r="L131" s="8" t="s">
        <v>518</v>
      </c>
      <c r="M131" s="25"/>
      <c r="N131" s="28">
        <f t="shared" ref="N131:P131" si="96">SUM(N116:N130)</f>
        <v>0</v>
      </c>
      <c r="O131" s="28">
        <f t="shared" si="96"/>
        <v>0</v>
      </c>
      <c r="P131" s="28">
        <f t="shared" si="96"/>
        <v>0</v>
      </c>
      <c r="Q131" s="25"/>
      <c r="R131" s="26"/>
      <c r="S131" s="30"/>
      <c r="T131" s="171"/>
      <c r="V131" s="8" t="s">
        <v>518</v>
      </c>
      <c r="W131" s="25"/>
      <c r="X131" s="30"/>
      <c r="Y131" s="30"/>
      <c r="Z131" s="28">
        <f t="shared" ref="Z131" si="97">SUM(Z116:Z130)</f>
        <v>0</v>
      </c>
      <c r="AA131" s="25"/>
      <c r="AB131" s="26"/>
      <c r="AC131" s="30"/>
      <c r="AE131" s="8" t="s">
        <v>518</v>
      </c>
      <c r="AF131" s="25"/>
      <c r="AG131" s="30"/>
      <c r="AH131" s="30"/>
      <c r="AI131" s="28">
        <f t="shared" ref="AI131" si="98">SUM(AI116:AI130)</f>
        <v>0</v>
      </c>
      <c r="AJ131" s="25"/>
      <c r="AK131" s="26"/>
      <c r="AL131" s="30"/>
      <c r="AN131" s="8" t="s">
        <v>518</v>
      </c>
      <c r="AO131" s="25"/>
      <c r="AP131" s="30"/>
      <c r="AQ131" s="30"/>
      <c r="AR131" s="28">
        <f t="shared" ref="AR131" si="99">SUM(AR116:AR130)</f>
        <v>0</v>
      </c>
      <c r="AS131" s="25"/>
      <c r="AT131" s="26"/>
      <c r="AU131" s="30"/>
      <c r="AW131" s="8" t="s">
        <v>518</v>
      </c>
      <c r="AX131" s="25"/>
      <c r="AY131" s="30"/>
      <c r="AZ131" s="30"/>
      <c r="BA131" s="28">
        <f t="shared" ref="BA131" si="100">SUM(BA116:BA130)</f>
        <v>0</v>
      </c>
      <c r="BB131" s="25"/>
      <c r="BC131" s="26"/>
      <c r="BD131" s="30"/>
      <c r="BF131" s="8" t="s">
        <v>518</v>
      </c>
      <c r="BG131" s="25"/>
      <c r="BH131" s="30"/>
      <c r="BI131" s="30"/>
      <c r="BJ131" s="28">
        <f t="shared" ref="BJ131" si="101">SUM(BJ116:BJ130)</f>
        <v>0</v>
      </c>
      <c r="BK131" s="25"/>
      <c r="BL131" s="26"/>
      <c r="BM131" s="30"/>
    </row>
    <row r="133" spans="2:65" ht="41.4">
      <c r="B133" s="27" t="s">
        <v>17</v>
      </c>
      <c r="C133" s="3" t="str">
        <f>C$43</f>
        <v>Source</v>
      </c>
      <c r="D133" s="3" t="str">
        <f t="shared" ref="D133:I133" si="102">D$43</f>
        <v>Limit (A)</v>
      </c>
      <c r="E133" s="3" t="str">
        <f t="shared" si="102"/>
        <v>Outstanding (A1)</v>
      </c>
      <c r="F133" s="3" t="str">
        <f t="shared" si="102"/>
        <v>Monthly Repayment (B)</v>
      </c>
      <c r="G133" s="3" t="str">
        <f t="shared" si="102"/>
        <v>Interest Rate (C)</v>
      </c>
      <c r="H133" s="3" t="str">
        <f t="shared" si="102"/>
        <v>Factor (D)</v>
      </c>
      <c r="I133" s="3" t="str">
        <f t="shared" si="102"/>
        <v>Interest (E) = (A or A1) * (C) * (D)</v>
      </c>
      <c r="J133" s="173" t="s">
        <v>450</v>
      </c>
      <c r="L133" s="27" t="s">
        <v>17</v>
      </c>
      <c r="M133" s="3" t="str">
        <f>M$43</f>
        <v>Source</v>
      </c>
      <c r="N133" s="3" t="str">
        <f t="shared" ref="N133:S133" si="103">N$43</f>
        <v>Limit (A)</v>
      </c>
      <c r="O133" s="3" t="str">
        <f t="shared" si="103"/>
        <v>Outstanding (A1)</v>
      </c>
      <c r="P133" s="3" t="str">
        <f t="shared" si="103"/>
        <v>Monthly Repayment (B)</v>
      </c>
      <c r="Q133" s="3" t="str">
        <f t="shared" si="103"/>
        <v>Interest Rate (C)</v>
      </c>
      <c r="R133" s="3" t="str">
        <f t="shared" si="103"/>
        <v>Factor (D)</v>
      </c>
      <c r="S133" s="3" t="str">
        <f t="shared" si="103"/>
        <v>Interest (E) = (A or A1) * (C) * (D)</v>
      </c>
      <c r="T133" s="173" t="s">
        <v>450</v>
      </c>
      <c r="V133" s="27" t="s">
        <v>17</v>
      </c>
      <c r="W133" s="3" t="str">
        <f>W$43</f>
        <v>Source</v>
      </c>
      <c r="X133" s="3" t="str">
        <f t="shared" ref="X133:AC133" si="104">X$43</f>
        <v>Limit (A)</v>
      </c>
      <c r="Y133" s="3" t="str">
        <f t="shared" si="104"/>
        <v>Outstanding (A1)</v>
      </c>
      <c r="Z133" s="3" t="str">
        <f t="shared" si="104"/>
        <v>Monthly Repayment (B)</v>
      </c>
      <c r="AA133" s="3" t="str">
        <f t="shared" si="104"/>
        <v>Interest Rate (C)</v>
      </c>
      <c r="AB133" s="3" t="str">
        <f t="shared" si="104"/>
        <v>Factor (D)</v>
      </c>
      <c r="AC133" s="3" t="str">
        <f t="shared" si="104"/>
        <v>Interest (E) = (A or A1) * (C) * (D)</v>
      </c>
      <c r="AE133" s="27" t="s">
        <v>17</v>
      </c>
      <c r="AF133" s="3" t="str">
        <f>AF$43</f>
        <v>Source</v>
      </c>
      <c r="AG133" s="3" t="str">
        <f t="shared" ref="AG133:AL133" si="105">AG$43</f>
        <v>Limit (A)</v>
      </c>
      <c r="AH133" s="3" t="str">
        <f t="shared" si="105"/>
        <v>Outstanding (A1)</v>
      </c>
      <c r="AI133" s="3" t="str">
        <f t="shared" si="105"/>
        <v>Monthly Repayment (B)</v>
      </c>
      <c r="AJ133" s="3" t="str">
        <f t="shared" si="105"/>
        <v>Interest Rate (C)</v>
      </c>
      <c r="AK133" s="3" t="str">
        <f t="shared" si="105"/>
        <v>Factor (D)</v>
      </c>
      <c r="AL133" s="3" t="str">
        <f t="shared" si="105"/>
        <v>Interest (E) = (A or A1) * (C) * (D)</v>
      </c>
      <c r="AN133" s="27" t="s">
        <v>17</v>
      </c>
      <c r="AO133" s="3" t="str">
        <f>AO$43</f>
        <v>Source</v>
      </c>
      <c r="AP133" s="3" t="str">
        <f t="shared" ref="AP133:AU133" si="106">AP$43</f>
        <v>Limit (A)</v>
      </c>
      <c r="AQ133" s="3" t="str">
        <f t="shared" si="106"/>
        <v>Outstanding (A1)</v>
      </c>
      <c r="AR133" s="3" t="str">
        <f t="shared" si="106"/>
        <v>Monthly Repayment (B)</v>
      </c>
      <c r="AS133" s="3" t="str">
        <f t="shared" si="106"/>
        <v>Interest Rate (C)</v>
      </c>
      <c r="AT133" s="3" t="str">
        <f t="shared" si="106"/>
        <v>Factor (D)</v>
      </c>
      <c r="AU133" s="3" t="str">
        <f t="shared" si="106"/>
        <v>Interest (E) = (A or A1) * (C) * (D)</v>
      </c>
      <c r="AW133" s="27" t="s">
        <v>17</v>
      </c>
      <c r="AX133" s="3" t="str">
        <f>AX$43</f>
        <v>Source</v>
      </c>
      <c r="AY133" s="3" t="str">
        <f t="shared" ref="AY133:BD133" si="107">AY$43</f>
        <v>Limit (A)</v>
      </c>
      <c r="AZ133" s="3" t="str">
        <f t="shared" si="107"/>
        <v>Outstanding (A1)</v>
      </c>
      <c r="BA133" s="3" t="str">
        <f t="shared" si="107"/>
        <v>Monthly Repayment (B)</v>
      </c>
      <c r="BB133" s="3" t="str">
        <f t="shared" si="107"/>
        <v>Interest Rate (C)</v>
      </c>
      <c r="BC133" s="3" t="str">
        <f t="shared" si="107"/>
        <v>Factor (D)</v>
      </c>
      <c r="BD133" s="3" t="str">
        <f t="shared" si="107"/>
        <v>Interest (E) = (A or A1) * (C) * (D)</v>
      </c>
      <c r="BF133" s="27" t="s">
        <v>17</v>
      </c>
      <c r="BG133" s="3" t="str">
        <f>BG$43</f>
        <v>Source</v>
      </c>
      <c r="BH133" s="3" t="str">
        <f t="shared" ref="BH133:BM133" si="108">BH$43</f>
        <v>Limit (A)</v>
      </c>
      <c r="BI133" s="3" t="str">
        <f t="shared" si="108"/>
        <v>Outstanding (A1)</v>
      </c>
      <c r="BJ133" s="3" t="str">
        <f t="shared" si="108"/>
        <v>Monthly Repayment (B)</v>
      </c>
      <c r="BK133" s="3" t="str">
        <f t="shared" si="108"/>
        <v>Interest Rate (C)</v>
      </c>
      <c r="BL133" s="3" t="str">
        <f t="shared" si="108"/>
        <v>Factor (D)</v>
      </c>
      <c r="BM133" s="3" t="str">
        <f t="shared" si="108"/>
        <v>Interest (E) = (A or A1) * (C) * (D)</v>
      </c>
    </row>
    <row r="134" spans="2:65">
      <c r="B134" s="41" t="s">
        <v>514</v>
      </c>
      <c r="C134" s="41" t="s">
        <v>355</v>
      </c>
      <c r="D134" s="40"/>
      <c r="E134" s="40"/>
      <c r="F134" s="40"/>
      <c r="G134" s="31"/>
      <c r="H134" s="32"/>
      <c r="I134" s="29"/>
      <c r="J134" s="172"/>
      <c r="L134" s="41" t="s">
        <v>514</v>
      </c>
      <c r="M134" s="41" t="s">
        <v>355</v>
      </c>
      <c r="N134" s="40"/>
      <c r="O134" s="40"/>
      <c r="P134" s="40"/>
      <c r="Q134" s="31"/>
      <c r="R134" s="32"/>
      <c r="S134" s="29"/>
      <c r="T134" s="172"/>
      <c r="V134" s="41" t="s">
        <v>514</v>
      </c>
      <c r="W134" s="41" t="s">
        <v>355</v>
      </c>
      <c r="X134" s="40"/>
      <c r="Y134" s="40"/>
      <c r="Z134" s="40"/>
      <c r="AA134" s="31"/>
      <c r="AB134" s="32"/>
      <c r="AC134" s="29"/>
      <c r="AE134" s="41" t="s">
        <v>514</v>
      </c>
      <c r="AF134" s="41" t="s">
        <v>355</v>
      </c>
      <c r="AG134" s="40"/>
      <c r="AH134" s="40"/>
      <c r="AI134" s="40"/>
      <c r="AJ134" s="31"/>
      <c r="AK134" s="32"/>
      <c r="AL134" s="29"/>
      <c r="AN134" s="41" t="s">
        <v>514</v>
      </c>
      <c r="AO134" s="41" t="s">
        <v>355</v>
      </c>
      <c r="AP134" s="40"/>
      <c r="AQ134" s="40"/>
      <c r="AR134" s="40"/>
      <c r="AS134" s="31"/>
      <c r="AT134" s="32"/>
      <c r="AU134" s="29"/>
      <c r="AW134" s="41" t="s">
        <v>514</v>
      </c>
      <c r="AX134" s="41" t="s">
        <v>355</v>
      </c>
      <c r="AY134" s="40"/>
      <c r="AZ134" s="40"/>
      <c r="BA134" s="40"/>
      <c r="BB134" s="31"/>
      <c r="BC134" s="32"/>
      <c r="BD134" s="29"/>
      <c r="BF134" s="41" t="s">
        <v>514</v>
      </c>
      <c r="BG134" s="41" t="s">
        <v>355</v>
      </c>
      <c r="BH134" s="40"/>
      <c r="BI134" s="40"/>
      <c r="BJ134" s="40"/>
      <c r="BK134" s="31"/>
      <c r="BL134" s="32"/>
      <c r="BM134" s="29"/>
    </row>
    <row r="135" spans="2:65">
      <c r="B135" s="41" t="s">
        <v>514</v>
      </c>
      <c r="C135" s="41" t="s">
        <v>355</v>
      </c>
      <c r="D135" s="40"/>
      <c r="E135" s="40"/>
      <c r="F135" s="40"/>
      <c r="G135" s="31"/>
      <c r="H135" s="32"/>
      <c r="I135" s="29"/>
      <c r="J135" s="172"/>
      <c r="L135" s="41" t="s">
        <v>514</v>
      </c>
      <c r="M135" s="41" t="s">
        <v>355</v>
      </c>
      <c r="N135" s="40"/>
      <c r="O135" s="40"/>
      <c r="P135" s="40"/>
      <c r="Q135" s="31"/>
      <c r="R135" s="32"/>
      <c r="S135" s="29"/>
      <c r="T135" s="172"/>
      <c r="V135" s="41" t="s">
        <v>514</v>
      </c>
      <c r="W135" s="41" t="s">
        <v>355</v>
      </c>
      <c r="X135" s="40"/>
      <c r="Y135" s="40"/>
      <c r="Z135" s="40"/>
      <c r="AA135" s="31"/>
      <c r="AB135" s="32"/>
      <c r="AC135" s="29"/>
      <c r="AE135" s="41" t="s">
        <v>514</v>
      </c>
      <c r="AF135" s="41" t="s">
        <v>355</v>
      </c>
      <c r="AG135" s="40"/>
      <c r="AH135" s="40"/>
      <c r="AI135" s="40"/>
      <c r="AJ135" s="31"/>
      <c r="AK135" s="32"/>
      <c r="AL135" s="29"/>
      <c r="AN135" s="41" t="s">
        <v>514</v>
      </c>
      <c r="AO135" s="41" t="s">
        <v>355</v>
      </c>
      <c r="AP135" s="40"/>
      <c r="AQ135" s="40"/>
      <c r="AR135" s="40"/>
      <c r="AS135" s="31"/>
      <c r="AT135" s="32"/>
      <c r="AU135" s="29"/>
      <c r="AW135" s="41" t="s">
        <v>514</v>
      </c>
      <c r="AX135" s="41" t="s">
        <v>355</v>
      </c>
      <c r="AY135" s="40"/>
      <c r="AZ135" s="40"/>
      <c r="BA135" s="40"/>
      <c r="BB135" s="31"/>
      <c r="BC135" s="32"/>
      <c r="BD135" s="29"/>
      <c r="BF135" s="41" t="s">
        <v>514</v>
      </c>
      <c r="BG135" s="41" t="s">
        <v>355</v>
      </c>
      <c r="BH135" s="40"/>
      <c r="BI135" s="40"/>
      <c r="BJ135" s="40"/>
      <c r="BK135" s="31"/>
      <c r="BL135" s="32"/>
      <c r="BM135" s="29"/>
    </row>
    <row r="136" spans="2:65">
      <c r="B136" s="41" t="s">
        <v>514</v>
      </c>
      <c r="C136" s="41" t="s">
        <v>355</v>
      </c>
      <c r="D136" s="40"/>
      <c r="E136" s="40"/>
      <c r="F136" s="40"/>
      <c r="G136" s="31"/>
      <c r="H136" s="32"/>
      <c r="I136" s="29"/>
      <c r="J136" s="172"/>
      <c r="L136" s="41" t="s">
        <v>514</v>
      </c>
      <c r="M136" s="41" t="s">
        <v>355</v>
      </c>
      <c r="N136" s="40"/>
      <c r="O136" s="40"/>
      <c r="P136" s="40"/>
      <c r="Q136" s="31"/>
      <c r="R136" s="32"/>
      <c r="S136" s="29"/>
      <c r="T136" s="172"/>
      <c r="V136" s="41" t="s">
        <v>514</v>
      </c>
      <c r="W136" s="41" t="s">
        <v>355</v>
      </c>
      <c r="X136" s="40"/>
      <c r="Y136" s="40"/>
      <c r="Z136" s="40"/>
      <c r="AA136" s="31"/>
      <c r="AB136" s="32"/>
      <c r="AC136" s="29"/>
      <c r="AE136" s="41" t="s">
        <v>514</v>
      </c>
      <c r="AF136" s="41" t="s">
        <v>355</v>
      </c>
      <c r="AG136" s="40"/>
      <c r="AH136" s="40"/>
      <c r="AI136" s="40"/>
      <c r="AJ136" s="31"/>
      <c r="AK136" s="32"/>
      <c r="AL136" s="29"/>
      <c r="AN136" s="41" t="s">
        <v>514</v>
      </c>
      <c r="AO136" s="41" t="s">
        <v>355</v>
      </c>
      <c r="AP136" s="40"/>
      <c r="AQ136" s="40"/>
      <c r="AR136" s="40"/>
      <c r="AS136" s="31"/>
      <c r="AT136" s="32"/>
      <c r="AU136" s="29"/>
      <c r="AW136" s="41" t="s">
        <v>514</v>
      </c>
      <c r="AX136" s="41" t="s">
        <v>355</v>
      </c>
      <c r="AY136" s="40"/>
      <c r="AZ136" s="40"/>
      <c r="BA136" s="40"/>
      <c r="BB136" s="31"/>
      <c r="BC136" s="32"/>
      <c r="BD136" s="29"/>
      <c r="BF136" s="41" t="s">
        <v>514</v>
      </c>
      <c r="BG136" s="41" t="s">
        <v>355</v>
      </c>
      <c r="BH136" s="40"/>
      <c r="BI136" s="40"/>
      <c r="BJ136" s="40"/>
      <c r="BK136" s="31"/>
      <c r="BL136" s="32"/>
      <c r="BM136" s="29"/>
    </row>
    <row r="137" spans="2:65">
      <c r="B137" s="41" t="s">
        <v>514</v>
      </c>
      <c r="C137" s="41" t="s">
        <v>355</v>
      </c>
      <c r="D137" s="40"/>
      <c r="E137" s="40"/>
      <c r="F137" s="40"/>
      <c r="G137" s="31"/>
      <c r="H137" s="32"/>
      <c r="I137" s="29"/>
      <c r="J137" s="172"/>
      <c r="L137" s="41" t="s">
        <v>514</v>
      </c>
      <c r="M137" s="41" t="s">
        <v>355</v>
      </c>
      <c r="N137" s="40"/>
      <c r="O137" s="40"/>
      <c r="P137" s="40"/>
      <c r="Q137" s="31"/>
      <c r="R137" s="32"/>
      <c r="S137" s="29"/>
      <c r="T137" s="172"/>
      <c r="V137" s="41" t="s">
        <v>514</v>
      </c>
      <c r="W137" s="41" t="s">
        <v>355</v>
      </c>
      <c r="X137" s="40"/>
      <c r="Y137" s="40"/>
      <c r="Z137" s="40"/>
      <c r="AA137" s="31"/>
      <c r="AB137" s="32"/>
      <c r="AC137" s="29"/>
      <c r="AE137" s="41" t="s">
        <v>514</v>
      </c>
      <c r="AF137" s="41" t="s">
        <v>355</v>
      </c>
      <c r="AG137" s="40"/>
      <c r="AH137" s="40"/>
      <c r="AI137" s="40"/>
      <c r="AJ137" s="31"/>
      <c r="AK137" s="32"/>
      <c r="AL137" s="29"/>
      <c r="AN137" s="41" t="s">
        <v>514</v>
      </c>
      <c r="AO137" s="41" t="s">
        <v>355</v>
      </c>
      <c r="AP137" s="40"/>
      <c r="AQ137" s="40"/>
      <c r="AR137" s="40"/>
      <c r="AS137" s="31"/>
      <c r="AT137" s="32"/>
      <c r="AU137" s="29"/>
      <c r="AW137" s="41" t="s">
        <v>514</v>
      </c>
      <c r="AX137" s="41" t="s">
        <v>355</v>
      </c>
      <c r="AY137" s="40"/>
      <c r="AZ137" s="40"/>
      <c r="BA137" s="40"/>
      <c r="BB137" s="31"/>
      <c r="BC137" s="32"/>
      <c r="BD137" s="29"/>
      <c r="BF137" s="41" t="s">
        <v>514</v>
      </c>
      <c r="BG137" s="41" t="s">
        <v>355</v>
      </c>
      <c r="BH137" s="40"/>
      <c r="BI137" s="40"/>
      <c r="BJ137" s="40"/>
      <c r="BK137" s="31"/>
      <c r="BL137" s="32"/>
      <c r="BM137" s="29"/>
    </row>
    <row r="138" spans="2:65">
      <c r="B138" s="41" t="s">
        <v>514</v>
      </c>
      <c r="C138" s="41" t="s">
        <v>355</v>
      </c>
      <c r="D138" s="40"/>
      <c r="E138" s="40"/>
      <c r="F138" s="40"/>
      <c r="G138" s="31"/>
      <c r="H138" s="32"/>
      <c r="I138" s="29"/>
      <c r="J138" s="172"/>
      <c r="L138" s="41" t="s">
        <v>514</v>
      </c>
      <c r="M138" s="41" t="s">
        <v>355</v>
      </c>
      <c r="N138" s="40"/>
      <c r="O138" s="40"/>
      <c r="P138" s="40"/>
      <c r="Q138" s="31"/>
      <c r="R138" s="32"/>
      <c r="S138" s="29"/>
      <c r="T138" s="172"/>
      <c r="V138" s="41" t="s">
        <v>514</v>
      </c>
      <c r="W138" s="41" t="s">
        <v>355</v>
      </c>
      <c r="X138" s="40"/>
      <c r="Y138" s="40"/>
      <c r="Z138" s="40"/>
      <c r="AA138" s="31"/>
      <c r="AB138" s="32"/>
      <c r="AC138" s="29"/>
      <c r="AE138" s="41" t="s">
        <v>514</v>
      </c>
      <c r="AF138" s="41" t="s">
        <v>355</v>
      </c>
      <c r="AG138" s="40"/>
      <c r="AH138" s="40"/>
      <c r="AI138" s="40"/>
      <c r="AJ138" s="31"/>
      <c r="AK138" s="32"/>
      <c r="AL138" s="29"/>
      <c r="AN138" s="41" t="s">
        <v>514</v>
      </c>
      <c r="AO138" s="41" t="s">
        <v>355</v>
      </c>
      <c r="AP138" s="40"/>
      <c r="AQ138" s="40"/>
      <c r="AR138" s="40"/>
      <c r="AS138" s="31"/>
      <c r="AT138" s="32"/>
      <c r="AU138" s="29"/>
      <c r="AW138" s="41" t="s">
        <v>514</v>
      </c>
      <c r="AX138" s="41" t="s">
        <v>355</v>
      </c>
      <c r="AY138" s="40"/>
      <c r="AZ138" s="40"/>
      <c r="BA138" s="40"/>
      <c r="BB138" s="31"/>
      <c r="BC138" s="32"/>
      <c r="BD138" s="29"/>
      <c r="BF138" s="41" t="s">
        <v>514</v>
      </c>
      <c r="BG138" s="41" t="s">
        <v>355</v>
      </c>
      <c r="BH138" s="40"/>
      <c r="BI138" s="40"/>
      <c r="BJ138" s="40"/>
      <c r="BK138" s="31"/>
      <c r="BL138" s="32"/>
      <c r="BM138" s="29"/>
    </row>
    <row r="139" spans="2:65">
      <c r="B139" s="41" t="s">
        <v>514</v>
      </c>
      <c r="C139" s="41" t="s">
        <v>355</v>
      </c>
      <c r="D139" s="40"/>
      <c r="E139" s="40"/>
      <c r="F139" s="40"/>
      <c r="G139" s="31"/>
      <c r="H139" s="32"/>
      <c r="I139" s="29"/>
      <c r="J139" s="172"/>
      <c r="L139" s="41" t="s">
        <v>514</v>
      </c>
      <c r="M139" s="41" t="s">
        <v>355</v>
      </c>
      <c r="N139" s="40"/>
      <c r="O139" s="40"/>
      <c r="P139" s="40"/>
      <c r="Q139" s="31"/>
      <c r="R139" s="32"/>
      <c r="S139" s="29"/>
      <c r="T139" s="172"/>
      <c r="V139" s="41" t="s">
        <v>514</v>
      </c>
      <c r="W139" s="41" t="s">
        <v>355</v>
      </c>
      <c r="X139" s="40"/>
      <c r="Y139" s="40"/>
      <c r="Z139" s="40"/>
      <c r="AA139" s="31"/>
      <c r="AB139" s="32"/>
      <c r="AC139" s="29"/>
      <c r="AE139" s="41" t="s">
        <v>514</v>
      </c>
      <c r="AF139" s="41" t="s">
        <v>355</v>
      </c>
      <c r="AG139" s="40"/>
      <c r="AH139" s="40"/>
      <c r="AI139" s="40"/>
      <c r="AJ139" s="31"/>
      <c r="AK139" s="32"/>
      <c r="AL139" s="29"/>
      <c r="AN139" s="41" t="s">
        <v>514</v>
      </c>
      <c r="AO139" s="41" t="s">
        <v>355</v>
      </c>
      <c r="AP139" s="40"/>
      <c r="AQ139" s="40"/>
      <c r="AR139" s="40"/>
      <c r="AS139" s="31"/>
      <c r="AT139" s="32"/>
      <c r="AU139" s="29"/>
      <c r="AW139" s="41" t="s">
        <v>514</v>
      </c>
      <c r="AX139" s="41" t="s">
        <v>355</v>
      </c>
      <c r="AY139" s="40"/>
      <c r="AZ139" s="40"/>
      <c r="BA139" s="40"/>
      <c r="BB139" s="31"/>
      <c r="BC139" s="32"/>
      <c r="BD139" s="29"/>
      <c r="BF139" s="41" t="s">
        <v>514</v>
      </c>
      <c r="BG139" s="41" t="s">
        <v>355</v>
      </c>
      <c r="BH139" s="40"/>
      <c r="BI139" s="40"/>
      <c r="BJ139" s="40"/>
      <c r="BK139" s="31"/>
      <c r="BL139" s="32"/>
      <c r="BM139" s="29"/>
    </row>
    <row r="140" spans="2:65">
      <c r="B140" s="41" t="s">
        <v>514</v>
      </c>
      <c r="C140" s="41" t="s">
        <v>355</v>
      </c>
      <c r="D140" s="40"/>
      <c r="E140" s="40"/>
      <c r="F140" s="40"/>
      <c r="G140" s="31"/>
      <c r="H140" s="32"/>
      <c r="I140" s="29"/>
      <c r="J140" s="172"/>
      <c r="L140" s="41" t="s">
        <v>514</v>
      </c>
      <c r="M140" s="41" t="s">
        <v>355</v>
      </c>
      <c r="N140" s="40"/>
      <c r="O140" s="40"/>
      <c r="P140" s="40"/>
      <c r="Q140" s="31"/>
      <c r="R140" s="32"/>
      <c r="S140" s="29"/>
      <c r="T140" s="172"/>
      <c r="V140" s="41" t="s">
        <v>514</v>
      </c>
      <c r="W140" s="41" t="s">
        <v>355</v>
      </c>
      <c r="X140" s="40"/>
      <c r="Y140" s="40"/>
      <c r="Z140" s="40"/>
      <c r="AA140" s="31"/>
      <c r="AB140" s="32"/>
      <c r="AC140" s="29"/>
      <c r="AE140" s="41" t="s">
        <v>514</v>
      </c>
      <c r="AF140" s="41" t="s">
        <v>355</v>
      </c>
      <c r="AG140" s="40"/>
      <c r="AH140" s="40"/>
      <c r="AI140" s="40"/>
      <c r="AJ140" s="31"/>
      <c r="AK140" s="32"/>
      <c r="AL140" s="29"/>
      <c r="AN140" s="41" t="s">
        <v>514</v>
      </c>
      <c r="AO140" s="41" t="s">
        <v>355</v>
      </c>
      <c r="AP140" s="40"/>
      <c r="AQ140" s="40"/>
      <c r="AR140" s="40"/>
      <c r="AS140" s="31"/>
      <c r="AT140" s="32"/>
      <c r="AU140" s="29"/>
      <c r="AW140" s="41" t="s">
        <v>514</v>
      </c>
      <c r="AX140" s="41" t="s">
        <v>355</v>
      </c>
      <c r="AY140" s="40"/>
      <c r="AZ140" s="40"/>
      <c r="BA140" s="40"/>
      <c r="BB140" s="31"/>
      <c r="BC140" s="32"/>
      <c r="BD140" s="29"/>
      <c r="BF140" s="41" t="s">
        <v>514</v>
      </c>
      <c r="BG140" s="41" t="s">
        <v>355</v>
      </c>
      <c r="BH140" s="40"/>
      <c r="BI140" s="40"/>
      <c r="BJ140" s="40"/>
      <c r="BK140" s="31"/>
      <c r="BL140" s="32"/>
      <c r="BM140" s="29"/>
    </row>
    <row r="141" spans="2:65" outlineLevel="1">
      <c r="B141" s="41" t="s">
        <v>514</v>
      </c>
      <c r="C141" s="41" t="s">
        <v>355</v>
      </c>
      <c r="D141" s="40"/>
      <c r="E141" s="40"/>
      <c r="F141" s="40"/>
      <c r="G141" s="31"/>
      <c r="H141" s="32"/>
      <c r="I141" s="29"/>
      <c r="J141" s="172"/>
      <c r="L141" s="41" t="s">
        <v>514</v>
      </c>
      <c r="M141" s="41" t="s">
        <v>355</v>
      </c>
      <c r="N141" s="40"/>
      <c r="O141" s="40"/>
      <c r="P141" s="40"/>
      <c r="Q141" s="31"/>
      <c r="R141" s="32"/>
      <c r="S141" s="29"/>
      <c r="T141" s="172"/>
      <c r="V141" s="41" t="s">
        <v>514</v>
      </c>
      <c r="W141" s="41" t="s">
        <v>355</v>
      </c>
      <c r="X141" s="40"/>
      <c r="Y141" s="40"/>
      <c r="Z141" s="40"/>
      <c r="AA141" s="31"/>
      <c r="AB141" s="32"/>
      <c r="AC141" s="29"/>
      <c r="AE141" s="41" t="s">
        <v>514</v>
      </c>
      <c r="AF141" s="41" t="s">
        <v>355</v>
      </c>
      <c r="AG141" s="40"/>
      <c r="AH141" s="40"/>
      <c r="AI141" s="40"/>
      <c r="AJ141" s="31"/>
      <c r="AK141" s="32"/>
      <c r="AL141" s="29"/>
      <c r="AN141" s="41" t="s">
        <v>514</v>
      </c>
      <c r="AO141" s="41" t="s">
        <v>355</v>
      </c>
      <c r="AP141" s="40"/>
      <c r="AQ141" s="40"/>
      <c r="AR141" s="40"/>
      <c r="AS141" s="31"/>
      <c r="AT141" s="32"/>
      <c r="AU141" s="29"/>
      <c r="AW141" s="41" t="s">
        <v>514</v>
      </c>
      <c r="AX141" s="41" t="s">
        <v>355</v>
      </c>
      <c r="AY141" s="40"/>
      <c r="AZ141" s="40"/>
      <c r="BA141" s="40"/>
      <c r="BB141" s="31"/>
      <c r="BC141" s="32"/>
      <c r="BD141" s="29"/>
      <c r="BF141" s="41" t="s">
        <v>514</v>
      </c>
      <c r="BG141" s="41" t="s">
        <v>355</v>
      </c>
      <c r="BH141" s="40"/>
      <c r="BI141" s="40"/>
      <c r="BJ141" s="40"/>
      <c r="BK141" s="31"/>
      <c r="BL141" s="32"/>
      <c r="BM141" s="29"/>
    </row>
    <row r="142" spans="2:65" outlineLevel="1">
      <c r="B142" s="41" t="s">
        <v>514</v>
      </c>
      <c r="C142" s="41" t="s">
        <v>355</v>
      </c>
      <c r="D142" s="40"/>
      <c r="E142" s="40"/>
      <c r="F142" s="40"/>
      <c r="G142" s="31"/>
      <c r="H142" s="32"/>
      <c r="I142" s="29"/>
      <c r="J142" s="172"/>
      <c r="L142" s="41" t="s">
        <v>514</v>
      </c>
      <c r="M142" s="41" t="s">
        <v>355</v>
      </c>
      <c r="N142" s="40"/>
      <c r="O142" s="40"/>
      <c r="P142" s="40"/>
      <c r="Q142" s="31"/>
      <c r="R142" s="32"/>
      <c r="S142" s="29"/>
      <c r="T142" s="172"/>
      <c r="V142" s="41" t="s">
        <v>514</v>
      </c>
      <c r="W142" s="41" t="s">
        <v>355</v>
      </c>
      <c r="X142" s="40"/>
      <c r="Y142" s="40"/>
      <c r="Z142" s="40"/>
      <c r="AA142" s="31"/>
      <c r="AB142" s="32"/>
      <c r="AC142" s="29"/>
      <c r="AE142" s="41" t="s">
        <v>514</v>
      </c>
      <c r="AF142" s="41" t="s">
        <v>355</v>
      </c>
      <c r="AG142" s="40"/>
      <c r="AH142" s="40"/>
      <c r="AI142" s="40"/>
      <c r="AJ142" s="31"/>
      <c r="AK142" s="32"/>
      <c r="AL142" s="29"/>
      <c r="AN142" s="41" t="s">
        <v>514</v>
      </c>
      <c r="AO142" s="41" t="s">
        <v>355</v>
      </c>
      <c r="AP142" s="40"/>
      <c r="AQ142" s="40"/>
      <c r="AR142" s="40"/>
      <c r="AS142" s="31"/>
      <c r="AT142" s="32"/>
      <c r="AU142" s="29"/>
      <c r="AW142" s="41" t="s">
        <v>514</v>
      </c>
      <c r="AX142" s="41" t="s">
        <v>355</v>
      </c>
      <c r="AY142" s="40"/>
      <c r="AZ142" s="40"/>
      <c r="BA142" s="40"/>
      <c r="BB142" s="31"/>
      <c r="BC142" s="32"/>
      <c r="BD142" s="29"/>
      <c r="BF142" s="41" t="s">
        <v>514</v>
      </c>
      <c r="BG142" s="41" t="s">
        <v>355</v>
      </c>
      <c r="BH142" s="40"/>
      <c r="BI142" s="40"/>
      <c r="BJ142" s="40"/>
      <c r="BK142" s="31"/>
      <c r="BL142" s="32"/>
      <c r="BM142" s="29"/>
    </row>
    <row r="143" spans="2:65" outlineLevel="1">
      <c r="B143" s="41" t="s">
        <v>514</v>
      </c>
      <c r="C143" s="41" t="s">
        <v>355</v>
      </c>
      <c r="D143" s="40"/>
      <c r="E143" s="40"/>
      <c r="F143" s="40"/>
      <c r="G143" s="31"/>
      <c r="H143" s="32"/>
      <c r="I143" s="29"/>
      <c r="J143" s="172"/>
      <c r="L143" s="41" t="s">
        <v>514</v>
      </c>
      <c r="M143" s="41" t="s">
        <v>355</v>
      </c>
      <c r="N143" s="40"/>
      <c r="O143" s="40"/>
      <c r="P143" s="40"/>
      <c r="Q143" s="31"/>
      <c r="R143" s="32"/>
      <c r="S143" s="29"/>
      <c r="T143" s="172"/>
      <c r="V143" s="41" t="s">
        <v>514</v>
      </c>
      <c r="W143" s="41" t="s">
        <v>355</v>
      </c>
      <c r="X143" s="40"/>
      <c r="Y143" s="40"/>
      <c r="Z143" s="40"/>
      <c r="AA143" s="31"/>
      <c r="AB143" s="32"/>
      <c r="AC143" s="29"/>
      <c r="AE143" s="41" t="s">
        <v>514</v>
      </c>
      <c r="AF143" s="41" t="s">
        <v>355</v>
      </c>
      <c r="AG143" s="40"/>
      <c r="AH143" s="40"/>
      <c r="AI143" s="40"/>
      <c r="AJ143" s="31"/>
      <c r="AK143" s="32"/>
      <c r="AL143" s="29"/>
      <c r="AN143" s="41" t="s">
        <v>514</v>
      </c>
      <c r="AO143" s="41" t="s">
        <v>355</v>
      </c>
      <c r="AP143" s="40"/>
      <c r="AQ143" s="40"/>
      <c r="AR143" s="40"/>
      <c r="AS143" s="31"/>
      <c r="AT143" s="32"/>
      <c r="AU143" s="29"/>
      <c r="AW143" s="41" t="s">
        <v>514</v>
      </c>
      <c r="AX143" s="41" t="s">
        <v>355</v>
      </c>
      <c r="AY143" s="40"/>
      <c r="AZ143" s="40"/>
      <c r="BA143" s="40"/>
      <c r="BB143" s="31"/>
      <c r="BC143" s="32"/>
      <c r="BD143" s="29"/>
      <c r="BF143" s="41" t="s">
        <v>514</v>
      </c>
      <c r="BG143" s="41" t="s">
        <v>355</v>
      </c>
      <c r="BH143" s="40"/>
      <c r="BI143" s="40"/>
      <c r="BJ143" s="40"/>
      <c r="BK143" s="31"/>
      <c r="BL143" s="32"/>
      <c r="BM143" s="29"/>
    </row>
    <row r="144" spans="2:65" outlineLevel="1">
      <c r="B144" s="41" t="s">
        <v>514</v>
      </c>
      <c r="C144" s="41" t="s">
        <v>355</v>
      </c>
      <c r="D144" s="40"/>
      <c r="E144" s="40"/>
      <c r="F144" s="40"/>
      <c r="G144" s="31"/>
      <c r="H144" s="32"/>
      <c r="I144" s="29"/>
      <c r="J144" s="172"/>
      <c r="L144" s="41" t="s">
        <v>514</v>
      </c>
      <c r="M144" s="41" t="s">
        <v>355</v>
      </c>
      <c r="N144" s="40"/>
      <c r="O144" s="40"/>
      <c r="P144" s="40"/>
      <c r="Q144" s="31"/>
      <c r="R144" s="32"/>
      <c r="S144" s="29"/>
      <c r="T144" s="172"/>
      <c r="V144" s="41" t="s">
        <v>514</v>
      </c>
      <c r="W144" s="41" t="s">
        <v>355</v>
      </c>
      <c r="X144" s="40"/>
      <c r="Y144" s="40"/>
      <c r="Z144" s="40"/>
      <c r="AA144" s="31"/>
      <c r="AB144" s="32"/>
      <c r="AC144" s="29"/>
      <c r="AE144" s="41" t="s">
        <v>514</v>
      </c>
      <c r="AF144" s="41" t="s">
        <v>355</v>
      </c>
      <c r="AG144" s="40"/>
      <c r="AH144" s="40"/>
      <c r="AI144" s="40"/>
      <c r="AJ144" s="31"/>
      <c r="AK144" s="32"/>
      <c r="AL144" s="29"/>
      <c r="AN144" s="41" t="s">
        <v>514</v>
      </c>
      <c r="AO144" s="41" t="s">
        <v>355</v>
      </c>
      <c r="AP144" s="40"/>
      <c r="AQ144" s="40"/>
      <c r="AR144" s="40"/>
      <c r="AS144" s="31"/>
      <c r="AT144" s="32"/>
      <c r="AU144" s="29"/>
      <c r="AW144" s="41" t="s">
        <v>514</v>
      </c>
      <c r="AX144" s="41" t="s">
        <v>355</v>
      </c>
      <c r="AY144" s="40"/>
      <c r="AZ144" s="40"/>
      <c r="BA144" s="40"/>
      <c r="BB144" s="31"/>
      <c r="BC144" s="32"/>
      <c r="BD144" s="29"/>
      <c r="BF144" s="41" t="s">
        <v>514</v>
      </c>
      <c r="BG144" s="41" t="s">
        <v>355</v>
      </c>
      <c r="BH144" s="40"/>
      <c r="BI144" s="40"/>
      <c r="BJ144" s="40"/>
      <c r="BK144" s="31"/>
      <c r="BL144" s="32"/>
      <c r="BM144" s="29"/>
    </row>
    <row r="145" spans="2:65" outlineLevel="1">
      <c r="B145" s="41" t="s">
        <v>514</v>
      </c>
      <c r="C145" s="41" t="s">
        <v>355</v>
      </c>
      <c r="D145" s="40"/>
      <c r="E145" s="40"/>
      <c r="F145" s="40"/>
      <c r="G145" s="31"/>
      <c r="H145" s="32"/>
      <c r="I145" s="29"/>
      <c r="J145" s="172"/>
      <c r="L145" s="41" t="s">
        <v>514</v>
      </c>
      <c r="M145" s="41" t="s">
        <v>355</v>
      </c>
      <c r="N145" s="40"/>
      <c r="O145" s="40"/>
      <c r="P145" s="40"/>
      <c r="Q145" s="31"/>
      <c r="R145" s="32"/>
      <c r="S145" s="29"/>
      <c r="T145" s="172"/>
      <c r="V145" s="41" t="s">
        <v>514</v>
      </c>
      <c r="W145" s="41" t="s">
        <v>355</v>
      </c>
      <c r="X145" s="40"/>
      <c r="Y145" s="40"/>
      <c r="Z145" s="40"/>
      <c r="AA145" s="31"/>
      <c r="AB145" s="32"/>
      <c r="AC145" s="29"/>
      <c r="AE145" s="41" t="s">
        <v>514</v>
      </c>
      <c r="AF145" s="41" t="s">
        <v>355</v>
      </c>
      <c r="AG145" s="40"/>
      <c r="AH145" s="40"/>
      <c r="AI145" s="40"/>
      <c r="AJ145" s="31"/>
      <c r="AK145" s="32"/>
      <c r="AL145" s="29"/>
      <c r="AN145" s="41" t="s">
        <v>514</v>
      </c>
      <c r="AO145" s="41" t="s">
        <v>355</v>
      </c>
      <c r="AP145" s="40"/>
      <c r="AQ145" s="40"/>
      <c r="AR145" s="40"/>
      <c r="AS145" s="31"/>
      <c r="AT145" s="32"/>
      <c r="AU145" s="29"/>
      <c r="AW145" s="41" t="s">
        <v>514</v>
      </c>
      <c r="AX145" s="41" t="s">
        <v>355</v>
      </c>
      <c r="AY145" s="40"/>
      <c r="AZ145" s="40"/>
      <c r="BA145" s="40"/>
      <c r="BB145" s="31"/>
      <c r="BC145" s="32"/>
      <c r="BD145" s="29"/>
      <c r="BF145" s="41" t="s">
        <v>514</v>
      </c>
      <c r="BG145" s="41" t="s">
        <v>355</v>
      </c>
      <c r="BH145" s="40"/>
      <c r="BI145" s="40"/>
      <c r="BJ145" s="40"/>
      <c r="BK145" s="31"/>
      <c r="BL145" s="32"/>
      <c r="BM145" s="29"/>
    </row>
    <row r="146" spans="2:65" outlineLevel="1">
      <c r="B146" s="41" t="s">
        <v>514</v>
      </c>
      <c r="C146" s="41" t="s">
        <v>355</v>
      </c>
      <c r="D146" s="40"/>
      <c r="E146" s="40"/>
      <c r="F146" s="40"/>
      <c r="G146" s="31"/>
      <c r="H146" s="32"/>
      <c r="I146" s="29"/>
      <c r="J146" s="172"/>
      <c r="L146" s="41" t="s">
        <v>514</v>
      </c>
      <c r="M146" s="41" t="s">
        <v>355</v>
      </c>
      <c r="N146" s="40"/>
      <c r="O146" s="40"/>
      <c r="P146" s="40"/>
      <c r="Q146" s="31"/>
      <c r="R146" s="32"/>
      <c r="S146" s="29"/>
      <c r="T146" s="172"/>
      <c r="V146" s="41" t="s">
        <v>514</v>
      </c>
      <c r="W146" s="41" t="s">
        <v>355</v>
      </c>
      <c r="X146" s="40"/>
      <c r="Y146" s="40"/>
      <c r="Z146" s="40"/>
      <c r="AA146" s="31"/>
      <c r="AB146" s="32"/>
      <c r="AC146" s="29"/>
      <c r="AE146" s="41" t="s">
        <v>514</v>
      </c>
      <c r="AF146" s="41" t="s">
        <v>355</v>
      </c>
      <c r="AG146" s="40"/>
      <c r="AH146" s="40"/>
      <c r="AI146" s="40"/>
      <c r="AJ146" s="31"/>
      <c r="AK146" s="32"/>
      <c r="AL146" s="29"/>
      <c r="AN146" s="41" t="s">
        <v>514</v>
      </c>
      <c r="AO146" s="41" t="s">
        <v>355</v>
      </c>
      <c r="AP146" s="40"/>
      <c r="AQ146" s="40"/>
      <c r="AR146" s="40"/>
      <c r="AS146" s="31"/>
      <c r="AT146" s="32"/>
      <c r="AU146" s="29"/>
      <c r="AW146" s="41" t="s">
        <v>514</v>
      </c>
      <c r="AX146" s="41" t="s">
        <v>355</v>
      </c>
      <c r="AY146" s="40"/>
      <c r="AZ146" s="40"/>
      <c r="BA146" s="40"/>
      <c r="BB146" s="31"/>
      <c r="BC146" s="32"/>
      <c r="BD146" s="29"/>
      <c r="BF146" s="41" t="s">
        <v>514</v>
      </c>
      <c r="BG146" s="41" t="s">
        <v>355</v>
      </c>
      <c r="BH146" s="40"/>
      <c r="BI146" s="40"/>
      <c r="BJ146" s="40"/>
      <c r="BK146" s="31"/>
      <c r="BL146" s="32"/>
      <c r="BM146" s="29"/>
    </row>
    <row r="147" spans="2:65" outlineLevel="1">
      <c r="B147" s="41" t="s">
        <v>514</v>
      </c>
      <c r="C147" s="41" t="s">
        <v>355</v>
      </c>
      <c r="D147" s="40"/>
      <c r="E147" s="40"/>
      <c r="F147" s="40"/>
      <c r="G147" s="31"/>
      <c r="H147" s="32"/>
      <c r="I147" s="29"/>
      <c r="J147" s="172"/>
      <c r="L147" s="41" t="s">
        <v>514</v>
      </c>
      <c r="M147" s="41" t="s">
        <v>355</v>
      </c>
      <c r="N147" s="40"/>
      <c r="O147" s="40"/>
      <c r="P147" s="40"/>
      <c r="Q147" s="31"/>
      <c r="R147" s="32"/>
      <c r="S147" s="29"/>
      <c r="T147" s="172"/>
      <c r="V147" s="41" t="s">
        <v>514</v>
      </c>
      <c r="W147" s="41" t="s">
        <v>355</v>
      </c>
      <c r="X147" s="40"/>
      <c r="Y147" s="40"/>
      <c r="Z147" s="40"/>
      <c r="AA147" s="31"/>
      <c r="AB147" s="32"/>
      <c r="AC147" s="29"/>
      <c r="AE147" s="41" t="s">
        <v>514</v>
      </c>
      <c r="AF147" s="41" t="s">
        <v>355</v>
      </c>
      <c r="AG147" s="40"/>
      <c r="AH147" s="40"/>
      <c r="AI147" s="40"/>
      <c r="AJ147" s="31"/>
      <c r="AK147" s="32"/>
      <c r="AL147" s="29"/>
      <c r="AN147" s="41" t="s">
        <v>514</v>
      </c>
      <c r="AO147" s="41" t="s">
        <v>355</v>
      </c>
      <c r="AP147" s="40"/>
      <c r="AQ147" s="40"/>
      <c r="AR147" s="40"/>
      <c r="AS147" s="31"/>
      <c r="AT147" s="32"/>
      <c r="AU147" s="29"/>
      <c r="AW147" s="41" t="s">
        <v>514</v>
      </c>
      <c r="AX147" s="41" t="s">
        <v>355</v>
      </c>
      <c r="AY147" s="40"/>
      <c r="AZ147" s="40"/>
      <c r="BA147" s="40"/>
      <c r="BB147" s="31"/>
      <c r="BC147" s="32"/>
      <c r="BD147" s="29"/>
      <c r="BF147" s="41" t="s">
        <v>514</v>
      </c>
      <c r="BG147" s="41" t="s">
        <v>355</v>
      </c>
      <c r="BH147" s="40"/>
      <c r="BI147" s="40"/>
      <c r="BJ147" s="40"/>
      <c r="BK147" s="31"/>
      <c r="BL147" s="32"/>
      <c r="BM147" s="29"/>
    </row>
    <row r="148" spans="2:65" outlineLevel="1">
      <c r="B148" s="41" t="s">
        <v>514</v>
      </c>
      <c r="C148" s="41" t="s">
        <v>355</v>
      </c>
      <c r="D148" s="40"/>
      <c r="E148" s="40"/>
      <c r="F148" s="40"/>
      <c r="G148" s="31"/>
      <c r="H148" s="32"/>
      <c r="I148" s="29"/>
      <c r="J148" s="172"/>
      <c r="L148" s="41" t="s">
        <v>514</v>
      </c>
      <c r="M148" s="41" t="s">
        <v>355</v>
      </c>
      <c r="N148" s="40"/>
      <c r="O148" s="40"/>
      <c r="P148" s="40"/>
      <c r="Q148" s="31"/>
      <c r="R148" s="32"/>
      <c r="S148" s="29"/>
      <c r="T148" s="172"/>
      <c r="V148" s="41" t="s">
        <v>514</v>
      </c>
      <c r="W148" s="41" t="s">
        <v>355</v>
      </c>
      <c r="X148" s="40"/>
      <c r="Y148" s="40"/>
      <c r="Z148" s="40"/>
      <c r="AA148" s="31"/>
      <c r="AB148" s="32"/>
      <c r="AC148" s="29"/>
      <c r="AE148" s="41" t="s">
        <v>514</v>
      </c>
      <c r="AF148" s="41" t="s">
        <v>355</v>
      </c>
      <c r="AG148" s="40"/>
      <c r="AH148" s="40"/>
      <c r="AI148" s="40"/>
      <c r="AJ148" s="31"/>
      <c r="AK148" s="32"/>
      <c r="AL148" s="29"/>
      <c r="AN148" s="41" t="s">
        <v>514</v>
      </c>
      <c r="AO148" s="41" t="s">
        <v>355</v>
      </c>
      <c r="AP148" s="40"/>
      <c r="AQ148" s="40"/>
      <c r="AR148" s="40"/>
      <c r="AS148" s="31"/>
      <c r="AT148" s="32"/>
      <c r="AU148" s="29"/>
      <c r="AW148" s="41" t="s">
        <v>514</v>
      </c>
      <c r="AX148" s="41" t="s">
        <v>355</v>
      </c>
      <c r="AY148" s="40"/>
      <c r="AZ148" s="40"/>
      <c r="BA148" s="40"/>
      <c r="BB148" s="31"/>
      <c r="BC148" s="32"/>
      <c r="BD148" s="29"/>
      <c r="BF148" s="41" t="s">
        <v>514</v>
      </c>
      <c r="BG148" s="41" t="s">
        <v>355</v>
      </c>
      <c r="BH148" s="40"/>
      <c r="BI148" s="40"/>
      <c r="BJ148" s="40"/>
      <c r="BK148" s="31"/>
      <c r="BL148" s="32"/>
      <c r="BM148" s="29"/>
    </row>
    <row r="149" spans="2:65">
      <c r="B149" s="8" t="s">
        <v>519</v>
      </c>
      <c r="C149" s="25"/>
      <c r="D149" s="28">
        <f t="shared" ref="D149:F149" si="109">SUM(D134:D148)</f>
        <v>0</v>
      </c>
      <c r="E149" s="28">
        <f t="shared" si="109"/>
        <v>0</v>
      </c>
      <c r="F149" s="28">
        <f t="shared" si="109"/>
        <v>0</v>
      </c>
      <c r="G149" s="25"/>
      <c r="H149" s="26"/>
      <c r="I149" s="30"/>
      <c r="J149" s="171"/>
      <c r="L149" s="8" t="s">
        <v>519</v>
      </c>
      <c r="M149" s="25"/>
      <c r="N149" s="28">
        <f t="shared" ref="N149:P149" si="110">SUM(N134:N148)</f>
        <v>0</v>
      </c>
      <c r="O149" s="28">
        <f t="shared" si="110"/>
        <v>0</v>
      </c>
      <c r="P149" s="28">
        <f t="shared" si="110"/>
        <v>0</v>
      </c>
      <c r="Q149" s="25"/>
      <c r="R149" s="26"/>
      <c r="S149" s="30"/>
      <c r="T149" s="171"/>
      <c r="V149" s="8" t="s">
        <v>519</v>
      </c>
      <c r="W149" s="25"/>
      <c r="X149" s="30"/>
      <c r="Y149" s="30"/>
      <c r="Z149" s="28">
        <f t="shared" ref="Z149" si="111">SUM(Z134:Z148)</f>
        <v>0</v>
      </c>
      <c r="AA149" s="25"/>
      <c r="AB149" s="26"/>
      <c r="AC149" s="30"/>
      <c r="AE149" s="8" t="s">
        <v>519</v>
      </c>
      <c r="AF149" s="25"/>
      <c r="AG149" s="30"/>
      <c r="AH149" s="30"/>
      <c r="AI149" s="28">
        <f t="shared" ref="AI149" si="112">SUM(AI134:AI148)</f>
        <v>0</v>
      </c>
      <c r="AJ149" s="25"/>
      <c r="AK149" s="26"/>
      <c r="AL149" s="30"/>
      <c r="AN149" s="8" t="s">
        <v>519</v>
      </c>
      <c r="AO149" s="25"/>
      <c r="AP149" s="30"/>
      <c r="AQ149" s="30"/>
      <c r="AR149" s="28">
        <f t="shared" ref="AR149" si="113">SUM(AR134:AR148)</f>
        <v>0</v>
      </c>
      <c r="AS149" s="25"/>
      <c r="AT149" s="26"/>
      <c r="AU149" s="30"/>
      <c r="AW149" s="8" t="s">
        <v>519</v>
      </c>
      <c r="AX149" s="25"/>
      <c r="AY149" s="30"/>
      <c r="AZ149" s="30"/>
      <c r="BA149" s="28">
        <f t="shared" ref="BA149" si="114">SUM(BA134:BA148)</f>
        <v>0</v>
      </c>
      <c r="BB149" s="25"/>
      <c r="BC149" s="26"/>
      <c r="BD149" s="30"/>
      <c r="BF149" s="8" t="s">
        <v>519</v>
      </c>
      <c r="BG149" s="25"/>
      <c r="BH149" s="30"/>
      <c r="BI149" s="30"/>
      <c r="BJ149" s="28">
        <f t="shared" ref="BJ149" si="115">SUM(BJ134:BJ148)</f>
        <v>0</v>
      </c>
      <c r="BK149" s="25"/>
      <c r="BL149" s="26"/>
      <c r="BM149" s="30"/>
    </row>
    <row r="151" spans="2:65" s="20" customFormat="1" ht="41.4">
      <c r="B151" s="27" t="s">
        <v>18</v>
      </c>
      <c r="C151" s="3" t="str">
        <f>C$43</f>
        <v>Source</v>
      </c>
      <c r="D151" s="3" t="str">
        <f t="shared" ref="D151:I151" si="116">D$43</f>
        <v>Limit (A)</v>
      </c>
      <c r="E151" s="3" t="str">
        <f t="shared" si="116"/>
        <v>Outstanding (A1)</v>
      </c>
      <c r="F151" s="3" t="str">
        <f t="shared" si="116"/>
        <v>Monthly Repayment (B)</v>
      </c>
      <c r="G151" s="3" t="str">
        <f t="shared" si="116"/>
        <v>Interest Rate (C)</v>
      </c>
      <c r="H151" s="3" t="str">
        <f t="shared" si="116"/>
        <v>Factor (D)</v>
      </c>
      <c r="I151" s="3" t="str">
        <f t="shared" si="116"/>
        <v>Interest (E) = (A or A1) * (C) * (D)</v>
      </c>
      <c r="J151" s="173" t="s">
        <v>450</v>
      </c>
      <c r="L151" s="27" t="s">
        <v>18</v>
      </c>
      <c r="M151" s="3" t="str">
        <f>M$43</f>
        <v>Source</v>
      </c>
      <c r="N151" s="3" t="str">
        <f t="shared" ref="N151:S151" si="117">N$43</f>
        <v>Limit (A)</v>
      </c>
      <c r="O151" s="3" t="str">
        <f t="shared" si="117"/>
        <v>Outstanding (A1)</v>
      </c>
      <c r="P151" s="3" t="str">
        <f t="shared" si="117"/>
        <v>Monthly Repayment (B)</v>
      </c>
      <c r="Q151" s="3" t="str">
        <f t="shared" si="117"/>
        <v>Interest Rate (C)</v>
      </c>
      <c r="R151" s="3" t="str">
        <f t="shared" si="117"/>
        <v>Factor (D)</v>
      </c>
      <c r="S151" s="3" t="str">
        <f t="shared" si="117"/>
        <v>Interest (E) = (A or A1) * (C) * (D)</v>
      </c>
      <c r="T151" s="173" t="s">
        <v>450</v>
      </c>
      <c r="V151" s="27" t="s">
        <v>18</v>
      </c>
      <c r="W151" s="3" t="str">
        <f>W$43</f>
        <v>Source</v>
      </c>
      <c r="X151" s="3" t="str">
        <f t="shared" ref="X151:AC151" si="118">X$43</f>
        <v>Limit (A)</v>
      </c>
      <c r="Y151" s="3" t="str">
        <f t="shared" si="118"/>
        <v>Outstanding (A1)</v>
      </c>
      <c r="Z151" s="3" t="str">
        <f t="shared" si="118"/>
        <v>Monthly Repayment (B)</v>
      </c>
      <c r="AA151" s="3" t="str">
        <f t="shared" si="118"/>
        <v>Interest Rate (C)</v>
      </c>
      <c r="AB151" s="3" t="str">
        <f t="shared" si="118"/>
        <v>Factor (D)</v>
      </c>
      <c r="AC151" s="3" t="str">
        <f t="shared" si="118"/>
        <v>Interest (E) = (A or A1) * (C) * (D)</v>
      </c>
      <c r="AE151" s="27" t="s">
        <v>18</v>
      </c>
      <c r="AF151" s="3" t="str">
        <f>AF$43</f>
        <v>Source</v>
      </c>
      <c r="AG151" s="3" t="str">
        <f t="shared" ref="AG151:AL151" si="119">AG$43</f>
        <v>Limit (A)</v>
      </c>
      <c r="AH151" s="3" t="str">
        <f t="shared" si="119"/>
        <v>Outstanding (A1)</v>
      </c>
      <c r="AI151" s="3" t="str">
        <f t="shared" si="119"/>
        <v>Monthly Repayment (B)</v>
      </c>
      <c r="AJ151" s="3" t="str">
        <f t="shared" si="119"/>
        <v>Interest Rate (C)</v>
      </c>
      <c r="AK151" s="3" t="str">
        <f t="shared" si="119"/>
        <v>Factor (D)</v>
      </c>
      <c r="AL151" s="3" t="str">
        <f t="shared" si="119"/>
        <v>Interest (E) = (A or A1) * (C) * (D)</v>
      </c>
      <c r="AN151" s="27" t="s">
        <v>18</v>
      </c>
      <c r="AO151" s="3" t="str">
        <f>AO$43</f>
        <v>Source</v>
      </c>
      <c r="AP151" s="3" t="str">
        <f t="shared" ref="AP151:AU151" si="120">AP$43</f>
        <v>Limit (A)</v>
      </c>
      <c r="AQ151" s="3" t="str">
        <f t="shared" si="120"/>
        <v>Outstanding (A1)</v>
      </c>
      <c r="AR151" s="3" t="str">
        <f t="shared" si="120"/>
        <v>Monthly Repayment (B)</v>
      </c>
      <c r="AS151" s="3" t="str">
        <f t="shared" si="120"/>
        <v>Interest Rate (C)</v>
      </c>
      <c r="AT151" s="3" t="str">
        <f t="shared" si="120"/>
        <v>Factor (D)</v>
      </c>
      <c r="AU151" s="3" t="str">
        <f t="shared" si="120"/>
        <v>Interest (E) = (A or A1) * (C) * (D)</v>
      </c>
      <c r="AW151" s="27" t="s">
        <v>18</v>
      </c>
      <c r="AX151" s="3" t="str">
        <f>AX$43</f>
        <v>Source</v>
      </c>
      <c r="AY151" s="3" t="str">
        <f t="shared" ref="AY151:BD151" si="121">AY$43</f>
        <v>Limit (A)</v>
      </c>
      <c r="AZ151" s="3" t="str">
        <f t="shared" si="121"/>
        <v>Outstanding (A1)</v>
      </c>
      <c r="BA151" s="3" t="str">
        <f t="shared" si="121"/>
        <v>Monthly Repayment (B)</v>
      </c>
      <c r="BB151" s="3" t="str">
        <f t="shared" si="121"/>
        <v>Interest Rate (C)</v>
      </c>
      <c r="BC151" s="3" t="str">
        <f t="shared" si="121"/>
        <v>Factor (D)</v>
      </c>
      <c r="BD151" s="3" t="str">
        <f t="shared" si="121"/>
        <v>Interest (E) = (A or A1) * (C) * (D)</v>
      </c>
      <c r="BF151" s="27" t="s">
        <v>18</v>
      </c>
      <c r="BG151" s="3" t="str">
        <f>BG$43</f>
        <v>Source</v>
      </c>
      <c r="BH151" s="3" t="str">
        <f t="shared" ref="BH151:BM151" si="122">BH$43</f>
        <v>Limit (A)</v>
      </c>
      <c r="BI151" s="3" t="str">
        <f t="shared" si="122"/>
        <v>Outstanding (A1)</v>
      </c>
      <c r="BJ151" s="3" t="str">
        <f t="shared" si="122"/>
        <v>Monthly Repayment (B)</v>
      </c>
      <c r="BK151" s="3" t="str">
        <f t="shared" si="122"/>
        <v>Interest Rate (C)</v>
      </c>
      <c r="BL151" s="3" t="str">
        <f t="shared" si="122"/>
        <v>Factor (D)</v>
      </c>
      <c r="BM151" s="3" t="str">
        <f t="shared" si="122"/>
        <v>Interest (E) = (A or A1) * (C) * (D)</v>
      </c>
    </row>
    <row r="152" spans="2:65">
      <c r="B152" s="41" t="s">
        <v>514</v>
      </c>
      <c r="C152" s="41" t="s">
        <v>355</v>
      </c>
      <c r="D152" s="40"/>
      <c r="E152" s="40"/>
      <c r="F152" s="29"/>
      <c r="G152" s="31"/>
      <c r="H152" s="23">
        <v>0.05</v>
      </c>
      <c r="I152" s="75">
        <f>E152*H152</f>
        <v>0</v>
      </c>
      <c r="J152" s="172"/>
      <c r="L152" s="41" t="s">
        <v>514</v>
      </c>
      <c r="M152" s="41" t="s">
        <v>355</v>
      </c>
      <c r="N152" s="40"/>
      <c r="O152" s="40"/>
      <c r="P152" s="29"/>
      <c r="Q152" s="31"/>
      <c r="R152" s="23">
        <v>0.05</v>
      </c>
      <c r="S152" s="75">
        <f>O152*R152</f>
        <v>0</v>
      </c>
      <c r="T152" s="172"/>
      <c r="V152" s="41" t="s">
        <v>514</v>
      </c>
      <c r="W152" s="41" t="s">
        <v>355</v>
      </c>
      <c r="X152" s="40"/>
      <c r="Y152" s="40"/>
      <c r="Z152" s="29"/>
      <c r="AA152" s="31"/>
      <c r="AB152" s="23">
        <v>0.05</v>
      </c>
      <c r="AC152" s="75">
        <f>Y152*AB152</f>
        <v>0</v>
      </c>
      <c r="AE152" s="41" t="s">
        <v>514</v>
      </c>
      <c r="AF152" s="41" t="s">
        <v>355</v>
      </c>
      <c r="AG152" s="40"/>
      <c r="AH152" s="40"/>
      <c r="AI152" s="29"/>
      <c r="AJ152" s="31"/>
      <c r="AK152" s="23">
        <v>0.05</v>
      </c>
      <c r="AL152" s="75">
        <f>AH152*AK152</f>
        <v>0</v>
      </c>
      <c r="AN152" s="41" t="s">
        <v>514</v>
      </c>
      <c r="AO152" s="41" t="s">
        <v>355</v>
      </c>
      <c r="AP152" s="40"/>
      <c r="AQ152" s="40"/>
      <c r="AR152" s="29"/>
      <c r="AS152" s="31"/>
      <c r="AT152" s="23">
        <v>0.05</v>
      </c>
      <c r="AU152" s="75">
        <f>AQ152*AT152</f>
        <v>0</v>
      </c>
      <c r="AW152" s="41" t="s">
        <v>514</v>
      </c>
      <c r="AX152" s="41" t="s">
        <v>355</v>
      </c>
      <c r="AY152" s="40"/>
      <c r="AZ152" s="40"/>
      <c r="BA152" s="29"/>
      <c r="BB152" s="31"/>
      <c r="BC152" s="23">
        <v>0.05</v>
      </c>
      <c r="BD152" s="75">
        <f>AZ152*BC152</f>
        <v>0</v>
      </c>
      <c r="BF152" s="41" t="s">
        <v>514</v>
      </c>
      <c r="BG152" s="41" t="s">
        <v>355</v>
      </c>
      <c r="BH152" s="40"/>
      <c r="BI152" s="40"/>
      <c r="BJ152" s="29"/>
      <c r="BK152" s="31"/>
      <c r="BL152" s="23">
        <v>0.05</v>
      </c>
      <c r="BM152" s="75">
        <f>BI152*BL152</f>
        <v>0</v>
      </c>
    </row>
    <row r="153" spans="2:65">
      <c r="B153" s="41" t="s">
        <v>514</v>
      </c>
      <c r="C153" s="41" t="s">
        <v>355</v>
      </c>
      <c r="D153" s="246"/>
      <c r="E153" s="40"/>
      <c r="F153" s="29"/>
      <c r="G153" s="31"/>
      <c r="H153" s="23">
        <v>0.05</v>
      </c>
      <c r="I153" s="75">
        <f t="shared" ref="I153:I166" si="123">E153*H153</f>
        <v>0</v>
      </c>
      <c r="J153" s="172"/>
      <c r="L153" s="41" t="s">
        <v>514</v>
      </c>
      <c r="M153" s="41" t="s">
        <v>355</v>
      </c>
      <c r="N153" s="40"/>
      <c r="O153" s="40"/>
      <c r="P153" s="29"/>
      <c r="Q153" s="31"/>
      <c r="R153" s="23">
        <v>0.05</v>
      </c>
      <c r="S153" s="75">
        <f t="shared" ref="S153:S166" si="124">O153*R153</f>
        <v>0</v>
      </c>
      <c r="T153" s="172"/>
      <c r="V153" s="41" t="s">
        <v>514</v>
      </c>
      <c r="W153" s="41" t="s">
        <v>355</v>
      </c>
      <c r="X153" s="40"/>
      <c r="Y153" s="40"/>
      <c r="Z153" s="29"/>
      <c r="AA153" s="31"/>
      <c r="AB153" s="23">
        <v>0.05</v>
      </c>
      <c r="AC153" s="75">
        <f t="shared" ref="AC153:AC166" si="125">Y153*AB153</f>
        <v>0</v>
      </c>
      <c r="AE153" s="41" t="s">
        <v>514</v>
      </c>
      <c r="AF153" s="41" t="s">
        <v>355</v>
      </c>
      <c r="AG153" s="40"/>
      <c r="AH153" s="40"/>
      <c r="AI153" s="29"/>
      <c r="AJ153" s="31"/>
      <c r="AK153" s="23">
        <v>0.05</v>
      </c>
      <c r="AL153" s="75">
        <f t="shared" ref="AL153:AL166" si="126">AH153*AK153</f>
        <v>0</v>
      </c>
      <c r="AN153" s="41" t="s">
        <v>514</v>
      </c>
      <c r="AO153" s="41" t="s">
        <v>355</v>
      </c>
      <c r="AP153" s="40"/>
      <c r="AQ153" s="40"/>
      <c r="AR153" s="29"/>
      <c r="AS153" s="31"/>
      <c r="AT153" s="23">
        <v>0.05</v>
      </c>
      <c r="AU153" s="75">
        <f t="shared" ref="AU153:AU166" si="127">AQ153*AT153</f>
        <v>0</v>
      </c>
      <c r="AW153" s="41" t="s">
        <v>514</v>
      </c>
      <c r="AX153" s="41" t="s">
        <v>355</v>
      </c>
      <c r="AY153" s="40"/>
      <c r="AZ153" s="40"/>
      <c r="BA153" s="29"/>
      <c r="BB153" s="31"/>
      <c r="BC153" s="23">
        <v>0.05</v>
      </c>
      <c r="BD153" s="75">
        <f t="shared" ref="BD153:BD166" si="128">AZ153*BC153</f>
        <v>0</v>
      </c>
      <c r="BF153" s="41" t="s">
        <v>514</v>
      </c>
      <c r="BG153" s="41" t="s">
        <v>355</v>
      </c>
      <c r="BH153" s="40"/>
      <c r="BI153" s="40"/>
      <c r="BJ153" s="29"/>
      <c r="BK153" s="31"/>
      <c r="BL153" s="23">
        <v>0.05</v>
      </c>
      <c r="BM153" s="75">
        <f t="shared" ref="BM153:BM166" si="129">BI153*BL153</f>
        <v>0</v>
      </c>
    </row>
    <row r="154" spans="2:65">
      <c r="B154" s="41" t="s">
        <v>514</v>
      </c>
      <c r="C154" s="41" t="s">
        <v>355</v>
      </c>
      <c r="D154" s="40"/>
      <c r="E154" s="40"/>
      <c r="F154" s="29"/>
      <c r="G154" s="31"/>
      <c r="H154" s="23">
        <v>0.05</v>
      </c>
      <c r="I154" s="75">
        <f t="shared" si="123"/>
        <v>0</v>
      </c>
      <c r="J154" s="172"/>
      <c r="L154" s="41" t="s">
        <v>514</v>
      </c>
      <c r="M154" s="41" t="s">
        <v>355</v>
      </c>
      <c r="N154" s="40"/>
      <c r="O154" s="40"/>
      <c r="P154" s="29"/>
      <c r="Q154" s="31"/>
      <c r="R154" s="23">
        <v>0.05</v>
      </c>
      <c r="S154" s="75">
        <f t="shared" si="124"/>
        <v>0</v>
      </c>
      <c r="T154" s="172"/>
      <c r="V154" s="41" t="s">
        <v>514</v>
      </c>
      <c r="W154" s="41" t="s">
        <v>355</v>
      </c>
      <c r="X154" s="40"/>
      <c r="Y154" s="40"/>
      <c r="Z154" s="29"/>
      <c r="AA154" s="31"/>
      <c r="AB154" s="23">
        <v>0.05</v>
      </c>
      <c r="AC154" s="75">
        <f t="shared" si="125"/>
        <v>0</v>
      </c>
      <c r="AE154" s="41" t="s">
        <v>514</v>
      </c>
      <c r="AF154" s="41" t="s">
        <v>355</v>
      </c>
      <c r="AG154" s="40"/>
      <c r="AH154" s="40"/>
      <c r="AI154" s="29"/>
      <c r="AJ154" s="31"/>
      <c r="AK154" s="23">
        <v>0.05</v>
      </c>
      <c r="AL154" s="75">
        <f t="shared" si="126"/>
        <v>0</v>
      </c>
      <c r="AN154" s="41" t="s">
        <v>514</v>
      </c>
      <c r="AO154" s="41" t="s">
        <v>355</v>
      </c>
      <c r="AP154" s="40"/>
      <c r="AQ154" s="40"/>
      <c r="AR154" s="29"/>
      <c r="AS154" s="31"/>
      <c r="AT154" s="23">
        <v>0.05</v>
      </c>
      <c r="AU154" s="75">
        <f t="shared" si="127"/>
        <v>0</v>
      </c>
      <c r="AW154" s="41" t="s">
        <v>514</v>
      </c>
      <c r="AX154" s="41" t="s">
        <v>355</v>
      </c>
      <c r="AY154" s="40"/>
      <c r="AZ154" s="40"/>
      <c r="BA154" s="29"/>
      <c r="BB154" s="31"/>
      <c r="BC154" s="23">
        <v>0.05</v>
      </c>
      <c r="BD154" s="75">
        <f t="shared" si="128"/>
        <v>0</v>
      </c>
      <c r="BF154" s="41" t="s">
        <v>514</v>
      </c>
      <c r="BG154" s="41" t="s">
        <v>355</v>
      </c>
      <c r="BH154" s="40"/>
      <c r="BI154" s="40"/>
      <c r="BJ154" s="29"/>
      <c r="BK154" s="31"/>
      <c r="BL154" s="23">
        <v>0.05</v>
      </c>
      <c r="BM154" s="75">
        <f t="shared" si="129"/>
        <v>0</v>
      </c>
    </row>
    <row r="155" spans="2:65">
      <c r="B155" s="41" t="s">
        <v>514</v>
      </c>
      <c r="C155" s="41" t="s">
        <v>355</v>
      </c>
      <c r="D155" s="40"/>
      <c r="E155" s="40"/>
      <c r="F155" s="29"/>
      <c r="G155" s="31"/>
      <c r="H155" s="23">
        <v>0.05</v>
      </c>
      <c r="I155" s="75">
        <f t="shared" si="123"/>
        <v>0</v>
      </c>
      <c r="J155" s="172"/>
      <c r="L155" s="41" t="s">
        <v>514</v>
      </c>
      <c r="M155" s="41" t="s">
        <v>355</v>
      </c>
      <c r="N155" s="40"/>
      <c r="O155" s="40"/>
      <c r="P155" s="29"/>
      <c r="Q155" s="31"/>
      <c r="R155" s="23">
        <v>0.05</v>
      </c>
      <c r="S155" s="75">
        <f t="shared" si="124"/>
        <v>0</v>
      </c>
      <c r="T155" s="172"/>
      <c r="V155" s="41" t="s">
        <v>514</v>
      </c>
      <c r="W155" s="41" t="s">
        <v>355</v>
      </c>
      <c r="X155" s="40"/>
      <c r="Y155" s="40"/>
      <c r="Z155" s="29"/>
      <c r="AA155" s="31"/>
      <c r="AB155" s="23">
        <v>0.05</v>
      </c>
      <c r="AC155" s="75">
        <f t="shared" si="125"/>
        <v>0</v>
      </c>
      <c r="AE155" s="41" t="s">
        <v>514</v>
      </c>
      <c r="AF155" s="41" t="s">
        <v>355</v>
      </c>
      <c r="AG155" s="40"/>
      <c r="AH155" s="40"/>
      <c r="AI155" s="29"/>
      <c r="AJ155" s="31"/>
      <c r="AK155" s="23">
        <v>0.05</v>
      </c>
      <c r="AL155" s="75">
        <f t="shared" si="126"/>
        <v>0</v>
      </c>
      <c r="AN155" s="41" t="s">
        <v>514</v>
      </c>
      <c r="AO155" s="41" t="s">
        <v>355</v>
      </c>
      <c r="AP155" s="40"/>
      <c r="AQ155" s="40"/>
      <c r="AR155" s="29"/>
      <c r="AS155" s="31"/>
      <c r="AT155" s="23">
        <v>0.05</v>
      </c>
      <c r="AU155" s="75">
        <f t="shared" si="127"/>
        <v>0</v>
      </c>
      <c r="AW155" s="41" t="s">
        <v>514</v>
      </c>
      <c r="AX155" s="41" t="s">
        <v>355</v>
      </c>
      <c r="AY155" s="40"/>
      <c r="AZ155" s="40"/>
      <c r="BA155" s="29"/>
      <c r="BB155" s="31"/>
      <c r="BC155" s="23">
        <v>0.05</v>
      </c>
      <c r="BD155" s="75">
        <f t="shared" si="128"/>
        <v>0</v>
      </c>
      <c r="BF155" s="41" t="s">
        <v>514</v>
      </c>
      <c r="BG155" s="41" t="s">
        <v>355</v>
      </c>
      <c r="BH155" s="40"/>
      <c r="BI155" s="40"/>
      <c r="BJ155" s="29"/>
      <c r="BK155" s="31"/>
      <c r="BL155" s="23">
        <v>0.05</v>
      </c>
      <c r="BM155" s="75">
        <f t="shared" si="129"/>
        <v>0</v>
      </c>
    </row>
    <row r="156" spans="2:65">
      <c r="B156" s="41" t="s">
        <v>514</v>
      </c>
      <c r="C156" s="41" t="s">
        <v>355</v>
      </c>
      <c r="D156" s="40"/>
      <c r="E156" s="40"/>
      <c r="F156" s="29"/>
      <c r="G156" s="31"/>
      <c r="H156" s="23">
        <v>0.05</v>
      </c>
      <c r="I156" s="75">
        <f t="shared" si="123"/>
        <v>0</v>
      </c>
      <c r="J156" s="172"/>
      <c r="L156" s="41" t="s">
        <v>514</v>
      </c>
      <c r="M156" s="41" t="s">
        <v>355</v>
      </c>
      <c r="N156" s="40"/>
      <c r="O156" s="40"/>
      <c r="P156" s="29"/>
      <c r="Q156" s="31"/>
      <c r="R156" s="23">
        <v>0.05</v>
      </c>
      <c r="S156" s="75">
        <f t="shared" si="124"/>
        <v>0</v>
      </c>
      <c r="T156" s="172"/>
      <c r="V156" s="41" t="s">
        <v>514</v>
      </c>
      <c r="W156" s="41" t="s">
        <v>355</v>
      </c>
      <c r="X156" s="40"/>
      <c r="Y156" s="40"/>
      <c r="Z156" s="29"/>
      <c r="AA156" s="31"/>
      <c r="AB156" s="23">
        <v>0.05</v>
      </c>
      <c r="AC156" s="75">
        <f t="shared" si="125"/>
        <v>0</v>
      </c>
      <c r="AE156" s="41" t="s">
        <v>514</v>
      </c>
      <c r="AF156" s="41" t="s">
        <v>355</v>
      </c>
      <c r="AG156" s="40"/>
      <c r="AH156" s="40"/>
      <c r="AI156" s="29"/>
      <c r="AJ156" s="31"/>
      <c r="AK156" s="23">
        <v>0.05</v>
      </c>
      <c r="AL156" s="75">
        <f t="shared" si="126"/>
        <v>0</v>
      </c>
      <c r="AN156" s="41" t="s">
        <v>514</v>
      </c>
      <c r="AO156" s="41" t="s">
        <v>355</v>
      </c>
      <c r="AP156" s="40"/>
      <c r="AQ156" s="40"/>
      <c r="AR156" s="29"/>
      <c r="AS156" s="31"/>
      <c r="AT156" s="23">
        <v>0.05</v>
      </c>
      <c r="AU156" s="75">
        <f t="shared" si="127"/>
        <v>0</v>
      </c>
      <c r="AW156" s="41" t="s">
        <v>514</v>
      </c>
      <c r="AX156" s="41" t="s">
        <v>355</v>
      </c>
      <c r="AY156" s="40"/>
      <c r="AZ156" s="40"/>
      <c r="BA156" s="29"/>
      <c r="BB156" s="31"/>
      <c r="BC156" s="23">
        <v>0.05</v>
      </c>
      <c r="BD156" s="75">
        <f t="shared" si="128"/>
        <v>0</v>
      </c>
      <c r="BF156" s="41" t="s">
        <v>514</v>
      </c>
      <c r="BG156" s="41" t="s">
        <v>355</v>
      </c>
      <c r="BH156" s="40"/>
      <c r="BI156" s="40"/>
      <c r="BJ156" s="29"/>
      <c r="BK156" s="31"/>
      <c r="BL156" s="23">
        <v>0.05</v>
      </c>
      <c r="BM156" s="75">
        <f t="shared" si="129"/>
        <v>0</v>
      </c>
    </row>
    <row r="157" spans="2:65">
      <c r="B157" s="41" t="s">
        <v>514</v>
      </c>
      <c r="C157" s="41" t="s">
        <v>355</v>
      </c>
      <c r="D157" s="40"/>
      <c r="E157" s="40"/>
      <c r="F157" s="29"/>
      <c r="G157" s="31"/>
      <c r="H157" s="23">
        <v>0.05</v>
      </c>
      <c r="I157" s="75">
        <f t="shared" si="123"/>
        <v>0</v>
      </c>
      <c r="J157" s="172"/>
      <c r="L157" s="41" t="s">
        <v>514</v>
      </c>
      <c r="M157" s="41" t="s">
        <v>355</v>
      </c>
      <c r="N157" s="40"/>
      <c r="O157" s="40"/>
      <c r="P157" s="29"/>
      <c r="Q157" s="31"/>
      <c r="R157" s="23">
        <v>0.05</v>
      </c>
      <c r="S157" s="75">
        <f t="shared" si="124"/>
        <v>0</v>
      </c>
      <c r="T157" s="172"/>
      <c r="V157" s="41" t="s">
        <v>514</v>
      </c>
      <c r="W157" s="41" t="s">
        <v>355</v>
      </c>
      <c r="X157" s="40"/>
      <c r="Y157" s="40"/>
      <c r="Z157" s="29"/>
      <c r="AA157" s="31"/>
      <c r="AB157" s="23">
        <v>0.05</v>
      </c>
      <c r="AC157" s="75">
        <f t="shared" si="125"/>
        <v>0</v>
      </c>
      <c r="AE157" s="41" t="s">
        <v>514</v>
      </c>
      <c r="AF157" s="41" t="s">
        <v>355</v>
      </c>
      <c r="AG157" s="40"/>
      <c r="AH157" s="40"/>
      <c r="AI157" s="29"/>
      <c r="AJ157" s="31"/>
      <c r="AK157" s="23">
        <v>0.05</v>
      </c>
      <c r="AL157" s="75">
        <f t="shared" si="126"/>
        <v>0</v>
      </c>
      <c r="AN157" s="41" t="s">
        <v>514</v>
      </c>
      <c r="AO157" s="41" t="s">
        <v>355</v>
      </c>
      <c r="AP157" s="40"/>
      <c r="AQ157" s="40"/>
      <c r="AR157" s="29"/>
      <c r="AS157" s="31"/>
      <c r="AT157" s="23">
        <v>0.05</v>
      </c>
      <c r="AU157" s="75">
        <f t="shared" si="127"/>
        <v>0</v>
      </c>
      <c r="AW157" s="41" t="s">
        <v>514</v>
      </c>
      <c r="AX157" s="41" t="s">
        <v>355</v>
      </c>
      <c r="AY157" s="40"/>
      <c r="AZ157" s="40"/>
      <c r="BA157" s="29"/>
      <c r="BB157" s="31"/>
      <c r="BC157" s="23">
        <v>0.05</v>
      </c>
      <c r="BD157" s="75">
        <f t="shared" si="128"/>
        <v>0</v>
      </c>
      <c r="BF157" s="41" t="s">
        <v>514</v>
      </c>
      <c r="BG157" s="41" t="s">
        <v>355</v>
      </c>
      <c r="BH157" s="40"/>
      <c r="BI157" s="40"/>
      <c r="BJ157" s="29"/>
      <c r="BK157" s="31"/>
      <c r="BL157" s="23">
        <v>0.05</v>
      </c>
      <c r="BM157" s="75">
        <f t="shared" si="129"/>
        <v>0</v>
      </c>
    </row>
    <row r="158" spans="2:65">
      <c r="B158" s="41" t="s">
        <v>514</v>
      </c>
      <c r="C158" s="41" t="s">
        <v>355</v>
      </c>
      <c r="D158" s="40"/>
      <c r="E158" s="40"/>
      <c r="F158" s="29"/>
      <c r="G158" s="31"/>
      <c r="H158" s="23">
        <v>0.05</v>
      </c>
      <c r="I158" s="75">
        <f t="shared" si="123"/>
        <v>0</v>
      </c>
      <c r="J158" s="172"/>
      <c r="L158" s="41" t="s">
        <v>514</v>
      </c>
      <c r="M158" s="41" t="s">
        <v>355</v>
      </c>
      <c r="N158" s="40"/>
      <c r="O158" s="40"/>
      <c r="P158" s="29"/>
      <c r="Q158" s="31"/>
      <c r="R158" s="23">
        <v>0.05</v>
      </c>
      <c r="S158" s="75">
        <f t="shared" si="124"/>
        <v>0</v>
      </c>
      <c r="T158" s="172"/>
      <c r="V158" s="41" t="s">
        <v>514</v>
      </c>
      <c r="W158" s="41" t="s">
        <v>355</v>
      </c>
      <c r="X158" s="40"/>
      <c r="Y158" s="40"/>
      <c r="Z158" s="29"/>
      <c r="AA158" s="31"/>
      <c r="AB158" s="23">
        <v>0.05</v>
      </c>
      <c r="AC158" s="75">
        <f t="shared" si="125"/>
        <v>0</v>
      </c>
      <c r="AE158" s="41" t="s">
        <v>514</v>
      </c>
      <c r="AF158" s="41" t="s">
        <v>355</v>
      </c>
      <c r="AG158" s="40"/>
      <c r="AH158" s="40"/>
      <c r="AI158" s="29"/>
      <c r="AJ158" s="31"/>
      <c r="AK158" s="23">
        <v>0.05</v>
      </c>
      <c r="AL158" s="75">
        <f t="shared" si="126"/>
        <v>0</v>
      </c>
      <c r="AN158" s="41" t="s">
        <v>514</v>
      </c>
      <c r="AO158" s="41" t="s">
        <v>355</v>
      </c>
      <c r="AP158" s="40"/>
      <c r="AQ158" s="40"/>
      <c r="AR158" s="29"/>
      <c r="AS158" s="31"/>
      <c r="AT158" s="23">
        <v>0.05</v>
      </c>
      <c r="AU158" s="75">
        <f t="shared" si="127"/>
        <v>0</v>
      </c>
      <c r="AW158" s="41" t="s">
        <v>514</v>
      </c>
      <c r="AX158" s="41" t="s">
        <v>355</v>
      </c>
      <c r="AY158" s="40"/>
      <c r="AZ158" s="40"/>
      <c r="BA158" s="29"/>
      <c r="BB158" s="31"/>
      <c r="BC158" s="23">
        <v>0.05</v>
      </c>
      <c r="BD158" s="75">
        <f t="shared" si="128"/>
        <v>0</v>
      </c>
      <c r="BF158" s="41" t="s">
        <v>514</v>
      </c>
      <c r="BG158" s="41" t="s">
        <v>355</v>
      </c>
      <c r="BH158" s="40"/>
      <c r="BI158" s="40"/>
      <c r="BJ158" s="29"/>
      <c r="BK158" s="31"/>
      <c r="BL158" s="23">
        <v>0.05</v>
      </c>
      <c r="BM158" s="75">
        <f t="shared" si="129"/>
        <v>0</v>
      </c>
    </row>
    <row r="159" spans="2:65" outlineLevel="1">
      <c r="B159" s="41" t="s">
        <v>514</v>
      </c>
      <c r="C159" s="41" t="s">
        <v>355</v>
      </c>
      <c r="D159" s="40"/>
      <c r="E159" s="40"/>
      <c r="F159" s="29"/>
      <c r="G159" s="31"/>
      <c r="H159" s="23">
        <v>0.05</v>
      </c>
      <c r="I159" s="75">
        <f t="shared" si="123"/>
        <v>0</v>
      </c>
      <c r="J159" s="172"/>
      <c r="L159" s="41" t="s">
        <v>514</v>
      </c>
      <c r="M159" s="41" t="s">
        <v>355</v>
      </c>
      <c r="N159" s="40"/>
      <c r="O159" s="40"/>
      <c r="P159" s="29"/>
      <c r="Q159" s="31"/>
      <c r="R159" s="23">
        <v>0.05</v>
      </c>
      <c r="S159" s="75">
        <f t="shared" si="124"/>
        <v>0</v>
      </c>
      <c r="T159" s="172"/>
      <c r="V159" s="41" t="s">
        <v>514</v>
      </c>
      <c r="W159" s="41" t="s">
        <v>355</v>
      </c>
      <c r="X159" s="40"/>
      <c r="Y159" s="40"/>
      <c r="Z159" s="29"/>
      <c r="AA159" s="31"/>
      <c r="AB159" s="23">
        <v>0.05</v>
      </c>
      <c r="AC159" s="75">
        <f t="shared" si="125"/>
        <v>0</v>
      </c>
      <c r="AE159" s="41" t="s">
        <v>514</v>
      </c>
      <c r="AF159" s="41" t="s">
        <v>355</v>
      </c>
      <c r="AG159" s="40"/>
      <c r="AH159" s="40"/>
      <c r="AI159" s="29"/>
      <c r="AJ159" s="31"/>
      <c r="AK159" s="23">
        <v>0.05</v>
      </c>
      <c r="AL159" s="75">
        <f t="shared" si="126"/>
        <v>0</v>
      </c>
      <c r="AN159" s="41" t="s">
        <v>514</v>
      </c>
      <c r="AO159" s="41" t="s">
        <v>355</v>
      </c>
      <c r="AP159" s="40"/>
      <c r="AQ159" s="40"/>
      <c r="AR159" s="29"/>
      <c r="AS159" s="31"/>
      <c r="AT159" s="23">
        <v>0.05</v>
      </c>
      <c r="AU159" s="75">
        <f t="shared" si="127"/>
        <v>0</v>
      </c>
      <c r="AW159" s="41" t="s">
        <v>514</v>
      </c>
      <c r="AX159" s="41" t="s">
        <v>355</v>
      </c>
      <c r="AY159" s="40"/>
      <c r="AZ159" s="40"/>
      <c r="BA159" s="29"/>
      <c r="BB159" s="31"/>
      <c r="BC159" s="23">
        <v>0.05</v>
      </c>
      <c r="BD159" s="75">
        <f t="shared" si="128"/>
        <v>0</v>
      </c>
      <c r="BF159" s="41" t="s">
        <v>514</v>
      </c>
      <c r="BG159" s="41" t="s">
        <v>355</v>
      </c>
      <c r="BH159" s="40"/>
      <c r="BI159" s="40"/>
      <c r="BJ159" s="29"/>
      <c r="BK159" s="31"/>
      <c r="BL159" s="23">
        <v>0.05</v>
      </c>
      <c r="BM159" s="75">
        <f t="shared" si="129"/>
        <v>0</v>
      </c>
    </row>
    <row r="160" spans="2:65" outlineLevel="1">
      <c r="B160" s="41" t="s">
        <v>514</v>
      </c>
      <c r="C160" s="41" t="s">
        <v>355</v>
      </c>
      <c r="D160" s="40"/>
      <c r="E160" s="40"/>
      <c r="F160" s="29"/>
      <c r="G160" s="31"/>
      <c r="H160" s="23">
        <v>0.05</v>
      </c>
      <c r="I160" s="75">
        <f t="shared" si="123"/>
        <v>0</v>
      </c>
      <c r="J160" s="172"/>
      <c r="L160" s="41" t="s">
        <v>514</v>
      </c>
      <c r="M160" s="41" t="s">
        <v>355</v>
      </c>
      <c r="N160" s="40"/>
      <c r="O160" s="40"/>
      <c r="P160" s="29"/>
      <c r="Q160" s="31"/>
      <c r="R160" s="23">
        <v>0.05</v>
      </c>
      <c r="S160" s="75">
        <f t="shared" si="124"/>
        <v>0</v>
      </c>
      <c r="T160" s="172"/>
      <c r="V160" s="41" t="s">
        <v>514</v>
      </c>
      <c r="W160" s="41" t="s">
        <v>355</v>
      </c>
      <c r="X160" s="40"/>
      <c r="Y160" s="40"/>
      <c r="Z160" s="29"/>
      <c r="AA160" s="31"/>
      <c r="AB160" s="23">
        <v>0.05</v>
      </c>
      <c r="AC160" s="75">
        <f t="shared" si="125"/>
        <v>0</v>
      </c>
      <c r="AE160" s="41" t="s">
        <v>514</v>
      </c>
      <c r="AF160" s="41" t="s">
        <v>355</v>
      </c>
      <c r="AG160" s="40"/>
      <c r="AH160" s="40"/>
      <c r="AI160" s="29"/>
      <c r="AJ160" s="31"/>
      <c r="AK160" s="23">
        <v>0.05</v>
      </c>
      <c r="AL160" s="75">
        <f t="shared" si="126"/>
        <v>0</v>
      </c>
      <c r="AN160" s="41" t="s">
        <v>514</v>
      </c>
      <c r="AO160" s="41" t="s">
        <v>355</v>
      </c>
      <c r="AP160" s="40"/>
      <c r="AQ160" s="40"/>
      <c r="AR160" s="29"/>
      <c r="AS160" s="31"/>
      <c r="AT160" s="23">
        <v>0.05</v>
      </c>
      <c r="AU160" s="75">
        <f t="shared" si="127"/>
        <v>0</v>
      </c>
      <c r="AW160" s="41" t="s">
        <v>514</v>
      </c>
      <c r="AX160" s="41" t="s">
        <v>355</v>
      </c>
      <c r="AY160" s="40"/>
      <c r="AZ160" s="40"/>
      <c r="BA160" s="29"/>
      <c r="BB160" s="31"/>
      <c r="BC160" s="23">
        <v>0.05</v>
      </c>
      <c r="BD160" s="75">
        <f t="shared" si="128"/>
        <v>0</v>
      </c>
      <c r="BF160" s="41" t="s">
        <v>514</v>
      </c>
      <c r="BG160" s="41" t="s">
        <v>355</v>
      </c>
      <c r="BH160" s="40"/>
      <c r="BI160" s="40"/>
      <c r="BJ160" s="29"/>
      <c r="BK160" s="31"/>
      <c r="BL160" s="23">
        <v>0.05</v>
      </c>
      <c r="BM160" s="75">
        <f t="shared" si="129"/>
        <v>0</v>
      </c>
    </row>
    <row r="161" spans="2:65" outlineLevel="1">
      <c r="B161" s="41" t="s">
        <v>514</v>
      </c>
      <c r="C161" s="41" t="s">
        <v>355</v>
      </c>
      <c r="D161" s="40"/>
      <c r="E161" s="40"/>
      <c r="F161" s="29"/>
      <c r="G161" s="31"/>
      <c r="H161" s="23">
        <v>0.05</v>
      </c>
      <c r="I161" s="75">
        <f t="shared" si="123"/>
        <v>0</v>
      </c>
      <c r="J161" s="172"/>
      <c r="L161" s="41" t="s">
        <v>514</v>
      </c>
      <c r="M161" s="41" t="s">
        <v>355</v>
      </c>
      <c r="N161" s="40"/>
      <c r="O161" s="40"/>
      <c r="P161" s="29"/>
      <c r="Q161" s="31"/>
      <c r="R161" s="23">
        <v>0.05</v>
      </c>
      <c r="S161" s="75">
        <f t="shared" si="124"/>
        <v>0</v>
      </c>
      <c r="T161" s="172"/>
      <c r="V161" s="41" t="s">
        <v>514</v>
      </c>
      <c r="W161" s="41" t="s">
        <v>355</v>
      </c>
      <c r="X161" s="40"/>
      <c r="Y161" s="40"/>
      <c r="Z161" s="29"/>
      <c r="AA161" s="31"/>
      <c r="AB161" s="23">
        <v>0.05</v>
      </c>
      <c r="AC161" s="75">
        <f t="shared" si="125"/>
        <v>0</v>
      </c>
      <c r="AE161" s="41" t="s">
        <v>514</v>
      </c>
      <c r="AF161" s="41" t="s">
        <v>355</v>
      </c>
      <c r="AG161" s="40"/>
      <c r="AH161" s="40"/>
      <c r="AI161" s="29"/>
      <c r="AJ161" s="31"/>
      <c r="AK161" s="23">
        <v>0.05</v>
      </c>
      <c r="AL161" s="75">
        <f t="shared" si="126"/>
        <v>0</v>
      </c>
      <c r="AN161" s="41" t="s">
        <v>514</v>
      </c>
      <c r="AO161" s="41" t="s">
        <v>355</v>
      </c>
      <c r="AP161" s="40"/>
      <c r="AQ161" s="40"/>
      <c r="AR161" s="29"/>
      <c r="AS161" s="31"/>
      <c r="AT161" s="23">
        <v>0.05</v>
      </c>
      <c r="AU161" s="75">
        <f t="shared" si="127"/>
        <v>0</v>
      </c>
      <c r="AW161" s="41" t="s">
        <v>514</v>
      </c>
      <c r="AX161" s="41" t="s">
        <v>355</v>
      </c>
      <c r="AY161" s="40"/>
      <c r="AZ161" s="40"/>
      <c r="BA161" s="29"/>
      <c r="BB161" s="31"/>
      <c r="BC161" s="23">
        <v>0.05</v>
      </c>
      <c r="BD161" s="75">
        <f t="shared" si="128"/>
        <v>0</v>
      </c>
      <c r="BF161" s="41" t="s">
        <v>514</v>
      </c>
      <c r="BG161" s="41" t="s">
        <v>355</v>
      </c>
      <c r="BH161" s="40"/>
      <c r="BI161" s="40"/>
      <c r="BJ161" s="29"/>
      <c r="BK161" s="31"/>
      <c r="BL161" s="23">
        <v>0.05</v>
      </c>
      <c r="BM161" s="75">
        <f t="shared" si="129"/>
        <v>0</v>
      </c>
    </row>
    <row r="162" spans="2:65" outlineLevel="1">
      <c r="B162" s="41" t="s">
        <v>514</v>
      </c>
      <c r="C162" s="41" t="s">
        <v>355</v>
      </c>
      <c r="D162" s="40"/>
      <c r="E162" s="40"/>
      <c r="F162" s="29"/>
      <c r="G162" s="31"/>
      <c r="H162" s="23">
        <v>0.05</v>
      </c>
      <c r="I162" s="75">
        <f t="shared" si="123"/>
        <v>0</v>
      </c>
      <c r="J162" s="172"/>
      <c r="L162" s="41" t="s">
        <v>514</v>
      </c>
      <c r="M162" s="41" t="s">
        <v>355</v>
      </c>
      <c r="N162" s="40"/>
      <c r="O162" s="40"/>
      <c r="P162" s="29"/>
      <c r="Q162" s="31"/>
      <c r="R162" s="23">
        <v>0.05</v>
      </c>
      <c r="S162" s="75">
        <f t="shared" si="124"/>
        <v>0</v>
      </c>
      <c r="T162" s="172"/>
      <c r="V162" s="41" t="s">
        <v>514</v>
      </c>
      <c r="W162" s="41" t="s">
        <v>355</v>
      </c>
      <c r="X162" s="40"/>
      <c r="Y162" s="40"/>
      <c r="Z162" s="29"/>
      <c r="AA162" s="31"/>
      <c r="AB162" s="23">
        <v>0.05</v>
      </c>
      <c r="AC162" s="75">
        <f t="shared" si="125"/>
        <v>0</v>
      </c>
      <c r="AE162" s="41" t="s">
        <v>514</v>
      </c>
      <c r="AF162" s="41" t="s">
        <v>355</v>
      </c>
      <c r="AG162" s="40"/>
      <c r="AH162" s="40"/>
      <c r="AI162" s="29"/>
      <c r="AJ162" s="31"/>
      <c r="AK162" s="23">
        <v>0.05</v>
      </c>
      <c r="AL162" s="75">
        <f t="shared" si="126"/>
        <v>0</v>
      </c>
      <c r="AN162" s="41" t="s">
        <v>514</v>
      </c>
      <c r="AO162" s="41" t="s">
        <v>355</v>
      </c>
      <c r="AP162" s="40"/>
      <c r="AQ162" s="40"/>
      <c r="AR162" s="29"/>
      <c r="AS162" s="31"/>
      <c r="AT162" s="23">
        <v>0.05</v>
      </c>
      <c r="AU162" s="75">
        <f t="shared" si="127"/>
        <v>0</v>
      </c>
      <c r="AW162" s="41" t="s">
        <v>514</v>
      </c>
      <c r="AX162" s="41" t="s">
        <v>355</v>
      </c>
      <c r="AY162" s="40"/>
      <c r="AZ162" s="40"/>
      <c r="BA162" s="29"/>
      <c r="BB162" s="31"/>
      <c r="BC162" s="23">
        <v>0.05</v>
      </c>
      <c r="BD162" s="75">
        <f t="shared" si="128"/>
        <v>0</v>
      </c>
      <c r="BF162" s="41" t="s">
        <v>514</v>
      </c>
      <c r="BG162" s="41" t="s">
        <v>355</v>
      </c>
      <c r="BH162" s="40"/>
      <c r="BI162" s="40"/>
      <c r="BJ162" s="29"/>
      <c r="BK162" s="31"/>
      <c r="BL162" s="23">
        <v>0.05</v>
      </c>
      <c r="BM162" s="75">
        <f t="shared" si="129"/>
        <v>0</v>
      </c>
    </row>
    <row r="163" spans="2:65" outlineLevel="1">
      <c r="B163" s="41" t="s">
        <v>514</v>
      </c>
      <c r="C163" s="41" t="s">
        <v>355</v>
      </c>
      <c r="D163" s="40"/>
      <c r="E163" s="40"/>
      <c r="F163" s="29"/>
      <c r="G163" s="31"/>
      <c r="H163" s="23">
        <v>0.05</v>
      </c>
      <c r="I163" s="75">
        <f t="shared" si="123"/>
        <v>0</v>
      </c>
      <c r="J163" s="172"/>
      <c r="L163" s="41" t="s">
        <v>514</v>
      </c>
      <c r="M163" s="41" t="s">
        <v>355</v>
      </c>
      <c r="N163" s="40"/>
      <c r="O163" s="40"/>
      <c r="P163" s="29"/>
      <c r="Q163" s="31"/>
      <c r="R163" s="23">
        <v>0.05</v>
      </c>
      <c r="S163" s="75">
        <f t="shared" si="124"/>
        <v>0</v>
      </c>
      <c r="T163" s="172"/>
      <c r="V163" s="41" t="s">
        <v>514</v>
      </c>
      <c r="W163" s="41" t="s">
        <v>355</v>
      </c>
      <c r="X163" s="40"/>
      <c r="Y163" s="40"/>
      <c r="Z163" s="29"/>
      <c r="AA163" s="31"/>
      <c r="AB163" s="23">
        <v>0.05</v>
      </c>
      <c r="AC163" s="75">
        <f t="shared" si="125"/>
        <v>0</v>
      </c>
      <c r="AE163" s="41" t="s">
        <v>514</v>
      </c>
      <c r="AF163" s="41" t="s">
        <v>355</v>
      </c>
      <c r="AG163" s="40"/>
      <c r="AH163" s="40"/>
      <c r="AI163" s="29"/>
      <c r="AJ163" s="31"/>
      <c r="AK163" s="23">
        <v>0.05</v>
      </c>
      <c r="AL163" s="75">
        <f t="shared" si="126"/>
        <v>0</v>
      </c>
      <c r="AN163" s="41" t="s">
        <v>514</v>
      </c>
      <c r="AO163" s="41" t="s">
        <v>355</v>
      </c>
      <c r="AP163" s="40"/>
      <c r="AQ163" s="40"/>
      <c r="AR163" s="29"/>
      <c r="AS163" s="31"/>
      <c r="AT163" s="23">
        <v>0.05</v>
      </c>
      <c r="AU163" s="75">
        <f t="shared" si="127"/>
        <v>0</v>
      </c>
      <c r="AW163" s="41" t="s">
        <v>514</v>
      </c>
      <c r="AX163" s="41" t="s">
        <v>355</v>
      </c>
      <c r="AY163" s="40"/>
      <c r="AZ163" s="40"/>
      <c r="BA163" s="29"/>
      <c r="BB163" s="31"/>
      <c r="BC163" s="23">
        <v>0.05</v>
      </c>
      <c r="BD163" s="75">
        <f t="shared" si="128"/>
        <v>0</v>
      </c>
      <c r="BF163" s="41" t="s">
        <v>514</v>
      </c>
      <c r="BG163" s="41" t="s">
        <v>355</v>
      </c>
      <c r="BH163" s="40"/>
      <c r="BI163" s="40"/>
      <c r="BJ163" s="29"/>
      <c r="BK163" s="31"/>
      <c r="BL163" s="23">
        <v>0.05</v>
      </c>
      <c r="BM163" s="75">
        <f t="shared" si="129"/>
        <v>0</v>
      </c>
    </row>
    <row r="164" spans="2:65" outlineLevel="1">
      <c r="B164" s="41" t="s">
        <v>514</v>
      </c>
      <c r="C164" s="41" t="s">
        <v>355</v>
      </c>
      <c r="D164" s="40"/>
      <c r="E164" s="40"/>
      <c r="F164" s="29"/>
      <c r="G164" s="31"/>
      <c r="H164" s="23">
        <v>0.05</v>
      </c>
      <c r="I164" s="75">
        <f t="shared" si="123"/>
        <v>0</v>
      </c>
      <c r="J164" s="172"/>
      <c r="L164" s="41" t="s">
        <v>514</v>
      </c>
      <c r="M164" s="41" t="s">
        <v>355</v>
      </c>
      <c r="N164" s="40"/>
      <c r="O164" s="40"/>
      <c r="P164" s="29"/>
      <c r="Q164" s="31"/>
      <c r="R164" s="23">
        <v>0.05</v>
      </c>
      <c r="S164" s="75">
        <f t="shared" si="124"/>
        <v>0</v>
      </c>
      <c r="T164" s="172"/>
      <c r="V164" s="41" t="s">
        <v>514</v>
      </c>
      <c r="W164" s="41" t="s">
        <v>355</v>
      </c>
      <c r="X164" s="40"/>
      <c r="Y164" s="40"/>
      <c r="Z164" s="29"/>
      <c r="AA164" s="31"/>
      <c r="AB164" s="23">
        <v>0.05</v>
      </c>
      <c r="AC164" s="75">
        <f t="shared" si="125"/>
        <v>0</v>
      </c>
      <c r="AE164" s="41" t="s">
        <v>514</v>
      </c>
      <c r="AF164" s="41" t="s">
        <v>355</v>
      </c>
      <c r="AG164" s="40"/>
      <c r="AH164" s="40"/>
      <c r="AI164" s="29"/>
      <c r="AJ164" s="31"/>
      <c r="AK164" s="23">
        <v>0.05</v>
      </c>
      <c r="AL164" s="75">
        <f t="shared" si="126"/>
        <v>0</v>
      </c>
      <c r="AN164" s="41" t="s">
        <v>514</v>
      </c>
      <c r="AO164" s="41" t="s">
        <v>355</v>
      </c>
      <c r="AP164" s="40"/>
      <c r="AQ164" s="40"/>
      <c r="AR164" s="29"/>
      <c r="AS164" s="31"/>
      <c r="AT164" s="23">
        <v>0.05</v>
      </c>
      <c r="AU164" s="75">
        <f t="shared" si="127"/>
        <v>0</v>
      </c>
      <c r="AW164" s="41" t="s">
        <v>514</v>
      </c>
      <c r="AX164" s="41" t="s">
        <v>355</v>
      </c>
      <c r="AY164" s="40"/>
      <c r="AZ164" s="40"/>
      <c r="BA164" s="29"/>
      <c r="BB164" s="31"/>
      <c r="BC164" s="23">
        <v>0.05</v>
      </c>
      <c r="BD164" s="75">
        <f t="shared" si="128"/>
        <v>0</v>
      </c>
      <c r="BF164" s="41" t="s">
        <v>514</v>
      </c>
      <c r="BG164" s="41" t="s">
        <v>355</v>
      </c>
      <c r="BH164" s="40"/>
      <c r="BI164" s="40"/>
      <c r="BJ164" s="29"/>
      <c r="BK164" s="31"/>
      <c r="BL164" s="23">
        <v>0.05</v>
      </c>
      <c r="BM164" s="75">
        <f t="shared" si="129"/>
        <v>0</v>
      </c>
    </row>
    <row r="165" spans="2:65" outlineLevel="1">
      <c r="B165" s="41" t="s">
        <v>514</v>
      </c>
      <c r="C165" s="41" t="s">
        <v>355</v>
      </c>
      <c r="D165" s="40"/>
      <c r="E165" s="40"/>
      <c r="F165" s="29"/>
      <c r="G165" s="31"/>
      <c r="H165" s="23">
        <v>0.05</v>
      </c>
      <c r="I165" s="75">
        <f t="shared" si="123"/>
        <v>0</v>
      </c>
      <c r="J165" s="172"/>
      <c r="L165" s="41" t="s">
        <v>514</v>
      </c>
      <c r="M165" s="41" t="s">
        <v>355</v>
      </c>
      <c r="N165" s="40"/>
      <c r="O165" s="40"/>
      <c r="P165" s="29"/>
      <c r="Q165" s="31"/>
      <c r="R165" s="23">
        <v>0.05</v>
      </c>
      <c r="S165" s="75">
        <f t="shared" si="124"/>
        <v>0</v>
      </c>
      <c r="T165" s="172"/>
      <c r="V165" s="41" t="s">
        <v>514</v>
      </c>
      <c r="W165" s="41" t="s">
        <v>355</v>
      </c>
      <c r="X165" s="40"/>
      <c r="Y165" s="40"/>
      <c r="Z165" s="29"/>
      <c r="AA165" s="31"/>
      <c r="AB165" s="23">
        <v>0.05</v>
      </c>
      <c r="AC165" s="75">
        <f t="shared" si="125"/>
        <v>0</v>
      </c>
      <c r="AE165" s="41" t="s">
        <v>514</v>
      </c>
      <c r="AF165" s="41" t="s">
        <v>355</v>
      </c>
      <c r="AG165" s="40"/>
      <c r="AH165" s="40"/>
      <c r="AI165" s="29"/>
      <c r="AJ165" s="31"/>
      <c r="AK165" s="23">
        <v>0.05</v>
      </c>
      <c r="AL165" s="75">
        <f t="shared" si="126"/>
        <v>0</v>
      </c>
      <c r="AN165" s="41" t="s">
        <v>514</v>
      </c>
      <c r="AO165" s="41" t="s">
        <v>355</v>
      </c>
      <c r="AP165" s="40"/>
      <c r="AQ165" s="40"/>
      <c r="AR165" s="29"/>
      <c r="AS165" s="31"/>
      <c r="AT165" s="23">
        <v>0.05</v>
      </c>
      <c r="AU165" s="75">
        <f t="shared" si="127"/>
        <v>0</v>
      </c>
      <c r="AW165" s="41" t="s">
        <v>514</v>
      </c>
      <c r="AX165" s="41" t="s">
        <v>355</v>
      </c>
      <c r="AY165" s="40"/>
      <c r="AZ165" s="40"/>
      <c r="BA165" s="29"/>
      <c r="BB165" s="31"/>
      <c r="BC165" s="23">
        <v>0.05</v>
      </c>
      <c r="BD165" s="75">
        <f t="shared" si="128"/>
        <v>0</v>
      </c>
      <c r="BF165" s="41" t="s">
        <v>514</v>
      </c>
      <c r="BG165" s="41" t="s">
        <v>355</v>
      </c>
      <c r="BH165" s="40"/>
      <c r="BI165" s="40"/>
      <c r="BJ165" s="29"/>
      <c r="BK165" s="31"/>
      <c r="BL165" s="23">
        <v>0.05</v>
      </c>
      <c r="BM165" s="75">
        <f t="shared" si="129"/>
        <v>0</v>
      </c>
    </row>
    <row r="166" spans="2:65" outlineLevel="1">
      <c r="B166" s="41" t="s">
        <v>514</v>
      </c>
      <c r="C166" s="41" t="s">
        <v>355</v>
      </c>
      <c r="D166" s="40"/>
      <c r="E166" s="40"/>
      <c r="F166" s="29"/>
      <c r="G166" s="31"/>
      <c r="H166" s="23">
        <v>0.05</v>
      </c>
      <c r="I166" s="75">
        <f t="shared" si="123"/>
        <v>0</v>
      </c>
      <c r="J166" s="172"/>
      <c r="L166" s="41" t="s">
        <v>514</v>
      </c>
      <c r="M166" s="41" t="s">
        <v>355</v>
      </c>
      <c r="N166" s="40"/>
      <c r="O166" s="40"/>
      <c r="P166" s="29"/>
      <c r="Q166" s="31"/>
      <c r="R166" s="23">
        <v>0.05</v>
      </c>
      <c r="S166" s="75">
        <f t="shared" si="124"/>
        <v>0</v>
      </c>
      <c r="T166" s="172"/>
      <c r="V166" s="41" t="s">
        <v>514</v>
      </c>
      <c r="W166" s="41" t="s">
        <v>355</v>
      </c>
      <c r="X166" s="40"/>
      <c r="Y166" s="40"/>
      <c r="Z166" s="29"/>
      <c r="AA166" s="31"/>
      <c r="AB166" s="23">
        <v>0.05</v>
      </c>
      <c r="AC166" s="75">
        <f t="shared" si="125"/>
        <v>0</v>
      </c>
      <c r="AE166" s="41" t="s">
        <v>514</v>
      </c>
      <c r="AF166" s="41" t="s">
        <v>355</v>
      </c>
      <c r="AG166" s="40"/>
      <c r="AH166" s="40"/>
      <c r="AI166" s="29"/>
      <c r="AJ166" s="31"/>
      <c r="AK166" s="23">
        <v>0.05</v>
      </c>
      <c r="AL166" s="75">
        <f t="shared" si="126"/>
        <v>0</v>
      </c>
      <c r="AN166" s="41" t="s">
        <v>514</v>
      </c>
      <c r="AO166" s="41" t="s">
        <v>355</v>
      </c>
      <c r="AP166" s="40"/>
      <c r="AQ166" s="40"/>
      <c r="AR166" s="29"/>
      <c r="AS166" s="31"/>
      <c r="AT166" s="23">
        <v>0.05</v>
      </c>
      <c r="AU166" s="75">
        <f t="shared" si="127"/>
        <v>0</v>
      </c>
      <c r="AW166" s="41" t="s">
        <v>514</v>
      </c>
      <c r="AX166" s="41" t="s">
        <v>355</v>
      </c>
      <c r="AY166" s="40"/>
      <c r="AZ166" s="40"/>
      <c r="BA166" s="29"/>
      <c r="BB166" s="31"/>
      <c r="BC166" s="23">
        <v>0.05</v>
      </c>
      <c r="BD166" s="75">
        <f t="shared" si="128"/>
        <v>0</v>
      </c>
      <c r="BF166" s="41" t="s">
        <v>514</v>
      </c>
      <c r="BG166" s="41" t="s">
        <v>355</v>
      </c>
      <c r="BH166" s="40"/>
      <c r="BI166" s="40"/>
      <c r="BJ166" s="29"/>
      <c r="BK166" s="31"/>
      <c r="BL166" s="23">
        <v>0.05</v>
      </c>
      <c r="BM166" s="75">
        <f t="shared" si="129"/>
        <v>0</v>
      </c>
    </row>
    <row r="167" spans="2:65" s="24" customFormat="1">
      <c r="B167" s="8" t="s">
        <v>520</v>
      </c>
      <c r="C167" s="25"/>
      <c r="D167" s="28">
        <f t="shared" ref="D167:E167" si="130">SUM(D152:D166)</f>
        <v>0</v>
      </c>
      <c r="E167" s="28">
        <f t="shared" si="130"/>
        <v>0</v>
      </c>
      <c r="F167" s="30"/>
      <c r="G167" s="25"/>
      <c r="H167" s="26"/>
      <c r="I167" s="28">
        <f>SUM(I152:I166)</f>
        <v>0</v>
      </c>
      <c r="J167" s="171"/>
      <c r="L167" s="8" t="s">
        <v>520</v>
      </c>
      <c r="M167" s="25"/>
      <c r="N167" s="28">
        <f t="shared" ref="N167:O167" si="131">SUM(N152:N166)</f>
        <v>0</v>
      </c>
      <c r="O167" s="28">
        <f t="shared" si="131"/>
        <v>0</v>
      </c>
      <c r="P167" s="30"/>
      <c r="Q167" s="25"/>
      <c r="R167" s="26"/>
      <c r="S167" s="28">
        <f>SUM(S152:S166)</f>
        <v>0</v>
      </c>
      <c r="T167" s="171"/>
      <c r="V167" s="8" t="s">
        <v>520</v>
      </c>
      <c r="W167" s="25"/>
      <c r="X167" s="30"/>
      <c r="Y167" s="30">
        <f>SUM(Y152:Y166)</f>
        <v>0</v>
      </c>
      <c r="Z167" s="30"/>
      <c r="AA167" s="25"/>
      <c r="AB167" s="26"/>
      <c r="AC167" s="28">
        <f>SUM(AC152:AC166)</f>
        <v>0</v>
      </c>
      <c r="AE167" s="8" t="s">
        <v>520</v>
      </c>
      <c r="AF167" s="25"/>
      <c r="AG167" s="30"/>
      <c r="AH167" s="30">
        <f>SUM(AH152:AH166)</f>
        <v>0</v>
      </c>
      <c r="AI167" s="30"/>
      <c r="AJ167" s="25"/>
      <c r="AK167" s="26"/>
      <c r="AL167" s="28">
        <f>SUM(AL152:AL166)</f>
        <v>0</v>
      </c>
      <c r="AN167" s="8" t="s">
        <v>520</v>
      </c>
      <c r="AO167" s="25"/>
      <c r="AP167" s="30"/>
      <c r="AQ167" s="30">
        <f>SUM(AQ152:AQ166)</f>
        <v>0</v>
      </c>
      <c r="AR167" s="30"/>
      <c r="AS167" s="25"/>
      <c r="AT167" s="26"/>
      <c r="AU167" s="28">
        <f>SUM(AU152:AU166)</f>
        <v>0</v>
      </c>
      <c r="AW167" s="8" t="s">
        <v>520</v>
      </c>
      <c r="AX167" s="25"/>
      <c r="AY167" s="30"/>
      <c r="AZ167" s="30">
        <f>SUM(AZ152:AZ166)</f>
        <v>0</v>
      </c>
      <c r="BA167" s="30"/>
      <c r="BB167" s="25"/>
      <c r="BC167" s="26"/>
      <c r="BD167" s="28">
        <f>SUM(BD152:BD166)</f>
        <v>0</v>
      </c>
      <c r="BF167" s="8" t="s">
        <v>520</v>
      </c>
      <c r="BG167" s="25"/>
      <c r="BH167" s="30"/>
      <c r="BI167" s="30">
        <f>SUM(BI152:BI166)</f>
        <v>0</v>
      </c>
      <c r="BJ167" s="30"/>
      <c r="BK167" s="25"/>
      <c r="BL167" s="26"/>
      <c r="BM167" s="28">
        <f>SUM(BM152:BM166)</f>
        <v>0</v>
      </c>
    </row>
    <row r="169" spans="2:65" s="20" customFormat="1" ht="41.4">
      <c r="B169" s="27" t="s">
        <v>521</v>
      </c>
      <c r="C169" s="3" t="str">
        <f>C$43</f>
        <v>Source</v>
      </c>
      <c r="D169" s="3" t="str">
        <f t="shared" ref="D169:I169" si="132">D$43</f>
        <v>Limit (A)</v>
      </c>
      <c r="E169" s="3" t="str">
        <f t="shared" si="132"/>
        <v>Outstanding (A1)</v>
      </c>
      <c r="F169" s="3" t="str">
        <f t="shared" si="132"/>
        <v>Monthly Repayment (B)</v>
      </c>
      <c r="G169" s="3" t="str">
        <f t="shared" si="132"/>
        <v>Interest Rate (C)</v>
      </c>
      <c r="H169" s="3" t="str">
        <f t="shared" si="132"/>
        <v>Factor (D)</v>
      </c>
      <c r="I169" s="3" t="str">
        <f t="shared" si="132"/>
        <v>Interest (E) = (A or A1) * (C) * (D)</v>
      </c>
      <c r="J169" s="173" t="s">
        <v>450</v>
      </c>
      <c r="L169" s="27" t="s">
        <v>16</v>
      </c>
      <c r="M169" s="3" t="str">
        <f>M$43</f>
        <v>Source</v>
      </c>
      <c r="N169" s="3" t="str">
        <f t="shared" ref="N169:S169" si="133">N$43</f>
        <v>Limit (A)</v>
      </c>
      <c r="O169" s="3" t="str">
        <f t="shared" si="133"/>
        <v>Outstanding (A1)</v>
      </c>
      <c r="P169" s="3" t="str">
        <f t="shared" si="133"/>
        <v>Monthly Repayment (B)</v>
      </c>
      <c r="Q169" s="3" t="str">
        <f t="shared" si="133"/>
        <v>Interest Rate (C)</v>
      </c>
      <c r="R169" s="3" t="str">
        <f t="shared" si="133"/>
        <v>Factor (D)</v>
      </c>
      <c r="S169" s="3" t="str">
        <f t="shared" si="133"/>
        <v>Interest (E) = (A or A1) * (C) * (D)</v>
      </c>
      <c r="T169" s="173" t="s">
        <v>450</v>
      </c>
      <c r="V169" s="27" t="s">
        <v>16</v>
      </c>
      <c r="W169" s="3" t="str">
        <f>W$43</f>
        <v>Source</v>
      </c>
      <c r="X169" s="3" t="str">
        <f t="shared" ref="X169:AC169" si="134">X$43</f>
        <v>Limit (A)</v>
      </c>
      <c r="Y169" s="3" t="str">
        <f t="shared" si="134"/>
        <v>Outstanding (A1)</v>
      </c>
      <c r="Z169" s="3" t="str">
        <f t="shared" si="134"/>
        <v>Monthly Repayment (B)</v>
      </c>
      <c r="AA169" s="3" t="str">
        <f t="shared" si="134"/>
        <v>Interest Rate (C)</v>
      </c>
      <c r="AB169" s="3" t="str">
        <f t="shared" si="134"/>
        <v>Factor (D)</v>
      </c>
      <c r="AC169" s="3" t="str">
        <f t="shared" si="134"/>
        <v>Interest (E) = (A or A1) * (C) * (D)</v>
      </c>
      <c r="AE169" s="27" t="s">
        <v>16</v>
      </c>
      <c r="AF169" s="3" t="str">
        <f>AF$43</f>
        <v>Source</v>
      </c>
      <c r="AG169" s="3" t="str">
        <f t="shared" ref="AG169:AL169" si="135">AG$43</f>
        <v>Limit (A)</v>
      </c>
      <c r="AH169" s="3" t="str">
        <f t="shared" si="135"/>
        <v>Outstanding (A1)</v>
      </c>
      <c r="AI169" s="3" t="str">
        <f t="shared" si="135"/>
        <v>Monthly Repayment (B)</v>
      </c>
      <c r="AJ169" s="3" t="str">
        <f t="shared" si="135"/>
        <v>Interest Rate (C)</v>
      </c>
      <c r="AK169" s="3" t="str">
        <f t="shared" si="135"/>
        <v>Factor (D)</v>
      </c>
      <c r="AL169" s="3" t="str">
        <f t="shared" si="135"/>
        <v>Interest (E) = (A or A1) * (C) * (D)</v>
      </c>
      <c r="AN169" s="27" t="s">
        <v>16</v>
      </c>
      <c r="AO169" s="3" t="str">
        <f>AO$43</f>
        <v>Source</v>
      </c>
      <c r="AP169" s="3" t="str">
        <f t="shared" ref="AP169:AU169" si="136">AP$43</f>
        <v>Limit (A)</v>
      </c>
      <c r="AQ169" s="3" t="str">
        <f t="shared" si="136"/>
        <v>Outstanding (A1)</v>
      </c>
      <c r="AR169" s="3" t="str">
        <f t="shared" si="136"/>
        <v>Monthly Repayment (B)</v>
      </c>
      <c r="AS169" s="3" t="str">
        <f t="shared" si="136"/>
        <v>Interest Rate (C)</v>
      </c>
      <c r="AT169" s="3" t="str">
        <f t="shared" si="136"/>
        <v>Factor (D)</v>
      </c>
      <c r="AU169" s="3" t="str">
        <f t="shared" si="136"/>
        <v>Interest (E) = (A or A1) * (C) * (D)</v>
      </c>
      <c r="AW169" s="27" t="s">
        <v>16</v>
      </c>
      <c r="AX169" s="3" t="str">
        <f>AX$43</f>
        <v>Source</v>
      </c>
      <c r="AY169" s="3" t="str">
        <f t="shared" ref="AY169:BD169" si="137">AY$43</f>
        <v>Limit (A)</v>
      </c>
      <c r="AZ169" s="3" t="str">
        <f t="shared" si="137"/>
        <v>Outstanding (A1)</v>
      </c>
      <c r="BA169" s="3" t="str">
        <f t="shared" si="137"/>
        <v>Monthly Repayment (B)</v>
      </c>
      <c r="BB169" s="3" t="str">
        <f t="shared" si="137"/>
        <v>Interest Rate (C)</v>
      </c>
      <c r="BC169" s="3" t="str">
        <f t="shared" si="137"/>
        <v>Factor (D)</v>
      </c>
      <c r="BD169" s="3" t="str">
        <f t="shared" si="137"/>
        <v>Interest (E) = (A or A1) * (C) * (D)</v>
      </c>
      <c r="BF169" s="27" t="s">
        <v>16</v>
      </c>
      <c r="BG169" s="3" t="str">
        <f>BG$43</f>
        <v>Source</v>
      </c>
      <c r="BH169" s="3" t="str">
        <f t="shared" ref="BH169:BM169" si="138">BH$43</f>
        <v>Limit (A)</v>
      </c>
      <c r="BI169" s="3" t="str">
        <f t="shared" si="138"/>
        <v>Outstanding (A1)</v>
      </c>
      <c r="BJ169" s="3" t="str">
        <f t="shared" si="138"/>
        <v>Monthly Repayment (B)</v>
      </c>
      <c r="BK169" s="3" t="str">
        <f t="shared" si="138"/>
        <v>Interest Rate (C)</v>
      </c>
      <c r="BL169" s="3" t="str">
        <f t="shared" si="138"/>
        <v>Factor (D)</v>
      </c>
      <c r="BM169" s="3" t="str">
        <f t="shared" si="138"/>
        <v>Interest (E) = (A or A1) * (C) * (D)</v>
      </c>
    </row>
    <row r="170" spans="2:65">
      <c r="B170" s="41" t="s">
        <v>514</v>
      </c>
      <c r="C170" s="41" t="s">
        <v>355</v>
      </c>
      <c r="D170" s="40"/>
      <c r="E170" s="40"/>
      <c r="F170" s="40"/>
      <c r="G170" s="31"/>
      <c r="H170" s="32"/>
      <c r="I170" s="29"/>
      <c r="J170" s="172"/>
      <c r="L170" s="41" t="s">
        <v>514</v>
      </c>
      <c r="M170" s="41" t="s">
        <v>355</v>
      </c>
      <c r="N170" s="40"/>
      <c r="O170" s="40"/>
      <c r="P170" s="40"/>
      <c r="Q170" s="31"/>
      <c r="R170" s="32"/>
      <c r="S170" s="29"/>
      <c r="T170" s="172"/>
      <c r="V170" s="41" t="s">
        <v>514</v>
      </c>
      <c r="W170" s="41" t="s">
        <v>355</v>
      </c>
      <c r="X170" s="40"/>
      <c r="Y170" s="40"/>
      <c r="Z170" s="40"/>
      <c r="AA170" s="31"/>
      <c r="AB170" s="32"/>
      <c r="AC170" s="29"/>
      <c r="AE170" s="41" t="s">
        <v>514</v>
      </c>
      <c r="AF170" s="41" t="s">
        <v>355</v>
      </c>
      <c r="AG170" s="40"/>
      <c r="AH170" s="40"/>
      <c r="AI170" s="40"/>
      <c r="AJ170" s="31"/>
      <c r="AK170" s="32"/>
      <c r="AL170" s="29"/>
      <c r="AN170" s="41" t="s">
        <v>514</v>
      </c>
      <c r="AO170" s="41" t="s">
        <v>355</v>
      </c>
      <c r="AP170" s="40"/>
      <c r="AQ170" s="40"/>
      <c r="AR170" s="40"/>
      <c r="AS170" s="31"/>
      <c r="AT170" s="32"/>
      <c r="AU170" s="29"/>
      <c r="AW170" s="41" t="s">
        <v>514</v>
      </c>
      <c r="AX170" s="41" t="s">
        <v>355</v>
      </c>
      <c r="AY170" s="40"/>
      <c r="AZ170" s="40"/>
      <c r="BA170" s="40"/>
      <c r="BB170" s="31"/>
      <c r="BC170" s="32"/>
      <c r="BD170" s="29"/>
      <c r="BF170" s="41" t="s">
        <v>514</v>
      </c>
      <c r="BG170" s="41" t="s">
        <v>355</v>
      </c>
      <c r="BH170" s="40"/>
      <c r="BI170" s="40"/>
      <c r="BJ170" s="40"/>
      <c r="BK170" s="31"/>
      <c r="BL170" s="32"/>
      <c r="BM170" s="29"/>
    </row>
    <row r="171" spans="2:65">
      <c r="B171" s="41" t="s">
        <v>514</v>
      </c>
      <c r="C171" s="41" t="s">
        <v>355</v>
      </c>
      <c r="D171" s="40"/>
      <c r="E171" s="40"/>
      <c r="F171" s="40"/>
      <c r="G171" s="31"/>
      <c r="H171" s="32"/>
      <c r="I171" s="29"/>
      <c r="J171" s="172"/>
      <c r="L171" s="41" t="s">
        <v>514</v>
      </c>
      <c r="M171" s="41" t="s">
        <v>355</v>
      </c>
      <c r="N171" s="40"/>
      <c r="O171" s="40"/>
      <c r="P171" s="40"/>
      <c r="Q171" s="31"/>
      <c r="R171" s="32"/>
      <c r="S171" s="29"/>
      <c r="T171" s="172"/>
      <c r="V171" s="41" t="s">
        <v>514</v>
      </c>
      <c r="W171" s="41" t="s">
        <v>355</v>
      </c>
      <c r="X171" s="40"/>
      <c r="Y171" s="40"/>
      <c r="Z171" s="40"/>
      <c r="AA171" s="31"/>
      <c r="AB171" s="32"/>
      <c r="AC171" s="29"/>
      <c r="AE171" s="41" t="s">
        <v>514</v>
      </c>
      <c r="AF171" s="41" t="s">
        <v>355</v>
      </c>
      <c r="AG171" s="40"/>
      <c r="AH171" s="40"/>
      <c r="AI171" s="40"/>
      <c r="AJ171" s="31"/>
      <c r="AK171" s="32"/>
      <c r="AL171" s="29"/>
      <c r="AN171" s="41" t="s">
        <v>514</v>
      </c>
      <c r="AO171" s="41" t="s">
        <v>355</v>
      </c>
      <c r="AP171" s="40"/>
      <c r="AQ171" s="40"/>
      <c r="AR171" s="40"/>
      <c r="AS171" s="31"/>
      <c r="AT171" s="32"/>
      <c r="AU171" s="29"/>
      <c r="AW171" s="41" t="s">
        <v>514</v>
      </c>
      <c r="AX171" s="41" t="s">
        <v>355</v>
      </c>
      <c r="AY171" s="40"/>
      <c r="AZ171" s="40"/>
      <c r="BA171" s="40"/>
      <c r="BB171" s="31"/>
      <c r="BC171" s="32"/>
      <c r="BD171" s="29"/>
      <c r="BF171" s="41" t="s">
        <v>514</v>
      </c>
      <c r="BG171" s="41" t="s">
        <v>355</v>
      </c>
      <c r="BH171" s="40"/>
      <c r="BI171" s="40"/>
      <c r="BJ171" s="40"/>
      <c r="BK171" s="31"/>
      <c r="BL171" s="32"/>
      <c r="BM171" s="29"/>
    </row>
    <row r="172" spans="2:65">
      <c r="B172" s="41" t="s">
        <v>514</v>
      </c>
      <c r="C172" s="41" t="s">
        <v>355</v>
      </c>
      <c r="D172" s="40"/>
      <c r="E172" s="40"/>
      <c r="F172" s="40"/>
      <c r="G172" s="31"/>
      <c r="H172" s="32"/>
      <c r="I172" s="29"/>
      <c r="J172" s="172"/>
      <c r="L172" s="41" t="s">
        <v>514</v>
      </c>
      <c r="M172" s="41" t="s">
        <v>355</v>
      </c>
      <c r="N172" s="40"/>
      <c r="O172" s="40"/>
      <c r="P172" s="40"/>
      <c r="Q172" s="31"/>
      <c r="R172" s="32"/>
      <c r="S172" s="29"/>
      <c r="T172" s="172"/>
      <c r="V172" s="41" t="s">
        <v>514</v>
      </c>
      <c r="W172" s="41" t="s">
        <v>355</v>
      </c>
      <c r="X172" s="40"/>
      <c r="Y172" s="40"/>
      <c r="Z172" s="40"/>
      <c r="AA172" s="31"/>
      <c r="AB172" s="32"/>
      <c r="AC172" s="29"/>
      <c r="AE172" s="41" t="s">
        <v>514</v>
      </c>
      <c r="AF172" s="41" t="s">
        <v>355</v>
      </c>
      <c r="AG172" s="40"/>
      <c r="AH172" s="40"/>
      <c r="AI172" s="40"/>
      <c r="AJ172" s="31"/>
      <c r="AK172" s="32"/>
      <c r="AL172" s="29"/>
      <c r="AN172" s="41" t="s">
        <v>514</v>
      </c>
      <c r="AO172" s="41" t="s">
        <v>355</v>
      </c>
      <c r="AP172" s="40"/>
      <c r="AQ172" s="40"/>
      <c r="AR172" s="40"/>
      <c r="AS172" s="31"/>
      <c r="AT172" s="32"/>
      <c r="AU172" s="29"/>
      <c r="AW172" s="41" t="s">
        <v>514</v>
      </c>
      <c r="AX172" s="41" t="s">
        <v>355</v>
      </c>
      <c r="AY172" s="40"/>
      <c r="AZ172" s="40"/>
      <c r="BA172" s="40"/>
      <c r="BB172" s="31"/>
      <c r="BC172" s="32"/>
      <c r="BD172" s="29"/>
      <c r="BF172" s="41" t="s">
        <v>514</v>
      </c>
      <c r="BG172" s="41" t="s">
        <v>355</v>
      </c>
      <c r="BH172" s="40"/>
      <c r="BI172" s="40"/>
      <c r="BJ172" s="40"/>
      <c r="BK172" s="31"/>
      <c r="BL172" s="32"/>
      <c r="BM172" s="29"/>
    </row>
    <row r="173" spans="2:65">
      <c r="B173" s="41" t="s">
        <v>514</v>
      </c>
      <c r="C173" s="41" t="s">
        <v>355</v>
      </c>
      <c r="D173" s="40"/>
      <c r="E173" s="40"/>
      <c r="F173" s="40"/>
      <c r="G173" s="31"/>
      <c r="H173" s="32"/>
      <c r="I173" s="29"/>
      <c r="J173" s="172"/>
      <c r="L173" s="41" t="s">
        <v>514</v>
      </c>
      <c r="M173" s="41" t="s">
        <v>355</v>
      </c>
      <c r="N173" s="40"/>
      <c r="O173" s="40"/>
      <c r="P173" s="40"/>
      <c r="Q173" s="31"/>
      <c r="R173" s="32"/>
      <c r="S173" s="29"/>
      <c r="T173" s="172"/>
      <c r="V173" s="41" t="s">
        <v>514</v>
      </c>
      <c r="W173" s="41" t="s">
        <v>355</v>
      </c>
      <c r="X173" s="40"/>
      <c r="Y173" s="40"/>
      <c r="Z173" s="40"/>
      <c r="AA173" s="31"/>
      <c r="AB173" s="32"/>
      <c r="AC173" s="29"/>
      <c r="AE173" s="41" t="s">
        <v>514</v>
      </c>
      <c r="AF173" s="41" t="s">
        <v>355</v>
      </c>
      <c r="AG173" s="40"/>
      <c r="AH173" s="40"/>
      <c r="AI173" s="40"/>
      <c r="AJ173" s="31"/>
      <c r="AK173" s="32"/>
      <c r="AL173" s="29"/>
      <c r="AN173" s="41" t="s">
        <v>514</v>
      </c>
      <c r="AO173" s="41" t="s">
        <v>355</v>
      </c>
      <c r="AP173" s="40"/>
      <c r="AQ173" s="40"/>
      <c r="AR173" s="40"/>
      <c r="AS173" s="31"/>
      <c r="AT173" s="32"/>
      <c r="AU173" s="29"/>
      <c r="AW173" s="41" t="s">
        <v>514</v>
      </c>
      <c r="AX173" s="41" t="s">
        <v>355</v>
      </c>
      <c r="AY173" s="40"/>
      <c r="AZ173" s="40"/>
      <c r="BA173" s="40"/>
      <c r="BB173" s="31"/>
      <c r="BC173" s="32"/>
      <c r="BD173" s="29"/>
      <c r="BF173" s="41" t="s">
        <v>514</v>
      </c>
      <c r="BG173" s="41" t="s">
        <v>355</v>
      </c>
      <c r="BH173" s="40"/>
      <c r="BI173" s="40"/>
      <c r="BJ173" s="40"/>
      <c r="BK173" s="31"/>
      <c r="BL173" s="32"/>
      <c r="BM173" s="29"/>
    </row>
    <row r="174" spans="2:65">
      <c r="B174" s="41" t="s">
        <v>514</v>
      </c>
      <c r="C174" s="41" t="s">
        <v>355</v>
      </c>
      <c r="D174" s="40"/>
      <c r="E174" s="40"/>
      <c r="F174" s="40"/>
      <c r="G174" s="31"/>
      <c r="H174" s="32"/>
      <c r="I174" s="29"/>
      <c r="J174" s="172"/>
      <c r="L174" s="41" t="s">
        <v>514</v>
      </c>
      <c r="M174" s="41" t="s">
        <v>355</v>
      </c>
      <c r="N174" s="40"/>
      <c r="O174" s="40"/>
      <c r="P174" s="40"/>
      <c r="Q174" s="31"/>
      <c r="R174" s="32"/>
      <c r="S174" s="29"/>
      <c r="T174" s="172"/>
      <c r="V174" s="41" t="s">
        <v>514</v>
      </c>
      <c r="W174" s="41" t="s">
        <v>355</v>
      </c>
      <c r="X174" s="40"/>
      <c r="Y174" s="40"/>
      <c r="Z174" s="40"/>
      <c r="AA174" s="31"/>
      <c r="AB174" s="32"/>
      <c r="AC174" s="29"/>
      <c r="AE174" s="41" t="s">
        <v>514</v>
      </c>
      <c r="AF174" s="41" t="s">
        <v>355</v>
      </c>
      <c r="AG174" s="40"/>
      <c r="AH174" s="40"/>
      <c r="AI174" s="40"/>
      <c r="AJ174" s="31"/>
      <c r="AK174" s="32"/>
      <c r="AL174" s="29"/>
      <c r="AN174" s="41" t="s">
        <v>514</v>
      </c>
      <c r="AO174" s="41" t="s">
        <v>355</v>
      </c>
      <c r="AP174" s="40"/>
      <c r="AQ174" s="40"/>
      <c r="AR174" s="40"/>
      <c r="AS174" s="31"/>
      <c r="AT174" s="32"/>
      <c r="AU174" s="29"/>
      <c r="AW174" s="41" t="s">
        <v>514</v>
      </c>
      <c r="AX174" s="41" t="s">
        <v>355</v>
      </c>
      <c r="AY174" s="40"/>
      <c r="AZ174" s="40"/>
      <c r="BA174" s="40"/>
      <c r="BB174" s="31"/>
      <c r="BC174" s="32"/>
      <c r="BD174" s="29"/>
      <c r="BF174" s="41" t="s">
        <v>514</v>
      </c>
      <c r="BG174" s="41" t="s">
        <v>355</v>
      </c>
      <c r="BH174" s="40"/>
      <c r="BI174" s="40"/>
      <c r="BJ174" s="40"/>
      <c r="BK174" s="31"/>
      <c r="BL174" s="32"/>
      <c r="BM174" s="29"/>
    </row>
    <row r="175" spans="2:65">
      <c r="B175" s="41" t="s">
        <v>514</v>
      </c>
      <c r="C175" s="41" t="s">
        <v>355</v>
      </c>
      <c r="D175" s="40"/>
      <c r="E175" s="40"/>
      <c r="F175" s="40"/>
      <c r="G175" s="31"/>
      <c r="H175" s="32"/>
      <c r="I175" s="29"/>
      <c r="J175" s="172"/>
      <c r="L175" s="41" t="s">
        <v>514</v>
      </c>
      <c r="M175" s="41" t="s">
        <v>355</v>
      </c>
      <c r="N175" s="40"/>
      <c r="O175" s="40"/>
      <c r="P175" s="40"/>
      <c r="Q175" s="31"/>
      <c r="R175" s="32"/>
      <c r="S175" s="29"/>
      <c r="T175" s="172"/>
      <c r="V175" s="41" t="s">
        <v>514</v>
      </c>
      <c r="W175" s="41" t="s">
        <v>355</v>
      </c>
      <c r="X175" s="40"/>
      <c r="Y175" s="40"/>
      <c r="Z175" s="40"/>
      <c r="AA175" s="31"/>
      <c r="AB175" s="32"/>
      <c r="AC175" s="29"/>
      <c r="AE175" s="41" t="s">
        <v>514</v>
      </c>
      <c r="AF175" s="41" t="s">
        <v>355</v>
      </c>
      <c r="AG175" s="40"/>
      <c r="AH175" s="40"/>
      <c r="AI175" s="40"/>
      <c r="AJ175" s="31"/>
      <c r="AK175" s="32"/>
      <c r="AL175" s="29"/>
      <c r="AN175" s="41" t="s">
        <v>514</v>
      </c>
      <c r="AO175" s="41" t="s">
        <v>355</v>
      </c>
      <c r="AP175" s="40"/>
      <c r="AQ175" s="40"/>
      <c r="AR175" s="40"/>
      <c r="AS175" s="31"/>
      <c r="AT175" s="32"/>
      <c r="AU175" s="29"/>
      <c r="AW175" s="41" t="s">
        <v>514</v>
      </c>
      <c r="AX175" s="41" t="s">
        <v>355</v>
      </c>
      <c r="AY175" s="40"/>
      <c r="AZ175" s="40"/>
      <c r="BA175" s="40"/>
      <c r="BB175" s="31"/>
      <c r="BC175" s="32"/>
      <c r="BD175" s="29"/>
      <c r="BF175" s="41" t="s">
        <v>514</v>
      </c>
      <c r="BG175" s="41" t="s">
        <v>355</v>
      </c>
      <c r="BH175" s="40"/>
      <c r="BI175" s="40"/>
      <c r="BJ175" s="40"/>
      <c r="BK175" s="31"/>
      <c r="BL175" s="32"/>
      <c r="BM175" s="29"/>
    </row>
    <row r="176" spans="2:65">
      <c r="B176" s="41" t="s">
        <v>514</v>
      </c>
      <c r="C176" s="41" t="s">
        <v>355</v>
      </c>
      <c r="D176" s="40"/>
      <c r="E176" s="40"/>
      <c r="F176" s="40"/>
      <c r="G176" s="31"/>
      <c r="H176" s="32"/>
      <c r="I176" s="29"/>
      <c r="J176" s="172"/>
      <c r="L176" s="41" t="s">
        <v>514</v>
      </c>
      <c r="M176" s="41" t="s">
        <v>355</v>
      </c>
      <c r="N176" s="40"/>
      <c r="O176" s="40"/>
      <c r="P176" s="40"/>
      <c r="Q176" s="31"/>
      <c r="R176" s="32"/>
      <c r="S176" s="29"/>
      <c r="T176" s="172"/>
      <c r="V176" s="41" t="s">
        <v>514</v>
      </c>
      <c r="W176" s="41" t="s">
        <v>355</v>
      </c>
      <c r="X176" s="40"/>
      <c r="Y176" s="40"/>
      <c r="Z176" s="40"/>
      <c r="AA176" s="31"/>
      <c r="AB176" s="32"/>
      <c r="AC176" s="29"/>
      <c r="AE176" s="41" t="s">
        <v>514</v>
      </c>
      <c r="AF176" s="41" t="s">
        <v>355</v>
      </c>
      <c r="AG176" s="40"/>
      <c r="AH176" s="40"/>
      <c r="AI176" s="40"/>
      <c r="AJ176" s="31"/>
      <c r="AK176" s="32"/>
      <c r="AL176" s="29"/>
      <c r="AN176" s="41" t="s">
        <v>514</v>
      </c>
      <c r="AO176" s="41" t="s">
        <v>355</v>
      </c>
      <c r="AP176" s="40"/>
      <c r="AQ176" s="40"/>
      <c r="AR176" s="40"/>
      <c r="AS176" s="31"/>
      <c r="AT176" s="32"/>
      <c r="AU176" s="29"/>
      <c r="AW176" s="41" t="s">
        <v>514</v>
      </c>
      <c r="AX176" s="41" t="s">
        <v>355</v>
      </c>
      <c r="AY176" s="40"/>
      <c r="AZ176" s="40"/>
      <c r="BA176" s="40"/>
      <c r="BB176" s="31"/>
      <c r="BC176" s="32"/>
      <c r="BD176" s="29"/>
      <c r="BF176" s="41" t="s">
        <v>514</v>
      </c>
      <c r="BG176" s="41" t="s">
        <v>355</v>
      </c>
      <c r="BH176" s="40"/>
      <c r="BI176" s="40"/>
      <c r="BJ176" s="40"/>
      <c r="BK176" s="31"/>
      <c r="BL176" s="32"/>
      <c r="BM176" s="29"/>
    </row>
    <row r="177" spans="2:65" outlineLevel="1">
      <c r="B177" s="41" t="s">
        <v>514</v>
      </c>
      <c r="C177" s="41" t="s">
        <v>355</v>
      </c>
      <c r="D177" s="40"/>
      <c r="E177" s="40"/>
      <c r="F177" s="40"/>
      <c r="G177" s="31"/>
      <c r="H177" s="32"/>
      <c r="I177" s="29"/>
      <c r="J177" s="172"/>
      <c r="L177" s="41" t="s">
        <v>514</v>
      </c>
      <c r="M177" s="41" t="s">
        <v>355</v>
      </c>
      <c r="N177" s="40"/>
      <c r="O177" s="40"/>
      <c r="P177" s="40"/>
      <c r="Q177" s="31"/>
      <c r="R177" s="32"/>
      <c r="S177" s="29"/>
      <c r="T177" s="172"/>
      <c r="V177" s="41" t="s">
        <v>514</v>
      </c>
      <c r="W177" s="41" t="s">
        <v>355</v>
      </c>
      <c r="X177" s="40"/>
      <c r="Y177" s="40"/>
      <c r="Z177" s="40"/>
      <c r="AA177" s="31"/>
      <c r="AB177" s="32"/>
      <c r="AC177" s="29"/>
      <c r="AE177" s="41" t="s">
        <v>514</v>
      </c>
      <c r="AF177" s="41" t="s">
        <v>355</v>
      </c>
      <c r="AG177" s="40"/>
      <c r="AH177" s="40"/>
      <c r="AI177" s="40"/>
      <c r="AJ177" s="31"/>
      <c r="AK177" s="32"/>
      <c r="AL177" s="29"/>
      <c r="AN177" s="41" t="s">
        <v>514</v>
      </c>
      <c r="AO177" s="41" t="s">
        <v>355</v>
      </c>
      <c r="AP177" s="40"/>
      <c r="AQ177" s="40"/>
      <c r="AR177" s="40"/>
      <c r="AS177" s="31"/>
      <c r="AT177" s="32"/>
      <c r="AU177" s="29"/>
      <c r="AW177" s="41" t="s">
        <v>514</v>
      </c>
      <c r="AX177" s="41" t="s">
        <v>355</v>
      </c>
      <c r="AY177" s="40"/>
      <c r="AZ177" s="40"/>
      <c r="BA177" s="40"/>
      <c r="BB177" s="31"/>
      <c r="BC177" s="32"/>
      <c r="BD177" s="29"/>
      <c r="BF177" s="41" t="s">
        <v>514</v>
      </c>
      <c r="BG177" s="41" t="s">
        <v>355</v>
      </c>
      <c r="BH177" s="40"/>
      <c r="BI177" s="40"/>
      <c r="BJ177" s="40"/>
      <c r="BK177" s="31"/>
      <c r="BL177" s="32"/>
      <c r="BM177" s="29"/>
    </row>
    <row r="178" spans="2:65" outlineLevel="1">
      <c r="B178" s="41" t="s">
        <v>514</v>
      </c>
      <c r="C178" s="41" t="s">
        <v>355</v>
      </c>
      <c r="D178" s="40"/>
      <c r="E178" s="40"/>
      <c r="F178" s="40"/>
      <c r="G178" s="31"/>
      <c r="H178" s="32"/>
      <c r="I178" s="29"/>
      <c r="J178" s="172"/>
      <c r="L178" s="41" t="s">
        <v>514</v>
      </c>
      <c r="M178" s="41" t="s">
        <v>355</v>
      </c>
      <c r="N178" s="40"/>
      <c r="O178" s="40"/>
      <c r="P178" s="40"/>
      <c r="Q178" s="31"/>
      <c r="R178" s="32"/>
      <c r="S178" s="29"/>
      <c r="T178" s="172"/>
      <c r="V178" s="41" t="s">
        <v>514</v>
      </c>
      <c r="W178" s="41" t="s">
        <v>355</v>
      </c>
      <c r="X178" s="40"/>
      <c r="Y178" s="40"/>
      <c r="Z178" s="40"/>
      <c r="AA178" s="31"/>
      <c r="AB178" s="32"/>
      <c r="AC178" s="29"/>
      <c r="AE178" s="41" t="s">
        <v>514</v>
      </c>
      <c r="AF178" s="41" t="s">
        <v>355</v>
      </c>
      <c r="AG178" s="40"/>
      <c r="AH178" s="40"/>
      <c r="AI178" s="40"/>
      <c r="AJ178" s="31"/>
      <c r="AK178" s="32"/>
      <c r="AL178" s="29"/>
      <c r="AN178" s="41" t="s">
        <v>514</v>
      </c>
      <c r="AO178" s="41" t="s">
        <v>355</v>
      </c>
      <c r="AP178" s="40"/>
      <c r="AQ178" s="40"/>
      <c r="AR178" s="40"/>
      <c r="AS178" s="31"/>
      <c r="AT178" s="32"/>
      <c r="AU178" s="29"/>
      <c r="AW178" s="41" t="s">
        <v>514</v>
      </c>
      <c r="AX178" s="41" t="s">
        <v>355</v>
      </c>
      <c r="AY178" s="40"/>
      <c r="AZ178" s="40"/>
      <c r="BA178" s="40"/>
      <c r="BB178" s="31"/>
      <c r="BC178" s="32"/>
      <c r="BD178" s="29"/>
      <c r="BF178" s="41" t="s">
        <v>514</v>
      </c>
      <c r="BG178" s="41" t="s">
        <v>355</v>
      </c>
      <c r="BH178" s="40"/>
      <c r="BI178" s="40"/>
      <c r="BJ178" s="40"/>
      <c r="BK178" s="31"/>
      <c r="BL178" s="32"/>
      <c r="BM178" s="29"/>
    </row>
    <row r="179" spans="2:65" outlineLevel="1">
      <c r="B179" s="41" t="s">
        <v>514</v>
      </c>
      <c r="C179" s="41" t="s">
        <v>355</v>
      </c>
      <c r="D179" s="40"/>
      <c r="E179" s="40"/>
      <c r="F179" s="40"/>
      <c r="G179" s="31"/>
      <c r="H179" s="32"/>
      <c r="I179" s="29"/>
      <c r="J179" s="172"/>
      <c r="L179" s="41" t="s">
        <v>514</v>
      </c>
      <c r="M179" s="41" t="s">
        <v>355</v>
      </c>
      <c r="N179" s="40"/>
      <c r="O179" s="40"/>
      <c r="P179" s="40"/>
      <c r="Q179" s="31"/>
      <c r="R179" s="32"/>
      <c r="S179" s="29"/>
      <c r="T179" s="172"/>
      <c r="V179" s="41" t="s">
        <v>514</v>
      </c>
      <c r="W179" s="41" t="s">
        <v>355</v>
      </c>
      <c r="X179" s="40"/>
      <c r="Y179" s="40"/>
      <c r="Z179" s="40"/>
      <c r="AA179" s="31"/>
      <c r="AB179" s="32"/>
      <c r="AC179" s="29"/>
      <c r="AE179" s="41" t="s">
        <v>514</v>
      </c>
      <c r="AF179" s="41" t="s">
        <v>355</v>
      </c>
      <c r="AG179" s="40"/>
      <c r="AH179" s="40"/>
      <c r="AI179" s="40"/>
      <c r="AJ179" s="31"/>
      <c r="AK179" s="32"/>
      <c r="AL179" s="29"/>
      <c r="AN179" s="41" t="s">
        <v>514</v>
      </c>
      <c r="AO179" s="41" t="s">
        <v>355</v>
      </c>
      <c r="AP179" s="40"/>
      <c r="AQ179" s="40"/>
      <c r="AR179" s="40"/>
      <c r="AS179" s="31"/>
      <c r="AT179" s="32"/>
      <c r="AU179" s="29"/>
      <c r="AW179" s="41" t="s">
        <v>514</v>
      </c>
      <c r="AX179" s="41" t="s">
        <v>355</v>
      </c>
      <c r="AY179" s="40"/>
      <c r="AZ179" s="40"/>
      <c r="BA179" s="40"/>
      <c r="BB179" s="31"/>
      <c r="BC179" s="32"/>
      <c r="BD179" s="29"/>
      <c r="BF179" s="41" t="s">
        <v>514</v>
      </c>
      <c r="BG179" s="41" t="s">
        <v>355</v>
      </c>
      <c r="BH179" s="40"/>
      <c r="BI179" s="40"/>
      <c r="BJ179" s="40"/>
      <c r="BK179" s="31"/>
      <c r="BL179" s="32"/>
      <c r="BM179" s="29"/>
    </row>
    <row r="180" spans="2:65" outlineLevel="1">
      <c r="B180" s="41" t="s">
        <v>514</v>
      </c>
      <c r="C180" s="41" t="s">
        <v>355</v>
      </c>
      <c r="D180" s="40"/>
      <c r="E180" s="40"/>
      <c r="F180" s="40"/>
      <c r="G180" s="31"/>
      <c r="H180" s="32"/>
      <c r="I180" s="29"/>
      <c r="J180" s="172"/>
      <c r="L180" s="41" t="s">
        <v>514</v>
      </c>
      <c r="M180" s="41" t="s">
        <v>355</v>
      </c>
      <c r="N180" s="40"/>
      <c r="O180" s="40"/>
      <c r="P180" s="40"/>
      <c r="Q180" s="31"/>
      <c r="R180" s="32"/>
      <c r="S180" s="29"/>
      <c r="T180" s="172"/>
      <c r="V180" s="41" t="s">
        <v>514</v>
      </c>
      <c r="W180" s="41" t="s">
        <v>355</v>
      </c>
      <c r="X180" s="40"/>
      <c r="Y180" s="40"/>
      <c r="Z180" s="40"/>
      <c r="AA180" s="31"/>
      <c r="AB180" s="32"/>
      <c r="AC180" s="29"/>
      <c r="AE180" s="41" t="s">
        <v>514</v>
      </c>
      <c r="AF180" s="41" t="s">
        <v>355</v>
      </c>
      <c r="AG180" s="40"/>
      <c r="AH180" s="40"/>
      <c r="AI180" s="40"/>
      <c r="AJ180" s="31"/>
      <c r="AK180" s="32"/>
      <c r="AL180" s="29"/>
      <c r="AN180" s="41" t="s">
        <v>514</v>
      </c>
      <c r="AO180" s="41" t="s">
        <v>355</v>
      </c>
      <c r="AP180" s="40"/>
      <c r="AQ180" s="40"/>
      <c r="AR180" s="40"/>
      <c r="AS180" s="31"/>
      <c r="AT180" s="32"/>
      <c r="AU180" s="29"/>
      <c r="AW180" s="41" t="s">
        <v>514</v>
      </c>
      <c r="AX180" s="41" t="s">
        <v>355</v>
      </c>
      <c r="AY180" s="40"/>
      <c r="AZ180" s="40"/>
      <c r="BA180" s="40"/>
      <c r="BB180" s="31"/>
      <c r="BC180" s="32"/>
      <c r="BD180" s="29"/>
      <c r="BF180" s="41" t="s">
        <v>514</v>
      </c>
      <c r="BG180" s="41" t="s">
        <v>355</v>
      </c>
      <c r="BH180" s="40"/>
      <c r="BI180" s="40"/>
      <c r="BJ180" s="40"/>
      <c r="BK180" s="31"/>
      <c r="BL180" s="32"/>
      <c r="BM180" s="29"/>
    </row>
    <row r="181" spans="2:65" outlineLevel="1">
      <c r="B181" s="41" t="s">
        <v>514</v>
      </c>
      <c r="C181" s="41" t="s">
        <v>355</v>
      </c>
      <c r="D181" s="40"/>
      <c r="E181" s="40"/>
      <c r="F181" s="40"/>
      <c r="G181" s="31"/>
      <c r="H181" s="32"/>
      <c r="I181" s="29"/>
      <c r="J181" s="172"/>
      <c r="L181" s="41" t="s">
        <v>514</v>
      </c>
      <c r="M181" s="41" t="s">
        <v>355</v>
      </c>
      <c r="N181" s="40"/>
      <c r="O181" s="40"/>
      <c r="P181" s="40"/>
      <c r="Q181" s="31"/>
      <c r="R181" s="32"/>
      <c r="S181" s="29"/>
      <c r="T181" s="172"/>
      <c r="V181" s="41" t="s">
        <v>514</v>
      </c>
      <c r="W181" s="41" t="s">
        <v>355</v>
      </c>
      <c r="X181" s="40"/>
      <c r="Y181" s="40"/>
      <c r="Z181" s="40"/>
      <c r="AA181" s="31"/>
      <c r="AB181" s="32"/>
      <c r="AC181" s="29"/>
      <c r="AE181" s="41" t="s">
        <v>514</v>
      </c>
      <c r="AF181" s="41" t="s">
        <v>355</v>
      </c>
      <c r="AG181" s="40"/>
      <c r="AH181" s="40"/>
      <c r="AI181" s="40"/>
      <c r="AJ181" s="31"/>
      <c r="AK181" s="32"/>
      <c r="AL181" s="29"/>
      <c r="AN181" s="41" t="s">
        <v>514</v>
      </c>
      <c r="AO181" s="41" t="s">
        <v>355</v>
      </c>
      <c r="AP181" s="40"/>
      <c r="AQ181" s="40"/>
      <c r="AR181" s="40"/>
      <c r="AS181" s="31"/>
      <c r="AT181" s="32"/>
      <c r="AU181" s="29"/>
      <c r="AW181" s="41" t="s">
        <v>514</v>
      </c>
      <c r="AX181" s="41" t="s">
        <v>355</v>
      </c>
      <c r="AY181" s="40"/>
      <c r="AZ181" s="40"/>
      <c r="BA181" s="40"/>
      <c r="BB181" s="31"/>
      <c r="BC181" s="32"/>
      <c r="BD181" s="29"/>
      <c r="BF181" s="41" t="s">
        <v>514</v>
      </c>
      <c r="BG181" s="41" t="s">
        <v>355</v>
      </c>
      <c r="BH181" s="40"/>
      <c r="BI181" s="40"/>
      <c r="BJ181" s="40"/>
      <c r="BK181" s="31"/>
      <c r="BL181" s="32"/>
      <c r="BM181" s="29"/>
    </row>
    <row r="182" spans="2:65" outlineLevel="1">
      <c r="B182" s="41" t="s">
        <v>514</v>
      </c>
      <c r="C182" s="41" t="s">
        <v>355</v>
      </c>
      <c r="D182" s="40"/>
      <c r="E182" s="40"/>
      <c r="F182" s="40"/>
      <c r="G182" s="31"/>
      <c r="H182" s="32"/>
      <c r="I182" s="29"/>
      <c r="J182" s="172"/>
      <c r="L182" s="41" t="s">
        <v>514</v>
      </c>
      <c r="M182" s="41" t="s">
        <v>355</v>
      </c>
      <c r="N182" s="40"/>
      <c r="O182" s="40"/>
      <c r="P182" s="40"/>
      <c r="Q182" s="31"/>
      <c r="R182" s="32"/>
      <c r="S182" s="29"/>
      <c r="T182" s="172"/>
      <c r="V182" s="41" t="s">
        <v>514</v>
      </c>
      <c r="W182" s="41" t="s">
        <v>355</v>
      </c>
      <c r="X182" s="40"/>
      <c r="Y182" s="40"/>
      <c r="Z182" s="40"/>
      <c r="AA182" s="31"/>
      <c r="AB182" s="32"/>
      <c r="AC182" s="29"/>
      <c r="AE182" s="41" t="s">
        <v>514</v>
      </c>
      <c r="AF182" s="41" t="s">
        <v>355</v>
      </c>
      <c r="AG182" s="40"/>
      <c r="AH182" s="40"/>
      <c r="AI182" s="40"/>
      <c r="AJ182" s="31"/>
      <c r="AK182" s="32"/>
      <c r="AL182" s="29"/>
      <c r="AN182" s="41" t="s">
        <v>514</v>
      </c>
      <c r="AO182" s="41" t="s">
        <v>355</v>
      </c>
      <c r="AP182" s="40"/>
      <c r="AQ182" s="40"/>
      <c r="AR182" s="40"/>
      <c r="AS182" s="31"/>
      <c r="AT182" s="32"/>
      <c r="AU182" s="29"/>
      <c r="AW182" s="41" t="s">
        <v>514</v>
      </c>
      <c r="AX182" s="41" t="s">
        <v>355</v>
      </c>
      <c r="AY182" s="40"/>
      <c r="AZ182" s="40"/>
      <c r="BA182" s="40"/>
      <c r="BB182" s="31"/>
      <c r="BC182" s="32"/>
      <c r="BD182" s="29"/>
      <c r="BF182" s="41" t="s">
        <v>514</v>
      </c>
      <c r="BG182" s="41" t="s">
        <v>355</v>
      </c>
      <c r="BH182" s="40"/>
      <c r="BI182" s="40"/>
      <c r="BJ182" s="40"/>
      <c r="BK182" s="31"/>
      <c r="BL182" s="32"/>
      <c r="BM182" s="29"/>
    </row>
    <row r="183" spans="2:65" outlineLevel="1">
      <c r="B183" s="41" t="s">
        <v>514</v>
      </c>
      <c r="C183" s="41" t="s">
        <v>355</v>
      </c>
      <c r="D183" s="40"/>
      <c r="E183" s="40"/>
      <c r="F183" s="40"/>
      <c r="G183" s="31"/>
      <c r="H183" s="32"/>
      <c r="I183" s="29"/>
      <c r="J183" s="172"/>
      <c r="L183" s="41" t="s">
        <v>514</v>
      </c>
      <c r="M183" s="41" t="s">
        <v>355</v>
      </c>
      <c r="N183" s="40"/>
      <c r="O183" s="40"/>
      <c r="P183" s="40"/>
      <c r="Q183" s="31"/>
      <c r="R183" s="32"/>
      <c r="S183" s="29"/>
      <c r="T183" s="172"/>
      <c r="V183" s="41" t="s">
        <v>514</v>
      </c>
      <c r="W183" s="41" t="s">
        <v>355</v>
      </c>
      <c r="X183" s="40"/>
      <c r="Y183" s="40"/>
      <c r="Z183" s="40"/>
      <c r="AA183" s="31"/>
      <c r="AB183" s="32"/>
      <c r="AC183" s="29"/>
      <c r="AE183" s="41" t="s">
        <v>514</v>
      </c>
      <c r="AF183" s="41" t="s">
        <v>355</v>
      </c>
      <c r="AG183" s="40"/>
      <c r="AH183" s="40"/>
      <c r="AI183" s="40"/>
      <c r="AJ183" s="31"/>
      <c r="AK183" s="32"/>
      <c r="AL183" s="29"/>
      <c r="AN183" s="41" t="s">
        <v>514</v>
      </c>
      <c r="AO183" s="41" t="s">
        <v>355</v>
      </c>
      <c r="AP183" s="40"/>
      <c r="AQ183" s="40"/>
      <c r="AR183" s="40"/>
      <c r="AS183" s="31"/>
      <c r="AT183" s="32"/>
      <c r="AU183" s="29"/>
      <c r="AW183" s="41" t="s">
        <v>514</v>
      </c>
      <c r="AX183" s="41" t="s">
        <v>355</v>
      </c>
      <c r="AY183" s="40"/>
      <c r="AZ183" s="40"/>
      <c r="BA183" s="40"/>
      <c r="BB183" s="31"/>
      <c r="BC183" s="32"/>
      <c r="BD183" s="29"/>
      <c r="BF183" s="41" t="s">
        <v>514</v>
      </c>
      <c r="BG183" s="41" t="s">
        <v>355</v>
      </c>
      <c r="BH183" s="40"/>
      <c r="BI183" s="40"/>
      <c r="BJ183" s="40"/>
      <c r="BK183" s="31"/>
      <c r="BL183" s="32"/>
      <c r="BM183" s="29"/>
    </row>
    <row r="184" spans="2:65" outlineLevel="1">
      <c r="B184" s="41" t="s">
        <v>514</v>
      </c>
      <c r="C184" s="41" t="s">
        <v>355</v>
      </c>
      <c r="D184" s="40"/>
      <c r="E184" s="40"/>
      <c r="F184" s="40"/>
      <c r="G184" s="31"/>
      <c r="H184" s="32"/>
      <c r="I184" s="29"/>
      <c r="J184" s="172"/>
      <c r="L184" s="41" t="s">
        <v>514</v>
      </c>
      <c r="M184" s="41" t="s">
        <v>355</v>
      </c>
      <c r="N184" s="40"/>
      <c r="O184" s="40"/>
      <c r="P184" s="40"/>
      <c r="Q184" s="31"/>
      <c r="R184" s="32"/>
      <c r="S184" s="29"/>
      <c r="T184" s="172"/>
      <c r="V184" s="41" t="s">
        <v>514</v>
      </c>
      <c r="W184" s="41" t="s">
        <v>355</v>
      </c>
      <c r="X184" s="40"/>
      <c r="Y184" s="40"/>
      <c r="Z184" s="40"/>
      <c r="AA184" s="31"/>
      <c r="AB184" s="32"/>
      <c r="AC184" s="29"/>
      <c r="AE184" s="41" t="s">
        <v>514</v>
      </c>
      <c r="AF184" s="41" t="s">
        <v>355</v>
      </c>
      <c r="AG184" s="40"/>
      <c r="AH184" s="40"/>
      <c r="AI184" s="40"/>
      <c r="AJ184" s="31"/>
      <c r="AK184" s="32"/>
      <c r="AL184" s="29"/>
      <c r="AN184" s="41" t="s">
        <v>514</v>
      </c>
      <c r="AO184" s="41" t="s">
        <v>355</v>
      </c>
      <c r="AP184" s="40"/>
      <c r="AQ184" s="40"/>
      <c r="AR184" s="40"/>
      <c r="AS184" s="31"/>
      <c r="AT184" s="32"/>
      <c r="AU184" s="29"/>
      <c r="AW184" s="41" t="s">
        <v>514</v>
      </c>
      <c r="AX184" s="41" t="s">
        <v>355</v>
      </c>
      <c r="AY184" s="40"/>
      <c r="AZ184" s="40"/>
      <c r="BA184" s="40"/>
      <c r="BB184" s="31"/>
      <c r="BC184" s="32"/>
      <c r="BD184" s="29"/>
      <c r="BF184" s="41" t="s">
        <v>514</v>
      </c>
      <c r="BG184" s="41" t="s">
        <v>355</v>
      </c>
      <c r="BH184" s="40"/>
      <c r="BI184" s="40"/>
      <c r="BJ184" s="40"/>
      <c r="BK184" s="31"/>
      <c r="BL184" s="32"/>
      <c r="BM184" s="29"/>
    </row>
    <row r="185" spans="2:65" s="24" customFormat="1">
      <c r="B185" s="8" t="s">
        <v>518</v>
      </c>
      <c r="C185" s="25"/>
      <c r="D185" s="28">
        <f>SUM(D170:D184)</f>
        <v>0</v>
      </c>
      <c r="E185" s="28">
        <f>SUM(E170:E184)</f>
        <v>0</v>
      </c>
      <c r="F185" s="28">
        <f>SUM(F170:F184)</f>
        <v>0</v>
      </c>
      <c r="G185" s="25"/>
      <c r="H185" s="26"/>
      <c r="I185" s="30"/>
      <c r="J185" s="171"/>
      <c r="L185" s="8" t="s">
        <v>518</v>
      </c>
      <c r="M185" s="25"/>
      <c r="N185" s="28">
        <f t="shared" ref="N185:P185" si="139">SUM(N170:N184)</f>
        <v>0</v>
      </c>
      <c r="O185" s="28">
        <f t="shared" si="139"/>
        <v>0</v>
      </c>
      <c r="P185" s="28">
        <f t="shared" si="139"/>
        <v>0</v>
      </c>
      <c r="Q185" s="25"/>
      <c r="R185" s="26"/>
      <c r="S185" s="30"/>
      <c r="T185" s="171"/>
      <c r="V185" s="8" t="s">
        <v>518</v>
      </c>
      <c r="W185" s="25"/>
      <c r="X185" s="30"/>
      <c r="Y185" s="30"/>
      <c r="Z185" s="28">
        <f t="shared" ref="Z185" si="140">SUM(Z170:Z184)</f>
        <v>0</v>
      </c>
      <c r="AA185" s="25"/>
      <c r="AB185" s="26"/>
      <c r="AC185" s="30"/>
      <c r="AE185" s="8" t="s">
        <v>518</v>
      </c>
      <c r="AF185" s="25"/>
      <c r="AG185" s="30"/>
      <c r="AH185" s="30"/>
      <c r="AI185" s="28">
        <f t="shared" ref="AI185" si="141">SUM(AI170:AI184)</f>
        <v>0</v>
      </c>
      <c r="AJ185" s="25"/>
      <c r="AK185" s="26"/>
      <c r="AL185" s="30"/>
      <c r="AN185" s="8" t="s">
        <v>518</v>
      </c>
      <c r="AO185" s="25"/>
      <c r="AP185" s="30"/>
      <c r="AQ185" s="30"/>
      <c r="AR185" s="28">
        <f t="shared" ref="AR185" si="142">SUM(AR170:AR184)</f>
        <v>0</v>
      </c>
      <c r="AS185" s="25"/>
      <c r="AT185" s="26"/>
      <c r="AU185" s="30"/>
      <c r="AW185" s="8" t="s">
        <v>518</v>
      </c>
      <c r="AX185" s="25"/>
      <c r="AY185" s="30"/>
      <c r="AZ185" s="30"/>
      <c r="BA185" s="28">
        <f t="shared" ref="BA185" si="143">SUM(BA170:BA184)</f>
        <v>0</v>
      </c>
      <c r="BB185" s="25"/>
      <c r="BC185" s="26"/>
      <c r="BD185" s="30"/>
      <c r="BF185" s="8" t="s">
        <v>518</v>
      </c>
      <c r="BG185" s="25"/>
      <c r="BH185" s="30"/>
      <c r="BI185" s="30"/>
      <c r="BJ185" s="28">
        <f t="shared" ref="BJ185" si="144">SUM(BJ170:BJ184)</f>
        <v>0</v>
      </c>
      <c r="BK185" s="25"/>
      <c r="BL185" s="26"/>
      <c r="BM185" s="30"/>
    </row>
    <row r="187" spans="2:65" s="20" customFormat="1" ht="41.4">
      <c r="B187" s="27" t="s">
        <v>522</v>
      </c>
      <c r="C187" s="3" t="str">
        <f>C$43</f>
        <v>Source</v>
      </c>
      <c r="D187" s="3" t="str">
        <f t="shared" ref="D187:I187" si="145">D$43</f>
        <v>Limit (A)</v>
      </c>
      <c r="E187" s="3" t="str">
        <f t="shared" si="145"/>
        <v>Outstanding (A1)</v>
      </c>
      <c r="F187" s="3" t="str">
        <f t="shared" si="145"/>
        <v>Monthly Repayment (B)</v>
      </c>
      <c r="G187" s="3" t="str">
        <f t="shared" si="145"/>
        <v>Interest Rate (C)</v>
      </c>
      <c r="H187" s="3" t="str">
        <f t="shared" si="145"/>
        <v>Factor (D)</v>
      </c>
      <c r="I187" s="3" t="str">
        <f t="shared" si="145"/>
        <v>Interest (E) = (A or A1) * (C) * (D)</v>
      </c>
      <c r="J187" s="173" t="s">
        <v>450</v>
      </c>
      <c r="L187" s="27" t="s">
        <v>14</v>
      </c>
      <c r="M187" s="3" t="str">
        <f>M$43</f>
        <v>Source</v>
      </c>
      <c r="N187" s="3" t="str">
        <f t="shared" ref="N187:S187" si="146">N$43</f>
        <v>Limit (A)</v>
      </c>
      <c r="O187" s="3" t="str">
        <f t="shared" si="146"/>
        <v>Outstanding (A1)</v>
      </c>
      <c r="P187" s="3" t="str">
        <f t="shared" si="146"/>
        <v>Monthly Repayment (B)</v>
      </c>
      <c r="Q187" s="3" t="str">
        <f t="shared" si="146"/>
        <v>Interest Rate (C)</v>
      </c>
      <c r="R187" s="3" t="str">
        <f t="shared" si="146"/>
        <v>Factor (D)</v>
      </c>
      <c r="S187" s="3" t="str">
        <f t="shared" si="146"/>
        <v>Interest (E) = (A or A1) * (C) * (D)</v>
      </c>
      <c r="T187" s="173" t="s">
        <v>450</v>
      </c>
      <c r="V187" s="27" t="s">
        <v>14</v>
      </c>
      <c r="W187" s="3" t="str">
        <f>W$43</f>
        <v>Source</v>
      </c>
      <c r="X187" s="3" t="str">
        <f t="shared" ref="X187:AC187" si="147">X$43</f>
        <v>Limit (A)</v>
      </c>
      <c r="Y187" s="3" t="str">
        <f t="shared" si="147"/>
        <v>Outstanding (A1)</v>
      </c>
      <c r="Z187" s="3" t="str">
        <f t="shared" si="147"/>
        <v>Monthly Repayment (B)</v>
      </c>
      <c r="AA187" s="3" t="str">
        <f t="shared" si="147"/>
        <v>Interest Rate (C)</v>
      </c>
      <c r="AB187" s="3" t="str">
        <f t="shared" si="147"/>
        <v>Factor (D)</v>
      </c>
      <c r="AC187" s="3" t="str">
        <f t="shared" si="147"/>
        <v>Interest (E) = (A or A1) * (C) * (D)</v>
      </c>
      <c r="AE187" s="27" t="s">
        <v>14</v>
      </c>
      <c r="AF187" s="3" t="str">
        <f>AF$43</f>
        <v>Source</v>
      </c>
      <c r="AG187" s="3" t="str">
        <f t="shared" ref="AG187:AL187" si="148">AG$43</f>
        <v>Limit (A)</v>
      </c>
      <c r="AH187" s="3" t="str">
        <f t="shared" si="148"/>
        <v>Outstanding (A1)</v>
      </c>
      <c r="AI187" s="3" t="str">
        <f t="shared" si="148"/>
        <v>Monthly Repayment (B)</v>
      </c>
      <c r="AJ187" s="3" t="str">
        <f t="shared" si="148"/>
        <v>Interest Rate (C)</v>
      </c>
      <c r="AK187" s="3" t="str">
        <f t="shared" si="148"/>
        <v>Factor (D)</v>
      </c>
      <c r="AL187" s="3" t="str">
        <f t="shared" si="148"/>
        <v>Interest (E) = (A or A1) * (C) * (D)</v>
      </c>
      <c r="AN187" s="27" t="s">
        <v>14</v>
      </c>
      <c r="AO187" s="3" t="str">
        <f>AO$43</f>
        <v>Source</v>
      </c>
      <c r="AP187" s="3" t="str">
        <f t="shared" ref="AP187:AU187" si="149">AP$43</f>
        <v>Limit (A)</v>
      </c>
      <c r="AQ187" s="3" t="str">
        <f t="shared" si="149"/>
        <v>Outstanding (A1)</v>
      </c>
      <c r="AR187" s="3" t="str">
        <f t="shared" si="149"/>
        <v>Monthly Repayment (B)</v>
      </c>
      <c r="AS187" s="3" t="str">
        <f t="shared" si="149"/>
        <v>Interest Rate (C)</v>
      </c>
      <c r="AT187" s="3" t="str">
        <f t="shared" si="149"/>
        <v>Factor (D)</v>
      </c>
      <c r="AU187" s="3" t="str">
        <f t="shared" si="149"/>
        <v>Interest (E) = (A or A1) * (C) * (D)</v>
      </c>
      <c r="AW187" s="27" t="s">
        <v>14</v>
      </c>
      <c r="AX187" s="3" t="str">
        <f>AX$43</f>
        <v>Source</v>
      </c>
      <c r="AY187" s="3" t="str">
        <f t="shared" ref="AY187:BD187" si="150">AY$43</f>
        <v>Limit (A)</v>
      </c>
      <c r="AZ187" s="3" t="str">
        <f t="shared" si="150"/>
        <v>Outstanding (A1)</v>
      </c>
      <c r="BA187" s="3" t="str">
        <f t="shared" si="150"/>
        <v>Monthly Repayment (B)</v>
      </c>
      <c r="BB187" s="3" t="str">
        <f t="shared" si="150"/>
        <v>Interest Rate (C)</v>
      </c>
      <c r="BC187" s="3" t="str">
        <f t="shared" si="150"/>
        <v>Factor (D)</v>
      </c>
      <c r="BD187" s="3" t="str">
        <f t="shared" si="150"/>
        <v>Interest (E) = (A or A1) * (C) * (D)</v>
      </c>
      <c r="BF187" s="27" t="s">
        <v>14</v>
      </c>
      <c r="BG187" s="3" t="str">
        <f>BG$43</f>
        <v>Source</v>
      </c>
      <c r="BH187" s="3" t="str">
        <f t="shared" ref="BH187:BM187" si="151">BH$43</f>
        <v>Limit (A)</v>
      </c>
      <c r="BI187" s="3" t="str">
        <f t="shared" si="151"/>
        <v>Outstanding (A1)</v>
      </c>
      <c r="BJ187" s="3" t="str">
        <f t="shared" si="151"/>
        <v>Monthly Repayment (B)</v>
      </c>
      <c r="BK187" s="3" t="str">
        <f t="shared" si="151"/>
        <v>Interest Rate (C)</v>
      </c>
      <c r="BL187" s="3" t="str">
        <f t="shared" si="151"/>
        <v>Factor (D)</v>
      </c>
      <c r="BM187" s="3" t="str">
        <f t="shared" si="151"/>
        <v>Interest (E) = (A or A1) * (C) * (D)</v>
      </c>
    </row>
    <row r="188" spans="2:65">
      <c r="B188" s="41" t="s">
        <v>514</v>
      </c>
      <c r="C188" s="41" t="s">
        <v>355</v>
      </c>
      <c r="D188" s="40"/>
      <c r="E188" s="40"/>
      <c r="F188" s="29"/>
      <c r="G188" s="22"/>
      <c r="H188" s="23">
        <v>0.82</v>
      </c>
      <c r="I188" s="75">
        <f>D188*G188*H188</f>
        <v>0</v>
      </c>
      <c r="J188" s="172"/>
      <c r="L188" s="41" t="s">
        <v>514</v>
      </c>
      <c r="M188" s="41" t="s">
        <v>355</v>
      </c>
      <c r="N188" s="40"/>
      <c r="O188" s="40"/>
      <c r="P188" s="29"/>
      <c r="Q188" s="22"/>
      <c r="R188" s="23">
        <v>0.82</v>
      </c>
      <c r="S188" s="75">
        <f>N188*Q188*R188</f>
        <v>0</v>
      </c>
      <c r="T188" s="172"/>
      <c r="V188" s="41" t="s">
        <v>514</v>
      </c>
      <c r="W188" s="41" t="s">
        <v>355</v>
      </c>
      <c r="X188" s="40"/>
      <c r="Y188" s="40"/>
      <c r="Z188" s="29"/>
      <c r="AA188" s="22">
        <v>0.08</v>
      </c>
      <c r="AB188" s="23">
        <v>0.82</v>
      </c>
      <c r="AC188" s="75">
        <f>X188*AA188*AB188</f>
        <v>0</v>
      </c>
      <c r="AE188" s="41" t="s">
        <v>514</v>
      </c>
      <c r="AF188" s="41" t="s">
        <v>355</v>
      </c>
      <c r="AG188" s="40"/>
      <c r="AH188" s="40"/>
      <c r="AI188" s="29"/>
      <c r="AJ188" s="22">
        <v>0.08</v>
      </c>
      <c r="AK188" s="23">
        <v>0.82</v>
      </c>
      <c r="AL188" s="75">
        <f>AG188*AJ188*AK188</f>
        <v>0</v>
      </c>
      <c r="AN188" s="41" t="s">
        <v>514</v>
      </c>
      <c r="AO188" s="41" t="s">
        <v>355</v>
      </c>
      <c r="AP188" s="40"/>
      <c r="AQ188" s="40"/>
      <c r="AR188" s="29"/>
      <c r="AS188" s="22">
        <v>0.08</v>
      </c>
      <c r="AT188" s="23">
        <v>0.82</v>
      </c>
      <c r="AU188" s="75">
        <f>AP188*AS188*AT188</f>
        <v>0</v>
      </c>
      <c r="AW188" s="41" t="s">
        <v>514</v>
      </c>
      <c r="AX188" s="41" t="s">
        <v>355</v>
      </c>
      <c r="AY188" s="40"/>
      <c r="AZ188" s="40"/>
      <c r="BA188" s="29"/>
      <c r="BB188" s="22">
        <v>0.08</v>
      </c>
      <c r="BC188" s="23">
        <v>0.82</v>
      </c>
      <c r="BD188" s="75">
        <f>AY188*BB188*BC188</f>
        <v>0</v>
      </c>
      <c r="BF188" s="41" t="s">
        <v>514</v>
      </c>
      <c r="BG188" s="41" t="s">
        <v>355</v>
      </c>
      <c r="BH188" s="40"/>
      <c r="BI188" s="40"/>
      <c r="BJ188" s="29"/>
      <c r="BK188" s="22">
        <v>0.08</v>
      </c>
      <c r="BL188" s="23">
        <v>0.82</v>
      </c>
      <c r="BM188" s="75">
        <f>BH188*BK188*BL188</f>
        <v>0</v>
      </c>
    </row>
    <row r="189" spans="2:65">
      <c r="B189" s="41" t="s">
        <v>514</v>
      </c>
      <c r="C189" s="41" t="s">
        <v>355</v>
      </c>
      <c r="D189" s="40"/>
      <c r="E189" s="40"/>
      <c r="F189" s="29"/>
      <c r="G189" s="22"/>
      <c r="H189" s="23">
        <v>0.82</v>
      </c>
      <c r="I189" s="75">
        <f t="shared" ref="I189:I202" si="152">D189*G189*H189</f>
        <v>0</v>
      </c>
      <c r="J189" s="172"/>
      <c r="L189" s="41" t="s">
        <v>514</v>
      </c>
      <c r="M189" s="41" t="s">
        <v>355</v>
      </c>
      <c r="N189" s="40"/>
      <c r="O189" s="40"/>
      <c r="P189" s="29"/>
      <c r="Q189" s="22"/>
      <c r="R189" s="23">
        <v>0.82</v>
      </c>
      <c r="S189" s="75">
        <f t="shared" ref="S189:S202" si="153">N189*Q189*R189</f>
        <v>0</v>
      </c>
      <c r="T189" s="172"/>
      <c r="V189" s="41" t="s">
        <v>514</v>
      </c>
      <c r="W189" s="41" t="s">
        <v>355</v>
      </c>
      <c r="X189" s="40"/>
      <c r="Y189" s="40"/>
      <c r="Z189" s="29"/>
      <c r="AA189" s="22"/>
      <c r="AB189" s="23">
        <v>0.82</v>
      </c>
      <c r="AC189" s="75">
        <f t="shared" ref="AC189:AC202" si="154">X189*AA189*AB189</f>
        <v>0</v>
      </c>
      <c r="AE189" s="41" t="s">
        <v>514</v>
      </c>
      <c r="AF189" s="41" t="s">
        <v>355</v>
      </c>
      <c r="AG189" s="40"/>
      <c r="AH189" s="40"/>
      <c r="AI189" s="29"/>
      <c r="AJ189" s="22"/>
      <c r="AK189" s="23">
        <v>0.82</v>
      </c>
      <c r="AL189" s="75">
        <f t="shared" ref="AL189:AL202" si="155">AG189*AJ189*AK189</f>
        <v>0</v>
      </c>
      <c r="AN189" s="41" t="s">
        <v>514</v>
      </c>
      <c r="AO189" s="41" t="s">
        <v>355</v>
      </c>
      <c r="AP189" s="40"/>
      <c r="AQ189" s="40"/>
      <c r="AR189" s="29"/>
      <c r="AS189" s="22"/>
      <c r="AT189" s="23">
        <v>0.82</v>
      </c>
      <c r="AU189" s="75">
        <f t="shared" ref="AU189:AU202" si="156">AP189*AS189*AT189</f>
        <v>0</v>
      </c>
      <c r="AW189" s="41" t="s">
        <v>514</v>
      </c>
      <c r="AX189" s="41" t="s">
        <v>355</v>
      </c>
      <c r="AY189" s="40"/>
      <c r="AZ189" s="40"/>
      <c r="BA189" s="29"/>
      <c r="BB189" s="22"/>
      <c r="BC189" s="23">
        <v>0.82</v>
      </c>
      <c r="BD189" s="75">
        <f t="shared" ref="BD189:BD202" si="157">AY189*BB189*BC189</f>
        <v>0</v>
      </c>
      <c r="BF189" s="41" t="s">
        <v>514</v>
      </c>
      <c r="BG189" s="41" t="s">
        <v>355</v>
      </c>
      <c r="BH189" s="40"/>
      <c r="BI189" s="40"/>
      <c r="BJ189" s="29"/>
      <c r="BK189" s="22"/>
      <c r="BL189" s="23">
        <v>0.82</v>
      </c>
      <c r="BM189" s="75">
        <f t="shared" ref="BM189:BM202" si="158">BH189*BK189*BL189</f>
        <v>0</v>
      </c>
    </row>
    <row r="190" spans="2:65">
      <c r="B190" s="41" t="s">
        <v>514</v>
      </c>
      <c r="C190" s="41" t="s">
        <v>355</v>
      </c>
      <c r="D190" s="40"/>
      <c r="E190" s="40"/>
      <c r="F190" s="29"/>
      <c r="G190" s="22"/>
      <c r="H190" s="23">
        <v>0.82</v>
      </c>
      <c r="I190" s="75">
        <f t="shared" si="152"/>
        <v>0</v>
      </c>
      <c r="J190" s="172"/>
      <c r="L190" s="41" t="s">
        <v>514</v>
      </c>
      <c r="M190" s="41" t="s">
        <v>355</v>
      </c>
      <c r="N190" s="40"/>
      <c r="O190" s="40"/>
      <c r="P190" s="29"/>
      <c r="Q190" s="22"/>
      <c r="R190" s="23">
        <v>0.82</v>
      </c>
      <c r="S190" s="75">
        <f t="shared" si="153"/>
        <v>0</v>
      </c>
      <c r="T190" s="172"/>
      <c r="V190" s="41" t="s">
        <v>514</v>
      </c>
      <c r="W190" s="41" t="s">
        <v>355</v>
      </c>
      <c r="X190" s="40"/>
      <c r="Y190" s="40"/>
      <c r="Z190" s="29"/>
      <c r="AA190" s="22"/>
      <c r="AB190" s="23">
        <v>0.82</v>
      </c>
      <c r="AC190" s="75">
        <f t="shared" si="154"/>
        <v>0</v>
      </c>
      <c r="AE190" s="41" t="s">
        <v>514</v>
      </c>
      <c r="AF190" s="41" t="s">
        <v>355</v>
      </c>
      <c r="AG190" s="40"/>
      <c r="AH190" s="40"/>
      <c r="AI190" s="29"/>
      <c r="AJ190" s="22"/>
      <c r="AK190" s="23">
        <v>0.82</v>
      </c>
      <c r="AL190" s="75">
        <f t="shared" si="155"/>
        <v>0</v>
      </c>
      <c r="AN190" s="41" t="s">
        <v>514</v>
      </c>
      <c r="AO190" s="41" t="s">
        <v>355</v>
      </c>
      <c r="AP190" s="40"/>
      <c r="AQ190" s="40"/>
      <c r="AR190" s="29"/>
      <c r="AS190" s="22"/>
      <c r="AT190" s="23">
        <v>0.82</v>
      </c>
      <c r="AU190" s="75">
        <f t="shared" si="156"/>
        <v>0</v>
      </c>
      <c r="AW190" s="41" t="s">
        <v>514</v>
      </c>
      <c r="AX190" s="41" t="s">
        <v>355</v>
      </c>
      <c r="AY190" s="40"/>
      <c r="AZ190" s="40"/>
      <c r="BA190" s="29"/>
      <c r="BB190" s="22"/>
      <c r="BC190" s="23">
        <v>0.82</v>
      </c>
      <c r="BD190" s="75">
        <f t="shared" si="157"/>
        <v>0</v>
      </c>
      <c r="BF190" s="41" t="s">
        <v>514</v>
      </c>
      <c r="BG190" s="41" t="s">
        <v>355</v>
      </c>
      <c r="BH190" s="40"/>
      <c r="BI190" s="40"/>
      <c r="BJ190" s="29"/>
      <c r="BK190" s="22"/>
      <c r="BL190" s="23">
        <v>0.82</v>
      </c>
      <c r="BM190" s="75">
        <f t="shared" si="158"/>
        <v>0</v>
      </c>
    </row>
    <row r="191" spans="2:65">
      <c r="B191" s="41" t="s">
        <v>514</v>
      </c>
      <c r="C191" s="41" t="s">
        <v>355</v>
      </c>
      <c r="D191" s="40"/>
      <c r="E191" s="40"/>
      <c r="F191" s="29"/>
      <c r="G191" s="22"/>
      <c r="H191" s="23">
        <v>0.82</v>
      </c>
      <c r="I191" s="75">
        <f t="shared" si="152"/>
        <v>0</v>
      </c>
      <c r="J191" s="172"/>
      <c r="L191" s="41" t="s">
        <v>514</v>
      </c>
      <c r="M191" s="41" t="s">
        <v>355</v>
      </c>
      <c r="N191" s="40"/>
      <c r="O191" s="40"/>
      <c r="P191" s="29"/>
      <c r="Q191" s="22"/>
      <c r="R191" s="23">
        <v>0.82</v>
      </c>
      <c r="S191" s="75">
        <f t="shared" si="153"/>
        <v>0</v>
      </c>
      <c r="T191" s="172"/>
      <c r="V191" s="41" t="s">
        <v>514</v>
      </c>
      <c r="W191" s="41" t="s">
        <v>355</v>
      </c>
      <c r="X191" s="40"/>
      <c r="Y191" s="40"/>
      <c r="Z191" s="29"/>
      <c r="AA191" s="22"/>
      <c r="AB191" s="23">
        <v>0.82</v>
      </c>
      <c r="AC191" s="75">
        <f t="shared" si="154"/>
        <v>0</v>
      </c>
      <c r="AE191" s="41" t="s">
        <v>514</v>
      </c>
      <c r="AF191" s="41" t="s">
        <v>355</v>
      </c>
      <c r="AG191" s="40"/>
      <c r="AH191" s="40"/>
      <c r="AI191" s="29"/>
      <c r="AJ191" s="22"/>
      <c r="AK191" s="23">
        <v>0.82</v>
      </c>
      <c r="AL191" s="75">
        <f t="shared" si="155"/>
        <v>0</v>
      </c>
      <c r="AN191" s="41" t="s">
        <v>514</v>
      </c>
      <c r="AO191" s="41" t="s">
        <v>355</v>
      </c>
      <c r="AP191" s="40"/>
      <c r="AQ191" s="40"/>
      <c r="AR191" s="29"/>
      <c r="AS191" s="22"/>
      <c r="AT191" s="23">
        <v>0.82</v>
      </c>
      <c r="AU191" s="75">
        <f t="shared" si="156"/>
        <v>0</v>
      </c>
      <c r="AW191" s="41" t="s">
        <v>514</v>
      </c>
      <c r="AX191" s="41" t="s">
        <v>355</v>
      </c>
      <c r="AY191" s="40"/>
      <c r="AZ191" s="40"/>
      <c r="BA191" s="29"/>
      <c r="BB191" s="22"/>
      <c r="BC191" s="23">
        <v>0.82</v>
      </c>
      <c r="BD191" s="75">
        <f t="shared" si="157"/>
        <v>0</v>
      </c>
      <c r="BF191" s="41" t="s">
        <v>514</v>
      </c>
      <c r="BG191" s="41" t="s">
        <v>355</v>
      </c>
      <c r="BH191" s="40"/>
      <c r="BI191" s="40"/>
      <c r="BJ191" s="29"/>
      <c r="BK191" s="22"/>
      <c r="BL191" s="23">
        <v>0.82</v>
      </c>
      <c r="BM191" s="75">
        <f t="shared" si="158"/>
        <v>0</v>
      </c>
    </row>
    <row r="192" spans="2:65">
      <c r="B192" s="41" t="s">
        <v>514</v>
      </c>
      <c r="C192" s="41" t="s">
        <v>355</v>
      </c>
      <c r="D192" s="40"/>
      <c r="E192" s="40"/>
      <c r="F192" s="29"/>
      <c r="G192" s="22"/>
      <c r="H192" s="23">
        <v>0.82</v>
      </c>
      <c r="I192" s="75">
        <f t="shared" si="152"/>
        <v>0</v>
      </c>
      <c r="J192" s="172"/>
      <c r="L192" s="41" t="s">
        <v>514</v>
      </c>
      <c r="M192" s="41" t="s">
        <v>355</v>
      </c>
      <c r="N192" s="40"/>
      <c r="O192" s="40"/>
      <c r="P192" s="29"/>
      <c r="Q192" s="22"/>
      <c r="R192" s="23">
        <v>0.82</v>
      </c>
      <c r="S192" s="75">
        <f t="shared" si="153"/>
        <v>0</v>
      </c>
      <c r="T192" s="172"/>
      <c r="V192" s="41" t="s">
        <v>514</v>
      </c>
      <c r="W192" s="41" t="s">
        <v>355</v>
      </c>
      <c r="X192" s="40"/>
      <c r="Y192" s="40"/>
      <c r="Z192" s="29"/>
      <c r="AA192" s="22"/>
      <c r="AB192" s="23">
        <v>0.82</v>
      </c>
      <c r="AC192" s="75">
        <f t="shared" si="154"/>
        <v>0</v>
      </c>
      <c r="AE192" s="41" t="s">
        <v>514</v>
      </c>
      <c r="AF192" s="41" t="s">
        <v>355</v>
      </c>
      <c r="AG192" s="40"/>
      <c r="AH192" s="40"/>
      <c r="AI192" s="29"/>
      <c r="AJ192" s="22"/>
      <c r="AK192" s="23">
        <v>0.82</v>
      </c>
      <c r="AL192" s="75">
        <f t="shared" si="155"/>
        <v>0</v>
      </c>
      <c r="AN192" s="41" t="s">
        <v>514</v>
      </c>
      <c r="AO192" s="41" t="s">
        <v>355</v>
      </c>
      <c r="AP192" s="40"/>
      <c r="AQ192" s="40"/>
      <c r="AR192" s="29"/>
      <c r="AS192" s="22"/>
      <c r="AT192" s="23">
        <v>0.82</v>
      </c>
      <c r="AU192" s="75">
        <f t="shared" si="156"/>
        <v>0</v>
      </c>
      <c r="AW192" s="41" t="s">
        <v>514</v>
      </c>
      <c r="AX192" s="41" t="s">
        <v>355</v>
      </c>
      <c r="AY192" s="40"/>
      <c r="AZ192" s="40"/>
      <c r="BA192" s="29"/>
      <c r="BB192" s="22"/>
      <c r="BC192" s="23">
        <v>0.82</v>
      </c>
      <c r="BD192" s="75">
        <f t="shared" si="157"/>
        <v>0</v>
      </c>
      <c r="BF192" s="41" t="s">
        <v>514</v>
      </c>
      <c r="BG192" s="41" t="s">
        <v>355</v>
      </c>
      <c r="BH192" s="40"/>
      <c r="BI192" s="40"/>
      <c r="BJ192" s="29"/>
      <c r="BK192" s="22"/>
      <c r="BL192" s="23">
        <v>0.82</v>
      </c>
      <c r="BM192" s="75">
        <f t="shared" si="158"/>
        <v>0</v>
      </c>
    </row>
    <row r="193" spans="2:65">
      <c r="B193" s="41" t="s">
        <v>514</v>
      </c>
      <c r="C193" s="41" t="s">
        <v>355</v>
      </c>
      <c r="D193" s="40"/>
      <c r="E193" s="40"/>
      <c r="F193" s="29"/>
      <c r="G193" s="22"/>
      <c r="H193" s="23">
        <v>0.82</v>
      </c>
      <c r="I193" s="75">
        <f t="shared" si="152"/>
        <v>0</v>
      </c>
      <c r="J193" s="172"/>
      <c r="L193" s="41" t="s">
        <v>514</v>
      </c>
      <c r="M193" s="41" t="s">
        <v>355</v>
      </c>
      <c r="N193" s="40"/>
      <c r="O193" s="40"/>
      <c r="P193" s="29"/>
      <c r="Q193" s="22"/>
      <c r="R193" s="23">
        <v>0.82</v>
      </c>
      <c r="S193" s="75">
        <f t="shared" si="153"/>
        <v>0</v>
      </c>
      <c r="T193" s="172"/>
      <c r="V193" s="41" t="s">
        <v>514</v>
      </c>
      <c r="W193" s="41" t="s">
        <v>355</v>
      </c>
      <c r="X193" s="40"/>
      <c r="Y193" s="40"/>
      <c r="Z193" s="29"/>
      <c r="AA193" s="22"/>
      <c r="AB193" s="23">
        <v>0.82</v>
      </c>
      <c r="AC193" s="75">
        <f t="shared" si="154"/>
        <v>0</v>
      </c>
      <c r="AE193" s="41" t="s">
        <v>514</v>
      </c>
      <c r="AF193" s="41" t="s">
        <v>355</v>
      </c>
      <c r="AG193" s="40"/>
      <c r="AH193" s="40"/>
      <c r="AI193" s="29"/>
      <c r="AJ193" s="22"/>
      <c r="AK193" s="23">
        <v>0.82</v>
      </c>
      <c r="AL193" s="75">
        <f t="shared" si="155"/>
        <v>0</v>
      </c>
      <c r="AN193" s="41" t="s">
        <v>514</v>
      </c>
      <c r="AO193" s="41" t="s">
        <v>355</v>
      </c>
      <c r="AP193" s="40"/>
      <c r="AQ193" s="40"/>
      <c r="AR193" s="29"/>
      <c r="AS193" s="22"/>
      <c r="AT193" s="23">
        <v>0.82</v>
      </c>
      <c r="AU193" s="75">
        <f t="shared" si="156"/>
        <v>0</v>
      </c>
      <c r="AW193" s="41" t="s">
        <v>514</v>
      </c>
      <c r="AX193" s="41" t="s">
        <v>355</v>
      </c>
      <c r="AY193" s="40"/>
      <c r="AZ193" s="40"/>
      <c r="BA193" s="29"/>
      <c r="BB193" s="22"/>
      <c r="BC193" s="23">
        <v>0.82</v>
      </c>
      <c r="BD193" s="75">
        <f t="shared" si="157"/>
        <v>0</v>
      </c>
      <c r="BF193" s="41" t="s">
        <v>514</v>
      </c>
      <c r="BG193" s="41" t="s">
        <v>355</v>
      </c>
      <c r="BH193" s="40"/>
      <c r="BI193" s="40"/>
      <c r="BJ193" s="29"/>
      <c r="BK193" s="22"/>
      <c r="BL193" s="23">
        <v>0.82</v>
      </c>
      <c r="BM193" s="75">
        <f t="shared" si="158"/>
        <v>0</v>
      </c>
    </row>
    <row r="194" spans="2:65">
      <c r="B194" s="41" t="s">
        <v>514</v>
      </c>
      <c r="C194" s="41" t="s">
        <v>355</v>
      </c>
      <c r="D194" s="40"/>
      <c r="E194" s="40"/>
      <c r="F194" s="29"/>
      <c r="G194" s="22"/>
      <c r="H194" s="23">
        <v>0.82</v>
      </c>
      <c r="I194" s="75">
        <f t="shared" si="152"/>
        <v>0</v>
      </c>
      <c r="J194" s="172"/>
      <c r="L194" s="41" t="s">
        <v>514</v>
      </c>
      <c r="M194" s="41" t="s">
        <v>355</v>
      </c>
      <c r="N194" s="40"/>
      <c r="O194" s="40"/>
      <c r="P194" s="29"/>
      <c r="Q194" s="22"/>
      <c r="R194" s="23">
        <v>0.82</v>
      </c>
      <c r="S194" s="75">
        <f t="shared" si="153"/>
        <v>0</v>
      </c>
      <c r="T194" s="172"/>
      <c r="V194" s="41" t="s">
        <v>514</v>
      </c>
      <c r="W194" s="41" t="s">
        <v>355</v>
      </c>
      <c r="X194" s="40"/>
      <c r="Y194" s="40"/>
      <c r="Z194" s="29"/>
      <c r="AA194" s="22"/>
      <c r="AB194" s="23">
        <v>0.82</v>
      </c>
      <c r="AC194" s="75">
        <f t="shared" si="154"/>
        <v>0</v>
      </c>
      <c r="AE194" s="41" t="s">
        <v>514</v>
      </c>
      <c r="AF194" s="41" t="s">
        <v>355</v>
      </c>
      <c r="AG194" s="40"/>
      <c r="AH194" s="40"/>
      <c r="AI194" s="29"/>
      <c r="AJ194" s="22"/>
      <c r="AK194" s="23">
        <v>0.82</v>
      </c>
      <c r="AL194" s="75">
        <f t="shared" si="155"/>
        <v>0</v>
      </c>
      <c r="AN194" s="41" t="s">
        <v>514</v>
      </c>
      <c r="AO194" s="41" t="s">
        <v>355</v>
      </c>
      <c r="AP194" s="40"/>
      <c r="AQ194" s="40"/>
      <c r="AR194" s="29"/>
      <c r="AS194" s="22"/>
      <c r="AT194" s="23">
        <v>0.82</v>
      </c>
      <c r="AU194" s="75">
        <f t="shared" si="156"/>
        <v>0</v>
      </c>
      <c r="AW194" s="41" t="s">
        <v>514</v>
      </c>
      <c r="AX194" s="41" t="s">
        <v>355</v>
      </c>
      <c r="AY194" s="40"/>
      <c r="AZ194" s="40"/>
      <c r="BA194" s="29"/>
      <c r="BB194" s="22"/>
      <c r="BC194" s="23">
        <v>0.82</v>
      </c>
      <c r="BD194" s="75">
        <f t="shared" si="157"/>
        <v>0</v>
      </c>
      <c r="BF194" s="41" t="s">
        <v>514</v>
      </c>
      <c r="BG194" s="41" t="s">
        <v>355</v>
      </c>
      <c r="BH194" s="40"/>
      <c r="BI194" s="40"/>
      <c r="BJ194" s="29"/>
      <c r="BK194" s="22"/>
      <c r="BL194" s="23">
        <v>0.82</v>
      </c>
      <c r="BM194" s="75">
        <f t="shared" si="158"/>
        <v>0</v>
      </c>
    </row>
    <row r="195" spans="2:65" outlineLevel="1">
      <c r="B195" s="41" t="s">
        <v>514</v>
      </c>
      <c r="C195" s="41" t="s">
        <v>355</v>
      </c>
      <c r="D195" s="40"/>
      <c r="E195" s="40"/>
      <c r="F195" s="29"/>
      <c r="G195" s="22"/>
      <c r="H195" s="23">
        <v>0.82</v>
      </c>
      <c r="I195" s="75">
        <f t="shared" si="152"/>
        <v>0</v>
      </c>
      <c r="J195" s="172"/>
      <c r="L195" s="41" t="s">
        <v>514</v>
      </c>
      <c r="M195" s="41" t="s">
        <v>355</v>
      </c>
      <c r="N195" s="40"/>
      <c r="O195" s="40"/>
      <c r="P195" s="29"/>
      <c r="Q195" s="22"/>
      <c r="R195" s="23">
        <v>0.82</v>
      </c>
      <c r="S195" s="75">
        <f t="shared" si="153"/>
        <v>0</v>
      </c>
      <c r="T195" s="172"/>
      <c r="V195" s="41" t="s">
        <v>514</v>
      </c>
      <c r="W195" s="41" t="s">
        <v>355</v>
      </c>
      <c r="X195" s="40"/>
      <c r="Y195" s="40"/>
      <c r="Z195" s="29"/>
      <c r="AA195" s="22"/>
      <c r="AB195" s="23">
        <v>0.82</v>
      </c>
      <c r="AC195" s="75">
        <f t="shared" si="154"/>
        <v>0</v>
      </c>
      <c r="AE195" s="41" t="s">
        <v>514</v>
      </c>
      <c r="AF195" s="41" t="s">
        <v>355</v>
      </c>
      <c r="AG195" s="40"/>
      <c r="AH195" s="40"/>
      <c r="AI195" s="29"/>
      <c r="AJ195" s="22"/>
      <c r="AK195" s="23">
        <v>0.82</v>
      </c>
      <c r="AL195" s="75">
        <f t="shared" si="155"/>
        <v>0</v>
      </c>
      <c r="AN195" s="41" t="s">
        <v>514</v>
      </c>
      <c r="AO195" s="41" t="s">
        <v>355</v>
      </c>
      <c r="AP195" s="40"/>
      <c r="AQ195" s="40"/>
      <c r="AR195" s="29"/>
      <c r="AS195" s="22"/>
      <c r="AT195" s="23">
        <v>0.82</v>
      </c>
      <c r="AU195" s="75">
        <f t="shared" si="156"/>
        <v>0</v>
      </c>
      <c r="AW195" s="41" t="s">
        <v>514</v>
      </c>
      <c r="AX195" s="41" t="s">
        <v>355</v>
      </c>
      <c r="AY195" s="40"/>
      <c r="AZ195" s="40"/>
      <c r="BA195" s="29"/>
      <c r="BB195" s="22"/>
      <c r="BC195" s="23">
        <v>0.82</v>
      </c>
      <c r="BD195" s="75">
        <f t="shared" si="157"/>
        <v>0</v>
      </c>
      <c r="BF195" s="41" t="s">
        <v>514</v>
      </c>
      <c r="BG195" s="41" t="s">
        <v>355</v>
      </c>
      <c r="BH195" s="40"/>
      <c r="BI195" s="40"/>
      <c r="BJ195" s="29"/>
      <c r="BK195" s="22"/>
      <c r="BL195" s="23">
        <v>0.82</v>
      </c>
      <c r="BM195" s="75">
        <f t="shared" si="158"/>
        <v>0</v>
      </c>
    </row>
    <row r="196" spans="2:65" outlineLevel="1">
      <c r="B196" s="41" t="s">
        <v>514</v>
      </c>
      <c r="C196" s="41" t="s">
        <v>355</v>
      </c>
      <c r="D196" s="40"/>
      <c r="E196" s="40"/>
      <c r="F196" s="29"/>
      <c r="G196" s="22"/>
      <c r="H196" s="23">
        <v>0.82</v>
      </c>
      <c r="I196" s="75">
        <f t="shared" si="152"/>
        <v>0</v>
      </c>
      <c r="J196" s="172"/>
      <c r="L196" s="41" t="s">
        <v>514</v>
      </c>
      <c r="M196" s="41" t="s">
        <v>355</v>
      </c>
      <c r="N196" s="40"/>
      <c r="O196" s="40"/>
      <c r="P196" s="29"/>
      <c r="Q196" s="22"/>
      <c r="R196" s="23">
        <v>0.82</v>
      </c>
      <c r="S196" s="75">
        <f t="shared" si="153"/>
        <v>0</v>
      </c>
      <c r="T196" s="172"/>
      <c r="V196" s="41" t="s">
        <v>514</v>
      </c>
      <c r="W196" s="41" t="s">
        <v>355</v>
      </c>
      <c r="X196" s="40"/>
      <c r="Y196" s="40"/>
      <c r="Z196" s="29"/>
      <c r="AA196" s="22"/>
      <c r="AB196" s="23">
        <v>0.82</v>
      </c>
      <c r="AC196" s="75">
        <f t="shared" si="154"/>
        <v>0</v>
      </c>
      <c r="AE196" s="41" t="s">
        <v>514</v>
      </c>
      <c r="AF196" s="41" t="s">
        <v>355</v>
      </c>
      <c r="AG196" s="40"/>
      <c r="AH196" s="40"/>
      <c r="AI196" s="29"/>
      <c r="AJ196" s="22"/>
      <c r="AK196" s="23">
        <v>0.82</v>
      </c>
      <c r="AL196" s="75">
        <f t="shared" si="155"/>
        <v>0</v>
      </c>
      <c r="AN196" s="41" t="s">
        <v>514</v>
      </c>
      <c r="AO196" s="41" t="s">
        <v>355</v>
      </c>
      <c r="AP196" s="40"/>
      <c r="AQ196" s="40"/>
      <c r="AR196" s="29"/>
      <c r="AS196" s="22"/>
      <c r="AT196" s="23">
        <v>0.82</v>
      </c>
      <c r="AU196" s="75">
        <f t="shared" si="156"/>
        <v>0</v>
      </c>
      <c r="AW196" s="41" t="s">
        <v>514</v>
      </c>
      <c r="AX196" s="41" t="s">
        <v>355</v>
      </c>
      <c r="AY196" s="40"/>
      <c r="AZ196" s="40"/>
      <c r="BA196" s="29"/>
      <c r="BB196" s="22"/>
      <c r="BC196" s="23">
        <v>0.82</v>
      </c>
      <c r="BD196" s="75">
        <f t="shared" si="157"/>
        <v>0</v>
      </c>
      <c r="BF196" s="41" t="s">
        <v>514</v>
      </c>
      <c r="BG196" s="41" t="s">
        <v>355</v>
      </c>
      <c r="BH196" s="40"/>
      <c r="BI196" s="40"/>
      <c r="BJ196" s="29"/>
      <c r="BK196" s="22"/>
      <c r="BL196" s="23">
        <v>0.82</v>
      </c>
      <c r="BM196" s="75">
        <f t="shared" si="158"/>
        <v>0</v>
      </c>
    </row>
    <row r="197" spans="2:65" outlineLevel="1">
      <c r="B197" s="41" t="s">
        <v>514</v>
      </c>
      <c r="C197" s="41" t="s">
        <v>355</v>
      </c>
      <c r="D197" s="40"/>
      <c r="E197" s="40"/>
      <c r="F197" s="29"/>
      <c r="G197" s="22"/>
      <c r="H197" s="23">
        <v>0.82</v>
      </c>
      <c r="I197" s="75">
        <f t="shared" si="152"/>
        <v>0</v>
      </c>
      <c r="J197" s="172"/>
      <c r="L197" s="41" t="s">
        <v>514</v>
      </c>
      <c r="M197" s="41" t="s">
        <v>355</v>
      </c>
      <c r="N197" s="40"/>
      <c r="O197" s="40"/>
      <c r="P197" s="29"/>
      <c r="Q197" s="22"/>
      <c r="R197" s="23">
        <v>0.82</v>
      </c>
      <c r="S197" s="75">
        <f t="shared" si="153"/>
        <v>0</v>
      </c>
      <c r="T197" s="172"/>
      <c r="V197" s="41" t="s">
        <v>514</v>
      </c>
      <c r="W197" s="41" t="s">
        <v>355</v>
      </c>
      <c r="X197" s="40"/>
      <c r="Y197" s="40"/>
      <c r="Z197" s="29"/>
      <c r="AA197" s="22"/>
      <c r="AB197" s="23">
        <v>0.82</v>
      </c>
      <c r="AC197" s="75">
        <f t="shared" si="154"/>
        <v>0</v>
      </c>
      <c r="AE197" s="41" t="s">
        <v>514</v>
      </c>
      <c r="AF197" s="41" t="s">
        <v>355</v>
      </c>
      <c r="AG197" s="40"/>
      <c r="AH197" s="40"/>
      <c r="AI197" s="29"/>
      <c r="AJ197" s="22"/>
      <c r="AK197" s="23">
        <v>0.82</v>
      </c>
      <c r="AL197" s="75">
        <f t="shared" si="155"/>
        <v>0</v>
      </c>
      <c r="AN197" s="41" t="s">
        <v>514</v>
      </c>
      <c r="AO197" s="41" t="s">
        <v>355</v>
      </c>
      <c r="AP197" s="40"/>
      <c r="AQ197" s="40"/>
      <c r="AR197" s="29"/>
      <c r="AS197" s="22"/>
      <c r="AT197" s="23">
        <v>0.82</v>
      </c>
      <c r="AU197" s="75">
        <f t="shared" si="156"/>
        <v>0</v>
      </c>
      <c r="AW197" s="41" t="s">
        <v>514</v>
      </c>
      <c r="AX197" s="41" t="s">
        <v>355</v>
      </c>
      <c r="AY197" s="40"/>
      <c r="AZ197" s="40"/>
      <c r="BA197" s="29"/>
      <c r="BB197" s="22"/>
      <c r="BC197" s="23">
        <v>0.82</v>
      </c>
      <c r="BD197" s="75">
        <f t="shared" si="157"/>
        <v>0</v>
      </c>
      <c r="BF197" s="41" t="s">
        <v>514</v>
      </c>
      <c r="BG197" s="41" t="s">
        <v>355</v>
      </c>
      <c r="BH197" s="40"/>
      <c r="BI197" s="40"/>
      <c r="BJ197" s="29"/>
      <c r="BK197" s="22"/>
      <c r="BL197" s="23">
        <v>0.82</v>
      </c>
      <c r="BM197" s="75">
        <f t="shared" si="158"/>
        <v>0</v>
      </c>
    </row>
    <row r="198" spans="2:65" outlineLevel="1">
      <c r="B198" s="41" t="s">
        <v>514</v>
      </c>
      <c r="C198" s="41" t="s">
        <v>355</v>
      </c>
      <c r="D198" s="40"/>
      <c r="E198" s="40"/>
      <c r="F198" s="29"/>
      <c r="G198" s="22"/>
      <c r="H198" s="23">
        <v>0.82</v>
      </c>
      <c r="I198" s="75">
        <f t="shared" si="152"/>
        <v>0</v>
      </c>
      <c r="J198" s="172"/>
      <c r="L198" s="41" t="s">
        <v>514</v>
      </c>
      <c r="M198" s="41" t="s">
        <v>355</v>
      </c>
      <c r="N198" s="40"/>
      <c r="O198" s="40"/>
      <c r="P198" s="29"/>
      <c r="Q198" s="22"/>
      <c r="R198" s="23">
        <v>0.82</v>
      </c>
      <c r="S198" s="75">
        <f t="shared" si="153"/>
        <v>0</v>
      </c>
      <c r="T198" s="172"/>
      <c r="V198" s="41" t="s">
        <v>514</v>
      </c>
      <c r="W198" s="41" t="s">
        <v>355</v>
      </c>
      <c r="X198" s="40"/>
      <c r="Y198" s="40"/>
      <c r="Z198" s="29"/>
      <c r="AA198" s="22"/>
      <c r="AB198" s="23">
        <v>0.82</v>
      </c>
      <c r="AC198" s="75">
        <f t="shared" si="154"/>
        <v>0</v>
      </c>
      <c r="AE198" s="41" t="s">
        <v>514</v>
      </c>
      <c r="AF198" s="41" t="s">
        <v>355</v>
      </c>
      <c r="AG198" s="40"/>
      <c r="AH198" s="40"/>
      <c r="AI198" s="29"/>
      <c r="AJ198" s="22"/>
      <c r="AK198" s="23">
        <v>0.82</v>
      </c>
      <c r="AL198" s="75">
        <f t="shared" si="155"/>
        <v>0</v>
      </c>
      <c r="AN198" s="41" t="s">
        <v>514</v>
      </c>
      <c r="AO198" s="41" t="s">
        <v>355</v>
      </c>
      <c r="AP198" s="40"/>
      <c r="AQ198" s="40"/>
      <c r="AR198" s="29"/>
      <c r="AS198" s="22"/>
      <c r="AT198" s="23">
        <v>0.82</v>
      </c>
      <c r="AU198" s="75">
        <f t="shared" si="156"/>
        <v>0</v>
      </c>
      <c r="AW198" s="41" t="s">
        <v>514</v>
      </c>
      <c r="AX198" s="41" t="s">
        <v>355</v>
      </c>
      <c r="AY198" s="40"/>
      <c r="AZ198" s="40"/>
      <c r="BA198" s="29"/>
      <c r="BB198" s="22"/>
      <c r="BC198" s="23">
        <v>0.82</v>
      </c>
      <c r="BD198" s="75">
        <f t="shared" si="157"/>
        <v>0</v>
      </c>
      <c r="BF198" s="41" t="s">
        <v>514</v>
      </c>
      <c r="BG198" s="41" t="s">
        <v>355</v>
      </c>
      <c r="BH198" s="40"/>
      <c r="BI198" s="40"/>
      <c r="BJ198" s="29"/>
      <c r="BK198" s="22"/>
      <c r="BL198" s="23">
        <v>0.82</v>
      </c>
      <c r="BM198" s="75">
        <f t="shared" si="158"/>
        <v>0</v>
      </c>
    </row>
    <row r="199" spans="2:65" outlineLevel="1">
      <c r="B199" s="41" t="s">
        <v>514</v>
      </c>
      <c r="C199" s="41" t="s">
        <v>355</v>
      </c>
      <c r="D199" s="40"/>
      <c r="E199" s="40"/>
      <c r="F199" s="29"/>
      <c r="G199" s="22"/>
      <c r="H199" s="23">
        <v>0.82</v>
      </c>
      <c r="I199" s="75">
        <f t="shared" si="152"/>
        <v>0</v>
      </c>
      <c r="J199" s="172"/>
      <c r="L199" s="41" t="s">
        <v>514</v>
      </c>
      <c r="M199" s="41" t="s">
        <v>355</v>
      </c>
      <c r="N199" s="40"/>
      <c r="O199" s="40"/>
      <c r="P199" s="29"/>
      <c r="Q199" s="22"/>
      <c r="R199" s="23">
        <v>0.82</v>
      </c>
      <c r="S199" s="75">
        <f t="shared" si="153"/>
        <v>0</v>
      </c>
      <c r="T199" s="172"/>
      <c r="V199" s="41" t="s">
        <v>514</v>
      </c>
      <c r="W199" s="41" t="s">
        <v>355</v>
      </c>
      <c r="X199" s="40"/>
      <c r="Y199" s="40"/>
      <c r="Z199" s="29"/>
      <c r="AA199" s="22"/>
      <c r="AB199" s="23">
        <v>0.82</v>
      </c>
      <c r="AC199" s="75">
        <f t="shared" si="154"/>
        <v>0</v>
      </c>
      <c r="AE199" s="41" t="s">
        <v>514</v>
      </c>
      <c r="AF199" s="41" t="s">
        <v>355</v>
      </c>
      <c r="AG199" s="40"/>
      <c r="AH199" s="40"/>
      <c r="AI199" s="29"/>
      <c r="AJ199" s="22"/>
      <c r="AK199" s="23">
        <v>0.82</v>
      </c>
      <c r="AL199" s="75">
        <f t="shared" si="155"/>
        <v>0</v>
      </c>
      <c r="AN199" s="41" t="s">
        <v>514</v>
      </c>
      <c r="AO199" s="41" t="s">
        <v>355</v>
      </c>
      <c r="AP199" s="40"/>
      <c r="AQ199" s="40"/>
      <c r="AR199" s="29"/>
      <c r="AS199" s="22"/>
      <c r="AT199" s="23">
        <v>0.82</v>
      </c>
      <c r="AU199" s="75">
        <f t="shared" si="156"/>
        <v>0</v>
      </c>
      <c r="AW199" s="41" t="s">
        <v>514</v>
      </c>
      <c r="AX199" s="41" t="s">
        <v>355</v>
      </c>
      <c r="AY199" s="40"/>
      <c r="AZ199" s="40"/>
      <c r="BA199" s="29"/>
      <c r="BB199" s="22"/>
      <c r="BC199" s="23">
        <v>0.82</v>
      </c>
      <c r="BD199" s="75">
        <f t="shared" si="157"/>
        <v>0</v>
      </c>
      <c r="BF199" s="41" t="s">
        <v>514</v>
      </c>
      <c r="BG199" s="41" t="s">
        <v>355</v>
      </c>
      <c r="BH199" s="40"/>
      <c r="BI199" s="40"/>
      <c r="BJ199" s="29"/>
      <c r="BK199" s="22"/>
      <c r="BL199" s="23">
        <v>0.82</v>
      </c>
      <c r="BM199" s="75">
        <f t="shared" si="158"/>
        <v>0</v>
      </c>
    </row>
    <row r="200" spans="2:65" outlineLevel="1">
      <c r="B200" s="41" t="s">
        <v>514</v>
      </c>
      <c r="C200" s="41" t="s">
        <v>355</v>
      </c>
      <c r="D200" s="40"/>
      <c r="E200" s="40"/>
      <c r="F200" s="29"/>
      <c r="G200" s="22"/>
      <c r="H200" s="23">
        <v>0.82</v>
      </c>
      <c r="I200" s="75">
        <f t="shared" si="152"/>
        <v>0</v>
      </c>
      <c r="J200" s="172"/>
      <c r="L200" s="41" t="s">
        <v>514</v>
      </c>
      <c r="M200" s="41" t="s">
        <v>355</v>
      </c>
      <c r="N200" s="40"/>
      <c r="O200" s="40"/>
      <c r="P200" s="29"/>
      <c r="Q200" s="22"/>
      <c r="R200" s="23">
        <v>0.82</v>
      </c>
      <c r="S200" s="75">
        <f t="shared" si="153"/>
        <v>0</v>
      </c>
      <c r="T200" s="172"/>
      <c r="V200" s="41" t="s">
        <v>514</v>
      </c>
      <c r="W200" s="41" t="s">
        <v>355</v>
      </c>
      <c r="X200" s="40"/>
      <c r="Y200" s="40"/>
      <c r="Z200" s="29"/>
      <c r="AA200" s="22"/>
      <c r="AB200" s="23">
        <v>0.82</v>
      </c>
      <c r="AC200" s="75">
        <f t="shared" si="154"/>
        <v>0</v>
      </c>
      <c r="AE200" s="41" t="s">
        <v>514</v>
      </c>
      <c r="AF200" s="41" t="s">
        <v>355</v>
      </c>
      <c r="AG200" s="40"/>
      <c r="AH200" s="40"/>
      <c r="AI200" s="29"/>
      <c r="AJ200" s="22"/>
      <c r="AK200" s="23">
        <v>0.82</v>
      </c>
      <c r="AL200" s="75">
        <f t="shared" si="155"/>
        <v>0</v>
      </c>
      <c r="AN200" s="41" t="s">
        <v>514</v>
      </c>
      <c r="AO200" s="41" t="s">
        <v>355</v>
      </c>
      <c r="AP200" s="40"/>
      <c r="AQ200" s="40"/>
      <c r="AR200" s="29"/>
      <c r="AS200" s="22"/>
      <c r="AT200" s="23">
        <v>0.82</v>
      </c>
      <c r="AU200" s="75">
        <f t="shared" si="156"/>
        <v>0</v>
      </c>
      <c r="AW200" s="41" t="s">
        <v>514</v>
      </c>
      <c r="AX200" s="41" t="s">
        <v>355</v>
      </c>
      <c r="AY200" s="40"/>
      <c r="AZ200" s="40"/>
      <c r="BA200" s="29"/>
      <c r="BB200" s="22"/>
      <c r="BC200" s="23">
        <v>0.82</v>
      </c>
      <c r="BD200" s="75">
        <f t="shared" si="157"/>
        <v>0</v>
      </c>
      <c r="BF200" s="41" t="s">
        <v>514</v>
      </c>
      <c r="BG200" s="41" t="s">
        <v>355</v>
      </c>
      <c r="BH200" s="40"/>
      <c r="BI200" s="40"/>
      <c r="BJ200" s="29"/>
      <c r="BK200" s="22"/>
      <c r="BL200" s="23">
        <v>0.82</v>
      </c>
      <c r="BM200" s="75">
        <f t="shared" si="158"/>
        <v>0</v>
      </c>
    </row>
    <row r="201" spans="2:65" outlineLevel="1">
      <c r="B201" s="41" t="s">
        <v>514</v>
      </c>
      <c r="C201" s="41" t="s">
        <v>355</v>
      </c>
      <c r="D201" s="40"/>
      <c r="E201" s="40"/>
      <c r="F201" s="29"/>
      <c r="G201" s="22"/>
      <c r="H201" s="23">
        <v>0.82</v>
      </c>
      <c r="I201" s="75">
        <f t="shared" si="152"/>
        <v>0</v>
      </c>
      <c r="J201" s="172"/>
      <c r="L201" s="41" t="s">
        <v>514</v>
      </c>
      <c r="M201" s="41" t="s">
        <v>355</v>
      </c>
      <c r="N201" s="40"/>
      <c r="O201" s="40"/>
      <c r="P201" s="29"/>
      <c r="Q201" s="22"/>
      <c r="R201" s="23">
        <v>0.82</v>
      </c>
      <c r="S201" s="75">
        <f t="shared" si="153"/>
        <v>0</v>
      </c>
      <c r="T201" s="172"/>
      <c r="V201" s="41" t="s">
        <v>514</v>
      </c>
      <c r="W201" s="41" t="s">
        <v>355</v>
      </c>
      <c r="X201" s="40"/>
      <c r="Y201" s="40"/>
      <c r="Z201" s="29"/>
      <c r="AA201" s="22"/>
      <c r="AB201" s="23">
        <v>0.82</v>
      </c>
      <c r="AC201" s="75">
        <f t="shared" si="154"/>
        <v>0</v>
      </c>
      <c r="AE201" s="41" t="s">
        <v>514</v>
      </c>
      <c r="AF201" s="41" t="s">
        <v>355</v>
      </c>
      <c r="AG201" s="40"/>
      <c r="AH201" s="40"/>
      <c r="AI201" s="29"/>
      <c r="AJ201" s="22"/>
      <c r="AK201" s="23">
        <v>0.82</v>
      </c>
      <c r="AL201" s="75">
        <f t="shared" si="155"/>
        <v>0</v>
      </c>
      <c r="AN201" s="41" t="s">
        <v>514</v>
      </c>
      <c r="AO201" s="41" t="s">
        <v>355</v>
      </c>
      <c r="AP201" s="40"/>
      <c r="AQ201" s="40"/>
      <c r="AR201" s="29"/>
      <c r="AS201" s="22"/>
      <c r="AT201" s="23">
        <v>0.82</v>
      </c>
      <c r="AU201" s="75">
        <f t="shared" si="156"/>
        <v>0</v>
      </c>
      <c r="AW201" s="41" t="s">
        <v>514</v>
      </c>
      <c r="AX201" s="41" t="s">
        <v>355</v>
      </c>
      <c r="AY201" s="40"/>
      <c r="AZ201" s="40"/>
      <c r="BA201" s="29"/>
      <c r="BB201" s="22"/>
      <c r="BC201" s="23">
        <v>0.82</v>
      </c>
      <c r="BD201" s="75">
        <f t="shared" si="157"/>
        <v>0</v>
      </c>
      <c r="BF201" s="41" t="s">
        <v>514</v>
      </c>
      <c r="BG201" s="41" t="s">
        <v>355</v>
      </c>
      <c r="BH201" s="40"/>
      <c r="BI201" s="40"/>
      <c r="BJ201" s="29"/>
      <c r="BK201" s="22"/>
      <c r="BL201" s="23">
        <v>0.82</v>
      </c>
      <c r="BM201" s="75">
        <f t="shared" si="158"/>
        <v>0</v>
      </c>
    </row>
    <row r="202" spans="2:65" outlineLevel="1">
      <c r="B202" s="41" t="s">
        <v>514</v>
      </c>
      <c r="C202" s="41" t="s">
        <v>355</v>
      </c>
      <c r="D202" s="40"/>
      <c r="E202" s="40"/>
      <c r="F202" s="29"/>
      <c r="G202" s="22"/>
      <c r="H202" s="23">
        <v>0.82</v>
      </c>
      <c r="I202" s="75">
        <f t="shared" si="152"/>
        <v>0</v>
      </c>
      <c r="J202" s="172"/>
      <c r="L202" s="41" t="s">
        <v>514</v>
      </c>
      <c r="M202" s="41" t="s">
        <v>355</v>
      </c>
      <c r="N202" s="40"/>
      <c r="O202" s="40"/>
      <c r="P202" s="29"/>
      <c r="Q202" s="22"/>
      <c r="R202" s="23">
        <v>0.82</v>
      </c>
      <c r="S202" s="75">
        <f t="shared" si="153"/>
        <v>0</v>
      </c>
      <c r="T202" s="172"/>
      <c r="V202" s="41" t="s">
        <v>514</v>
      </c>
      <c r="W202" s="41" t="s">
        <v>355</v>
      </c>
      <c r="X202" s="40"/>
      <c r="Y202" s="40"/>
      <c r="Z202" s="29"/>
      <c r="AA202" s="22"/>
      <c r="AB202" s="23">
        <v>0.82</v>
      </c>
      <c r="AC202" s="75">
        <f t="shared" si="154"/>
        <v>0</v>
      </c>
      <c r="AE202" s="41" t="s">
        <v>514</v>
      </c>
      <c r="AF202" s="41" t="s">
        <v>355</v>
      </c>
      <c r="AG202" s="40"/>
      <c r="AH202" s="40"/>
      <c r="AI202" s="29"/>
      <c r="AJ202" s="22"/>
      <c r="AK202" s="23">
        <v>0.82</v>
      </c>
      <c r="AL202" s="75">
        <f t="shared" si="155"/>
        <v>0</v>
      </c>
      <c r="AN202" s="41" t="s">
        <v>514</v>
      </c>
      <c r="AO202" s="41" t="s">
        <v>355</v>
      </c>
      <c r="AP202" s="40"/>
      <c r="AQ202" s="40"/>
      <c r="AR202" s="29"/>
      <c r="AS202" s="22"/>
      <c r="AT202" s="23">
        <v>0.82</v>
      </c>
      <c r="AU202" s="75">
        <f t="shared" si="156"/>
        <v>0</v>
      </c>
      <c r="AW202" s="41" t="s">
        <v>514</v>
      </c>
      <c r="AX202" s="41" t="s">
        <v>355</v>
      </c>
      <c r="AY202" s="40"/>
      <c r="AZ202" s="40"/>
      <c r="BA202" s="29"/>
      <c r="BB202" s="22"/>
      <c r="BC202" s="23">
        <v>0.82</v>
      </c>
      <c r="BD202" s="75">
        <f t="shared" si="157"/>
        <v>0</v>
      </c>
      <c r="BF202" s="41" t="s">
        <v>514</v>
      </c>
      <c r="BG202" s="41" t="s">
        <v>355</v>
      </c>
      <c r="BH202" s="40"/>
      <c r="BI202" s="40"/>
      <c r="BJ202" s="29"/>
      <c r="BK202" s="22"/>
      <c r="BL202" s="23">
        <v>0.82</v>
      </c>
      <c r="BM202" s="75">
        <f t="shared" si="158"/>
        <v>0</v>
      </c>
    </row>
    <row r="203" spans="2:65" s="24" customFormat="1">
      <c r="B203" s="8" t="s">
        <v>516</v>
      </c>
      <c r="C203" s="25"/>
      <c r="D203" s="28">
        <f>SUM(D188:D202)</f>
        <v>0</v>
      </c>
      <c r="E203" s="28">
        <f>SUM(E188:E202)</f>
        <v>0</v>
      </c>
      <c r="F203" s="30"/>
      <c r="G203" s="25"/>
      <c r="H203" s="26"/>
      <c r="I203" s="28">
        <f>SUM(I188:I202)</f>
        <v>0</v>
      </c>
      <c r="J203" s="171"/>
      <c r="L203" s="8" t="s">
        <v>516</v>
      </c>
      <c r="M203" s="25"/>
      <c r="N203" s="28">
        <f>SUM(N188:N202)</f>
        <v>0</v>
      </c>
      <c r="O203" s="28">
        <f>SUM(O188:O202)</f>
        <v>0</v>
      </c>
      <c r="P203" s="30"/>
      <c r="Q203" s="25"/>
      <c r="R203" s="26"/>
      <c r="S203" s="28">
        <f>SUM(S188:S202)</f>
        <v>0</v>
      </c>
      <c r="T203" s="171"/>
      <c r="V203" s="8" t="s">
        <v>516</v>
      </c>
      <c r="W203" s="25"/>
      <c r="X203" s="28">
        <f>SUM(X188:X202)</f>
        <v>0</v>
      </c>
      <c r="Y203" s="28">
        <f>SUM(Y188:Y202)</f>
        <v>0</v>
      </c>
      <c r="Z203" s="30"/>
      <c r="AA203" s="25"/>
      <c r="AB203" s="26"/>
      <c r="AC203" s="28">
        <f>SUM(AC188:AC202)</f>
        <v>0</v>
      </c>
      <c r="AE203" s="8" t="s">
        <v>516</v>
      </c>
      <c r="AF203" s="25"/>
      <c r="AG203" s="28">
        <f>SUM(AG188:AG202)</f>
        <v>0</v>
      </c>
      <c r="AH203" s="28">
        <f>SUM(AH188:AH202)</f>
        <v>0</v>
      </c>
      <c r="AI203" s="30"/>
      <c r="AJ203" s="25"/>
      <c r="AK203" s="26"/>
      <c r="AL203" s="28">
        <f>SUM(AL188:AL202)</f>
        <v>0</v>
      </c>
      <c r="AN203" s="8" t="s">
        <v>516</v>
      </c>
      <c r="AO203" s="25"/>
      <c r="AP203" s="28">
        <f>SUM(AP188:AP202)</f>
        <v>0</v>
      </c>
      <c r="AQ203" s="28">
        <f>SUM(AQ188:AQ202)</f>
        <v>0</v>
      </c>
      <c r="AR203" s="30"/>
      <c r="AS203" s="25"/>
      <c r="AT203" s="26"/>
      <c r="AU203" s="28">
        <f>SUM(AU188:AU202)</f>
        <v>0</v>
      </c>
      <c r="AW203" s="8" t="s">
        <v>516</v>
      </c>
      <c r="AX203" s="25"/>
      <c r="AY203" s="28">
        <f>SUM(AY188:AY202)</f>
        <v>0</v>
      </c>
      <c r="AZ203" s="28">
        <f>SUM(AZ188:AZ202)</f>
        <v>0</v>
      </c>
      <c r="BA203" s="30"/>
      <c r="BB203" s="25"/>
      <c r="BC203" s="26"/>
      <c r="BD203" s="28">
        <f>SUM(BD188:BD202)</f>
        <v>0</v>
      </c>
      <c r="BF203" s="8" t="s">
        <v>516</v>
      </c>
      <c r="BG203" s="25"/>
      <c r="BH203" s="28">
        <f>SUM(BH188:BH202)</f>
        <v>0</v>
      </c>
      <c r="BI203" s="28">
        <f>SUM(BI188:BI202)</f>
        <v>0</v>
      </c>
      <c r="BJ203" s="30"/>
      <c r="BK203" s="25"/>
      <c r="BL203" s="26"/>
      <c r="BM203" s="28">
        <f>SUM(BM188:BM202)</f>
        <v>0</v>
      </c>
    </row>
    <row r="207" spans="2:65" ht="27.6">
      <c r="B207" s="227" t="s">
        <v>460</v>
      </c>
      <c r="C207" s="227" t="s">
        <v>461</v>
      </c>
      <c r="D207" s="227" t="s">
        <v>462</v>
      </c>
      <c r="E207" s="227" t="s">
        <v>463</v>
      </c>
      <c r="F207" s="227" t="s">
        <v>464</v>
      </c>
    </row>
    <row r="208" spans="2:65">
      <c r="B208" s="5" t="s">
        <v>465</v>
      </c>
      <c r="C208" s="6">
        <f>SUM(A36,A39)</f>
        <v>0</v>
      </c>
      <c r="D208" s="6">
        <f>SUM(D36,D39)</f>
        <v>0</v>
      </c>
      <c r="E208" s="6">
        <f>SUM(E36,E39)</f>
        <v>0</v>
      </c>
      <c r="F208" s="5"/>
    </row>
    <row r="209" spans="2:6">
      <c r="B209" s="5" t="s">
        <v>466</v>
      </c>
      <c r="C209" s="6">
        <f>SUM(A37)</f>
        <v>0</v>
      </c>
      <c r="D209" s="6">
        <f>SUM(D37)</f>
        <v>0</v>
      </c>
      <c r="E209" s="6">
        <f>SUM(E37)</f>
        <v>0</v>
      </c>
      <c r="F209" s="5"/>
    </row>
    <row r="210" spans="2:6">
      <c r="B210" s="5" t="s">
        <v>467</v>
      </c>
      <c r="C210" s="6">
        <f>SUM(A38)</f>
        <v>0</v>
      </c>
      <c r="D210" s="6">
        <f>SUM(D38)</f>
        <v>0</v>
      </c>
      <c r="E210" s="6">
        <f>SUM(E38)</f>
        <v>0</v>
      </c>
      <c r="F210" s="5"/>
    </row>
    <row r="211" spans="2:6">
      <c r="B211" s="5" t="s">
        <v>468</v>
      </c>
      <c r="C211" s="6">
        <f>SUM(A32:A35,A40)</f>
        <v>0</v>
      </c>
      <c r="D211" s="6">
        <f>SUM(D32:D35,D40)</f>
        <v>0</v>
      </c>
      <c r="E211" s="6">
        <f>SUM(E32:E35,E40)</f>
        <v>0</v>
      </c>
      <c r="F211" s="5"/>
    </row>
    <row r="212" spans="2:6">
      <c r="B212" s="5" t="s">
        <v>297</v>
      </c>
      <c r="C212" s="6">
        <v>0</v>
      </c>
      <c r="D212" s="6">
        <v>0</v>
      </c>
      <c r="E212" s="6">
        <v>0</v>
      </c>
      <c r="F212" s="5"/>
    </row>
    <row r="213" spans="2:6">
      <c r="B213" s="82" t="s">
        <v>179</v>
      </c>
      <c r="C213" s="74">
        <f>SUM(C208:C212)</f>
        <v>0</v>
      </c>
      <c r="D213" s="74">
        <f>SUM(D208:D212)</f>
        <v>0</v>
      </c>
      <c r="E213" s="74">
        <f>SUM(E208:E212)</f>
        <v>0</v>
      </c>
      <c r="F213" s="5"/>
    </row>
    <row r="216" spans="2:6">
      <c r="C216" s="225">
        <v>3</v>
      </c>
      <c r="D216" s="225">
        <v>2127536</v>
      </c>
      <c r="E216" s="225">
        <v>2056184</v>
      </c>
    </row>
    <row r="217" spans="2:6">
      <c r="C217" s="225">
        <v>2</v>
      </c>
      <c r="D217" s="225">
        <v>437000</v>
      </c>
      <c r="E217" s="225">
        <v>209733</v>
      </c>
    </row>
    <row r="218" spans="2:6">
      <c r="C218" s="225">
        <v>5</v>
      </c>
      <c r="D218" s="225">
        <v>226400</v>
      </c>
      <c r="E218" s="225">
        <v>119522</v>
      </c>
    </row>
    <row r="219" spans="2:6">
      <c r="C219" s="225">
        <v>1</v>
      </c>
      <c r="D219" s="225">
        <v>50000</v>
      </c>
      <c r="E219" s="225">
        <v>48355</v>
      </c>
    </row>
    <row r="220" spans="2:6">
      <c r="C220" s="225">
        <v>0</v>
      </c>
      <c r="D220" s="225">
        <v>0</v>
      </c>
      <c r="E220" s="225">
        <v>0</v>
      </c>
    </row>
    <row r="221" spans="2:6">
      <c r="C221" s="225">
        <v>11</v>
      </c>
      <c r="D221" s="225">
        <v>2840936</v>
      </c>
      <c r="E221" s="225">
        <v>2433794</v>
      </c>
    </row>
  </sheetData>
  <mergeCells count="7">
    <mergeCell ref="BF29:BM29"/>
    <mergeCell ref="B29:J29"/>
    <mergeCell ref="L29:T29"/>
    <mergeCell ref="V29:AC29"/>
    <mergeCell ref="AE29:AL29"/>
    <mergeCell ref="AN29:AU29"/>
    <mergeCell ref="AW29:BD29"/>
  </mergeCells>
  <pageMargins left="0.7" right="0.7" top="0.75" bottom="0.75" header="0.3" footer="0.3"/>
  <legacy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AE7AD-8BBD-41A9-B316-DFB2C730A560}">
  <sheetPr codeName="Sheet7"/>
  <dimension ref="B2:E25"/>
  <sheetViews>
    <sheetView zoomScale="115" zoomScaleNormal="115" workbookViewId="0">
      <selection activeCell="C21" sqref="C5:C21"/>
    </sheetView>
  </sheetViews>
  <sheetFormatPr defaultColWidth="9.109375" defaultRowHeight="13.8"/>
  <cols>
    <col min="1" max="1" width="9.109375" style="2"/>
    <col min="2" max="2" width="42.6640625" style="2" customWidth="1"/>
    <col min="3" max="5" width="12" style="2" customWidth="1"/>
    <col min="6" max="16384" width="9.109375" style="2"/>
  </cols>
  <sheetData>
    <row r="2" spans="2:5">
      <c r="B2" s="63" t="s">
        <v>542</v>
      </c>
    </row>
    <row r="4" spans="2:5" s="4" customFormat="1" ht="69">
      <c r="B4" s="3" t="s">
        <v>543</v>
      </c>
      <c r="C4" s="3" t="s">
        <v>544</v>
      </c>
      <c r="D4" s="3" t="s">
        <v>545</v>
      </c>
      <c r="E4" s="3" t="s">
        <v>546</v>
      </c>
    </row>
    <row r="5" spans="2:5">
      <c r="B5" s="5" t="s">
        <v>547</v>
      </c>
      <c r="C5" s="12">
        <v>0.05</v>
      </c>
      <c r="D5" s="11"/>
      <c r="E5" s="6">
        <f>C5*D5*12</f>
        <v>0</v>
      </c>
    </row>
    <row r="6" spans="2:5">
      <c r="B6" s="5" t="s">
        <v>548</v>
      </c>
      <c r="C6" s="12">
        <v>0</v>
      </c>
      <c r="D6" s="11"/>
      <c r="E6" s="6">
        <f t="shared" ref="E6:E21" si="0">C6*D6*12</f>
        <v>0</v>
      </c>
    </row>
    <row r="7" spans="2:5">
      <c r="B7" s="5" t="s">
        <v>549</v>
      </c>
      <c r="C7" s="12">
        <v>7.4999999999999997E-2</v>
      </c>
      <c r="D7" s="11"/>
      <c r="E7" s="6">
        <f t="shared" si="0"/>
        <v>0</v>
      </c>
    </row>
    <row r="8" spans="2:5">
      <c r="B8" s="5" t="s">
        <v>550</v>
      </c>
      <c r="C8" s="12">
        <v>7.4999999999999997E-2</v>
      </c>
      <c r="D8" s="11"/>
      <c r="E8" s="6">
        <f t="shared" si="0"/>
        <v>0</v>
      </c>
    </row>
    <row r="9" spans="2:5">
      <c r="B9" s="5" t="s">
        <v>122</v>
      </c>
      <c r="C9" s="12">
        <v>7.4999999999999997E-2</v>
      </c>
      <c r="D9" s="11"/>
      <c r="E9" s="6">
        <f t="shared" si="0"/>
        <v>0</v>
      </c>
    </row>
    <row r="10" spans="2:5">
      <c r="B10" s="5" t="s">
        <v>551</v>
      </c>
      <c r="C10" s="12">
        <v>0.1</v>
      </c>
      <c r="D10" s="11"/>
      <c r="E10" s="6">
        <f t="shared" si="0"/>
        <v>0</v>
      </c>
    </row>
    <row r="11" spans="2:5">
      <c r="B11" s="5" t="s">
        <v>552</v>
      </c>
      <c r="C11" s="12">
        <v>0.15</v>
      </c>
      <c r="D11" s="11"/>
      <c r="E11" s="6">
        <f t="shared" si="0"/>
        <v>0</v>
      </c>
    </row>
    <row r="12" spans="2:5">
      <c r="B12" s="5" t="s">
        <v>553</v>
      </c>
      <c r="C12" s="12">
        <v>7.4999999999999997E-2</v>
      </c>
      <c r="D12" s="11"/>
      <c r="E12" s="6">
        <f t="shared" si="0"/>
        <v>0</v>
      </c>
    </row>
    <row r="13" spans="2:5">
      <c r="B13" s="5" t="s">
        <v>554</v>
      </c>
      <c r="C13" s="12">
        <v>7.4999999999999997E-2</v>
      </c>
      <c r="D13" s="11"/>
      <c r="E13" s="6">
        <f t="shared" si="0"/>
        <v>0</v>
      </c>
    </row>
    <row r="14" spans="2:5">
      <c r="B14" s="5" t="s">
        <v>555</v>
      </c>
      <c r="C14" s="12">
        <v>7.4999999999999997E-2</v>
      </c>
      <c r="D14" s="11"/>
      <c r="E14" s="6">
        <f t="shared" si="0"/>
        <v>0</v>
      </c>
    </row>
    <row r="15" spans="2:5">
      <c r="B15" s="5" t="s">
        <v>556</v>
      </c>
      <c r="C15" s="12">
        <v>0.09</v>
      </c>
      <c r="D15" s="11"/>
      <c r="E15" s="6">
        <f t="shared" si="0"/>
        <v>0</v>
      </c>
    </row>
    <row r="16" spans="2:5">
      <c r="B16" s="5" t="s">
        <v>557</v>
      </c>
      <c r="C16" s="12">
        <v>0.125</v>
      </c>
      <c r="D16" s="11"/>
      <c r="E16" s="6">
        <f t="shared" si="0"/>
        <v>0</v>
      </c>
    </row>
    <row r="17" spans="2:5">
      <c r="B17" s="5" t="s">
        <v>558</v>
      </c>
      <c r="C17" s="12">
        <v>7.4999999999999997E-2</v>
      </c>
      <c r="D17" s="11"/>
      <c r="E17" s="6">
        <f t="shared" si="0"/>
        <v>0</v>
      </c>
    </row>
    <row r="18" spans="2:5">
      <c r="B18" s="5" t="s">
        <v>559</v>
      </c>
      <c r="C18" s="12">
        <v>0.05</v>
      </c>
      <c r="D18" s="11"/>
      <c r="E18" s="6">
        <f t="shared" si="0"/>
        <v>0</v>
      </c>
    </row>
    <row r="19" spans="2:5">
      <c r="B19" s="5" t="s">
        <v>560</v>
      </c>
      <c r="C19" s="12">
        <v>0.2</v>
      </c>
      <c r="D19" s="11"/>
      <c r="E19" s="6">
        <f t="shared" si="0"/>
        <v>0</v>
      </c>
    </row>
    <row r="20" spans="2:5">
      <c r="B20" s="5" t="s">
        <v>561</v>
      </c>
      <c r="C20" s="12">
        <v>0.1</v>
      </c>
      <c r="D20" s="11"/>
      <c r="E20" s="6">
        <f t="shared" si="0"/>
        <v>0</v>
      </c>
    </row>
    <row r="21" spans="2:5" ht="27.6">
      <c r="B21" s="7" t="s">
        <v>562</v>
      </c>
      <c r="C21" s="12">
        <v>0</v>
      </c>
      <c r="D21" s="11"/>
      <c r="E21" s="6">
        <f t="shared" si="0"/>
        <v>0</v>
      </c>
    </row>
    <row r="22" spans="2:5">
      <c r="B22" s="8" t="s">
        <v>179</v>
      </c>
      <c r="C22" s="9"/>
      <c r="D22" s="10"/>
      <c r="E22" s="13">
        <f>SUM(E5:E21)</f>
        <v>0</v>
      </c>
    </row>
    <row r="24" spans="2:5" ht="44.25" customHeight="1">
      <c r="B24" s="1013" t="s">
        <v>563</v>
      </c>
      <c r="C24" s="1013"/>
      <c r="D24" s="1013"/>
      <c r="E24" s="1013"/>
    </row>
    <row r="25" spans="2:5">
      <c r="B25" s="1013" t="s">
        <v>564</v>
      </c>
      <c r="C25" s="1013"/>
      <c r="D25" s="1013"/>
      <c r="E25" s="1013"/>
    </row>
  </sheetData>
  <mergeCells count="2">
    <mergeCell ref="B24:E24"/>
    <mergeCell ref="B25:E25"/>
  </mergeCells>
  <pageMargins left="0.7" right="0.7" top="0.75" bottom="0.75" header="0.3" footer="0.3"/>
  <pageSetup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190CFB-084E-4A69-987C-B58C87B35465}">
  <sheetPr codeName="Sheet6"/>
  <dimension ref="B2:U40"/>
  <sheetViews>
    <sheetView zoomScale="85" zoomScaleNormal="85" workbookViewId="0">
      <selection activeCell="E21" sqref="E21"/>
    </sheetView>
  </sheetViews>
  <sheetFormatPr defaultColWidth="9.109375" defaultRowHeight="13.8"/>
  <cols>
    <col min="1" max="1" width="9.109375" style="2"/>
    <col min="2" max="2" width="55.33203125" style="2" bestFit="1" customWidth="1"/>
    <col min="3" max="3" width="26.44140625" style="2" bestFit="1" customWidth="1"/>
    <col min="4" max="4" width="15.109375" style="2" bestFit="1" customWidth="1"/>
    <col min="5" max="5" width="26.109375" style="2" bestFit="1" customWidth="1"/>
    <col min="6" max="6" width="1.6640625" style="2" customWidth="1"/>
    <col min="7" max="7" width="13.33203125" style="2" bestFit="1" customWidth="1"/>
    <col min="8" max="8" width="1.6640625" style="2" customWidth="1"/>
    <col min="9" max="9" width="30.44140625" style="2" bestFit="1" customWidth="1"/>
    <col min="10" max="10" width="1.6640625" style="2" customWidth="1"/>
    <col min="11" max="11" width="13.33203125" style="2" bestFit="1" customWidth="1"/>
    <col min="12" max="12" width="1.6640625" style="2" customWidth="1"/>
    <col min="13" max="13" width="35.109375" style="2" bestFit="1" customWidth="1"/>
    <col min="14" max="14" width="1.6640625" style="2" customWidth="1"/>
    <col min="15" max="15" width="12.109375" style="2" bestFit="1" customWidth="1"/>
    <col min="16" max="16" width="1.6640625" style="2" customWidth="1"/>
    <col min="17" max="17" width="12.109375" style="2" bestFit="1" customWidth="1"/>
    <col min="18" max="18" width="1.6640625" style="2" customWidth="1"/>
    <col min="19" max="19" width="21.88671875" style="2" bestFit="1" customWidth="1"/>
    <col min="20" max="20" width="1.6640625" style="2" customWidth="1"/>
    <col min="21" max="21" width="12.44140625" style="2" bestFit="1" customWidth="1"/>
    <col min="22" max="16384" width="9.109375" style="2"/>
  </cols>
  <sheetData>
    <row r="2" spans="2:21">
      <c r="B2" s="50" t="s">
        <v>565</v>
      </c>
      <c r="C2" s="50" t="s">
        <v>565</v>
      </c>
      <c r="E2" s="50" t="s">
        <v>566</v>
      </c>
      <c r="G2" s="50" t="s">
        <v>567</v>
      </c>
      <c r="I2" s="50" t="s">
        <v>568</v>
      </c>
      <c r="K2" s="50" t="s">
        <v>569</v>
      </c>
      <c r="M2" s="50" t="s">
        <v>570</v>
      </c>
      <c r="O2" s="50" t="s">
        <v>571</v>
      </c>
      <c r="Q2" s="50" t="s">
        <v>572</v>
      </c>
      <c r="S2" s="50" t="s">
        <v>573</v>
      </c>
      <c r="U2" s="50" t="s">
        <v>467</v>
      </c>
    </row>
    <row r="3" spans="2:21">
      <c r="B3" s="51"/>
      <c r="C3" s="52" t="s">
        <v>384</v>
      </c>
      <c r="E3" s="52" t="s">
        <v>383</v>
      </c>
      <c r="G3" s="52" t="s">
        <v>383</v>
      </c>
      <c r="I3" s="52" t="s">
        <v>383</v>
      </c>
      <c r="K3" s="52" t="s">
        <v>383</v>
      </c>
      <c r="M3" s="52" t="s">
        <v>383</v>
      </c>
      <c r="O3" s="52" t="s">
        <v>383</v>
      </c>
      <c r="Q3" s="52" t="s">
        <v>383</v>
      </c>
      <c r="S3" s="52" t="s">
        <v>383</v>
      </c>
      <c r="U3" s="52" t="s">
        <v>383</v>
      </c>
    </row>
    <row r="4" spans="2:21">
      <c r="B4" s="5" t="s">
        <v>451</v>
      </c>
      <c r="C4" s="52" t="s">
        <v>451</v>
      </c>
      <c r="E4" s="52" t="s">
        <v>381</v>
      </c>
      <c r="G4" s="52" t="s">
        <v>390</v>
      </c>
      <c r="I4" s="52" t="s">
        <v>392</v>
      </c>
      <c r="K4" s="52" t="s">
        <v>395</v>
      </c>
      <c r="M4" s="52" t="s">
        <v>537</v>
      </c>
      <c r="O4" s="52" t="s">
        <v>538</v>
      </c>
      <c r="Q4" s="52" t="s">
        <v>539</v>
      </c>
      <c r="S4" s="52" t="s">
        <v>540</v>
      </c>
      <c r="U4" s="52" t="s">
        <v>541</v>
      </c>
    </row>
    <row r="5" spans="2:21">
      <c r="B5" s="5" t="s">
        <v>574</v>
      </c>
      <c r="C5" s="52" t="s">
        <v>382</v>
      </c>
      <c r="E5" s="52" t="s">
        <v>575</v>
      </c>
      <c r="G5" s="52" t="s">
        <v>576</v>
      </c>
      <c r="I5" s="52" t="s">
        <v>577</v>
      </c>
      <c r="K5" s="52" t="s">
        <v>396</v>
      </c>
      <c r="M5" s="52" t="s">
        <v>578</v>
      </c>
      <c r="O5" s="52" t="s">
        <v>579</v>
      </c>
      <c r="Q5" s="52" t="s">
        <v>580</v>
      </c>
      <c r="S5" s="52" t="s">
        <v>581</v>
      </c>
      <c r="U5" s="52" t="s">
        <v>582</v>
      </c>
    </row>
    <row r="6" spans="2:21">
      <c r="B6" s="5" t="s">
        <v>583</v>
      </c>
      <c r="C6" s="52" t="s">
        <v>415</v>
      </c>
      <c r="E6" s="52" t="s">
        <v>584</v>
      </c>
      <c r="G6" s="52" t="s">
        <v>585</v>
      </c>
      <c r="I6" s="52" t="s">
        <v>586</v>
      </c>
      <c r="K6" s="52" t="s">
        <v>397</v>
      </c>
      <c r="M6" s="52" t="s">
        <v>587</v>
      </c>
      <c r="O6" s="52" t="s">
        <v>588</v>
      </c>
      <c r="Q6" s="52" t="s">
        <v>589</v>
      </c>
      <c r="S6" s="52" t="s">
        <v>590</v>
      </c>
      <c r="U6" s="52" t="s">
        <v>591</v>
      </c>
    </row>
    <row r="7" spans="2:21">
      <c r="B7" s="5" t="s">
        <v>592</v>
      </c>
      <c r="C7" s="52" t="s">
        <v>593</v>
      </c>
      <c r="E7" s="52" t="s">
        <v>594</v>
      </c>
      <c r="G7" s="52" t="s">
        <v>595</v>
      </c>
      <c r="I7" s="52" t="s">
        <v>596</v>
      </c>
      <c r="K7" s="52" t="s">
        <v>398</v>
      </c>
      <c r="M7" s="52" t="s">
        <v>597</v>
      </c>
      <c r="O7" s="52" t="s">
        <v>598</v>
      </c>
      <c r="Q7" s="52" t="s">
        <v>599</v>
      </c>
      <c r="S7" s="52" t="s">
        <v>600</v>
      </c>
      <c r="U7" s="52" t="s">
        <v>601</v>
      </c>
    </row>
    <row r="8" spans="2:21">
      <c r="B8" s="5" t="s">
        <v>602</v>
      </c>
      <c r="C8" s="52" t="s">
        <v>603</v>
      </c>
      <c r="E8" s="52" t="s">
        <v>604</v>
      </c>
      <c r="G8" s="52" t="s">
        <v>605</v>
      </c>
      <c r="I8" s="52" t="s">
        <v>606</v>
      </c>
      <c r="K8" s="52" t="s">
        <v>399</v>
      </c>
      <c r="M8" s="52" t="s">
        <v>607</v>
      </c>
      <c r="O8" s="52" t="s">
        <v>608</v>
      </c>
      <c r="Q8" s="52" t="s">
        <v>609</v>
      </c>
      <c r="S8" s="52" t="s">
        <v>610</v>
      </c>
      <c r="U8" s="52" t="s">
        <v>611</v>
      </c>
    </row>
    <row r="9" spans="2:21">
      <c r="B9" s="5" t="s">
        <v>297</v>
      </c>
      <c r="C9" s="52" t="s">
        <v>297</v>
      </c>
      <c r="E9" s="52" t="s">
        <v>612</v>
      </c>
      <c r="G9" s="52" t="s">
        <v>613</v>
      </c>
      <c r="I9" s="52" t="s">
        <v>614</v>
      </c>
      <c r="K9" s="52" t="s">
        <v>400</v>
      </c>
      <c r="M9" s="52" t="s">
        <v>615</v>
      </c>
      <c r="O9" s="52" t="s">
        <v>616</v>
      </c>
      <c r="Q9" s="52" t="s">
        <v>617</v>
      </c>
      <c r="S9" s="52" t="s">
        <v>618</v>
      </c>
      <c r="U9" s="52" t="s">
        <v>619</v>
      </c>
    </row>
    <row r="10" spans="2:21">
      <c r="E10" s="52" t="s">
        <v>620</v>
      </c>
      <c r="G10" s="52" t="s">
        <v>621</v>
      </c>
      <c r="I10" s="52" t="s">
        <v>622</v>
      </c>
      <c r="K10" s="52" t="s">
        <v>401</v>
      </c>
      <c r="M10" s="52" t="s">
        <v>623</v>
      </c>
      <c r="O10" s="52" t="s">
        <v>624</v>
      </c>
      <c r="Q10" s="52" t="s">
        <v>625</v>
      </c>
      <c r="S10" s="52" t="s">
        <v>626</v>
      </c>
      <c r="U10" s="52" t="s">
        <v>627</v>
      </c>
    </row>
    <row r="11" spans="2:21">
      <c r="B11" s="50" t="s">
        <v>628</v>
      </c>
      <c r="C11" s="50" t="s">
        <v>628</v>
      </c>
      <c r="E11" s="52" t="s">
        <v>629</v>
      </c>
      <c r="G11" s="52" t="s">
        <v>630</v>
      </c>
      <c r="I11" s="52" t="s">
        <v>631</v>
      </c>
      <c r="K11" s="52" t="s">
        <v>632</v>
      </c>
      <c r="M11" s="52" t="s">
        <v>633</v>
      </c>
      <c r="O11" s="52" t="s">
        <v>634</v>
      </c>
      <c r="Q11" s="52" t="s">
        <v>635</v>
      </c>
      <c r="S11" s="52" t="s">
        <v>636</v>
      </c>
      <c r="U11" s="52" t="s">
        <v>637</v>
      </c>
    </row>
    <row r="12" spans="2:21">
      <c r="B12" s="51"/>
      <c r="C12" s="52" t="s">
        <v>384</v>
      </c>
      <c r="E12" s="52" t="s">
        <v>638</v>
      </c>
      <c r="G12" s="52" t="s">
        <v>639</v>
      </c>
      <c r="I12" s="52" t="s">
        <v>640</v>
      </c>
      <c r="K12" s="52" t="s">
        <v>641</v>
      </c>
      <c r="M12" s="52" t="s">
        <v>642</v>
      </c>
      <c r="O12" s="52" t="s">
        <v>643</v>
      </c>
      <c r="Q12" s="52" t="s">
        <v>644</v>
      </c>
      <c r="S12" s="52" t="s">
        <v>645</v>
      </c>
      <c r="U12" s="52" t="s">
        <v>646</v>
      </c>
    </row>
    <row r="13" spans="2:21">
      <c r="B13" s="5" t="s">
        <v>583</v>
      </c>
      <c r="C13" s="52" t="s">
        <v>415</v>
      </c>
      <c r="E13" s="52" t="s">
        <v>647</v>
      </c>
      <c r="G13" s="52" t="s">
        <v>648</v>
      </c>
      <c r="I13" s="52" t="s">
        <v>649</v>
      </c>
      <c r="K13" s="52" t="s">
        <v>650</v>
      </c>
      <c r="M13" s="52" t="s">
        <v>651</v>
      </c>
      <c r="O13" s="52" t="s">
        <v>652</v>
      </c>
      <c r="Q13" s="52" t="s">
        <v>653</v>
      </c>
      <c r="S13" s="52" t="s">
        <v>654</v>
      </c>
      <c r="U13" s="52" t="s">
        <v>655</v>
      </c>
    </row>
    <row r="14" spans="2:21">
      <c r="B14" s="5" t="s">
        <v>592</v>
      </c>
      <c r="C14" s="52" t="s">
        <v>593</v>
      </c>
      <c r="E14" s="52" t="s">
        <v>656</v>
      </c>
      <c r="G14" s="52" t="s">
        <v>657</v>
      </c>
      <c r="I14" s="52" t="s">
        <v>658</v>
      </c>
      <c r="K14" s="52" t="s">
        <v>659</v>
      </c>
      <c r="M14" s="52" t="s">
        <v>660</v>
      </c>
      <c r="O14" s="52" t="s">
        <v>661</v>
      </c>
      <c r="Q14" s="52" t="s">
        <v>662</v>
      </c>
      <c r="S14" s="52" t="s">
        <v>663</v>
      </c>
      <c r="U14" s="52" t="s">
        <v>664</v>
      </c>
    </row>
    <row r="15" spans="2:21">
      <c r="B15" s="5" t="s">
        <v>665</v>
      </c>
      <c r="C15" s="52" t="s">
        <v>666</v>
      </c>
      <c r="E15" s="52" t="s">
        <v>667</v>
      </c>
      <c r="G15" s="52" t="s">
        <v>668</v>
      </c>
      <c r="I15" s="52" t="s">
        <v>669</v>
      </c>
      <c r="K15" s="52" t="s">
        <v>670</v>
      </c>
      <c r="M15" s="52" t="s">
        <v>671</v>
      </c>
      <c r="O15" s="52" t="s">
        <v>672</v>
      </c>
      <c r="Q15" s="52" t="s">
        <v>673</v>
      </c>
      <c r="S15" s="52" t="s">
        <v>674</v>
      </c>
      <c r="U15" s="52" t="s">
        <v>675</v>
      </c>
    </row>
    <row r="16" spans="2:21">
      <c r="B16" s="5" t="s">
        <v>676</v>
      </c>
      <c r="C16" s="52" t="s">
        <v>677</v>
      </c>
      <c r="E16" s="52" t="s">
        <v>678</v>
      </c>
      <c r="G16" s="52" t="s">
        <v>679</v>
      </c>
      <c r="I16" s="52" t="s">
        <v>680</v>
      </c>
      <c r="K16" s="52" t="s">
        <v>681</v>
      </c>
      <c r="M16" s="52" t="s">
        <v>682</v>
      </c>
      <c r="O16" s="52" t="s">
        <v>683</v>
      </c>
      <c r="Q16" s="52" t="s">
        <v>684</v>
      </c>
      <c r="S16" s="52" t="s">
        <v>685</v>
      </c>
      <c r="U16" s="52" t="s">
        <v>686</v>
      </c>
    </row>
    <row r="17" spans="2:21">
      <c r="B17" s="5" t="s">
        <v>687</v>
      </c>
      <c r="C17" s="52" t="s">
        <v>688</v>
      </c>
      <c r="E17" s="52" t="s">
        <v>689</v>
      </c>
      <c r="G17" s="52" t="s">
        <v>690</v>
      </c>
      <c r="I17" s="52" t="s">
        <v>691</v>
      </c>
      <c r="K17" s="52" t="s">
        <v>692</v>
      </c>
      <c r="M17" s="52" t="s">
        <v>693</v>
      </c>
      <c r="O17" s="52" t="s">
        <v>694</v>
      </c>
      <c r="Q17" s="52" t="s">
        <v>695</v>
      </c>
      <c r="S17" s="52" t="s">
        <v>696</v>
      </c>
      <c r="U17" s="52" t="s">
        <v>697</v>
      </c>
    </row>
    <row r="18" spans="2:21">
      <c r="B18" s="5" t="s">
        <v>698</v>
      </c>
      <c r="C18" s="52" t="s">
        <v>699</v>
      </c>
      <c r="E18" s="52" t="s">
        <v>700</v>
      </c>
      <c r="G18" s="52" t="s">
        <v>701</v>
      </c>
      <c r="I18" s="52" t="s">
        <v>702</v>
      </c>
      <c r="K18" s="52" t="s">
        <v>703</v>
      </c>
      <c r="M18" s="52" t="s">
        <v>704</v>
      </c>
      <c r="O18" s="52" t="s">
        <v>705</v>
      </c>
      <c r="Q18" s="52" t="s">
        <v>706</v>
      </c>
      <c r="S18" s="52" t="s">
        <v>707</v>
      </c>
      <c r="U18" s="52" t="s">
        <v>708</v>
      </c>
    </row>
    <row r="19" spans="2:21">
      <c r="B19" s="5" t="s">
        <v>709</v>
      </c>
      <c r="C19" s="52" t="s">
        <v>709</v>
      </c>
    </row>
    <row r="20" spans="2:21">
      <c r="B20" s="2" t="s">
        <v>1032</v>
      </c>
      <c r="C20" s="91" t="s">
        <v>1033</v>
      </c>
    </row>
    <row r="22" spans="2:21">
      <c r="B22" s="53" t="s">
        <v>154</v>
      </c>
      <c r="C22" s="53" t="s">
        <v>710</v>
      </c>
      <c r="D22" s="53" t="s">
        <v>711</v>
      </c>
    </row>
    <row r="23" spans="2:21">
      <c r="B23" s="5" t="s">
        <v>712</v>
      </c>
      <c r="C23" s="5" t="s">
        <v>567</v>
      </c>
      <c r="D23" s="5" t="s">
        <v>90</v>
      </c>
    </row>
    <row r="24" spans="2:21">
      <c r="B24" s="5" t="s">
        <v>713</v>
      </c>
      <c r="C24" s="5" t="s">
        <v>567</v>
      </c>
      <c r="D24" s="5" t="s">
        <v>90</v>
      </c>
    </row>
    <row r="25" spans="2:21">
      <c r="B25" s="5" t="s">
        <v>714</v>
      </c>
      <c r="C25" s="5" t="s">
        <v>567</v>
      </c>
      <c r="D25" s="5" t="s">
        <v>90</v>
      </c>
    </row>
    <row r="26" spans="2:21">
      <c r="B26" s="5" t="s">
        <v>715</v>
      </c>
      <c r="C26" s="5" t="s">
        <v>572</v>
      </c>
      <c r="D26" s="5" t="s">
        <v>90</v>
      </c>
    </row>
    <row r="27" spans="2:21">
      <c r="B27" s="5" t="s">
        <v>716</v>
      </c>
      <c r="C27" s="5" t="s">
        <v>572</v>
      </c>
      <c r="D27" s="5" t="s">
        <v>90</v>
      </c>
    </row>
    <row r="28" spans="2:21">
      <c r="B28" s="5" t="s">
        <v>717</v>
      </c>
      <c r="C28" s="5" t="s">
        <v>572</v>
      </c>
      <c r="D28" s="5" t="s">
        <v>90</v>
      </c>
    </row>
    <row r="29" spans="2:21">
      <c r="B29" s="5" t="s">
        <v>718</v>
      </c>
      <c r="C29" s="5" t="s">
        <v>572</v>
      </c>
      <c r="D29" s="5" t="s">
        <v>90</v>
      </c>
    </row>
    <row r="30" spans="2:21">
      <c r="B30" s="5" t="s">
        <v>719</v>
      </c>
      <c r="C30" s="5" t="s">
        <v>167</v>
      </c>
      <c r="D30" s="5" t="s">
        <v>90</v>
      </c>
    </row>
    <row r="31" spans="2:21">
      <c r="B31" s="5" t="s">
        <v>720</v>
      </c>
      <c r="C31" s="5" t="s">
        <v>167</v>
      </c>
      <c r="D31" s="5" t="s">
        <v>90</v>
      </c>
    </row>
    <row r="32" spans="2:21">
      <c r="B32" s="5" t="s">
        <v>721</v>
      </c>
      <c r="C32" s="5" t="s">
        <v>569</v>
      </c>
      <c r="D32" s="5" t="s">
        <v>722</v>
      </c>
    </row>
    <row r="33" spans="2:4">
      <c r="B33" s="5" t="s">
        <v>723</v>
      </c>
      <c r="C33" s="5" t="s">
        <v>724</v>
      </c>
      <c r="D33" s="5" t="s">
        <v>722</v>
      </c>
    </row>
    <row r="34" spans="2:4">
      <c r="B34" s="5" t="s">
        <v>725</v>
      </c>
      <c r="C34" s="5" t="s">
        <v>467</v>
      </c>
      <c r="D34" s="5" t="s">
        <v>90</v>
      </c>
    </row>
    <row r="37" spans="2:4">
      <c r="B37" s="53" t="s">
        <v>726</v>
      </c>
      <c r="C37" s="53" t="s">
        <v>727</v>
      </c>
      <c r="D37" s="53" t="s">
        <v>710</v>
      </c>
    </row>
    <row r="38" spans="2:4">
      <c r="B38" s="5" t="s">
        <v>728</v>
      </c>
      <c r="C38" s="52" t="s">
        <v>5</v>
      </c>
      <c r="D38" s="52" t="s">
        <v>388</v>
      </c>
    </row>
    <row r="39" spans="2:4" ht="27.6">
      <c r="B39" s="7" t="s">
        <v>729</v>
      </c>
      <c r="C39" s="52" t="s">
        <v>5</v>
      </c>
      <c r="D39" s="52" t="s">
        <v>730</v>
      </c>
    </row>
    <row r="40" spans="2:4">
      <c r="B40" s="5" t="s">
        <v>731</v>
      </c>
      <c r="C40" s="52" t="s">
        <v>62</v>
      </c>
      <c r="D40" s="52" t="s">
        <v>97</v>
      </c>
    </row>
  </sheetData>
  <pageMargins left="0.7" right="0.7" top="0.75" bottom="0.75" header="0.3" footer="0.3"/>
  <pageSetup paperSize="9" orientation="portrait" horizontalDpi="4294967293"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969EDB-9F84-4622-9582-7CB041FC4AF8}">
  <sheetPr filterMode="1"/>
  <dimension ref="A2:G20"/>
  <sheetViews>
    <sheetView workbookViewId="0">
      <selection activeCell="E3" sqref="E3"/>
    </sheetView>
  </sheetViews>
  <sheetFormatPr defaultRowHeight="14.4"/>
  <cols>
    <col min="2" max="2" width="10.6640625" bestFit="1" customWidth="1"/>
    <col min="3" max="3" width="12.44140625" customWidth="1"/>
    <col min="4" max="4" width="14.33203125" bestFit="1" customWidth="1"/>
    <col min="5" max="5" width="19.109375" bestFit="1" customWidth="1"/>
    <col min="6" max="7" width="0" hidden="1" customWidth="1"/>
  </cols>
  <sheetData>
    <row r="2" spans="1:7">
      <c r="A2" s="15"/>
      <c r="B2" s="291" t="s">
        <v>378</v>
      </c>
      <c r="C2" s="291" t="s">
        <v>748</v>
      </c>
      <c r="D2" s="291" t="s">
        <v>368</v>
      </c>
      <c r="E2" s="291" t="s">
        <v>379</v>
      </c>
      <c r="F2" s="47" t="s">
        <v>382</v>
      </c>
      <c r="G2" s="47" t="s">
        <v>749</v>
      </c>
    </row>
    <row r="3" spans="1:7">
      <c r="A3" s="15">
        <v>1</v>
      </c>
      <c r="B3" s="296"/>
      <c r="C3" s="15"/>
      <c r="D3" s="297"/>
      <c r="E3" s="15" t="s">
        <v>750</v>
      </c>
      <c r="F3" s="298" t="s">
        <v>5</v>
      </c>
      <c r="G3" s="298"/>
    </row>
    <row r="4" spans="1:7">
      <c r="A4" s="15">
        <v>2</v>
      </c>
      <c r="B4" s="296"/>
      <c r="C4" s="15"/>
      <c r="D4" s="297"/>
      <c r="E4" s="15" t="s">
        <v>750</v>
      </c>
      <c r="F4" s="298" t="s">
        <v>5</v>
      </c>
      <c r="G4" s="298"/>
    </row>
    <row r="5" spans="1:7">
      <c r="A5" s="15">
        <v>3</v>
      </c>
      <c r="B5" s="296"/>
      <c r="C5" s="15"/>
      <c r="D5" s="297"/>
      <c r="E5" s="15" t="s">
        <v>750</v>
      </c>
      <c r="F5" s="298" t="s">
        <v>5</v>
      </c>
      <c r="G5" s="298"/>
    </row>
    <row r="6" spans="1:7">
      <c r="A6" s="15">
        <v>4</v>
      </c>
      <c r="B6" s="296"/>
      <c r="C6" s="15"/>
      <c r="D6" s="297"/>
      <c r="E6" s="15" t="s">
        <v>750</v>
      </c>
      <c r="F6" s="298" t="s">
        <v>5</v>
      </c>
      <c r="G6" s="298"/>
    </row>
    <row r="7" spans="1:7" hidden="1">
      <c r="A7">
        <v>5</v>
      </c>
      <c r="B7" s="299" t="s">
        <v>751</v>
      </c>
      <c r="C7" t="s">
        <v>572</v>
      </c>
      <c r="D7" s="300">
        <v>2957064</v>
      </c>
      <c r="E7" t="s">
        <v>752</v>
      </c>
      <c r="F7" t="s">
        <v>5</v>
      </c>
    </row>
    <row r="8" spans="1:7" hidden="1">
      <c r="A8">
        <v>6</v>
      </c>
      <c r="B8" s="299">
        <v>42165</v>
      </c>
      <c r="C8" t="s">
        <v>572</v>
      </c>
      <c r="D8" s="300">
        <v>18000000</v>
      </c>
      <c r="E8" t="s">
        <v>750</v>
      </c>
      <c r="F8" t="s">
        <v>62</v>
      </c>
      <c r="G8" t="s">
        <v>753</v>
      </c>
    </row>
    <row r="9" spans="1:7" hidden="1">
      <c r="A9">
        <v>7</v>
      </c>
      <c r="B9" s="299">
        <v>42311</v>
      </c>
      <c r="C9" t="s">
        <v>754</v>
      </c>
      <c r="D9" s="300">
        <v>10000000</v>
      </c>
      <c r="E9" t="s">
        <v>752</v>
      </c>
      <c r="F9" t="s">
        <v>96</v>
      </c>
      <c r="G9" t="s">
        <v>755</v>
      </c>
    </row>
    <row r="10" spans="1:7">
      <c r="A10" s="15">
        <v>5</v>
      </c>
      <c r="B10" s="296"/>
      <c r="C10" s="15"/>
      <c r="D10" s="297"/>
      <c r="E10" s="15" t="s">
        <v>750</v>
      </c>
      <c r="F10" s="298" t="s">
        <v>5</v>
      </c>
      <c r="G10" s="298"/>
    </row>
    <row r="11" spans="1:7" hidden="1">
      <c r="A11">
        <v>9</v>
      </c>
      <c r="B11" s="299" t="s">
        <v>756</v>
      </c>
      <c r="C11" t="s">
        <v>757</v>
      </c>
      <c r="D11" s="300">
        <v>5000000</v>
      </c>
      <c r="E11" t="s">
        <v>752</v>
      </c>
      <c r="F11" t="s">
        <v>5</v>
      </c>
    </row>
    <row r="12" spans="1:7" hidden="1">
      <c r="A12">
        <v>10</v>
      </c>
      <c r="B12" s="299">
        <v>43257</v>
      </c>
      <c r="C12" t="s">
        <v>754</v>
      </c>
      <c r="D12" s="300">
        <v>5000000</v>
      </c>
      <c r="E12" t="s">
        <v>750</v>
      </c>
      <c r="F12" t="s">
        <v>62</v>
      </c>
      <c r="G12" t="s">
        <v>758</v>
      </c>
    </row>
    <row r="13" spans="1:7" hidden="1">
      <c r="A13">
        <v>11</v>
      </c>
      <c r="B13" s="299">
        <v>43227</v>
      </c>
      <c r="C13" t="s">
        <v>759</v>
      </c>
      <c r="D13" s="300">
        <v>100000</v>
      </c>
      <c r="E13" t="s">
        <v>750</v>
      </c>
      <c r="F13" t="s">
        <v>5</v>
      </c>
    </row>
    <row r="14" spans="1:7" hidden="1">
      <c r="A14">
        <v>12</v>
      </c>
      <c r="B14" s="299" t="s">
        <v>760</v>
      </c>
      <c r="C14" t="s">
        <v>761</v>
      </c>
      <c r="D14" s="300">
        <v>476000</v>
      </c>
      <c r="E14" t="s">
        <v>750</v>
      </c>
      <c r="F14" t="s">
        <v>62</v>
      </c>
      <c r="G14" t="s">
        <v>755</v>
      </c>
    </row>
    <row r="15" spans="1:7" hidden="1">
      <c r="A15">
        <v>13</v>
      </c>
      <c r="B15" s="299" t="s">
        <v>762</v>
      </c>
      <c r="C15" t="s">
        <v>763</v>
      </c>
      <c r="D15" s="300">
        <v>5000000</v>
      </c>
      <c r="E15" t="s">
        <v>752</v>
      </c>
      <c r="F15" t="s">
        <v>5</v>
      </c>
    </row>
    <row r="16" spans="1:7" hidden="1">
      <c r="A16">
        <v>14</v>
      </c>
      <c r="B16" s="299">
        <v>43567</v>
      </c>
      <c r="C16" t="s">
        <v>567</v>
      </c>
      <c r="D16" s="300">
        <v>2000000</v>
      </c>
      <c r="E16" t="s">
        <v>750</v>
      </c>
      <c r="F16" t="s">
        <v>62</v>
      </c>
      <c r="G16" t="s">
        <v>764</v>
      </c>
    </row>
    <row r="17" spans="1:7" hidden="1">
      <c r="A17">
        <v>15</v>
      </c>
      <c r="B17" s="299" t="s">
        <v>765</v>
      </c>
      <c r="C17" t="s">
        <v>572</v>
      </c>
      <c r="D17" s="300">
        <v>5000000</v>
      </c>
      <c r="E17" t="s">
        <v>750</v>
      </c>
      <c r="F17" t="s">
        <v>62</v>
      </c>
      <c r="G17" t="s">
        <v>766</v>
      </c>
    </row>
    <row r="18" spans="1:7" ht="14.25" customHeight="1">
      <c r="A18" s="15">
        <v>6</v>
      </c>
      <c r="B18" s="296"/>
      <c r="C18" s="15"/>
      <c r="D18" s="297"/>
      <c r="E18" s="15" t="s">
        <v>750</v>
      </c>
      <c r="F18" s="298"/>
      <c r="G18" s="298"/>
    </row>
    <row r="19" spans="1:7" hidden="1">
      <c r="A19">
        <v>17</v>
      </c>
      <c r="B19" s="301">
        <v>43986</v>
      </c>
      <c r="C19" s="302" t="s">
        <v>767</v>
      </c>
      <c r="D19" s="303">
        <v>28500000</v>
      </c>
      <c r="E19" s="302" t="s">
        <v>768</v>
      </c>
      <c r="F19" s="302" t="s">
        <v>62</v>
      </c>
      <c r="G19" s="302" t="s">
        <v>758</v>
      </c>
    </row>
    <row r="20" spans="1:7" hidden="1">
      <c r="A20">
        <v>18</v>
      </c>
      <c r="B20" s="301" t="s">
        <v>769</v>
      </c>
      <c r="C20" s="302" t="s">
        <v>767</v>
      </c>
      <c r="D20" s="303">
        <v>15000000</v>
      </c>
      <c r="E20" s="302" t="s">
        <v>768</v>
      </c>
      <c r="F20" s="302" t="s">
        <v>62</v>
      </c>
      <c r="G20" s="302" t="s">
        <v>770</v>
      </c>
    </row>
  </sheetData>
  <autoFilter ref="A2:G20" xr:uid="{8EC45D05-0C29-4488-ADB8-DB99C703318E}">
    <filterColumn colId="2">
      <colorFilter dxfId="0"/>
    </filterColumn>
  </autoFilter>
  <pageMargins left="0.7" right="0.7" top="0.75" bottom="0.75" header="0.3" footer="0.3"/>
  <pageSetup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DB766D-9E52-4708-BBFC-79D7726A9FBC}">
  <dimension ref="A2:N27"/>
  <sheetViews>
    <sheetView topLeftCell="A3" workbookViewId="0">
      <selection activeCell="A3" sqref="A3:H4"/>
    </sheetView>
  </sheetViews>
  <sheetFormatPr defaultRowHeight="14.4"/>
  <cols>
    <col min="1" max="1" width="2" bestFit="1" customWidth="1"/>
    <col min="2" max="2" width="36.6640625" bestFit="1" customWidth="1"/>
    <col min="3" max="3" width="23.5546875" bestFit="1" customWidth="1"/>
    <col min="4" max="4" width="13.109375" bestFit="1" customWidth="1"/>
    <col min="5" max="5" width="13.44140625" bestFit="1" customWidth="1"/>
    <col min="6" max="7" width="12.6640625" bestFit="1" customWidth="1"/>
    <col min="8" max="8" width="11.6640625" bestFit="1" customWidth="1"/>
    <col min="9" max="9" width="18.44140625" hidden="1" customWidth="1"/>
    <col min="10" max="10" width="15.109375" hidden="1" customWidth="1"/>
    <col min="11" max="11" width="15.33203125" hidden="1" customWidth="1"/>
    <col min="12" max="12" width="10.109375" bestFit="1" customWidth="1"/>
    <col min="13" max="13" width="15.33203125" customWidth="1"/>
    <col min="14" max="14" width="18.109375" bestFit="1" customWidth="1"/>
  </cols>
  <sheetData>
    <row r="2" spans="1:14" ht="18">
      <c r="I2" s="304" t="s">
        <v>771</v>
      </c>
      <c r="J2" s="1014" t="s">
        <v>772</v>
      </c>
      <c r="K2" s="1014"/>
      <c r="L2" s="1014"/>
      <c r="M2" s="1014"/>
    </row>
    <row r="3" spans="1:14" ht="20.399999999999999">
      <c r="A3" s="417"/>
      <c r="B3" s="420" t="s">
        <v>148</v>
      </c>
      <c r="C3" s="420" t="s">
        <v>773</v>
      </c>
      <c r="D3" s="421" t="s">
        <v>774</v>
      </c>
      <c r="E3" s="420" t="s">
        <v>775</v>
      </c>
      <c r="F3" s="420" t="s">
        <v>776</v>
      </c>
      <c r="G3" s="420" t="s">
        <v>237</v>
      </c>
      <c r="H3" s="420" t="s">
        <v>777</v>
      </c>
      <c r="I3" s="422" t="s">
        <v>778</v>
      </c>
      <c r="J3" s="423" t="s">
        <v>167</v>
      </c>
      <c r="K3" s="424" t="s">
        <v>779</v>
      </c>
      <c r="L3" s="421" t="s">
        <v>780</v>
      </c>
      <c r="M3" s="421" t="s">
        <v>779</v>
      </c>
      <c r="N3" s="248" t="s">
        <v>95</v>
      </c>
    </row>
    <row r="4" spans="1:14" ht="150" customHeight="1">
      <c r="A4" s="249">
        <v>1</v>
      </c>
      <c r="B4" s="425" t="s">
        <v>810</v>
      </c>
      <c r="C4" s="426" t="s">
        <v>811</v>
      </c>
      <c r="D4" s="427">
        <v>40490</v>
      </c>
      <c r="E4" s="426">
        <v>2022</v>
      </c>
      <c r="F4" s="428">
        <v>361111</v>
      </c>
      <c r="G4" s="428">
        <v>1593168</v>
      </c>
      <c r="H4" s="428">
        <v>44618</v>
      </c>
      <c r="I4" s="429"/>
      <c r="J4" s="426"/>
      <c r="K4" s="426"/>
      <c r="L4" s="430">
        <v>600000</v>
      </c>
      <c r="M4" s="434" t="s">
        <v>808</v>
      </c>
      <c r="N4" s="15"/>
    </row>
    <row r="5" spans="1:14">
      <c r="A5" s="249">
        <v>2</v>
      </c>
      <c r="B5" s="425"/>
      <c r="C5" s="426"/>
      <c r="D5" s="426"/>
      <c r="E5" s="426"/>
      <c r="F5" s="428"/>
      <c r="G5" s="428"/>
      <c r="H5" s="428"/>
      <c r="I5" s="429"/>
      <c r="J5" s="426"/>
      <c r="K5" s="426"/>
      <c r="L5" s="430"/>
      <c r="M5" s="435"/>
      <c r="N5" s="249"/>
    </row>
    <row r="6" spans="1:14">
      <c r="A6" s="249">
        <v>3</v>
      </c>
      <c r="B6" s="431"/>
      <c r="C6" s="426"/>
      <c r="D6" s="427"/>
      <c r="E6" s="426"/>
      <c r="F6" s="428"/>
      <c r="G6" s="428"/>
      <c r="H6" s="428"/>
      <c r="I6" s="429"/>
      <c r="J6" s="426"/>
      <c r="K6" s="426"/>
      <c r="L6" s="430"/>
      <c r="M6" s="436"/>
      <c r="N6" s="249"/>
    </row>
    <row r="7" spans="1:14">
      <c r="A7" s="249">
        <v>4</v>
      </c>
      <c r="B7" s="15"/>
      <c r="C7" s="249"/>
      <c r="D7" s="419"/>
      <c r="E7" s="249"/>
      <c r="F7" s="418"/>
      <c r="G7" s="418"/>
      <c r="H7" s="418"/>
      <c r="I7" s="252"/>
      <c r="J7" s="249"/>
      <c r="K7" s="249"/>
      <c r="L7" s="249"/>
      <c r="M7" s="249"/>
      <c r="N7" s="249"/>
    </row>
    <row r="8" spans="1:14">
      <c r="A8" s="249">
        <v>5</v>
      </c>
      <c r="B8" s="15"/>
      <c r="C8" s="249"/>
      <c r="D8" s="419"/>
      <c r="E8" s="249"/>
      <c r="F8" s="418"/>
      <c r="G8" s="418"/>
      <c r="H8" s="418"/>
      <c r="I8" s="252"/>
      <c r="J8" s="249"/>
      <c r="K8" s="249"/>
      <c r="L8" s="249"/>
      <c r="M8" s="249"/>
      <c r="N8" s="249"/>
    </row>
    <row r="9" spans="1:14">
      <c r="A9" s="249">
        <v>6</v>
      </c>
      <c r="C9" s="249"/>
      <c r="D9" s="419"/>
      <c r="E9" s="249"/>
      <c r="F9" s="418"/>
      <c r="G9" s="418"/>
      <c r="H9" s="418"/>
      <c r="I9" s="252"/>
      <c r="J9" s="249"/>
      <c r="K9" s="249"/>
      <c r="L9" s="249"/>
      <c r="M9" s="249"/>
      <c r="N9" s="249"/>
    </row>
    <row r="10" spans="1:14">
      <c r="A10" s="249">
        <v>7</v>
      </c>
      <c r="B10" s="15"/>
      <c r="C10" s="249"/>
      <c r="D10" s="249"/>
      <c r="E10" s="249"/>
      <c r="F10" s="418"/>
      <c r="G10" s="418"/>
      <c r="H10" s="249"/>
      <c r="I10" s="306"/>
      <c r="J10" s="249"/>
      <c r="K10" s="249"/>
      <c r="L10" s="249"/>
      <c r="M10" s="249"/>
      <c r="N10" s="249"/>
    </row>
    <row r="11" spans="1:14">
      <c r="A11" s="249">
        <v>8</v>
      </c>
      <c r="B11" s="15"/>
      <c r="C11" s="249"/>
      <c r="D11" s="249"/>
      <c r="E11" s="249"/>
      <c r="F11" s="418"/>
      <c r="G11" s="418"/>
      <c r="H11" s="249"/>
      <c r="I11" s="306"/>
      <c r="J11" s="249"/>
      <c r="K11" s="249"/>
      <c r="L11" s="249"/>
      <c r="M11" s="249"/>
      <c r="N11" s="249"/>
    </row>
    <row r="12" spans="1:14">
      <c r="A12" s="249">
        <v>9</v>
      </c>
      <c r="B12" s="15"/>
      <c r="C12" s="249"/>
      <c r="D12" s="249"/>
      <c r="E12" s="249"/>
      <c r="F12" s="418"/>
      <c r="G12" s="418"/>
      <c r="H12" s="249"/>
      <c r="I12" s="306"/>
      <c r="J12" s="249"/>
      <c r="K12" s="249"/>
      <c r="L12" s="249"/>
      <c r="M12" s="249"/>
      <c r="N12" s="249"/>
    </row>
    <row r="15" spans="1:14">
      <c r="B15" s="249"/>
    </row>
    <row r="17" spans="1:14" ht="18">
      <c r="I17" s="304" t="s">
        <v>771</v>
      </c>
      <c r="J17" s="1014" t="s">
        <v>772</v>
      </c>
      <c r="K17" s="1014"/>
      <c r="L17" s="377"/>
      <c r="M17" s="377"/>
    </row>
    <row r="18" spans="1:14" ht="28.8">
      <c r="A18" s="15"/>
      <c r="B18" s="248" t="s">
        <v>781</v>
      </c>
      <c r="C18" s="248" t="s">
        <v>773</v>
      </c>
      <c r="D18" s="250" t="s">
        <v>774</v>
      </c>
      <c r="E18" s="248" t="s">
        <v>775</v>
      </c>
      <c r="F18" s="248" t="s">
        <v>776</v>
      </c>
      <c r="G18" s="248" t="s">
        <v>237</v>
      </c>
      <c r="H18" s="248" t="s">
        <v>777</v>
      </c>
      <c r="I18" s="305" t="s">
        <v>778</v>
      </c>
      <c r="J18" s="307" t="s">
        <v>782</v>
      </c>
      <c r="K18" s="248" t="s">
        <v>779</v>
      </c>
      <c r="L18" s="248" t="s">
        <v>95</v>
      </c>
      <c r="M18" s="247"/>
    </row>
    <row r="19" spans="1:14">
      <c r="A19" s="249">
        <v>1</v>
      </c>
      <c r="B19" s="15" t="s">
        <v>799</v>
      </c>
      <c r="C19" s="249" t="s">
        <v>800</v>
      </c>
      <c r="D19" s="419">
        <v>32234</v>
      </c>
      <c r="E19" s="249">
        <v>2022</v>
      </c>
      <c r="F19" s="418">
        <v>20716097</v>
      </c>
      <c r="G19" s="418">
        <v>86559858</v>
      </c>
      <c r="H19" s="418">
        <v>5726104</v>
      </c>
      <c r="I19" s="252"/>
      <c r="J19" s="15"/>
      <c r="K19" s="15"/>
      <c r="L19" s="15"/>
      <c r="N19" s="43"/>
    </row>
    <row r="20" spans="1:14">
      <c r="A20" s="249">
        <v>2</v>
      </c>
      <c r="B20" s="15" t="s">
        <v>804</v>
      </c>
      <c r="C20" s="249" t="s">
        <v>805</v>
      </c>
      <c r="D20" s="249" t="s">
        <v>806</v>
      </c>
      <c r="E20" s="249">
        <v>2020</v>
      </c>
      <c r="F20" s="418">
        <v>1488268</v>
      </c>
      <c r="G20" s="418">
        <v>5643344</v>
      </c>
      <c r="H20" s="418">
        <v>194923</v>
      </c>
      <c r="I20" s="252"/>
      <c r="J20" s="249"/>
      <c r="K20" s="249"/>
      <c r="L20" s="249" t="s">
        <v>807</v>
      </c>
      <c r="M20" s="251"/>
      <c r="N20" s="251"/>
    </row>
    <row r="21" spans="1:14">
      <c r="A21" s="249">
        <v>3</v>
      </c>
      <c r="B21" s="15" t="s">
        <v>801</v>
      </c>
      <c r="C21" s="249" t="s">
        <v>802</v>
      </c>
      <c r="D21" s="249" t="s">
        <v>803</v>
      </c>
      <c r="E21" s="249">
        <v>2014</v>
      </c>
      <c r="F21" s="418">
        <v>188647</v>
      </c>
      <c r="G21" s="418">
        <v>407343</v>
      </c>
      <c r="H21" s="418">
        <v>80757</v>
      </c>
      <c r="I21" s="252"/>
      <c r="J21" s="249"/>
      <c r="K21" s="249"/>
      <c r="L21" s="249"/>
      <c r="M21" s="251"/>
      <c r="N21" s="251"/>
    </row>
    <row r="22" spans="1:14">
      <c r="A22" s="249">
        <v>4</v>
      </c>
      <c r="B22" s="15"/>
      <c r="C22" s="249"/>
      <c r="D22" s="249"/>
      <c r="E22" s="249"/>
      <c r="F22" s="418"/>
      <c r="G22" s="418"/>
      <c r="H22" s="418"/>
      <c r="I22" s="252"/>
      <c r="J22" s="249"/>
      <c r="K22" s="249"/>
      <c r="L22" s="249"/>
      <c r="M22" s="251"/>
      <c r="N22" s="251"/>
    </row>
    <row r="23" spans="1:14">
      <c r="A23" s="249">
        <v>5</v>
      </c>
      <c r="B23" s="15"/>
      <c r="C23" s="249"/>
      <c r="D23" s="249"/>
      <c r="E23" s="249"/>
      <c r="F23" s="418"/>
      <c r="G23" s="418"/>
      <c r="H23" s="418"/>
      <c r="I23" s="252"/>
      <c r="J23" s="249"/>
      <c r="K23" s="249"/>
      <c r="L23" s="249"/>
      <c r="M23" s="251"/>
      <c r="N23" s="251"/>
    </row>
    <row r="24" spans="1:14">
      <c r="A24" s="249">
        <v>6</v>
      </c>
      <c r="B24" s="15"/>
      <c r="C24" s="249"/>
      <c r="D24" s="249"/>
      <c r="E24" s="249"/>
      <c r="F24" s="418"/>
      <c r="G24" s="418"/>
      <c r="H24" s="418"/>
      <c r="I24" s="252"/>
      <c r="J24" s="249"/>
      <c r="K24" s="249"/>
      <c r="L24" s="249"/>
      <c r="M24" s="251"/>
      <c r="N24" s="251"/>
    </row>
    <row r="25" spans="1:14">
      <c r="A25" s="249">
        <v>7</v>
      </c>
      <c r="B25" s="15"/>
      <c r="C25" s="249"/>
      <c r="D25" s="249"/>
      <c r="E25" s="249"/>
      <c r="F25" s="418"/>
      <c r="G25" s="418"/>
      <c r="H25" s="418"/>
      <c r="I25" s="306"/>
      <c r="J25" s="249"/>
      <c r="K25" s="249"/>
      <c r="L25" s="249"/>
      <c r="M25" s="251"/>
      <c r="N25" s="251"/>
    </row>
    <row r="26" spans="1:14">
      <c r="A26" s="249">
        <v>8</v>
      </c>
      <c r="B26" s="15"/>
      <c r="C26" s="249"/>
      <c r="D26" s="249"/>
      <c r="E26" s="249"/>
      <c r="F26" s="418"/>
      <c r="G26" s="418"/>
      <c r="H26" s="418"/>
      <c r="I26" s="306"/>
      <c r="J26" s="249"/>
      <c r="K26" s="249"/>
      <c r="L26" s="249"/>
      <c r="M26" s="251"/>
      <c r="N26" s="251"/>
    </row>
    <row r="27" spans="1:14">
      <c r="A27" s="249">
        <v>9</v>
      </c>
      <c r="B27" s="15"/>
      <c r="C27" s="249"/>
      <c r="D27" s="249"/>
      <c r="E27" s="249"/>
      <c r="F27" s="418"/>
      <c r="G27" s="418"/>
      <c r="H27" s="418"/>
      <c r="I27" s="306"/>
      <c r="J27" s="249"/>
      <c r="K27" s="249"/>
      <c r="L27" s="249"/>
      <c r="M27" s="251"/>
      <c r="N27" s="251"/>
    </row>
  </sheetData>
  <mergeCells count="2">
    <mergeCell ref="J2:M2"/>
    <mergeCell ref="J17:K17"/>
  </mergeCells>
  <pageMargins left="0.7" right="0.7" top="0.75" bottom="0.75" header="0.3" footer="0.3"/>
  <pageSetup orientation="portrait" horizontalDpi="300" verticalDpi="300"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32663A-0231-4DFE-B644-54108B4380FB}">
  <dimension ref="B2:Q24"/>
  <sheetViews>
    <sheetView showGridLines="0" workbookViewId="0">
      <pane xSplit="2" ySplit="2" topLeftCell="D3" activePane="bottomRight" state="frozen"/>
      <selection pane="topRight" activeCell="C1" sqref="C1"/>
      <selection pane="bottomLeft" activeCell="A3" sqref="A3"/>
      <selection pane="bottomRight" activeCell="F6" sqref="F6"/>
    </sheetView>
  </sheetViews>
  <sheetFormatPr defaultRowHeight="14.4"/>
  <cols>
    <col min="2" max="2" width="54.109375" bestFit="1" customWidth="1"/>
    <col min="3" max="3" width="13.6640625" customWidth="1"/>
    <col min="4" max="4" width="11.5546875" bestFit="1" customWidth="1"/>
    <col min="5" max="5" width="9.109375" customWidth="1"/>
    <col min="6" max="6" width="13.33203125" bestFit="1" customWidth="1"/>
    <col min="7" max="7" width="11.6640625" bestFit="1" customWidth="1"/>
    <col min="8" max="9" width="9.109375" customWidth="1"/>
    <col min="10" max="13" width="11.6640625" bestFit="1" customWidth="1"/>
    <col min="14" max="14" width="14.44140625" bestFit="1" customWidth="1"/>
    <col min="15" max="15" width="19.6640625" bestFit="1" customWidth="1"/>
    <col min="16" max="16" width="13.6640625" bestFit="1" customWidth="1"/>
    <col min="17" max="17" width="10.5546875" bestFit="1" customWidth="1"/>
  </cols>
  <sheetData>
    <row r="2" spans="2:17" s="43" customFormat="1">
      <c r="B2" s="285" t="s">
        <v>732</v>
      </c>
      <c r="C2" s="285"/>
      <c r="D2" s="286" t="s">
        <v>733</v>
      </c>
      <c r="E2" s="286" t="s">
        <v>734</v>
      </c>
      <c r="F2" s="286" t="s">
        <v>735</v>
      </c>
      <c r="G2" s="286" t="s">
        <v>736</v>
      </c>
      <c r="H2" s="286" t="s">
        <v>737</v>
      </c>
      <c r="I2" s="286" t="s">
        <v>738</v>
      </c>
      <c r="J2" s="286" t="s">
        <v>739</v>
      </c>
      <c r="K2" s="286" t="s">
        <v>740</v>
      </c>
      <c r="L2" s="286" t="s">
        <v>741</v>
      </c>
      <c r="M2" s="286" t="s">
        <v>742</v>
      </c>
      <c r="N2" s="286" t="s">
        <v>743</v>
      </c>
      <c r="O2" s="286" t="s">
        <v>744</v>
      </c>
      <c r="P2" s="286" t="s">
        <v>745</v>
      </c>
    </row>
    <row r="3" spans="2:17">
      <c r="B3" s="15"/>
      <c r="C3" s="15"/>
      <c r="D3" s="287"/>
      <c r="E3" s="287"/>
      <c r="F3" s="287"/>
      <c r="G3" s="287"/>
      <c r="H3" s="287"/>
      <c r="I3" s="287"/>
      <c r="J3" s="287"/>
      <c r="K3" s="287"/>
      <c r="L3" s="287"/>
      <c r="M3" s="287"/>
      <c r="N3" s="287"/>
      <c r="O3" s="287"/>
      <c r="P3" s="287"/>
      <c r="Q3" s="288">
        <f>SUM(D3:N3)+O3</f>
        <v>0</v>
      </c>
    </row>
    <row r="4" spans="2:17">
      <c r="B4" s="15"/>
      <c r="C4" s="15"/>
      <c r="D4" s="287"/>
      <c r="E4" s="287"/>
      <c r="F4" s="287"/>
      <c r="G4" s="287"/>
      <c r="H4" s="287"/>
      <c r="I4" s="287"/>
      <c r="J4" s="287"/>
      <c r="K4" s="287"/>
      <c r="L4" s="287"/>
      <c r="M4" s="287"/>
      <c r="N4" s="287"/>
      <c r="O4" s="287"/>
      <c r="P4" s="287"/>
      <c r="Q4" s="288">
        <f t="shared" ref="Q4:Q10" si="0">SUM(D4:N4)+O4</f>
        <v>0</v>
      </c>
    </row>
    <row r="5" spans="2:17">
      <c r="B5" s="15"/>
      <c r="C5" s="15"/>
      <c r="D5" s="287"/>
      <c r="E5" s="287"/>
      <c r="F5" s="287"/>
      <c r="G5" s="287"/>
      <c r="H5" s="287"/>
      <c r="I5" s="287"/>
      <c r="J5" s="287"/>
      <c r="K5" s="287"/>
      <c r="L5" s="287"/>
      <c r="M5" s="287"/>
      <c r="N5" s="287"/>
      <c r="O5" s="287"/>
      <c r="P5" s="287"/>
      <c r="Q5" s="288">
        <f t="shared" si="0"/>
        <v>0</v>
      </c>
    </row>
    <row r="6" spans="2:17">
      <c r="B6" s="15"/>
      <c r="C6" s="15"/>
      <c r="D6" s="287"/>
      <c r="E6" s="287"/>
      <c r="F6" s="287"/>
      <c r="G6" s="287"/>
      <c r="H6" s="287"/>
      <c r="I6" s="287"/>
      <c r="J6" s="287"/>
      <c r="K6" s="287"/>
      <c r="L6" s="287"/>
      <c r="M6" s="287"/>
      <c r="N6" s="287"/>
      <c r="O6" s="287"/>
      <c r="P6" s="287"/>
      <c r="Q6" s="288">
        <f t="shared" si="0"/>
        <v>0</v>
      </c>
    </row>
    <row r="7" spans="2:17">
      <c r="B7" s="15"/>
      <c r="C7" s="15"/>
      <c r="D7" s="287"/>
      <c r="E7" s="287"/>
      <c r="F7" s="287"/>
      <c r="G7" s="287"/>
      <c r="H7" s="287"/>
      <c r="I7" s="287"/>
      <c r="J7" s="287"/>
      <c r="K7" s="287"/>
      <c r="L7" s="287"/>
      <c r="M7" s="287"/>
      <c r="N7" s="287"/>
      <c r="O7" s="287"/>
      <c r="P7" s="287"/>
      <c r="Q7" s="288">
        <f t="shared" si="0"/>
        <v>0</v>
      </c>
    </row>
    <row r="8" spans="2:17">
      <c r="B8" s="15"/>
      <c r="C8" s="15"/>
      <c r="D8" s="287"/>
      <c r="E8" s="287"/>
      <c r="F8" s="287"/>
      <c r="G8" s="287"/>
      <c r="H8" s="287"/>
      <c r="I8" s="287"/>
      <c r="J8" s="287"/>
      <c r="K8" s="287"/>
      <c r="L8" s="287"/>
      <c r="M8" s="287"/>
      <c r="N8" s="287"/>
      <c r="O8" s="287"/>
      <c r="P8" s="287"/>
      <c r="Q8" s="288">
        <f t="shared" si="0"/>
        <v>0</v>
      </c>
    </row>
    <row r="9" spans="2:17">
      <c r="B9" s="15"/>
      <c r="C9" s="15"/>
      <c r="D9" s="287"/>
      <c r="E9" s="287"/>
      <c r="F9" s="287"/>
      <c r="G9" s="287"/>
      <c r="H9" s="287"/>
      <c r="I9" s="287"/>
      <c r="J9" s="287"/>
      <c r="K9" s="287"/>
      <c r="L9" s="287"/>
      <c r="M9" s="287"/>
      <c r="N9" s="287"/>
      <c r="O9" s="287"/>
      <c r="P9" s="287"/>
      <c r="Q9" s="288">
        <f t="shared" si="0"/>
        <v>0</v>
      </c>
    </row>
    <row r="10" spans="2:17">
      <c r="B10" s="15"/>
      <c r="C10" s="15"/>
      <c r="D10" s="287"/>
      <c r="E10" s="287"/>
      <c r="F10" s="287"/>
      <c r="G10" s="287"/>
      <c r="H10" s="287"/>
      <c r="I10" s="287"/>
      <c r="J10" s="287"/>
      <c r="K10" s="287"/>
      <c r="L10" s="287"/>
      <c r="M10" s="287"/>
      <c r="N10" s="287"/>
      <c r="O10" s="287"/>
      <c r="P10" s="287"/>
      <c r="Q10" s="288">
        <f t="shared" si="0"/>
        <v>0</v>
      </c>
    </row>
    <row r="11" spans="2:17">
      <c r="B11" s="15"/>
      <c r="C11" s="15"/>
      <c r="D11" s="287"/>
      <c r="E11" s="287"/>
      <c r="F11" s="287"/>
      <c r="G11" s="287"/>
      <c r="H11" s="287"/>
      <c r="I11" s="287"/>
      <c r="J11" s="287"/>
      <c r="K11" s="287"/>
      <c r="L11" s="287"/>
      <c r="M11" s="287"/>
      <c r="N11" s="287"/>
      <c r="O11" s="287"/>
      <c r="P11" s="287"/>
      <c r="Q11" s="288"/>
    </row>
    <row r="12" spans="2:17">
      <c r="B12" s="289" t="s">
        <v>179</v>
      </c>
      <c r="C12" s="289"/>
      <c r="D12" s="290">
        <f t="shared" ref="D12:P12" si="1">SUM(D3:D10)</f>
        <v>0</v>
      </c>
      <c r="E12" s="290">
        <f t="shared" si="1"/>
        <v>0</v>
      </c>
      <c r="F12" s="290">
        <f t="shared" si="1"/>
        <v>0</v>
      </c>
      <c r="G12" s="290">
        <f t="shared" si="1"/>
        <v>0</v>
      </c>
      <c r="H12" s="290">
        <f t="shared" si="1"/>
        <v>0</v>
      </c>
      <c r="I12" s="290">
        <f t="shared" si="1"/>
        <v>0</v>
      </c>
      <c r="J12" s="290">
        <f t="shared" si="1"/>
        <v>0</v>
      </c>
      <c r="K12" s="290">
        <f t="shared" si="1"/>
        <v>0</v>
      </c>
      <c r="L12" s="290">
        <f t="shared" si="1"/>
        <v>0</v>
      </c>
      <c r="M12" s="290">
        <f t="shared" si="1"/>
        <v>0</v>
      </c>
      <c r="N12" s="290">
        <f t="shared" si="1"/>
        <v>0</v>
      </c>
      <c r="O12" s="290">
        <f t="shared" si="1"/>
        <v>0</v>
      </c>
      <c r="P12" s="290">
        <f t="shared" si="1"/>
        <v>0</v>
      </c>
    </row>
    <row r="17" spans="2:17">
      <c r="B17" s="291" t="s">
        <v>746</v>
      </c>
      <c r="C17" s="292" t="s">
        <v>747</v>
      </c>
      <c r="D17" s="286" t="s">
        <v>733</v>
      </c>
      <c r="E17" s="286" t="s">
        <v>734</v>
      </c>
      <c r="F17" s="286" t="s">
        <v>735</v>
      </c>
      <c r="G17" s="286" t="s">
        <v>736</v>
      </c>
      <c r="H17" s="286" t="s">
        <v>737</v>
      </c>
      <c r="I17" s="286" t="s">
        <v>738</v>
      </c>
      <c r="J17" s="286" t="s">
        <v>739</v>
      </c>
      <c r="K17" s="286" t="s">
        <v>740</v>
      </c>
      <c r="L17" s="286" t="s">
        <v>741</v>
      </c>
      <c r="M17" s="286" t="s">
        <v>742</v>
      </c>
      <c r="N17" s="286" t="s">
        <v>743</v>
      </c>
      <c r="O17" s="286" t="s">
        <v>744</v>
      </c>
      <c r="P17" s="286" t="s">
        <v>745</v>
      </c>
    </row>
    <row r="18" spans="2:17">
      <c r="B18" s="293"/>
      <c r="C18" s="287"/>
      <c r="D18" s="287"/>
      <c r="E18" s="287"/>
      <c r="F18" s="287"/>
      <c r="G18" s="287"/>
      <c r="H18" s="287"/>
      <c r="I18" s="287"/>
      <c r="J18" s="287"/>
      <c r="K18" s="287"/>
      <c r="L18" s="287"/>
      <c r="M18" s="287"/>
      <c r="N18" s="287"/>
      <c r="O18" s="287"/>
      <c r="P18" s="287"/>
      <c r="Q18" s="288">
        <f>SUM(C18:N18)+O18</f>
        <v>0</v>
      </c>
    </row>
    <row r="19" spans="2:17">
      <c r="B19" s="293"/>
      <c r="C19" s="287"/>
      <c r="D19" s="287"/>
      <c r="E19" s="287"/>
      <c r="F19" s="287"/>
      <c r="G19" s="287"/>
      <c r="H19" s="287"/>
      <c r="I19" s="287"/>
      <c r="J19" s="287"/>
      <c r="K19" s="287"/>
      <c r="L19" s="287"/>
      <c r="M19" s="287"/>
      <c r="N19" s="287"/>
      <c r="O19" s="287"/>
      <c r="P19" s="287"/>
      <c r="Q19" s="288">
        <f t="shared" ref="Q19:Q23" si="2">SUM(C19:N19)+O19</f>
        <v>0</v>
      </c>
    </row>
    <row r="20" spans="2:17">
      <c r="B20" s="294"/>
      <c r="C20" s="295"/>
      <c r="D20" s="295"/>
      <c r="E20" s="295"/>
      <c r="F20" s="295"/>
      <c r="G20" s="295"/>
      <c r="H20" s="295"/>
      <c r="I20" s="295"/>
      <c r="J20" s="295"/>
      <c r="K20" s="295"/>
      <c r="L20" s="295"/>
      <c r="M20" s="295"/>
      <c r="N20" s="287"/>
      <c r="O20" s="287"/>
      <c r="P20" s="287"/>
      <c r="Q20" s="288">
        <f t="shared" si="2"/>
        <v>0</v>
      </c>
    </row>
    <row r="21" spans="2:17">
      <c r="B21" s="293"/>
      <c r="C21" s="295"/>
      <c r="D21" s="295"/>
      <c r="E21" s="295"/>
      <c r="F21" s="295"/>
      <c r="G21" s="295"/>
      <c r="H21" s="295"/>
      <c r="I21" s="295"/>
      <c r="J21" s="295"/>
      <c r="K21" s="295"/>
      <c r="L21" s="295"/>
      <c r="M21" s="295"/>
      <c r="N21" s="287"/>
      <c r="O21" s="287"/>
      <c r="P21" s="287"/>
      <c r="Q21" s="288">
        <f t="shared" si="2"/>
        <v>0</v>
      </c>
    </row>
    <row r="22" spans="2:17">
      <c r="B22" s="293"/>
      <c r="C22" s="295"/>
      <c r="D22" s="295"/>
      <c r="E22" s="295"/>
      <c r="F22" s="287"/>
      <c r="G22" s="295"/>
      <c r="H22" s="295"/>
      <c r="I22" s="287"/>
      <c r="J22" s="287"/>
      <c r="K22" s="295"/>
      <c r="L22" s="295"/>
      <c r="M22" s="295"/>
      <c r="N22" s="287"/>
      <c r="O22" s="287"/>
      <c r="P22" s="287"/>
      <c r="Q22" s="288">
        <f t="shared" si="2"/>
        <v>0</v>
      </c>
    </row>
    <row r="23" spans="2:17">
      <c r="B23" s="293"/>
      <c r="C23" s="295"/>
      <c r="D23" s="295"/>
      <c r="E23" s="295"/>
      <c r="F23" s="287"/>
      <c r="G23" s="295"/>
      <c r="H23" s="287"/>
      <c r="I23" s="287"/>
      <c r="J23" s="287"/>
      <c r="K23" s="295"/>
      <c r="L23" s="295"/>
      <c r="M23" s="295"/>
      <c r="N23" s="287"/>
      <c r="O23" s="287"/>
      <c r="P23" s="287"/>
      <c r="Q23" s="288">
        <f t="shared" si="2"/>
        <v>0</v>
      </c>
    </row>
    <row r="24" spans="2:17">
      <c r="B24" s="289" t="s">
        <v>179</v>
      </c>
      <c r="C24" s="287">
        <f>SUM(C18:C23)</f>
        <v>0</v>
      </c>
      <c r="D24" s="287">
        <f t="shared" ref="D24:P24" si="3">SUM(D18:D23)</f>
        <v>0</v>
      </c>
      <c r="E24" s="287">
        <f t="shared" si="3"/>
        <v>0</v>
      </c>
      <c r="F24" s="287">
        <f t="shared" si="3"/>
        <v>0</v>
      </c>
      <c r="G24" s="287">
        <f t="shared" si="3"/>
        <v>0</v>
      </c>
      <c r="H24" s="287">
        <f t="shared" si="3"/>
        <v>0</v>
      </c>
      <c r="I24" s="287">
        <f t="shared" si="3"/>
        <v>0</v>
      </c>
      <c r="J24" s="287">
        <f t="shared" si="3"/>
        <v>0</v>
      </c>
      <c r="K24" s="287">
        <f t="shared" si="3"/>
        <v>0</v>
      </c>
      <c r="L24" s="287">
        <f t="shared" si="3"/>
        <v>0</v>
      </c>
      <c r="M24" s="287">
        <f t="shared" si="3"/>
        <v>0</v>
      </c>
      <c r="N24" s="287">
        <f t="shared" si="3"/>
        <v>0</v>
      </c>
      <c r="O24" s="287">
        <f t="shared" si="3"/>
        <v>0</v>
      </c>
      <c r="P24" s="287">
        <f t="shared" si="3"/>
        <v>0</v>
      </c>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Flow_SignoffStatus xmlns="f77bd5a2-95f9-47f6-9a06-992a81ad31e5" xsi:nil="true"/>
    <lcf76f155ced4ddcb4097134ff3c332f xmlns="f77bd5a2-95f9-47f6-9a06-992a81ad31e5">
      <Terms xmlns="http://schemas.microsoft.com/office/infopath/2007/PartnerControls"/>
    </lcf76f155ced4ddcb4097134ff3c332f>
    <TaxCatchAll xmlns="ee73e422-ce60-41ea-af42-fa8035a6e63f"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9E1DC5D9A37E1B4EA286E08451035973" ma:contentTypeVersion="20" ma:contentTypeDescription="Create a new document." ma:contentTypeScope="" ma:versionID="e1353635a9e6b072a360642b8a2d0e04">
  <xsd:schema xmlns:xsd="http://www.w3.org/2001/XMLSchema" xmlns:xs="http://www.w3.org/2001/XMLSchema" xmlns:p="http://schemas.microsoft.com/office/2006/metadata/properties" xmlns:ns2="f77bd5a2-95f9-47f6-9a06-992a81ad31e5" xmlns:ns3="ee73e422-ce60-41ea-af42-fa8035a6e63f" targetNamespace="http://schemas.microsoft.com/office/2006/metadata/properties" ma:root="true" ma:fieldsID="fc4342147d8cfa29f5582ae3ed55d690" ns2:_="" ns3:_="">
    <xsd:import namespace="f77bd5a2-95f9-47f6-9a06-992a81ad31e5"/>
    <xsd:import namespace="ee73e422-ce60-41ea-af42-fa8035a6e63f"/>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_Flow_SignoffStatu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2:MediaServiceLocation"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77bd5a2-95f9-47f6-9a06-992a81ad31e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_Flow_SignoffStatus" ma:index="14" nillable="true" ma:displayName="Sign-off status" ma:internalName="Sign_x002d_off_x0020_status">
      <xsd:simpleType>
        <xsd:restriction base="dms:Text"/>
      </xsd:simpleType>
    </xsd:element>
    <xsd:element name="MediaServiceDateTaken" ma:index="15" nillable="true" ma:displayName="MediaServiceDateTaken" ma:hidden="true" ma:internalName="MediaServiceDateTaken" ma:readOnly="true">
      <xsd:simpleType>
        <xsd:restriction base="dms:Text"/>
      </xsd:simpleType>
    </xsd:element>
    <xsd:element name="MediaServiceAutoTags" ma:index="16" nillable="true" ma:displayName="Tags" ma:internalName="MediaServiceAutoTags"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Location" ma:index="20" nillable="true" ma:displayName="Location" ma:internalName="MediaServiceLocation" ma:readOnly="true">
      <xsd:simpleType>
        <xsd:restriction base="dms:Text"/>
      </xsd:simpleType>
    </xsd:element>
    <xsd:element name="MediaLengthInSeconds" ma:index="21" nillable="true" ma:displayName="Length (seconds)" ma:internalName="MediaLengthInSeconds" ma:readOnly="true">
      <xsd:simpleType>
        <xsd:restriction base="dms:Unknown"/>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8fce52cb-aeed-4d25-a7c0-7e710ff1162b"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ee73e422-ce60-41ea-af42-fa8035a6e63f"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4" nillable="true" ma:displayName="Taxonomy Catch All Column" ma:hidden="true" ma:list="{bfee58be-e993-4bed-a0a3-53102b334f65}" ma:internalName="TaxCatchAll" ma:showField="CatchAllData" ma:web="ee73e422-ce60-41ea-af42-fa8035a6e63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CE82ECD-39A5-4B56-8C85-7617D2CB4652}">
  <ds:schemaRefs>
    <ds:schemaRef ds:uri="http://purl.org/dc/elements/1.1/"/>
    <ds:schemaRef ds:uri="f77bd5a2-95f9-47f6-9a06-992a81ad31e5"/>
    <ds:schemaRef ds:uri="http://schemas.microsoft.com/office/2006/metadata/properties"/>
    <ds:schemaRef ds:uri="http://schemas.openxmlformats.org/package/2006/metadata/core-properties"/>
    <ds:schemaRef ds:uri="http://schemas.microsoft.com/office/2006/documentManagement/types"/>
    <ds:schemaRef ds:uri="http://www.w3.org/XML/1998/namespace"/>
    <ds:schemaRef ds:uri="http://purl.org/dc/terms/"/>
    <ds:schemaRef ds:uri="http://schemas.microsoft.com/office/infopath/2007/PartnerControls"/>
    <ds:schemaRef ds:uri="ee73e422-ce60-41ea-af42-fa8035a6e63f"/>
    <ds:schemaRef ds:uri="http://purl.org/dc/dcmitype/"/>
  </ds:schemaRefs>
</ds:datastoreItem>
</file>

<file path=customXml/itemProps2.xml><?xml version="1.0" encoding="utf-8"?>
<ds:datastoreItem xmlns:ds="http://schemas.openxmlformats.org/officeDocument/2006/customXml" ds:itemID="{4A74CD89-143E-4722-A48C-14188B410FB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77bd5a2-95f9-47f6-9a06-992a81ad31e5"/>
    <ds:schemaRef ds:uri="ee73e422-ce60-41ea-af42-fa8035a6e63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B8797936-7940-4330-A379-516C90D52A3B}">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24</vt:i4>
      </vt:variant>
      <vt:variant>
        <vt:lpstr>Named Ranges</vt:lpstr>
      </vt:variant>
      <vt:variant>
        <vt:i4>4</vt:i4>
      </vt:variant>
    </vt:vector>
  </HeadingPairs>
  <TitlesOfParts>
    <vt:vector size="28" baseType="lpstr">
      <vt:lpstr>Mapping - Interest</vt:lpstr>
      <vt:lpstr>Mapping - Payment Status</vt:lpstr>
      <vt:lpstr>Notes</vt:lpstr>
      <vt:lpstr>Interest Rate</vt:lpstr>
      <vt:lpstr>Effective Rate</vt:lpstr>
      <vt:lpstr>Knock-Out (v2)</vt:lpstr>
      <vt:lpstr>Credit Evaluation</vt:lpstr>
      <vt:lpstr>Drawdown Checklist (v2)</vt:lpstr>
      <vt:lpstr>Risk Loading (v2)</vt:lpstr>
      <vt:lpstr>Bank Statement</vt:lpstr>
      <vt:lpstr>Summary</vt:lpstr>
      <vt:lpstr>For Factsheet Purpose (NEW)</vt:lpstr>
      <vt:lpstr>Summary of Information</vt:lpstr>
      <vt:lpstr>Working Capital Required</vt:lpstr>
      <vt:lpstr>Debt Service - Company</vt:lpstr>
      <vt:lpstr>Debt Service - Individual 1</vt:lpstr>
      <vt:lpstr>Debt Service - Company (TBD)</vt:lpstr>
      <vt:lpstr>Debt Service - Individual (TBD)</vt:lpstr>
      <vt:lpstr>Debt Service - Individual 2</vt:lpstr>
      <vt:lpstr>N.Margin (Ind. Benchmark)</vt:lpstr>
      <vt:lpstr>Mapping &amp; Selection</vt:lpstr>
      <vt:lpstr>Bank Facilities</vt:lpstr>
      <vt:lpstr>Buyers and Sellers</vt:lpstr>
      <vt:lpstr>Debtors and Creditors</vt:lpstr>
      <vt:lpstr>'Credit Evaluation'!Print_Area</vt:lpstr>
      <vt:lpstr>'Drawdown Checklist (v2)'!Print_Area</vt:lpstr>
      <vt:lpstr>'Knock-Out (v2)'!Print_Area</vt:lpstr>
      <vt:lpstr>'Risk Loading (v2)'!Print_Area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Joe</dc:creator>
  <cp:keywords/>
  <dc:description/>
  <cp:lastModifiedBy>Amirul</cp:lastModifiedBy>
  <cp:revision/>
  <cp:lastPrinted>2024-07-09T08:53:08Z</cp:lastPrinted>
  <dcterms:created xsi:type="dcterms:W3CDTF">2019-09-23T06:43:03Z</dcterms:created>
  <dcterms:modified xsi:type="dcterms:W3CDTF">2025-05-29T05:17:53Z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0x0101009E1DC5D9A37E1B4EA286E08451035973</vt:lpwstr>
  </property>
  <property fmtid="{D5CDD505-2E9C-101B-9397-08002B2CF9AE}" pid="3" name="MediaServiceImageTags">
    <vt:lpwstr/>
  </property>
</Properties>
</file>