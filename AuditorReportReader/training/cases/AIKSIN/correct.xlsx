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newuser/Documents/GitHub/AIgent Credit/AuditorReportReader/"/>
    </mc:Choice>
  </mc:AlternateContent>
  <xr:revisionPtr revIDLastSave="0" documentId="13_ncr:1_{FA38289C-7BAE-B94D-989E-2C395B7D600D}" xr6:coauthVersionLast="47" xr6:coauthVersionMax="47" xr10:uidLastSave="{00000000-0000-0000-0000-000000000000}"/>
  <bookViews>
    <workbookView xWindow="0" yWindow="780" windowWidth="21820" windowHeight="13900" xr2:uid="{00000000-000D-0000-FFFF-FFFF00000000}"/>
  </bookViews>
  <sheets>
    <sheet name="Summary of Information" sheetId="1" r:id="rId1"/>
    <sheet name="auditor" sheetId="2" r:id="rId2"/>
    <sheet name="CreditFlag" sheetId="3" r:id="rId3"/>
  </sheets>
  <externalReferences>
    <externalReference r:id="rId4"/>
  </externalReferences>
  <definedNames>
    <definedName name="_TL2">[1]validate!$C$70:$C$85</definedName>
    <definedName name="_TR2">[1]validate!$C$113:$C$128</definedName>
    <definedName name="BAc">[1]validate!$C$225:$C$240</definedName>
    <definedName name="CCC">[1]validate!$C$164:$C$194</definedName>
    <definedName name="HP">[1]validate!$C$131:$C$161</definedName>
    <definedName name="ODRS2">[1]validate!$C$95:$C$110</definedName>
    <definedName name="OverD">[1]validate!$C$36:$C$51</definedName>
    <definedName name="Sources">[1]validate!$C$87:$C$93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5" i="1" l="1"/>
  <c r="E95" i="1"/>
  <c r="D95" i="1"/>
  <c r="C95" i="1"/>
  <c r="G92" i="1"/>
  <c r="F92" i="1"/>
  <c r="E92" i="1"/>
  <c r="D92" i="1"/>
  <c r="C92" i="1"/>
  <c r="F91" i="1"/>
  <c r="E91" i="1"/>
  <c r="F90" i="1"/>
  <c r="E90" i="1"/>
  <c r="D90" i="1"/>
  <c r="C90" i="1"/>
  <c r="G89" i="1"/>
  <c r="F89" i="1"/>
  <c r="E89" i="1"/>
  <c r="D89" i="1"/>
  <c r="C89" i="1"/>
  <c r="F82" i="1"/>
  <c r="A81" i="1"/>
  <c r="F80" i="1"/>
  <c r="E80" i="1"/>
  <c r="D80" i="1"/>
  <c r="C80" i="1"/>
  <c r="A80" i="1"/>
  <c r="F79" i="1"/>
  <c r="E79" i="1"/>
  <c r="E82" i="1" s="1"/>
  <c r="D79" i="1"/>
  <c r="C79" i="1"/>
  <c r="G78" i="1"/>
  <c r="F78" i="1"/>
  <c r="E78" i="1"/>
  <c r="D78" i="1"/>
  <c r="D82" i="1" s="1"/>
  <c r="C78" i="1"/>
  <c r="C82" i="1" s="1"/>
  <c r="C75" i="1"/>
  <c r="E72" i="1"/>
  <c r="D72" i="1"/>
  <c r="C72" i="1"/>
  <c r="A72" i="1"/>
  <c r="A73" i="1" s="1"/>
  <c r="A74" i="1" s="1"/>
  <c r="A75" i="1" s="1"/>
  <c r="A76" i="1" s="1"/>
  <c r="A77" i="1" s="1"/>
  <c r="G71" i="1"/>
  <c r="F71" i="1"/>
  <c r="E71" i="1"/>
  <c r="D71" i="1"/>
  <c r="C71" i="1"/>
  <c r="D69" i="1"/>
  <c r="C69" i="1"/>
  <c r="F56" i="1"/>
  <c r="E56" i="1"/>
  <c r="D56" i="1"/>
  <c r="C56" i="1"/>
  <c r="G52" i="1"/>
  <c r="G79" i="1" s="1"/>
  <c r="F51" i="1"/>
  <c r="G51" i="1" s="1"/>
  <c r="G50" i="1"/>
  <c r="F49" i="1"/>
  <c r="E49" i="1"/>
  <c r="D49" i="1"/>
  <c r="C49" i="1"/>
  <c r="G47" i="1"/>
  <c r="G46" i="1"/>
  <c r="F46" i="1"/>
  <c r="E46" i="1"/>
  <c r="D46" i="1"/>
  <c r="C46" i="1"/>
  <c r="C39" i="1" s="1"/>
  <c r="F45" i="1"/>
  <c r="G45" i="1" s="1"/>
  <c r="E45" i="1"/>
  <c r="E41" i="1" s="1"/>
  <c r="E39" i="1" s="1"/>
  <c r="D45" i="1"/>
  <c r="D41" i="1" s="1"/>
  <c r="D39" i="1" s="1"/>
  <c r="F44" i="1"/>
  <c r="G44" i="1" s="1"/>
  <c r="G43" i="1"/>
  <c r="F42" i="1"/>
  <c r="G42" i="1" s="1"/>
  <c r="G41" i="1" s="1"/>
  <c r="G39" i="1" s="1"/>
  <c r="G76" i="1" s="1"/>
  <c r="F41" i="1"/>
  <c r="F39" i="1" s="1"/>
  <c r="C41" i="1"/>
  <c r="G40" i="1"/>
  <c r="G38" i="1"/>
  <c r="G37" i="1"/>
  <c r="G36" i="1"/>
  <c r="G35" i="1"/>
  <c r="F35" i="1"/>
  <c r="F75" i="1" s="1"/>
  <c r="E35" i="1"/>
  <c r="E75" i="1" s="1"/>
  <c r="D35" i="1"/>
  <c r="D75" i="1" s="1"/>
  <c r="C35" i="1"/>
  <c r="F33" i="1"/>
  <c r="G33" i="1" s="1"/>
  <c r="E33" i="1"/>
  <c r="D33" i="1"/>
  <c r="C33" i="1"/>
  <c r="G32" i="1"/>
  <c r="F31" i="1"/>
  <c r="M13" i="1" s="1"/>
  <c r="F30" i="1"/>
  <c r="G30" i="1" s="1"/>
  <c r="G29" i="1"/>
  <c r="F28" i="1"/>
  <c r="G28" i="1" s="1"/>
  <c r="E27" i="1"/>
  <c r="E25" i="1" s="1"/>
  <c r="D27" i="1"/>
  <c r="D25" i="1" s="1"/>
  <c r="C27" i="1"/>
  <c r="C25" i="1" s="1"/>
  <c r="G26" i="1"/>
  <c r="F24" i="1"/>
  <c r="F21" i="1"/>
  <c r="F69" i="1" s="1"/>
  <c r="E21" i="1"/>
  <c r="E69" i="1" s="1"/>
  <c r="D21" i="1"/>
  <c r="C21" i="1"/>
  <c r="G18" i="1"/>
  <c r="G95" i="1" s="1"/>
  <c r="G16" i="1"/>
  <c r="G15" i="1"/>
  <c r="G13" i="1"/>
  <c r="C11" i="1"/>
  <c r="G10" i="1"/>
  <c r="F10" i="1"/>
  <c r="E10" i="1"/>
  <c r="D10" i="1"/>
  <c r="C10" i="1"/>
  <c r="F9" i="1"/>
  <c r="F11" i="1" s="1"/>
  <c r="E9" i="1"/>
  <c r="E11" i="1" s="1"/>
  <c r="E12" i="1" s="1"/>
  <c r="E14" i="1" s="1"/>
  <c r="E17" i="1" s="1"/>
  <c r="D9" i="1"/>
  <c r="D11" i="1" s="1"/>
  <c r="C9" i="1"/>
  <c r="F8" i="1"/>
  <c r="E8" i="1"/>
  <c r="D8" i="1"/>
  <c r="D12" i="1" s="1"/>
  <c r="D14" i="1" s="1"/>
  <c r="D17" i="1" s="1"/>
  <c r="C8" i="1"/>
  <c r="C12" i="1" s="1"/>
  <c r="C14" i="1" s="1"/>
  <c r="C17" i="1" s="1"/>
  <c r="G7" i="1"/>
  <c r="G6" i="1"/>
  <c r="G8" i="1" s="1"/>
  <c r="F5" i="1"/>
  <c r="F22" i="1" s="1"/>
  <c r="F70" i="1" s="1"/>
  <c r="E5" i="1"/>
  <c r="E22" i="1" s="1"/>
  <c r="E70" i="1" s="1"/>
  <c r="D5" i="1"/>
  <c r="D22" i="1" s="1"/>
  <c r="D70" i="1" s="1"/>
  <c r="C5" i="1"/>
  <c r="C91" i="1" s="1"/>
  <c r="G4" i="1"/>
  <c r="G90" i="1" s="1"/>
  <c r="L13" i="1"/>
  <c r="K13" i="1"/>
  <c r="H9" i="1"/>
  <c r="L6" i="1"/>
  <c r="K6" i="1"/>
  <c r="J6" i="1"/>
  <c r="L4" i="1"/>
  <c r="K4" i="1"/>
  <c r="N3" i="1"/>
  <c r="M3" i="1"/>
  <c r="L3" i="1"/>
  <c r="K3" i="1"/>
  <c r="J3" i="1"/>
  <c r="N2" i="1"/>
  <c r="M2" i="1"/>
  <c r="L2" i="1"/>
  <c r="K2" i="1"/>
  <c r="J2" i="1"/>
  <c r="O40" i="1"/>
  <c r="O39" i="1"/>
  <c r="Q39" i="1" s="1"/>
  <c r="O38" i="1"/>
  <c r="Q38" i="1" s="1"/>
  <c r="O37" i="1"/>
  <c r="Q37" i="1" s="1"/>
  <c r="Q40" i="1" s="1"/>
  <c r="F76" i="1" l="1"/>
  <c r="M15" i="1"/>
  <c r="G82" i="1"/>
  <c r="F12" i="1"/>
  <c r="F14" i="1" s="1"/>
  <c r="F17" i="1" s="1"/>
  <c r="G11" i="1"/>
  <c r="D94" i="1"/>
  <c r="K22" i="1"/>
  <c r="D19" i="1"/>
  <c r="D93" i="1"/>
  <c r="L15" i="1"/>
  <c r="L16" i="1" s="1"/>
  <c r="E76" i="1"/>
  <c r="G12" i="1"/>
  <c r="G14" i="1" s="1"/>
  <c r="G17" i="1" s="1"/>
  <c r="G93" i="1" s="1"/>
  <c r="G48" i="1"/>
  <c r="L14" i="1"/>
  <c r="E34" i="1"/>
  <c r="E73" i="1"/>
  <c r="L22" i="1"/>
  <c r="E93" i="1"/>
  <c r="E94" i="1"/>
  <c r="E19" i="1"/>
  <c r="C94" i="1"/>
  <c r="C19" i="1"/>
  <c r="J22" i="1"/>
  <c r="C93" i="1"/>
  <c r="J14" i="1"/>
  <c r="C34" i="1"/>
  <c r="C73" i="1"/>
  <c r="G49" i="1"/>
  <c r="G80" i="1"/>
  <c r="K14" i="1"/>
  <c r="D73" i="1"/>
  <c r="D34" i="1"/>
  <c r="D76" i="1"/>
  <c r="K15" i="1"/>
  <c r="K16" i="1" s="1"/>
  <c r="C76" i="1"/>
  <c r="C48" i="1"/>
  <c r="J15" i="1"/>
  <c r="G9" i="1"/>
  <c r="C22" i="1"/>
  <c r="C70" i="1" s="1"/>
  <c r="F27" i="1"/>
  <c r="F25" i="1" s="1"/>
  <c r="G31" i="1"/>
  <c r="N13" i="1" s="1"/>
  <c r="E48" i="1"/>
  <c r="K5" i="1"/>
  <c r="L5" i="1"/>
  <c r="I25" i="1"/>
  <c r="M5" i="1"/>
  <c r="K10" i="1"/>
  <c r="G5" i="1"/>
  <c r="G75" i="1"/>
  <c r="D91" i="1"/>
  <c r="G24" i="1"/>
  <c r="D48" i="1"/>
  <c r="F48" i="1"/>
  <c r="F72" i="1"/>
  <c r="G21" i="1"/>
  <c r="G69" i="1" s="1"/>
  <c r="M11" i="1"/>
  <c r="J8" i="1"/>
  <c r="J9" i="1"/>
  <c r="J37" i="1"/>
  <c r="M9" i="1"/>
  <c r="J12" i="1"/>
  <c r="J11" i="1"/>
  <c r="K8" i="1"/>
  <c r="K9" i="1"/>
  <c r="L9" i="1"/>
  <c r="L8" i="1"/>
  <c r="M10" i="1"/>
  <c r="M4" i="1"/>
  <c r="J4" i="1"/>
  <c r="N15" i="1"/>
  <c r="J40" i="1"/>
  <c r="J41" i="1" s="1"/>
  <c r="M6" i="1"/>
  <c r="N10" i="1"/>
  <c r="E77" i="1" l="1"/>
  <c r="E53" i="1"/>
  <c r="E83" i="1" s="1"/>
  <c r="L10" i="1"/>
  <c r="C74" i="1"/>
  <c r="C61" i="1"/>
  <c r="F73" i="1"/>
  <c r="M14" i="1"/>
  <c r="M16" i="1" s="1"/>
  <c r="G27" i="1"/>
  <c r="G25" i="1" s="1"/>
  <c r="G91" i="1"/>
  <c r="N5" i="1"/>
  <c r="G22" i="1"/>
  <c r="G70" i="1" s="1"/>
  <c r="F53" i="1"/>
  <c r="F83" i="1" s="1"/>
  <c r="F77" i="1"/>
  <c r="G77" i="1"/>
  <c r="G53" i="1"/>
  <c r="G83" i="1" s="1"/>
  <c r="G34" i="1"/>
  <c r="G74" i="1" s="1"/>
  <c r="G72" i="1"/>
  <c r="G19" i="1"/>
  <c r="G94" i="1"/>
  <c r="N22" i="1"/>
  <c r="F19" i="1"/>
  <c r="F94" i="1"/>
  <c r="F68" i="1"/>
  <c r="M22" i="1"/>
  <c r="F93" i="1"/>
  <c r="N6" i="1"/>
  <c r="M12" i="1"/>
  <c r="D74" i="1"/>
  <c r="D61" i="1"/>
  <c r="D54" i="1"/>
  <c r="E61" i="1"/>
  <c r="E54" i="1"/>
  <c r="E74" i="1"/>
  <c r="E85" i="1" s="1"/>
  <c r="F34" i="1"/>
  <c r="D77" i="1"/>
  <c r="D53" i="1"/>
  <c r="D83" i="1" s="1"/>
  <c r="C77" i="1"/>
  <c r="C53" i="1"/>
  <c r="C83" i="1" s="1"/>
  <c r="J10" i="1"/>
  <c r="K11" i="1"/>
  <c r="K12" i="1"/>
  <c r="N8" i="1"/>
  <c r="M21" i="1"/>
  <c r="M19" i="1"/>
  <c r="M7" i="1"/>
  <c r="I50" i="1"/>
  <c r="M20" i="1"/>
  <c r="N17" i="1"/>
  <c r="L17" i="1"/>
  <c r="M8" i="1"/>
  <c r="N4" i="1"/>
  <c r="L12" i="1"/>
  <c r="L11" i="1"/>
  <c r="N11" i="1"/>
  <c r="N12" i="1"/>
  <c r="M17" i="1"/>
  <c r="J19" i="1"/>
  <c r="J7" i="1"/>
  <c r="J21" i="1"/>
  <c r="J18" i="1"/>
  <c r="J20" i="1"/>
  <c r="K17" i="1"/>
  <c r="M18" i="1"/>
  <c r="C54" i="1" l="1"/>
  <c r="C85" i="1"/>
  <c r="D85" i="1"/>
  <c r="F74" i="1"/>
  <c r="F85" i="1" s="1"/>
  <c r="F61" i="1"/>
  <c r="F54" i="1"/>
  <c r="G85" i="1"/>
  <c r="G73" i="1"/>
  <c r="N14" i="1"/>
  <c r="N16" i="1" s="1"/>
  <c r="M23" i="1"/>
  <c r="J23" i="1"/>
  <c r="N20" i="1"/>
  <c r="N21" i="1"/>
  <c r="N7" i="1"/>
  <c r="N19" i="1"/>
  <c r="N18" i="1"/>
  <c r="N9" i="1"/>
  <c r="L7" i="1"/>
  <c r="L21" i="1"/>
  <c r="L50" i="1"/>
  <c r="L19" i="1"/>
  <c r="L18" i="1"/>
  <c r="L20" i="1"/>
  <c r="K19" i="1"/>
  <c r="K7" i="1"/>
  <c r="K18" i="1"/>
  <c r="K23" i="1"/>
  <c r="K50" i="1"/>
  <c r="K20" i="1"/>
  <c r="K21" i="1"/>
  <c r="L23" i="1" l="1"/>
  <c r="N23" i="1"/>
</calcChain>
</file>

<file path=xl/sharedStrings.xml><?xml version="1.0" encoding="utf-8"?>
<sst xmlns="http://schemas.openxmlformats.org/spreadsheetml/2006/main" count="209" uniqueCount="159">
  <si>
    <t>No of days</t>
  </si>
  <si>
    <t>Audited / Mgmt Account</t>
  </si>
  <si>
    <t>Audited</t>
  </si>
  <si>
    <t>Mgmt Acc</t>
  </si>
  <si>
    <t>Annualised</t>
  </si>
  <si>
    <t>Yes</t>
  </si>
  <si>
    <t>Profit &amp; Loss</t>
  </si>
  <si>
    <t>Financial Ratio</t>
  </si>
  <si>
    <t>No</t>
  </si>
  <si>
    <t>Profit &amp; Loss (REF)</t>
  </si>
  <si>
    <t>Financial Ratio (REF)</t>
  </si>
  <si>
    <t>N/A</t>
  </si>
  <si>
    <t>Revenue</t>
  </si>
  <si>
    <t>Revenue Growth</t>
  </si>
  <si>
    <t>Cost of sales</t>
  </si>
  <si>
    <t>Gross margin</t>
  </si>
  <si>
    <t>Gross Profit</t>
  </si>
  <si>
    <t>Net Margin</t>
  </si>
  <si>
    <t>Depreciation</t>
  </si>
  <si>
    <t>Current Ratio</t>
  </si>
  <si>
    <t>Staff Cost</t>
  </si>
  <si>
    <t>Quick Ratio</t>
  </si>
  <si>
    <t>Other Operating Expenses</t>
  </si>
  <si>
    <t>Gearing Ratio</t>
  </si>
  <si>
    <t>Operating Profit</t>
  </si>
  <si>
    <t>Pre-Tax Interest Coverage</t>
  </si>
  <si>
    <t>Add : Other Income</t>
  </si>
  <si>
    <t>Return (before Tax) on Net Worth</t>
  </si>
  <si>
    <t>EBIT</t>
  </si>
  <si>
    <t>Inventory Turnover (Days)</t>
  </si>
  <si>
    <t>Interest</t>
  </si>
  <si>
    <t>Receivables Turnover (Days)</t>
  </si>
  <si>
    <t>Taxes</t>
  </si>
  <si>
    <t>Payable Turnover (Days)</t>
  </si>
  <si>
    <t>Net Profit (Loss) for the Year</t>
  </si>
  <si>
    <t>Working Capital Turnover (Days)</t>
  </si>
  <si>
    <t>Dividend Payout</t>
  </si>
  <si>
    <t>Asset Turnover Ratio</t>
  </si>
  <si>
    <t xml:space="preserve">PBT </t>
  </si>
  <si>
    <t>Return on Equity (ROE)</t>
  </si>
  <si>
    <t>Return on Assets (ROA)</t>
  </si>
  <si>
    <t>Balance Sheet</t>
  </si>
  <si>
    <t>Dividend Pay-out Ratio</t>
  </si>
  <si>
    <t>Balance Sheet (REF)</t>
  </si>
  <si>
    <t>Earnings per Share</t>
  </si>
  <si>
    <t>Unqualified Reports</t>
  </si>
  <si>
    <t>Dividend per Share</t>
  </si>
  <si>
    <t>Non Current Asset</t>
  </si>
  <si>
    <t>PBT Margin</t>
  </si>
  <si>
    <t>Current Asset</t>
  </si>
  <si>
    <t>Trade Receivables</t>
  </si>
  <si>
    <t>Other Receivables and Prepayments</t>
  </si>
  <si>
    <t>Other Receivables</t>
  </si>
  <si>
    <t>Amount Due from Directors</t>
  </si>
  <si>
    <t>Amount Due from Related Companies</t>
  </si>
  <si>
    <t>Others</t>
  </si>
  <si>
    <t>Stock</t>
  </si>
  <si>
    <t>Cash &amp; Cash At Bank</t>
  </si>
  <si>
    <t>Total Asset</t>
  </si>
  <si>
    <t>Non Current Liabilities</t>
  </si>
  <si>
    <t>Bank/FI/Non-FI borrowings</t>
  </si>
  <si>
    <t>installment</t>
  </si>
  <si>
    <t>balance</t>
  </si>
  <si>
    <t>Hire Purchase Payable</t>
  </si>
  <si>
    <t>Other Payables</t>
  </si>
  <si>
    <t>Current Liabilities</t>
  </si>
  <si>
    <t xml:space="preserve">Trade Payables </t>
  </si>
  <si>
    <t>Other Payables &amp; Accruals</t>
  </si>
  <si>
    <t>Amount Due to Director</t>
  </si>
  <si>
    <t>Amount Due to Related Companies</t>
  </si>
  <si>
    <t>Total Liabilities</t>
  </si>
  <si>
    <t>Equity</t>
  </si>
  <si>
    <t>Share Capital</t>
  </si>
  <si>
    <t>Retained Earnings</t>
  </si>
  <si>
    <t>Revaluation Reserve</t>
  </si>
  <si>
    <t>Total Liabilities and Equity</t>
  </si>
  <si>
    <t xml:space="preserve">Intangible Asset </t>
  </si>
  <si>
    <t>Goodwill</t>
  </si>
  <si>
    <t xml:space="preserve">Patent </t>
  </si>
  <si>
    <t>Trademarks</t>
  </si>
  <si>
    <t>Copyrights</t>
  </si>
  <si>
    <t>Net Tangible Asset</t>
  </si>
  <si>
    <t>NTA = Total Assets - Total Liabilities - Intangible Assets ;
Where: Intangible Assets include non-physical assets like goodwill, patents, trademarks, and copyrights.</t>
  </si>
  <si>
    <t>Number of Shares</t>
  </si>
  <si>
    <t>Reserve</t>
  </si>
  <si>
    <t>Retained Earning</t>
  </si>
  <si>
    <t>Minority Interest</t>
  </si>
  <si>
    <t>Net Profit (Loss) Before Tax</t>
  </si>
  <si>
    <t>Net Profit (Loss) After Tax</t>
  </si>
  <si>
    <t>Net Dividend</t>
  </si>
  <si>
    <t>Miniority Interest</t>
  </si>
  <si>
    <t>UNQUALIFIED</t>
  </si>
  <si>
    <t>AUDIT OPINION</t>
  </si>
  <si>
    <t>Opinion Classification</t>
  </si>
  <si>
    <t>True and Fair View</t>
  </si>
  <si>
    <t>YES</t>
  </si>
  <si>
    <t>Evidence</t>
  </si>
  <si>
    <t>In our opinion, the accompanying financial statements give a true and fair view of the financial position of the Company as at 31 December 2022, and of its financial performance and its cash flows for the financial year then ended in accordance with Malaysian Private Entities Reporting Standard and the requirements of the Companies Act 2016 in Malaysia.</t>
  </si>
  <si>
    <t>AUDITOR INFORMATION</t>
  </si>
  <si>
    <t>Auditor Firm Name</t>
  </si>
  <si>
    <t>Y. H. CHANG &amp; PARTNERS</t>
  </si>
  <si>
    <t>Signing Accountant</t>
  </si>
  <si>
    <t>CHANG YOONG HENG</t>
  </si>
  <si>
    <t>MIA / AF Number</t>
  </si>
  <si>
    <t>AF 1432</t>
  </si>
  <si>
    <t>Signature Date</t>
  </si>
  <si>
    <t>05 JUN 2023</t>
  </si>
  <si>
    <t>BLACKLIST CHECK</t>
  </si>
  <si>
    <t>Firm — Blacklist Status</t>
  </si>
  <si>
    <t>INCONCLUSIVE</t>
  </si>
  <si>
    <t>Firm — Search Query</t>
  </si>
  <si>
    <t>"Y. H. CHANG &amp; PARTNERS" blacklisted MIA Malaysia accountant disciplinary</t>
  </si>
  <si>
    <t>Firm — Evidence</t>
  </si>
  <si>
    <t>No search results returned</t>
  </si>
  <si>
    <t>Accountant — Blacklist Status</t>
  </si>
  <si>
    <t>Accountant — Search Query</t>
  </si>
  <si>
    <t>"CHANG YOONG HENG" MIA Malaysia disciplinary accountant suspended</t>
  </si>
  <si>
    <t>Accountant — Evidence</t>
  </si>
  <si>
    <t>Results found but no clear flag or positive signal</t>
  </si>
  <si>
    <t>SIGNATURE CONSISTENCY</t>
  </si>
  <si>
    <t>Directors Report</t>
  </si>
  <si>
    <t>08 JUN 2023</t>
  </si>
  <si>
    <t>Statement by Directors</t>
  </si>
  <si>
    <t>Auditors Report</t>
  </si>
  <si>
    <t>Consistency Check</t>
  </si>
  <si>
    <t>CONSISTENT (Auditors signed: 05 JUN 2023)</t>
  </si>
  <si>
    <t>STATUTORY DECLARATION</t>
  </si>
  <si>
    <t>COP Name</t>
  </si>
  <si>
    <t>PREMJIT SINGH</t>
  </si>
  <si>
    <t>COP Date</t>
  </si>
  <si>
    <t>Date Consistent</t>
  </si>
  <si>
    <t>Status</t>
  </si>
  <si>
    <t>VALID</t>
  </si>
  <si>
    <t>Notes</t>
  </si>
  <si>
    <t>CREDIT ANALYST — FLAG SUMMARY</t>
  </si>
  <si>
    <t>Audit Opinion</t>
  </si>
  <si>
    <t>In our opinion, the accompanying financial statements give a true and fair view of the financial pos</t>
  </si>
  <si>
    <t>Auditor Firm Blacklist</t>
  </si>
  <si>
    <t>Accountant Blacklist</t>
  </si>
  <si>
    <t>Signature Consistency</t>
  </si>
  <si>
    <t>CONSISTENT</t>
  </si>
  <si>
    <t>Statutory Declaration</t>
  </si>
  <si>
    <t>Net Profit = Total Comprehensive Income</t>
  </si>
  <si>
    <t>MATCH</t>
  </si>
  <si>
    <t>ARITHMETIC VALIDATION</t>
  </si>
  <si>
    <t>Gross Profit = Revenue - COS</t>
  </si>
  <si>
    <t>PASS</t>
  </si>
  <si>
    <t>Total Assets = Liabilities + Equity</t>
  </si>
  <si>
    <t>NCA + CA = Total Assets</t>
  </si>
  <si>
    <t>NCL + CL = Total Liabilities</t>
  </si>
  <si>
    <t>OVERALL RECOMMENDATION</t>
  </si>
  <si>
    <t>PROCEED</t>
  </si>
  <si>
    <t>1 year</t>
  </si>
  <si>
    <t>10 months</t>
  </si>
  <si>
    <t xml:space="preserve">Audited </t>
  </si>
  <si>
    <t>31/12/2022</t>
  </si>
  <si>
    <t>31/12/2023</t>
  </si>
  <si>
    <t>31/12/2024</t>
  </si>
  <si>
    <t>31/10/2025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</si>
</sst>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dd/mm/yyyy;@"/>
    <numFmt numFmtId="166" formatCode="_-* #,##0.00_-;\-* #,##0.00_-;_-* &quot;-&quot;??_-;_-@_-"/>
    <numFmt numFmtId="167" formatCode="_-* #,##0.0_-;\-* #,##0.0_-;_-* &quot;-&quot;?_-;_-@_-"/>
  </numFmts>
  <fonts count="16" x14ac:knownFonts="1">
    <font>
      <sz val="11"/>
      <color theme="1"/>
      <name val="Calibri"/>
      <family val="2"/>
      <scheme val="minor"/>
    </font>
    <font>
      <sz val="11"/>
      <color theme="1"/>
      <name val="Calibri"/>
      <family val="2"/>
      <scheme val="minor"/>
    </font>
    <font>
      <sz val="10"/>
      <color theme="1"/>
      <name val="Calibri"/>
      <family val="2"/>
      <scheme val="minor"/>
    </font>
    <font>
      <sz val="10"/>
      <color rgb="FFFF0000"/>
      <name val="Calibri"/>
      <family val="2"/>
      <scheme val="minor"/>
    </font>
    <font>
      <b/>
      <sz val="10"/>
      <color theme="1"/>
      <name val="Calibri"/>
      <family val="2"/>
      <scheme val="minor"/>
    </font>
    <font>
      <b/>
      <sz val="10"/>
      <name val="Calibri"/>
      <family val="2"/>
      <scheme val="minor"/>
    </font>
    <font>
      <sz val="10"/>
      <color theme="0" tint="-0.499984740745262"/>
      <name val="Calibri"/>
      <family val="2"/>
      <scheme val="minor"/>
    </font>
    <font>
      <b/>
      <sz val="10"/>
      <color rgb="FFFF0000"/>
      <name val="Calibri"/>
      <family val="2"/>
      <scheme val="minor"/>
    </font>
    <font>
      <sz val="10"/>
      <name val="Calibri"/>
      <family val="2"/>
      <scheme val="minor"/>
    </font>
    <font>
      <b/>
      <sz val="8"/>
      <color theme="1"/>
      <name val="Calibri"/>
      <family val="2"/>
      <scheme val="minor"/>
    </font>
    <font>
      <b/>
      <sz val="11"/>
      <color rgb="FFFF0000"/>
      <name val="Calibri"/>
      <family val="2"/>
    </font>
    <font>
      <b/>
      <sz val="14"/>
      <color rgb="FF00AA00"/>
      <name val="Calibri"/>
      <family val="2"/>
    </font>
    <font>
      <b/>
      <sz val="11"/>
      <color rgb="FFFFFFFF"/>
      <name val="Calibri"/>
      <family val="2"/>
    </font>
    <font>
      <b/>
      <sz val="11"/>
      <name val="Calibri"/>
      <family val="2"/>
    </font>
    <font>
      <b/>
      <sz val="11"/>
      <color rgb="FF00AA00"/>
      <name val="Calibri"/>
      <family val="2"/>
    </font>
    <font>
      <b/>
      <sz val="16"/>
      <color rgb="FF00AA00"/>
      <name val="Calibri"/>
      <family val="2"/>
    </font>
  </fonts>
  <fills count="11">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1F4E79"/>
      </patternFill>
    </fill>
    <fill>
      <patternFill patternType="solid">
        <fgColor rgb="FFC6EFCE"/>
      </patternFill>
    </fill>
    <fill>
      <patternFill patternType="solid">
        <fgColor rgb="FFFFC7CE"/>
      </patternFill>
    </fill>
  </fills>
  <borders count="28">
    <border>
      <left/>
      <right/>
      <top/>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right style="thin">
        <color indexed="64"/>
      </right>
      <top style="thin">
        <color indexed="64"/>
      </top>
      <bottom/>
      <diagonal/>
    </border>
    <border>
      <left style="thin">
        <color indexed="64"/>
      </left>
      <right style="medium">
        <color indexed="64"/>
      </right>
      <top style="thin">
        <color indexed="64"/>
      </top>
      <bottom style="medium">
        <color theme="1"/>
      </bottom>
      <diagonal/>
    </border>
    <border>
      <left style="thin">
        <color theme="1"/>
      </left>
      <right style="thin">
        <color theme="1"/>
      </right>
      <top style="thin">
        <color theme="1"/>
      </top>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theme="1"/>
      </left>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166" fontId="1" fillId="0" borderId="0"/>
    <xf numFmtId="9" fontId="1" fillId="0" borderId="0"/>
  </cellStyleXfs>
  <cellXfs count="122">
    <xf numFmtId="0" fontId="0" fillId="0" borderId="0" xfId="0"/>
    <xf numFmtId="0" fontId="2" fillId="0" borderId="0" xfId="0" applyFont="1" applyAlignment="1">
      <alignment vertical="center" wrapText="1"/>
    </xf>
    <xf numFmtId="0" fontId="2" fillId="0" borderId="0" xfId="0" applyFont="1" applyAlignment="1">
      <alignment horizontal="center" vertical="center" wrapText="1"/>
    </xf>
    <xf numFmtId="14" fontId="4" fillId="4" borderId="1" xfId="0" applyNumberFormat="1" applyFont="1" applyFill="1" applyBorder="1" applyAlignment="1">
      <alignment horizontal="center" vertical="center" wrapText="1"/>
    </xf>
    <xf numFmtId="164" fontId="4" fillId="4" borderId="1" xfId="1"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165" fontId="4" fillId="4" borderId="1" xfId="0" applyNumberFormat="1" applyFont="1" applyFill="1" applyBorder="1" applyAlignment="1">
      <alignment horizontal="center" vertical="center" wrapText="1"/>
    </xf>
    <xf numFmtId="166" fontId="2" fillId="0" borderId="0" xfId="1" applyFont="1" applyAlignment="1">
      <alignment vertical="center" wrapText="1"/>
    </xf>
    <xf numFmtId="38" fontId="2" fillId="0" borderId="0" xfId="0" applyNumberFormat="1" applyFont="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1" fontId="2" fillId="0" borderId="2" xfId="0" applyNumberFormat="1" applyFont="1" applyBorder="1" applyAlignment="1">
      <alignment vertical="center" wrapText="1"/>
    </xf>
    <xf numFmtId="164" fontId="2" fillId="0" borderId="0" xfId="0" applyNumberFormat="1" applyFont="1" applyAlignment="1">
      <alignment vertical="center" wrapText="1"/>
    </xf>
    <xf numFmtId="164" fontId="6" fillId="0" borderId="0" xfId="0" applyNumberFormat="1" applyFont="1" applyAlignment="1">
      <alignment horizontal="center" vertical="center" wrapText="1"/>
    </xf>
    <xf numFmtId="164" fontId="2" fillId="0" borderId="0" xfId="1" applyNumberFormat="1" applyFont="1" applyAlignment="1">
      <alignment horizontal="center" vertical="center" wrapText="1"/>
    </xf>
    <xf numFmtId="0" fontId="4" fillId="4" borderId="4" xfId="0" applyFont="1" applyFill="1" applyBorder="1" applyAlignment="1">
      <alignment horizontal="center" vertical="center" wrapText="1"/>
    </xf>
    <xf numFmtId="165" fontId="4" fillId="4" borderId="5" xfId="0" applyNumberFormat="1" applyFont="1" applyFill="1" applyBorder="1" applyAlignment="1">
      <alignment horizontal="center" vertical="center" wrapText="1"/>
    </xf>
    <xf numFmtId="165" fontId="4" fillId="4" borderId="6" xfId="1" applyNumberFormat="1" applyFont="1" applyFill="1" applyBorder="1" applyAlignment="1">
      <alignment horizontal="center" vertical="center" wrapText="1"/>
    </xf>
    <xf numFmtId="0" fontId="4" fillId="4" borderId="7" xfId="0" applyFont="1" applyFill="1" applyBorder="1" applyAlignment="1">
      <alignment horizontal="center" vertical="center" wrapText="1"/>
    </xf>
    <xf numFmtId="165" fontId="4" fillId="4" borderId="8" xfId="1" applyNumberFormat="1" applyFont="1" applyFill="1" applyBorder="1" applyAlignment="1">
      <alignment horizontal="center" vertical="center" wrapText="1"/>
    </xf>
    <xf numFmtId="0" fontId="2" fillId="0" borderId="1" xfId="0" applyFont="1" applyBorder="1" applyAlignment="1">
      <alignment horizontal="left" vertical="center" wrapText="1"/>
    </xf>
    <xf numFmtId="2" fontId="2" fillId="0" borderId="1" xfId="0" applyNumberFormat="1" applyFont="1" applyBorder="1" applyAlignment="1">
      <alignment horizontal="right" vertical="center" wrapText="1"/>
    </xf>
    <xf numFmtId="0" fontId="2" fillId="0" borderId="9" xfId="0" applyFont="1" applyBorder="1" applyAlignment="1">
      <alignment vertical="center" wrapText="1"/>
    </xf>
    <xf numFmtId="0" fontId="4" fillId="2" borderId="10" xfId="0" applyFont="1" applyFill="1" applyBorder="1" applyAlignment="1">
      <alignment horizontal="center" vertical="center" wrapText="1"/>
    </xf>
    <xf numFmtId="165" fontId="4" fillId="2" borderId="11" xfId="0" applyNumberFormat="1" applyFont="1" applyFill="1" applyBorder="1" applyAlignment="1">
      <alignment horizontal="center" vertical="center" wrapText="1"/>
    </xf>
    <xf numFmtId="0" fontId="2" fillId="0" borderId="12" xfId="0" applyFont="1" applyBorder="1" applyAlignment="1">
      <alignment horizontal="left" vertical="center" wrapText="1"/>
    </xf>
    <xf numFmtId="2" fontId="2" fillId="0" borderId="12" xfId="0" applyNumberFormat="1" applyFont="1" applyBorder="1" applyAlignment="1">
      <alignment horizontal="right" vertical="center"/>
    </xf>
    <xf numFmtId="0" fontId="4" fillId="5" borderId="13" xfId="0" applyFont="1" applyFill="1" applyBorder="1" applyAlignment="1">
      <alignment vertical="center" wrapText="1"/>
    </xf>
    <xf numFmtId="164" fontId="7" fillId="5" borderId="5" xfId="1" applyNumberFormat="1" applyFont="1" applyFill="1" applyBorder="1" applyAlignment="1">
      <alignment horizontal="center" vertical="center" wrapText="1"/>
    </xf>
    <xf numFmtId="164" fontId="4" fillId="5" borderId="14" xfId="1" applyNumberFormat="1" applyFont="1" applyFill="1" applyBorder="1" applyAlignment="1">
      <alignment horizontal="center" vertical="center" wrapText="1"/>
    </xf>
    <xf numFmtId="0" fontId="4" fillId="5" borderId="15" xfId="0" applyFont="1" applyFill="1" applyBorder="1" applyAlignment="1">
      <alignment vertical="center" wrapText="1"/>
    </xf>
    <xf numFmtId="164" fontId="4" fillId="5" borderId="16" xfId="1" applyNumberFormat="1" applyFont="1" applyFill="1" applyBorder="1" applyAlignment="1">
      <alignment horizontal="center" vertical="center" wrapText="1"/>
    </xf>
    <xf numFmtId="0" fontId="2" fillId="0" borderId="15" xfId="0" applyFont="1" applyBorder="1" applyAlignment="1">
      <alignment horizontal="left" vertical="center" wrapText="1" indent="1"/>
    </xf>
    <xf numFmtId="164" fontId="3" fillId="0" borderId="1" xfId="1" applyNumberFormat="1" applyFont="1" applyBorder="1" applyAlignment="1">
      <alignment horizontal="center" vertical="center" wrapText="1"/>
    </xf>
    <xf numFmtId="164" fontId="4" fillId="2" borderId="16" xfId="1" applyNumberFormat="1" applyFont="1" applyFill="1" applyBorder="1" applyAlignment="1">
      <alignment horizontal="center" vertical="center" wrapText="1"/>
    </xf>
    <xf numFmtId="0" fontId="2" fillId="5" borderId="15" xfId="0" applyFont="1" applyFill="1" applyBorder="1" applyAlignment="1">
      <alignment horizontal="left" vertical="center" wrapText="1" indent="1"/>
    </xf>
    <xf numFmtId="164" fontId="5" fillId="5" borderId="16" xfId="1" applyNumberFormat="1" applyFont="1" applyFill="1" applyBorder="1" applyAlignment="1">
      <alignment horizontal="center" vertical="center" wrapText="1"/>
    </xf>
    <xf numFmtId="0" fontId="2" fillId="0" borderId="7" xfId="0" applyFont="1" applyBorder="1" applyAlignment="1">
      <alignment horizontal="left" vertical="center" wrapText="1" indent="2"/>
    </xf>
    <xf numFmtId="164" fontId="2" fillId="2" borderId="8" xfId="1" applyNumberFormat="1" applyFont="1" applyFill="1" applyBorder="1" applyAlignment="1">
      <alignment horizontal="center" vertical="center" wrapText="1"/>
    </xf>
    <xf numFmtId="0" fontId="2" fillId="0" borderId="7" xfId="0" applyFont="1" applyBorder="1" applyAlignment="1">
      <alignment horizontal="left" vertical="center" wrapText="1" indent="1"/>
    </xf>
    <xf numFmtId="164" fontId="4" fillId="2" borderId="8" xfId="1" applyNumberFormat="1" applyFont="1" applyFill="1" applyBorder="1" applyAlignment="1">
      <alignment horizontal="center" vertical="center" wrapText="1"/>
    </xf>
    <xf numFmtId="0" fontId="4" fillId="6" borderId="17" xfId="0" applyFont="1" applyFill="1" applyBorder="1" applyAlignment="1">
      <alignment vertical="center" wrapText="1"/>
    </xf>
    <xf numFmtId="164" fontId="4" fillId="6" borderId="18" xfId="1" applyNumberFormat="1" applyFont="1" applyFill="1" applyBorder="1" applyAlignment="1">
      <alignment horizontal="center" vertical="center" wrapText="1"/>
    </xf>
    <xf numFmtId="164" fontId="4" fillId="6" borderId="19" xfId="1" applyNumberFormat="1" applyFont="1" applyFill="1" applyBorder="1" applyAlignment="1">
      <alignment horizontal="center" vertical="center" wrapText="1"/>
    </xf>
    <xf numFmtId="166" fontId="2" fillId="0" borderId="0" xfId="0" applyNumberFormat="1" applyFont="1" applyAlignment="1">
      <alignment vertical="center" wrapText="1"/>
    </xf>
    <xf numFmtId="0" fontId="4" fillId="5" borderId="4" xfId="0" applyFont="1" applyFill="1" applyBorder="1" applyAlignment="1">
      <alignment vertical="center" wrapText="1"/>
    </xf>
    <xf numFmtId="164" fontId="4" fillId="5" borderId="5" xfId="1" applyNumberFormat="1" applyFont="1" applyFill="1" applyBorder="1" applyAlignment="1">
      <alignment horizontal="center" vertical="center" wrapText="1"/>
    </xf>
    <xf numFmtId="164" fontId="4" fillId="5" borderId="6" xfId="1" applyNumberFormat="1" applyFont="1" applyFill="1" applyBorder="1" applyAlignment="1">
      <alignment horizontal="center" vertical="center" wrapText="1"/>
    </xf>
    <xf numFmtId="164" fontId="4" fillId="2" borderId="14" xfId="1" applyNumberFormat="1" applyFont="1" applyFill="1" applyBorder="1" applyAlignment="1">
      <alignment horizontal="center" vertical="center" wrapText="1"/>
    </xf>
    <xf numFmtId="4" fontId="2" fillId="0" borderId="0" xfId="0" applyNumberFormat="1" applyFont="1" applyAlignment="1">
      <alignment vertical="center" wrapText="1"/>
    </xf>
    <xf numFmtId="167" fontId="2" fillId="0" borderId="0" xfId="0" applyNumberFormat="1" applyFont="1" applyAlignment="1">
      <alignment vertical="center" wrapText="1"/>
    </xf>
    <xf numFmtId="164" fontId="2" fillId="2" borderId="16" xfId="1" applyNumberFormat="1" applyFont="1" applyFill="1" applyBorder="1" applyAlignment="1">
      <alignment horizontal="center" vertical="center" wrapText="1"/>
    </xf>
    <xf numFmtId="164" fontId="8" fillId="5" borderId="16" xfId="1" applyNumberFormat="1" applyFont="1" applyFill="1" applyBorder="1" applyAlignment="1">
      <alignment horizontal="center" vertical="center" wrapText="1"/>
    </xf>
    <xf numFmtId="0" fontId="2" fillId="0" borderId="15" xfId="0" applyFont="1" applyBorder="1" applyAlignment="1">
      <alignment horizontal="left" vertical="center" wrapText="1" indent="2"/>
    </xf>
    <xf numFmtId="0" fontId="4" fillId="7" borderId="7" xfId="0" applyFont="1" applyFill="1" applyBorder="1" applyAlignment="1">
      <alignment vertical="center" wrapText="1"/>
    </xf>
    <xf numFmtId="164" fontId="7" fillId="7" borderId="1" xfId="1" applyNumberFormat="1" applyFont="1" applyFill="1" applyBorder="1" applyAlignment="1">
      <alignment horizontal="center" vertical="center" wrapText="1"/>
    </xf>
    <xf numFmtId="0" fontId="2" fillId="0" borderId="20" xfId="0" applyFont="1" applyBorder="1" applyAlignment="1">
      <alignment vertical="center" wrapText="1"/>
    </xf>
    <xf numFmtId="0" fontId="2" fillId="0" borderId="7" xfId="0" applyFont="1" applyBorder="1" applyAlignment="1">
      <alignment vertical="center" wrapText="1"/>
    </xf>
    <xf numFmtId="164" fontId="7" fillId="0" borderId="1" xfId="1" applyNumberFormat="1" applyFont="1" applyBorder="1" applyAlignment="1">
      <alignment horizontal="center" vertical="center" wrapText="1"/>
    </xf>
    <xf numFmtId="0" fontId="2" fillId="0" borderId="15" xfId="0" applyFont="1" applyBorder="1" applyAlignment="1">
      <alignment vertical="center" wrapText="1"/>
    </xf>
    <xf numFmtId="0" fontId="2" fillId="0" borderId="21" xfId="0" applyFont="1" applyBorder="1" applyAlignment="1">
      <alignment vertical="center" wrapText="1"/>
    </xf>
    <xf numFmtId="164" fontId="7" fillId="0" borderId="22" xfId="1" applyNumberFormat="1" applyFont="1" applyBorder="1" applyAlignment="1">
      <alignment horizontal="center" vertical="center" wrapText="1"/>
    </xf>
    <xf numFmtId="164" fontId="2" fillId="2" borderId="23" xfId="1" applyNumberFormat="1" applyFont="1" applyFill="1" applyBorder="1" applyAlignment="1">
      <alignment horizontal="center" vertical="center" wrapText="1"/>
    </xf>
    <xf numFmtId="0" fontId="4" fillId="6" borderId="24" xfId="0" applyFont="1" applyFill="1" applyBorder="1" applyAlignment="1">
      <alignment vertical="center" wrapText="1"/>
    </xf>
    <xf numFmtId="0" fontId="4" fillId="0" borderId="0" xfId="0" applyFont="1" applyAlignment="1">
      <alignment vertical="center" wrapText="1"/>
    </xf>
    <xf numFmtId="164" fontId="4" fillId="0" borderId="0" xfId="1" applyNumberFormat="1" applyFont="1" applyAlignment="1">
      <alignment horizontal="center" vertical="center" wrapText="1"/>
    </xf>
    <xf numFmtId="164" fontId="4" fillId="6" borderId="18" xfId="0" applyNumberFormat="1" applyFont="1" applyFill="1" applyBorder="1" applyAlignment="1">
      <alignment vertical="center" wrapText="1"/>
    </xf>
    <xf numFmtId="164" fontId="4" fillId="6" borderId="19" xfId="0" applyNumberFormat="1" applyFont="1" applyFill="1" applyBorder="1" applyAlignment="1">
      <alignment vertical="center" wrapText="1"/>
    </xf>
    <xf numFmtId="164" fontId="2" fillId="0" borderId="0" xfId="1" applyNumberFormat="1" applyFont="1" applyAlignment="1">
      <alignment vertical="center" wrapText="1"/>
    </xf>
    <xf numFmtId="0" fontId="4" fillId="0" borderId="25" xfId="0" applyFont="1" applyBorder="1" applyAlignment="1">
      <alignment vertical="center" wrapText="1"/>
    </xf>
    <xf numFmtId="164" fontId="2" fillId="0" borderId="26" xfId="0" applyNumberFormat="1" applyFont="1" applyBorder="1" applyAlignment="1">
      <alignment vertical="center" wrapText="1"/>
    </xf>
    <xf numFmtId="164" fontId="2" fillId="0" borderId="14" xfId="0" applyNumberFormat="1" applyFont="1" applyBorder="1" applyAlignment="1">
      <alignment vertical="center" wrapText="1"/>
    </xf>
    <xf numFmtId="0" fontId="4" fillId="0" borderId="15" xfId="0" applyFont="1" applyBorder="1" applyAlignment="1">
      <alignment vertical="center" wrapText="1"/>
    </xf>
    <xf numFmtId="164" fontId="2" fillId="0" borderId="16" xfId="0" applyNumberFormat="1" applyFont="1" applyBorder="1" applyAlignment="1">
      <alignment vertical="center" wrapText="1"/>
    </xf>
    <xf numFmtId="0" fontId="4" fillId="0" borderId="7" xfId="0" applyFont="1" applyBorder="1" applyAlignment="1">
      <alignment vertical="center" wrapText="1"/>
    </xf>
    <xf numFmtId="164" fontId="2" fillId="0" borderId="1" xfId="0" applyNumberFormat="1" applyFont="1" applyBorder="1" applyAlignment="1">
      <alignment vertical="center" wrapText="1"/>
    </xf>
    <xf numFmtId="164" fontId="2" fillId="0" borderId="8" xfId="0" applyNumberFormat="1" applyFont="1" applyBorder="1" applyAlignment="1">
      <alignment vertical="center" wrapText="1"/>
    </xf>
    <xf numFmtId="0" fontId="9" fillId="0" borderId="0" xfId="0" applyFont="1" applyAlignment="1">
      <alignment vertical="center" wrapText="1"/>
    </xf>
    <xf numFmtId="164" fontId="2" fillId="6" borderId="18" xfId="1" applyNumberFormat="1" applyFont="1" applyFill="1" applyBorder="1" applyAlignment="1">
      <alignment vertical="center" wrapText="1"/>
    </xf>
    <xf numFmtId="164" fontId="2" fillId="6" borderId="19" xfId="1" applyNumberFormat="1" applyFont="1" applyFill="1" applyBorder="1" applyAlignment="1">
      <alignment vertical="center" wrapText="1"/>
    </xf>
    <xf numFmtId="0" fontId="11" fillId="0" borderId="0" xfId="0" applyFont="1"/>
    <xf numFmtId="0" fontId="13" fillId="0" borderId="27" xfId="0" applyFont="1" applyBorder="1"/>
    <xf numFmtId="0" fontId="0" fillId="0" borderId="27" xfId="0" applyBorder="1"/>
    <xf numFmtId="0" fontId="14" fillId="9" borderId="27" xfId="0" applyFont="1" applyFill="1" applyBorder="1"/>
    <xf numFmtId="0" fontId="10" fillId="10" borderId="27" xfId="0" applyFont="1" applyFill="1" applyBorder="1"/>
    <xf numFmtId="0" fontId="12" fillId="8" borderId="0" xfId="0" applyFont="1" applyFill="1"/>
    <xf numFmtId="0" fontId="0" fillId="0" borderId="0" xfId="0"/>
    <xf numFmtId="0" fontId="15" fillId="9" borderId="0" xfId="0" applyFont="1" applyFill="1"/>
    <xf numFmtId="0" fontId="3" fillId="2" borderId="27" xfId="0" applyFont="1" applyFill="1" applyBorder="1" applyAlignment="1">
      <alignment horizontal="center" vertical="center" wrapText="1"/>
    </xf>
    <xf numFmtId="0" fontId="4" fillId="3" borderId="27" xfId="0" applyFont="1" applyFill="1" applyBorder="1" applyAlignment="1">
      <alignment horizontal="left" vertical="center" wrapText="1"/>
    </xf>
    <xf numFmtId="0" fontId="2" fillId="0" borderId="27" xfId="0" applyFont="1" applyBorder="1" applyAlignment="1">
      <alignment vertical="center" wrapText="1"/>
    </xf>
    <xf numFmtId="38" fontId="3" fillId="0" borderId="27" xfId="1" applyNumberFormat="1" applyFont="1" applyBorder="1" applyAlignment="1">
      <alignment horizontal="right" vertical="center" wrapText="1"/>
    </xf>
    <xf numFmtId="38" fontId="2" fillId="2" borderId="27" xfId="1" applyNumberFormat="1" applyFont="1" applyFill="1" applyBorder="1" applyAlignment="1">
      <alignment horizontal="right" vertical="center" wrapText="1"/>
    </xf>
    <xf numFmtId="9" fontId="2" fillId="0" borderId="27" xfId="2" applyFont="1" applyBorder="1" applyAlignment="1">
      <alignment vertical="center" wrapText="1"/>
    </xf>
    <xf numFmtId="0" fontId="4" fillId="5" borderId="27" xfId="0" applyFont="1" applyFill="1" applyBorder="1" applyAlignment="1">
      <alignment vertical="center" wrapText="1"/>
    </xf>
    <xf numFmtId="38" fontId="4" fillId="5" borderId="27" xfId="1" applyNumberFormat="1" applyFont="1" applyFill="1" applyBorder="1" applyAlignment="1">
      <alignment horizontal="right" vertical="center" wrapText="1"/>
    </xf>
    <xf numFmtId="10" fontId="2" fillId="0" borderId="27" xfId="2" applyNumberFormat="1" applyFont="1" applyBorder="1" applyAlignment="1">
      <alignment vertical="center" wrapText="1"/>
    </xf>
    <xf numFmtId="164" fontId="3" fillId="0" borderId="27" xfId="0" applyNumberFormat="1" applyFont="1" applyBorder="1" applyAlignment="1">
      <alignment horizontal="center" vertical="center" wrapText="1"/>
    </xf>
    <xf numFmtId="166" fontId="2" fillId="0" borderId="27" xfId="1" applyFont="1" applyBorder="1" applyAlignment="1">
      <alignment vertical="center" wrapText="1"/>
    </xf>
    <xf numFmtId="38" fontId="5" fillId="5" borderId="27" xfId="1" applyNumberFormat="1" applyFont="1" applyFill="1" applyBorder="1" applyAlignment="1">
      <alignment horizontal="right" vertical="center" wrapText="1"/>
    </xf>
    <xf numFmtId="164" fontId="2" fillId="0" borderId="27" xfId="1" applyNumberFormat="1" applyFont="1" applyBorder="1" applyAlignment="1">
      <alignment vertical="center" wrapText="1"/>
    </xf>
    <xf numFmtId="1" fontId="2" fillId="0" borderId="27" xfId="2" applyNumberFormat="1" applyFont="1" applyBorder="1" applyAlignment="1">
      <alignment vertical="center" wrapText="1"/>
    </xf>
    <xf numFmtId="0" fontId="4" fillId="6" borderId="27" xfId="0" applyFont="1" applyFill="1" applyBorder="1" applyAlignment="1">
      <alignment vertical="center" wrapText="1"/>
    </xf>
    <xf numFmtId="38" fontId="4" fillId="6" borderId="27" xfId="1" applyNumberFormat="1" applyFont="1" applyFill="1" applyBorder="1" applyAlignment="1">
      <alignment horizontal="right" vertical="center" wrapText="1"/>
    </xf>
    <xf numFmtId="0" fontId="2" fillId="0" borderId="27" xfId="0" applyFont="1" applyBorder="1" applyAlignment="1">
      <alignment horizontal="left" vertical="center" wrapText="1"/>
    </xf>
    <xf numFmtId="1" fontId="2" fillId="0" borderId="27" xfId="0" applyNumberFormat="1" applyFont="1" applyBorder="1" applyAlignment="1">
      <alignment vertical="center" wrapText="1"/>
    </xf>
    <xf numFmtId="164" fontId="2" fillId="2" borderId="27" xfId="1" applyNumberFormat="1" applyFont="1" applyFill="1" applyBorder="1" applyAlignment="1">
      <alignment horizontal="center" vertical="center" wrapText="1"/>
    </xf>
    <xf numFmtId="0" fontId="2" fillId="0" borderId="27" xfId="1" applyNumberFormat="1" applyFont="1" applyBorder="1" applyAlignment="1">
      <alignment vertical="center" wrapText="1"/>
    </xf>
    <xf numFmtId="2" fontId="2" fillId="0" borderId="27" xfId="1" applyNumberFormat="1" applyFont="1" applyBorder="1" applyAlignment="1">
      <alignment vertical="center" wrapText="1"/>
    </xf>
    <xf numFmtId="164" fontId="2" fillId="0" borderId="27" xfId="0" applyNumberFormat="1" applyFont="1" applyBorder="1" applyAlignment="1">
      <alignment horizontal="center" vertical="center" wrapText="1"/>
    </xf>
    <xf numFmtId="164" fontId="2" fillId="2" borderId="27" xfId="0" applyNumberFormat="1" applyFont="1" applyFill="1" applyBorder="1" applyAlignment="1">
      <alignment horizontal="center" vertical="center" wrapText="1"/>
    </xf>
    <xf numFmtId="0" fontId="2" fillId="0" borderId="27" xfId="0" applyFont="1" applyBorder="1" applyAlignment="1">
      <alignment horizontal="left" wrapText="1"/>
    </xf>
    <xf numFmtId="2" fontId="2" fillId="0" borderId="27" xfId="0" applyNumberFormat="1" applyFont="1" applyBorder="1" applyAlignment="1">
      <alignment vertical="center" wrapText="1"/>
    </xf>
    <xf numFmtId="165" fontId="4" fillId="2" borderId="27" xfId="0" applyNumberFormat="1" applyFont="1" applyFill="1" applyBorder="1" applyAlignment="1">
      <alignment horizontal="center" vertical="center" wrapText="1"/>
    </xf>
    <xf numFmtId="9" fontId="2" fillId="0" borderId="27" xfId="0" applyNumberFormat="1" applyFont="1" applyBorder="1" applyAlignment="1">
      <alignment vertical="center" wrapText="1"/>
    </xf>
    <xf numFmtId="164" fontId="4" fillId="5" borderId="27" xfId="1" applyNumberFormat="1" applyFont="1" applyFill="1" applyBorder="1" applyAlignment="1">
      <alignment horizontal="center" vertical="center" wrapText="1"/>
    </xf>
    <xf numFmtId="164" fontId="3" fillId="0" borderId="27" xfId="1" applyNumberFormat="1" applyFont="1" applyBorder="1" applyAlignment="1">
      <alignment horizontal="center" vertical="center" wrapText="1"/>
    </xf>
    <xf numFmtId="9" fontId="2" fillId="0" borderId="0" xfId="2" applyFont="1" applyAlignment="1">
      <alignment vertical="center" wrapText="1"/>
    </xf>
    <xf numFmtId="164" fontId="8" fillId="5" borderId="27" xfId="1" applyNumberFormat="1" applyFont="1" applyFill="1" applyBorder="1" applyAlignment="1">
      <alignment horizontal="center" vertical="center" wrapText="1"/>
    </xf>
    <xf numFmtId="164" fontId="3" fillId="0" borderId="26" xfId="1" applyNumberFormat="1" applyFont="1" applyBorder="1" applyAlignment="1">
      <alignment horizontal="center" vertical="center" wrapText="1"/>
    </xf>
    <xf numFmtId="164" fontId="7" fillId="0" borderId="27" xfId="1" applyNumberFormat="1" applyFont="1" applyBorder="1" applyAlignment="1">
      <alignment horizontal="center" vertical="center" wrapText="1"/>
    </xf>
    <xf numFmtId="164" fontId="2" fillId="0" borderId="27" xfId="0" applyNumberFormat="1" applyFont="1" applyBorder="1" applyAlignment="1">
      <alignment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310683</xdr:colOff>
      <xdr:row>21</xdr:row>
      <xdr:rowOff>72086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4871700" y="330200"/>
          <a:ext cx="6832133" cy="5488636"/>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gnisave.sharepoint.com/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X96"/>
  <sheetViews>
    <sheetView showGridLines="0" tabSelected="1" topLeftCell="B1" zoomScaleNormal="100" workbookViewId="0">
      <selection sqref="A1:G97"/>
    </sheetView>
  </sheetViews>
  <sheetFormatPr baseColWidth="10" defaultColWidth="9.1640625" defaultRowHeight="14" outlineLevelRow="1" x14ac:dyDescent="0.2"/>
  <cols>
    <col min="1" max="1" width="9.1640625" style="1" customWidth="1"/>
    <col min="2" max="2" width="35.33203125" style="1" customWidth="1"/>
    <col min="3" max="6" width="13.33203125" style="1" customWidth="1"/>
    <col min="7" max="7" width="13.33203125" style="68" customWidth="1"/>
    <col min="8" max="14" width="13.33203125" style="1" customWidth="1"/>
    <col min="15" max="16" width="9.1640625" style="1" customWidth="1"/>
    <col min="17" max="17" width="10.6640625" style="1" bestFit="1" customWidth="1"/>
    <col min="18" max="28" width="9.1640625" style="1" customWidth="1"/>
    <col min="29" max="16384" width="9.1640625" style="1"/>
  </cols>
  <sheetData>
    <row r="1" spans="2:24" ht="15" x14ac:dyDescent="0.2">
      <c r="H1" s="2" t="s">
        <v>0</v>
      </c>
    </row>
    <row r="2" spans="2:24" ht="15" customHeight="1" x14ac:dyDescent="0.2">
      <c r="C2" s="2" t="s">
        <v>152</v>
      </c>
      <c r="D2" s="2" t="s">
        <v>152</v>
      </c>
      <c r="E2" s="2" t="s">
        <v>152</v>
      </c>
      <c r="F2" s="2" t="s">
        <v>153</v>
      </c>
      <c r="G2" s="88">
        <v>300</v>
      </c>
      <c r="H2" s="2"/>
      <c r="J2" s="3" t="str">
        <f>C2</f>
        <v>1 year</v>
      </c>
      <c r="K2" s="3" t="str">
        <f t="shared" ref="K2:N4" si="0">D2</f>
        <v>1 year</v>
      </c>
      <c r="L2" s="3" t="str">
        <f t="shared" si="0"/>
        <v>1 year</v>
      </c>
      <c r="M2" s="3" t="str">
        <f t="shared" si="0"/>
        <v>10 months</v>
      </c>
      <c r="N2" s="3">
        <f t="shared" si="0"/>
        <v>300</v>
      </c>
    </row>
    <row r="3" spans="2:24" ht="15" customHeight="1" x14ac:dyDescent="0.2">
      <c r="B3" s="89" t="s">
        <v>1</v>
      </c>
      <c r="C3" s="3" t="s">
        <v>154</v>
      </c>
      <c r="D3" s="3" t="s">
        <v>154</v>
      </c>
      <c r="E3" s="3" t="s">
        <v>2</v>
      </c>
      <c r="F3" s="3" t="s">
        <v>3</v>
      </c>
      <c r="G3" s="4" t="s">
        <v>4</v>
      </c>
      <c r="I3" s="5" t="s">
        <v>7</v>
      </c>
      <c r="J3" s="6" t="str">
        <f>C3</f>
        <v xml:space="preserve">Audited </v>
      </c>
      <c r="K3" s="6" t="str">
        <f t="shared" si="0"/>
        <v xml:space="preserve">Audited </v>
      </c>
      <c r="L3" s="6" t="str">
        <f t="shared" si="0"/>
        <v>Audited</v>
      </c>
      <c r="M3" s="6" t="str">
        <f t="shared" si="0"/>
        <v>Mgmt Acc</v>
      </c>
      <c r="N3" s="6" t="str">
        <f t="shared" si="0"/>
        <v>Annualised</v>
      </c>
      <c r="X3" s="1" t="s">
        <v>5</v>
      </c>
    </row>
    <row r="4" spans="2:24" ht="12.75" customHeight="1" x14ac:dyDescent="0.2">
      <c r="B4" s="5" t="s">
        <v>6</v>
      </c>
      <c r="C4" s="6" t="s">
        <v>155</v>
      </c>
      <c r="D4" s="6" t="s">
        <v>156</v>
      </c>
      <c r="E4" s="6" t="s">
        <v>157</v>
      </c>
      <c r="F4" s="6" t="s">
        <v>158</v>
      </c>
      <c r="G4" s="6" t="str">
        <f>F4</f>
        <v>31/10/2025</v>
      </c>
      <c r="I4" s="5" t="s">
        <v>10</v>
      </c>
      <c r="J4" s="6" t="str">
        <f>C4</f>
        <v>31/12/2022</v>
      </c>
      <c r="K4" s="6" t="str">
        <f t="shared" si="0"/>
        <v>31/12/2023</v>
      </c>
      <c r="L4" s="6" t="str">
        <f t="shared" si="0"/>
        <v>31/12/2024</v>
      </c>
      <c r="M4" s="6" t="str">
        <f t="shared" si="0"/>
        <v>31/10/2025</v>
      </c>
      <c r="N4" s="6" t="str">
        <f t="shared" si="0"/>
        <v>31/10/2025</v>
      </c>
      <c r="X4" s="1" t="s">
        <v>8</v>
      </c>
    </row>
    <row r="5" spans="2:24" ht="39" customHeight="1" outlineLevel="1" x14ac:dyDescent="0.2">
      <c r="B5" s="5" t="s">
        <v>9</v>
      </c>
      <c r="C5" s="6" t="str">
        <f>C3&amp;"-"&amp;(TEXT(C4,"DDMMYYYY"))</f>
        <v>Audited -31/12/2022</v>
      </c>
      <c r="D5" s="6" t="str">
        <f t="shared" ref="D5:G5" si="1">D3&amp;"-"&amp;(TEXT(D4,"DDMMYYYY"))</f>
        <v>Audited -31/12/2023</v>
      </c>
      <c r="E5" s="6" t="str">
        <f t="shared" si="1"/>
        <v>Audited-31/12/2024</v>
      </c>
      <c r="F5" s="6" t="str">
        <f t="shared" si="1"/>
        <v>Mgmt Acc-31/10/2025</v>
      </c>
      <c r="G5" s="6" t="str">
        <f t="shared" si="1"/>
        <v>Annualised-31/10/2025</v>
      </c>
      <c r="I5" s="90" t="s">
        <v>13</v>
      </c>
      <c r="J5" s="93" t="s">
        <v>11</v>
      </c>
      <c r="K5" s="93" t="e">
        <f>(D5-C5)/C5</f>
        <v>#VALUE!</v>
      </c>
      <c r="L5" s="93" t="e">
        <f t="shared" ref="L5" si="2">(E5-D5)/D5</f>
        <v>#VALUE!</v>
      </c>
      <c r="M5" s="93" t="e">
        <f>(F5-E5)/E5</f>
        <v>#VALUE!</v>
      </c>
      <c r="N5" s="93" t="e">
        <f>(G5-E5)/E5</f>
        <v>#VALUE!</v>
      </c>
      <c r="X5" s="1" t="s">
        <v>11</v>
      </c>
    </row>
    <row r="6" spans="2:24" ht="25.5" customHeight="1" x14ac:dyDescent="0.2">
      <c r="B6" s="90" t="s">
        <v>12</v>
      </c>
      <c r="C6" s="91">
        <v>18781935</v>
      </c>
      <c r="D6" s="91">
        <v>21692183</v>
      </c>
      <c r="E6" s="91">
        <v>31614043</v>
      </c>
      <c r="F6" s="91">
        <v>28838267.710000001</v>
      </c>
      <c r="G6" s="92">
        <f>IF($G$2&lt;365,$F6*365/$G$2,$F6)</f>
        <v>35086559.047166668</v>
      </c>
      <c r="I6" s="90" t="s">
        <v>15</v>
      </c>
      <c r="J6" s="93" t="e">
        <f>C7/C5</f>
        <v>#VALUE!</v>
      </c>
      <c r="K6" s="93" t="e">
        <f>D7/D5</f>
        <v>#VALUE!</v>
      </c>
      <c r="L6" s="93" t="e">
        <f t="shared" ref="L6:N6" si="3">E7/E5</f>
        <v>#VALUE!</v>
      </c>
      <c r="M6" s="93" t="e">
        <f t="shared" si="3"/>
        <v>#VALUE!</v>
      </c>
      <c r="N6" s="93" t="e">
        <f t="shared" si="3"/>
        <v>#VALUE!</v>
      </c>
    </row>
    <row r="7" spans="2:24" ht="15" customHeight="1" x14ac:dyDescent="0.2">
      <c r="B7" s="90" t="s">
        <v>14</v>
      </c>
      <c r="C7" s="91">
        <v>8599758</v>
      </c>
      <c r="D7" s="91">
        <v>12343784</v>
      </c>
      <c r="E7" s="91">
        <v>23404076</v>
      </c>
      <c r="F7" s="91">
        <v>22300006.170000002</v>
      </c>
      <c r="G7" s="92">
        <f>IF($G$2&lt;365,$F7*365/$G$2,$F7)</f>
        <v>27131674.173500001</v>
      </c>
      <c r="I7" s="90" t="s">
        <v>17</v>
      </c>
      <c r="J7" s="93" t="e">
        <f>C16/C5</f>
        <v>#VALUE!</v>
      </c>
      <c r="K7" s="93" t="e">
        <f>D16/D5</f>
        <v>#VALUE!</v>
      </c>
      <c r="L7" s="96" t="e">
        <f>E16/E5</f>
        <v>#VALUE!</v>
      </c>
      <c r="M7" s="93" t="e">
        <f>F16/F5</f>
        <v>#VALUE!</v>
      </c>
      <c r="N7" s="93" t="e">
        <f>G16/G5</f>
        <v>#VALUE!</v>
      </c>
    </row>
    <row r="8" spans="2:24" ht="12.75" customHeight="1" x14ac:dyDescent="0.2">
      <c r="B8" s="94" t="s">
        <v>16</v>
      </c>
      <c r="C8" s="95">
        <f t="shared" ref="C8:G8" si="4">C6-C7</f>
        <v>10182177</v>
      </c>
      <c r="D8" s="95">
        <f t="shared" si="4"/>
        <v>9348399</v>
      </c>
      <c r="E8" s="95">
        <f t="shared" si="4"/>
        <v>8209967</v>
      </c>
      <c r="F8" s="95">
        <f t="shared" si="4"/>
        <v>6538261.5399999991</v>
      </c>
      <c r="G8" s="95">
        <f t="shared" si="4"/>
        <v>7954884.8736666664</v>
      </c>
      <c r="I8" s="90" t="s">
        <v>19</v>
      </c>
      <c r="J8" s="98">
        <f>C24/C38</f>
        <v>68.714264232008588</v>
      </c>
      <c r="K8" s="98">
        <f>D24/D38</f>
        <v>68.010285714285715</v>
      </c>
      <c r="L8" s="98">
        <f>E24/E38</f>
        <v>42.95852487135506</v>
      </c>
      <c r="M8" s="98" t="e">
        <f>F24/F38</f>
        <v>#DIV/0!</v>
      </c>
      <c r="N8" s="98" t="e">
        <f>G24/G38</f>
        <v>#DIV/0!</v>
      </c>
    </row>
    <row r="9" spans="2:24" ht="15" customHeight="1" x14ac:dyDescent="0.2">
      <c r="B9" s="90" t="s">
        <v>18</v>
      </c>
      <c r="C9" s="91">
        <f>38411+360337</f>
        <v>398748</v>
      </c>
      <c r="D9" s="91">
        <f>38411+380779</f>
        <v>419190</v>
      </c>
      <c r="E9" s="91">
        <f>33826+361262</f>
        <v>395088</v>
      </c>
      <c r="F9" s="97">
        <f>434596.59</f>
        <v>434596.59</v>
      </c>
      <c r="G9" s="92">
        <f>IF((AND(G2&lt;365, F9=0)), E9, F9/G2*365)</f>
        <v>528759.18450000009</v>
      </c>
      <c r="H9" s="7">
        <f>5/7.8</f>
        <v>0.64102564102564108</v>
      </c>
      <c r="I9" s="90" t="s">
        <v>21</v>
      </c>
      <c r="J9" s="98">
        <f>(C24-C31)/C38</f>
        <v>68.714264232008588</v>
      </c>
      <c r="K9" s="98">
        <f>(D24-D31)/D38</f>
        <v>68.010285714285715</v>
      </c>
      <c r="L9" s="98">
        <f>(E24-E31)/E38</f>
        <v>42.95852487135506</v>
      </c>
      <c r="M9" s="98" t="e">
        <f>(F24-F31)/F38</f>
        <v>#DIV/0!</v>
      </c>
      <c r="N9" s="98" t="e">
        <f>(G24-G31)/G38</f>
        <v>#DIV/0!</v>
      </c>
    </row>
    <row r="10" spans="2:24" ht="12.75" customHeight="1" x14ac:dyDescent="0.2">
      <c r="B10" s="90" t="s">
        <v>20</v>
      </c>
      <c r="C10" s="91">
        <f>36564+288000+432043+3194250+7738</f>
        <v>3958595</v>
      </c>
      <c r="D10" s="91">
        <f>36878+288000+379425+2897830+5377</f>
        <v>3607510</v>
      </c>
      <c r="E10" s="91">
        <f>36995+288000+289608+2198456+2628</f>
        <v>2815687</v>
      </c>
      <c r="F10" s="97">
        <f>1975829.22</f>
        <v>1975829.22</v>
      </c>
      <c r="G10" s="92">
        <f>IF($G$2&lt;365,$F10*365/$G$2,$F10)</f>
        <v>2403925.551</v>
      </c>
      <c r="H10" s="7"/>
      <c r="I10" s="90" t="s">
        <v>23</v>
      </c>
      <c r="J10" s="98">
        <f>(C35+C36+C45+C46)/(C48-C55)</f>
        <v>0.85469797614295717</v>
      </c>
      <c r="K10" s="98">
        <f>(D35+D36+D45+D46)/(D48-D55)</f>
        <v>0.85752757572675409</v>
      </c>
      <c r="L10" s="98">
        <f>(E35+E36+E45+E46)/(E48-E55)</f>
        <v>0.76872558244286371</v>
      </c>
      <c r="M10" s="98">
        <f>(F35+F36+F45+F46)/(F48-F55)</f>
        <v>0.63434662610361303</v>
      </c>
      <c r="N10" s="98">
        <f>(G35+G36+G45+G46)/(G48-F55)</f>
        <v>0.63434662610361303</v>
      </c>
    </row>
    <row r="11" spans="2:24" ht="15" customHeight="1" x14ac:dyDescent="0.2">
      <c r="B11" s="90" t="s">
        <v>22</v>
      </c>
      <c r="C11" s="91">
        <f>5798428+2669031-C9-C10</f>
        <v>4110116</v>
      </c>
      <c r="D11" s="91">
        <f>4830858+2001387-D9-D10</f>
        <v>2805545</v>
      </c>
      <c r="E11" s="91">
        <f>3751338+1742975-E9-E10</f>
        <v>2283538</v>
      </c>
      <c r="F11" s="97">
        <f>4536509.9-F9-F10-F15</f>
        <v>1521499.3600000008</v>
      </c>
      <c r="G11" s="92">
        <f>IF($G$2&lt;365,$F11*365/$G$2,$F11)</f>
        <v>1851157.5546666677</v>
      </c>
      <c r="I11" s="90" t="s">
        <v>25</v>
      </c>
      <c r="J11" s="100">
        <f>C13/C14</f>
        <v>7.8238441681870621E-2</v>
      </c>
      <c r="K11" s="100">
        <f>D13/D14</f>
        <v>6.0825027406479236E-2</v>
      </c>
      <c r="L11" s="100">
        <f>E13/E14</f>
        <v>0.16369441639466334</v>
      </c>
      <c r="M11" s="100">
        <f>F13/F14</f>
        <v>6.5551995709482247E-3</v>
      </c>
      <c r="N11" s="100">
        <f>G13/G14</f>
        <v>5.3941321811694348E-3</v>
      </c>
    </row>
    <row r="12" spans="2:24" ht="12.75" customHeight="1" x14ac:dyDescent="0.2">
      <c r="B12" s="94" t="s">
        <v>24</v>
      </c>
      <c r="C12" s="99">
        <f>C8-SUM(C9:C11)</f>
        <v>1714718</v>
      </c>
      <c r="D12" s="99">
        <f>D8-SUM(D9:D11)</f>
        <v>2516154</v>
      </c>
      <c r="E12" s="99">
        <f>E8-SUM(E9:E11)</f>
        <v>2715654</v>
      </c>
      <c r="F12" s="99">
        <f>F8-SUM(F9:F11)</f>
        <v>2606336.3699999982</v>
      </c>
      <c r="G12" s="99">
        <f>G8-SUM(G9:G11)</f>
        <v>3171042.5834999988</v>
      </c>
      <c r="H12" s="12"/>
      <c r="I12" s="90" t="s">
        <v>27</v>
      </c>
      <c r="J12" s="93">
        <f>(C13-C14)/C48</f>
        <v>-0.10332833419143098</v>
      </c>
      <c r="K12" s="93">
        <f>(D13-D14)/D48</f>
        <v>-0.16457977329804285</v>
      </c>
      <c r="L12" s="93">
        <f>(E13-E14)/E48</f>
        <v>-0.14053490175638225</v>
      </c>
      <c r="M12" s="93">
        <f>(F13-F14)/F48</f>
        <v>-0.10756032962959908</v>
      </c>
      <c r="N12" s="93">
        <f>(G13-G14)/G48</f>
        <v>-0.13086506771601225</v>
      </c>
    </row>
    <row r="13" spans="2:24" ht="30" customHeight="1" x14ac:dyDescent="0.2">
      <c r="B13" s="90" t="s">
        <v>26</v>
      </c>
      <c r="C13" s="91">
        <v>145544</v>
      </c>
      <c r="D13" s="91">
        <v>162957</v>
      </c>
      <c r="E13" s="91">
        <v>531549</v>
      </c>
      <c r="F13" s="97">
        <v>17197.79</v>
      </c>
      <c r="G13" s="92">
        <f>F13</f>
        <v>17197.79</v>
      </c>
      <c r="H13" s="8"/>
      <c r="I13" s="9" t="s">
        <v>29</v>
      </c>
      <c r="J13" s="10" t="s">
        <v>11</v>
      </c>
      <c r="K13" s="11">
        <f>((C31+D31)/2)/D6*365</f>
        <v>0</v>
      </c>
      <c r="L13" s="11">
        <f>((D31+E31)/2)/E6*365</f>
        <v>0</v>
      </c>
      <c r="M13" s="11">
        <f>((E31+F31)/2)/F6*365</f>
        <v>1.2336203905432153</v>
      </c>
      <c r="N13" s="11">
        <f>((F31+G31)/2)/G6*365</f>
        <v>2.0278691351395324</v>
      </c>
    </row>
    <row r="14" spans="2:24" ht="38.25" customHeight="1" x14ac:dyDescent="0.2">
      <c r="B14" s="94" t="s">
        <v>28</v>
      </c>
      <c r="C14" s="99">
        <f t="shared" ref="C14:E14" si="5">C12+C13</f>
        <v>1860262</v>
      </c>
      <c r="D14" s="99">
        <f t="shared" si="5"/>
        <v>2679111</v>
      </c>
      <c r="E14" s="99">
        <f t="shared" si="5"/>
        <v>3247203</v>
      </c>
      <c r="F14" s="99">
        <f>F12+F13</f>
        <v>2623534.1599999983</v>
      </c>
      <c r="G14" s="99">
        <f>G12+G13</f>
        <v>3188240.3734999988</v>
      </c>
      <c r="H14" s="12"/>
      <c r="I14" s="90" t="s">
        <v>31</v>
      </c>
      <c r="J14" s="101" t="e">
        <f>C25/C5*365</f>
        <v>#VALUE!</v>
      </c>
      <c r="K14" s="101" t="e">
        <f>D25/D5*365</f>
        <v>#VALUE!</v>
      </c>
      <c r="L14" s="101" t="e">
        <f>E25/E5*365</f>
        <v>#VALUE!</v>
      </c>
      <c r="M14" s="101" t="e">
        <f>F25/F5*365</f>
        <v>#VALUE!</v>
      </c>
      <c r="N14" s="101" t="e">
        <f>G25/G5*365</f>
        <v>#VALUE!</v>
      </c>
    </row>
    <row r="15" spans="2:24" ht="30" customHeight="1" x14ac:dyDescent="0.2">
      <c r="B15" s="90" t="s">
        <v>30</v>
      </c>
      <c r="C15" s="91">
        <v>735532</v>
      </c>
      <c r="D15" s="91">
        <v>722787</v>
      </c>
      <c r="E15" s="91">
        <v>866369</v>
      </c>
      <c r="F15" s="91">
        <v>604584.73</v>
      </c>
      <c r="G15" s="92">
        <f>IF((AND(G2&lt;365, F15=0)), E15, F15/G2*365)</f>
        <v>735578.08816666668</v>
      </c>
      <c r="I15" s="90" t="s">
        <v>33</v>
      </c>
      <c r="J15" s="101">
        <f>C39/C6*365</f>
        <v>262.65778126694613</v>
      </c>
      <c r="K15" s="101">
        <f>D39/D6*365</f>
        <v>212.85389741548832</v>
      </c>
      <c r="L15" s="101">
        <f>E39/E6*365</f>
        <v>202.00905259096407</v>
      </c>
      <c r="M15" s="101">
        <f>F39/F6*365</f>
        <v>306.69170876664975</v>
      </c>
      <c r="N15" s="101">
        <f>G39/G6*365</f>
        <v>252.07537706847927</v>
      </c>
    </row>
    <row r="16" spans="2:24" ht="30" customHeight="1" x14ac:dyDescent="0.2">
      <c r="B16" s="90" t="s">
        <v>32</v>
      </c>
      <c r="C16" s="91">
        <v>350156</v>
      </c>
      <c r="D16" s="97">
        <v>540160</v>
      </c>
      <c r="E16" s="97">
        <v>633145</v>
      </c>
      <c r="F16" s="97"/>
      <c r="G16" s="92">
        <f>IF($G$2&lt;365,$F16*365/$G$2,$F16)</f>
        <v>0</v>
      </c>
      <c r="I16" s="104" t="s">
        <v>35</v>
      </c>
      <c r="J16" s="90" t="s">
        <v>11</v>
      </c>
      <c r="K16" s="105" t="e">
        <f>K13+K14-K15</f>
        <v>#VALUE!</v>
      </c>
      <c r="L16" s="105" t="e">
        <f>L13+L14-L15</f>
        <v>#VALUE!</v>
      </c>
      <c r="M16" s="105" t="e">
        <f>M13+M14-M15</f>
        <v>#VALUE!</v>
      </c>
      <c r="N16" s="105" t="e">
        <f>N13+N14-N15</f>
        <v>#VALUE!</v>
      </c>
    </row>
    <row r="17" spans="1:14" ht="30" customHeight="1" x14ac:dyDescent="0.2">
      <c r="B17" s="102" t="s">
        <v>34</v>
      </c>
      <c r="C17" s="103">
        <f>C14-SUM(C15:C16)</f>
        <v>774574</v>
      </c>
      <c r="D17" s="103">
        <f>D14-SUM(D15:D16)</f>
        <v>1416164</v>
      </c>
      <c r="E17" s="103">
        <f>E14-SUM(E15:E16)</f>
        <v>1747689</v>
      </c>
      <c r="F17" s="103">
        <f>F14-SUM(F15:F16)</f>
        <v>2018949.4299999983</v>
      </c>
      <c r="G17" s="103">
        <f t="shared" ref="G17" si="6">G14-SUM(G15:G16)</f>
        <v>2452662.2853333321</v>
      </c>
      <c r="I17" s="90" t="s">
        <v>37</v>
      </c>
      <c r="J17" s="107" t="s">
        <v>11</v>
      </c>
      <c r="K17" s="108" t="e">
        <f>D5/((D33+C33)/2)</f>
        <v>#VALUE!</v>
      </c>
      <c r="L17" s="108" t="e">
        <f>E5/((E33+D33)/2)</f>
        <v>#VALUE!</v>
      </c>
      <c r="M17" s="108" t="e">
        <f>F5/((F33+E33)/2)</f>
        <v>#VALUE!</v>
      </c>
      <c r="N17" s="108" t="e">
        <f>G5/((G33+F33)/2)</f>
        <v>#VALUE!</v>
      </c>
    </row>
    <row r="18" spans="1:14" ht="30" customHeight="1" x14ac:dyDescent="0.2">
      <c r="B18" s="90" t="s">
        <v>36</v>
      </c>
      <c r="C18" s="97">
        <v>0</v>
      </c>
      <c r="D18" s="97">
        <v>0</v>
      </c>
      <c r="E18" s="97">
        <v>0</v>
      </c>
      <c r="F18" s="97">
        <v>0</v>
      </c>
      <c r="G18" s="106">
        <f>F18</f>
        <v>0</v>
      </c>
      <c r="I18" s="111" t="s">
        <v>39</v>
      </c>
      <c r="J18" s="112">
        <f>IF(C48&lt;0,"N/A",C16/C48)</f>
        <v>2.110028365430042E-2</v>
      </c>
      <c r="K18" s="112">
        <f>IF(D48&lt;0,"N/A",D16/D48)</f>
        <v>3.5331466334998111E-2</v>
      </c>
      <c r="L18" s="112">
        <f>IF(E48&lt;0,"N/A",E16/E48)</f>
        <v>3.2765208812516114E-2</v>
      </c>
      <c r="M18" s="112">
        <f>IF(F48&lt;0,"N/A",F16/F48)</f>
        <v>0</v>
      </c>
      <c r="N18" s="112">
        <f>IF(G48&lt;0,"N/A",G16/G48)</f>
        <v>0</v>
      </c>
    </row>
    <row r="19" spans="1:14" ht="30" customHeight="1" x14ac:dyDescent="0.2">
      <c r="B19" s="90" t="s">
        <v>38</v>
      </c>
      <c r="C19" s="109">
        <f>C17+C16</f>
        <v>1124730</v>
      </c>
      <c r="D19" s="109">
        <f t="shared" ref="D19:F19" si="7">D17+D16</f>
        <v>1956324</v>
      </c>
      <c r="E19" s="109">
        <f>E17+E16</f>
        <v>2380834</v>
      </c>
      <c r="F19" s="109">
        <f t="shared" si="7"/>
        <v>2018949.4299999983</v>
      </c>
      <c r="G19" s="110">
        <f t="shared" ref="G19" si="8">G17-G16</f>
        <v>2452662.2853333321</v>
      </c>
      <c r="I19" s="104" t="s">
        <v>40</v>
      </c>
      <c r="J19" s="112">
        <f>C16/C33</f>
        <v>0.31325264558192961</v>
      </c>
      <c r="K19" s="112">
        <f>D16/D33</f>
        <v>0.80751182131169841</v>
      </c>
      <c r="L19" s="112">
        <f>E16/E33</f>
        <v>0.46932169266988077</v>
      </c>
      <c r="M19" s="112">
        <f>F16/F33</f>
        <v>0</v>
      </c>
      <c r="N19" s="112">
        <f>G16/G33</f>
        <v>0</v>
      </c>
    </row>
    <row r="20" spans="1:14" ht="26.25" customHeight="1" thickBot="1" x14ac:dyDescent="0.25">
      <c r="C20" s="13"/>
      <c r="D20" s="13"/>
      <c r="E20" s="13"/>
      <c r="F20" s="13"/>
      <c r="G20" s="14"/>
      <c r="I20" s="104" t="s">
        <v>42</v>
      </c>
      <c r="J20" s="90">
        <f>C17/(C16)</f>
        <v>2.2120826146060613</v>
      </c>
      <c r="K20" s="90">
        <f>D17/(D16)</f>
        <v>2.6217491113744078</v>
      </c>
      <c r="L20" s="90">
        <f>E17/(E16)</f>
        <v>2.7603297822773616</v>
      </c>
      <c r="M20" s="90" t="e">
        <f>F17/(F16)</f>
        <v>#DIV/0!</v>
      </c>
      <c r="N20" s="90" t="e">
        <f>G17/(G16)</f>
        <v>#DIV/0!</v>
      </c>
    </row>
    <row r="21" spans="1:14" ht="27.5" customHeight="1" x14ac:dyDescent="0.2">
      <c r="B21" s="15" t="s">
        <v>41</v>
      </c>
      <c r="C21" s="16" t="str">
        <f t="shared" ref="C21:G22" si="9">C4</f>
        <v>31/12/2022</v>
      </c>
      <c r="D21" s="16" t="str">
        <f t="shared" si="9"/>
        <v>31/12/2023</v>
      </c>
      <c r="E21" s="16" t="str">
        <f t="shared" si="9"/>
        <v>31/12/2024</v>
      </c>
      <c r="F21" s="16" t="str">
        <f t="shared" si="9"/>
        <v>31/10/2025</v>
      </c>
      <c r="G21" s="17" t="str">
        <f t="shared" si="9"/>
        <v>31/10/2025</v>
      </c>
      <c r="I21" s="20" t="s">
        <v>44</v>
      </c>
      <c r="J21" s="21" t="e">
        <f>C16/C62</f>
        <v>#DIV/0!</v>
      </c>
      <c r="K21" s="21" t="e">
        <f>D16/D62</f>
        <v>#DIV/0!</v>
      </c>
      <c r="L21" s="21" t="e">
        <f>E16/E62</f>
        <v>#DIV/0!</v>
      </c>
      <c r="M21" s="21" t="e">
        <f>F16/F62</f>
        <v>#DIV/0!</v>
      </c>
      <c r="N21" s="21" t="e">
        <f>G16/G62</f>
        <v>#DIV/0!</v>
      </c>
    </row>
    <row r="22" spans="1:14" ht="27.5" customHeight="1" outlineLevel="1" x14ac:dyDescent="0.2">
      <c r="B22" s="18" t="s">
        <v>43</v>
      </c>
      <c r="C22" s="6" t="str">
        <f t="shared" si="9"/>
        <v>Audited -31/12/2022</v>
      </c>
      <c r="D22" s="6" t="str">
        <f t="shared" si="9"/>
        <v>Audited -31/12/2023</v>
      </c>
      <c r="E22" s="6" t="str">
        <f>E5</f>
        <v>Audited-31/12/2024</v>
      </c>
      <c r="F22" s="6" t="str">
        <f t="shared" si="9"/>
        <v>Mgmt Acc-31/10/2025</v>
      </c>
      <c r="G22" s="19" t="str">
        <f t="shared" si="9"/>
        <v>Annualised-31/10/2025</v>
      </c>
      <c r="I22" s="25" t="s">
        <v>46</v>
      </c>
      <c r="J22" s="26" t="e">
        <f>C17/C62</f>
        <v>#DIV/0!</v>
      </c>
      <c r="K22" s="26" t="e">
        <f>D17/D62</f>
        <v>#DIV/0!</v>
      </c>
      <c r="L22" s="26" t="e">
        <f>E17/E62</f>
        <v>#DIV/0!</v>
      </c>
      <c r="M22" s="26" t="e">
        <f>F17/F62</f>
        <v>#DIV/0!</v>
      </c>
      <c r="N22" s="26" t="e">
        <f>G17/G62</f>
        <v>#DIV/0!</v>
      </c>
    </row>
    <row r="23" spans="1:14" ht="31" customHeight="1" outlineLevel="1" thickBot="1" x14ac:dyDescent="0.25">
      <c r="A23" s="22">
        <v>2</v>
      </c>
      <c r="B23" s="23" t="s">
        <v>45</v>
      </c>
      <c r="C23" s="113" t="s">
        <v>5</v>
      </c>
      <c r="D23" s="113" t="s">
        <v>5</v>
      </c>
      <c r="E23" s="113" t="s">
        <v>5</v>
      </c>
      <c r="F23" s="113" t="s">
        <v>11</v>
      </c>
      <c r="G23" s="24" t="s">
        <v>11</v>
      </c>
      <c r="I23" s="90" t="s">
        <v>48</v>
      </c>
      <c r="J23" s="114" t="e">
        <f>C18/C5</f>
        <v>#VALUE!</v>
      </c>
      <c r="K23" s="114" t="e">
        <f>D18/D5</f>
        <v>#VALUE!</v>
      </c>
      <c r="L23" s="114" t="e">
        <f>E18/E5</f>
        <v>#VALUE!</v>
      </c>
      <c r="M23" s="114" t="e">
        <f>F18/F5</f>
        <v>#VALUE!</v>
      </c>
      <c r="N23" s="114" t="e">
        <f>G18/G5</f>
        <v>#VALUE!</v>
      </c>
    </row>
    <row r="24" spans="1:14" ht="25.5" customHeight="1" x14ac:dyDescent="0.2">
      <c r="A24" s="1">
        <v>3</v>
      </c>
      <c r="B24" s="27" t="s">
        <v>47</v>
      </c>
      <c r="C24" s="28">
        <v>6397298</v>
      </c>
      <c r="D24" s="28">
        <v>6188936</v>
      </c>
      <c r="E24" s="28">
        <v>5008964</v>
      </c>
      <c r="F24" s="28">
        <f>4919488+30000</f>
        <v>4949488</v>
      </c>
      <c r="G24" s="29">
        <f>$F24</f>
        <v>4949488</v>
      </c>
    </row>
    <row r="25" spans="1:14" ht="15" customHeight="1" x14ac:dyDescent="0.2">
      <c r="A25" s="22">
        <v>4</v>
      </c>
      <c r="B25" s="30" t="s">
        <v>49</v>
      </c>
      <c r="C25" s="115">
        <f>SUM(C26:C27,C32:C33)</f>
        <v>14854644</v>
      </c>
      <c r="D25" s="115">
        <f>SUM(D26:D27,D32:D33)</f>
        <v>15172677</v>
      </c>
      <c r="E25" s="115">
        <f>SUM(E26:E27,E32:E33)</f>
        <v>22135681</v>
      </c>
      <c r="F25" s="115">
        <f>SUM(F26:F27,F32:F33)</f>
        <v>29121797.949999999</v>
      </c>
      <c r="G25" s="31">
        <f>SUM(G26:G27,G32:G33)</f>
        <v>29121797.949999999</v>
      </c>
      <c r="I25" s="117">
        <f>E27/D27</f>
        <v>1.4277122249273637</v>
      </c>
    </row>
    <row r="26" spans="1:14" ht="12.75" customHeight="1" x14ac:dyDescent="0.2">
      <c r="A26" s="1">
        <v>5</v>
      </c>
      <c r="B26" s="32" t="s">
        <v>50</v>
      </c>
      <c r="C26" s="116">
        <v>5939297</v>
      </c>
      <c r="D26" s="116">
        <v>5948984</v>
      </c>
      <c r="E26" s="116">
        <v>16230296</v>
      </c>
      <c r="F26" s="116">
        <v>20201404.140000001</v>
      </c>
      <c r="G26" s="34">
        <f t="shared" ref="G26:G33" si="10">$F26</f>
        <v>20201404.140000001</v>
      </c>
    </row>
    <row r="27" spans="1:14" ht="15" customHeight="1" x14ac:dyDescent="0.2">
      <c r="A27" s="22">
        <v>6</v>
      </c>
      <c r="B27" s="35" t="s">
        <v>51</v>
      </c>
      <c r="C27" s="118">
        <f>SUM(C28:C31)</f>
        <v>537636</v>
      </c>
      <c r="D27" s="118">
        <f t="shared" ref="D27:G27" si="11">SUM(D28:D31)</f>
        <v>658417</v>
      </c>
      <c r="E27" s="118">
        <f t="shared" si="11"/>
        <v>940030</v>
      </c>
      <c r="F27" s="118">
        <f t="shared" si="11"/>
        <v>2858652.31</v>
      </c>
      <c r="G27" s="36">
        <f t="shared" si="11"/>
        <v>2858652.31</v>
      </c>
    </row>
    <row r="28" spans="1:14" ht="12.75" customHeight="1" x14ac:dyDescent="0.2">
      <c r="A28" s="1">
        <v>7</v>
      </c>
      <c r="B28" s="37" t="s">
        <v>52</v>
      </c>
      <c r="C28" s="33">
        <v>537636</v>
      </c>
      <c r="D28" s="33">
        <v>656417</v>
      </c>
      <c r="E28" s="33">
        <v>625140</v>
      </c>
      <c r="F28" s="33">
        <f>607296.97+103747.82+16244.39+270063.85+739.8+1590655.37</f>
        <v>2588748.2000000002</v>
      </c>
      <c r="G28" s="38">
        <f>$F28</f>
        <v>2588748.2000000002</v>
      </c>
    </row>
    <row r="29" spans="1:14" ht="15" customHeight="1" x14ac:dyDescent="0.2">
      <c r="A29" s="22">
        <v>8</v>
      </c>
      <c r="B29" s="37" t="s">
        <v>53</v>
      </c>
      <c r="C29" s="33"/>
      <c r="D29" s="33"/>
      <c r="E29" s="33">
        <v>314890</v>
      </c>
      <c r="F29" s="33"/>
      <c r="G29" s="38">
        <f>$F29</f>
        <v>0</v>
      </c>
    </row>
    <row r="30" spans="1:14" ht="12.75" customHeight="1" x14ac:dyDescent="0.2">
      <c r="A30" s="1">
        <v>9</v>
      </c>
      <c r="B30" s="37" t="s">
        <v>54</v>
      </c>
      <c r="C30" s="33"/>
      <c r="D30" s="33">
        <v>2000</v>
      </c>
      <c r="E30" s="33"/>
      <c r="F30" s="33">
        <f>2870+72100</f>
        <v>74970</v>
      </c>
      <c r="G30" s="38">
        <f>$F30</f>
        <v>74970</v>
      </c>
    </row>
    <row r="31" spans="1:14" ht="15" customHeight="1" x14ac:dyDescent="0.2">
      <c r="A31" s="22">
        <v>10</v>
      </c>
      <c r="B31" s="37" t="s">
        <v>55</v>
      </c>
      <c r="C31" s="33"/>
      <c r="D31" s="33"/>
      <c r="E31" s="33"/>
      <c r="F31" s="33">
        <f>194944.61-10.5</f>
        <v>194934.11</v>
      </c>
      <c r="G31" s="38">
        <f>$F31</f>
        <v>194934.11</v>
      </c>
    </row>
    <row r="32" spans="1:14" ht="12.75" customHeight="1" x14ac:dyDescent="0.2">
      <c r="A32" s="1">
        <v>11</v>
      </c>
      <c r="B32" s="39" t="s">
        <v>56</v>
      </c>
      <c r="C32" s="33">
        <v>7259904</v>
      </c>
      <c r="D32" s="33">
        <v>7896357</v>
      </c>
      <c r="E32" s="33">
        <v>3616291</v>
      </c>
      <c r="F32" s="33">
        <v>4720635.63</v>
      </c>
      <c r="G32" s="40">
        <f t="shared" si="10"/>
        <v>4720635.63</v>
      </c>
    </row>
    <row r="33" spans="1:17" ht="16" customHeight="1" thickBot="1" x14ac:dyDescent="0.25">
      <c r="A33" s="22">
        <v>12</v>
      </c>
      <c r="B33" s="39" t="s">
        <v>57</v>
      </c>
      <c r="C33" s="33">
        <f>607338+510469</f>
        <v>1117807</v>
      </c>
      <c r="D33" s="33">
        <f>619726+49193</f>
        <v>668919</v>
      </c>
      <c r="E33" s="33">
        <f>707017+642047</f>
        <v>1349064</v>
      </c>
      <c r="F33" s="33">
        <f>2+1880.97+342096.63+657017.46+340108.81</f>
        <v>1341105.8699999999</v>
      </c>
      <c r="G33" s="38">
        <f t="shared" si="10"/>
        <v>1341105.8699999999</v>
      </c>
      <c r="H33" s="44"/>
      <c r="I33" s="12"/>
      <c r="J33" s="12"/>
      <c r="K33" s="12"/>
      <c r="L33" s="12"/>
    </row>
    <row r="34" spans="1:17" ht="13.5" customHeight="1" thickBot="1" x14ac:dyDescent="0.25">
      <c r="A34" s="1">
        <v>13</v>
      </c>
      <c r="B34" s="41" t="s">
        <v>58</v>
      </c>
      <c r="C34" s="42">
        <f>SUM(C24:C25)</f>
        <v>21251942</v>
      </c>
      <c r="D34" s="42">
        <f>SUM(D24:D25)</f>
        <v>21361613</v>
      </c>
      <c r="E34" s="42">
        <f>SUM(E24:E25)</f>
        <v>27144645</v>
      </c>
      <c r="F34" s="42">
        <f>SUM(F24:F25)</f>
        <v>34071285.950000003</v>
      </c>
      <c r="G34" s="43">
        <f>SUM(G24:G25)</f>
        <v>34071285.950000003</v>
      </c>
    </row>
    <row r="35" spans="1:17" ht="15" customHeight="1" x14ac:dyDescent="0.2">
      <c r="A35" s="22">
        <v>14</v>
      </c>
      <c r="B35" s="45" t="s">
        <v>59</v>
      </c>
      <c r="C35" s="46">
        <f t="shared" ref="C35:E35" si="12">SUM(C36:C38)</f>
        <v>3079173</v>
      </c>
      <c r="D35" s="46">
        <f t="shared" si="12"/>
        <v>2638312</v>
      </c>
      <c r="E35" s="46">
        <f t="shared" si="12"/>
        <v>1826923</v>
      </c>
      <c r="F35" s="46">
        <f>SUM(F36:F38)</f>
        <v>0</v>
      </c>
      <c r="G35" s="47">
        <f>SUM(G36:G38)</f>
        <v>0</v>
      </c>
    </row>
    <row r="36" spans="1:17" ht="12.75" customHeight="1" x14ac:dyDescent="0.2">
      <c r="A36" s="1">
        <v>15</v>
      </c>
      <c r="B36" s="32" t="s">
        <v>60</v>
      </c>
      <c r="C36" s="119">
        <v>2704005</v>
      </c>
      <c r="D36" s="119">
        <v>2233070</v>
      </c>
      <c r="E36" s="119">
        <v>1386090</v>
      </c>
      <c r="F36" s="119"/>
      <c r="G36" s="48">
        <f t="shared" ref="G36:G37" si="13">$F36</f>
        <v>0</v>
      </c>
      <c r="O36" s="1" t="s">
        <v>61</v>
      </c>
      <c r="P36" s="1" t="s">
        <v>62</v>
      </c>
      <c r="Q36" s="1" t="s">
        <v>62</v>
      </c>
    </row>
    <row r="37" spans="1:17" ht="15" customHeight="1" x14ac:dyDescent="0.2">
      <c r="A37" s="22">
        <v>16</v>
      </c>
      <c r="B37" s="32" t="s">
        <v>63</v>
      </c>
      <c r="C37" s="119">
        <v>282068</v>
      </c>
      <c r="D37" s="119">
        <v>314242</v>
      </c>
      <c r="E37" s="119">
        <v>324233</v>
      </c>
      <c r="F37" s="119"/>
      <c r="G37" s="48">
        <f t="shared" si="13"/>
        <v>0</v>
      </c>
      <c r="J37" s="1">
        <f>(F35+F36+F45+F46)/(F48+F42)</f>
        <v>0.62211749729297183</v>
      </c>
      <c r="O37" s="49">
        <f>SUM(M37:N37)</f>
        <v>0</v>
      </c>
      <c r="P37" s="1">
        <v>4</v>
      </c>
      <c r="Q37" s="7">
        <f>O37*P37</f>
        <v>0</v>
      </c>
    </row>
    <row r="38" spans="1:17" ht="12.75" customHeight="1" x14ac:dyDescent="0.2">
      <c r="A38" s="1">
        <v>17</v>
      </c>
      <c r="B38" s="32" t="s">
        <v>64</v>
      </c>
      <c r="C38" s="119">
        <v>93100</v>
      </c>
      <c r="D38" s="119">
        <v>91000</v>
      </c>
      <c r="E38" s="119">
        <v>116600</v>
      </c>
      <c r="F38" s="119"/>
      <c r="G38" s="48">
        <f>$F38</f>
        <v>0</v>
      </c>
      <c r="H38" s="50"/>
      <c r="O38" s="49">
        <f>SUM(M38:N38)</f>
        <v>0</v>
      </c>
      <c r="P38" s="1">
        <v>4</v>
      </c>
      <c r="Q38" s="7">
        <f>O38*P38</f>
        <v>0</v>
      </c>
    </row>
    <row r="39" spans="1:17" ht="15" customHeight="1" x14ac:dyDescent="0.2">
      <c r="A39" s="22">
        <v>18</v>
      </c>
      <c r="B39" s="30" t="s">
        <v>65</v>
      </c>
      <c r="C39" s="115">
        <f>SUM(C40:C41,C46:C47)</f>
        <v>13515675</v>
      </c>
      <c r="D39" s="115">
        <f>SUM(D40:D41,D46:D47)</f>
        <v>12650043</v>
      </c>
      <c r="E39" s="115">
        <f>SUM(E40:E41,E46:E47)</f>
        <v>17496775</v>
      </c>
      <c r="F39" s="115">
        <f>SUM(F40:F41,F46:F47)</f>
        <v>24231390.690000001</v>
      </c>
      <c r="G39" s="31">
        <f>SUM(G40:G41,G46:G47)</f>
        <v>24231390.690000001</v>
      </c>
      <c r="O39" s="49">
        <f>SUM(M39:N39)</f>
        <v>0</v>
      </c>
      <c r="P39" s="1">
        <v>6</v>
      </c>
      <c r="Q39" s="7">
        <f>O39*P39</f>
        <v>0</v>
      </c>
    </row>
    <row r="40" spans="1:17" ht="12.75" customHeight="1" x14ac:dyDescent="0.2">
      <c r="A40" s="1">
        <v>19</v>
      </c>
      <c r="B40" s="32" t="s">
        <v>66</v>
      </c>
      <c r="C40" s="116">
        <v>2487132</v>
      </c>
      <c r="D40" s="116">
        <v>936469</v>
      </c>
      <c r="E40" s="116">
        <v>1573742</v>
      </c>
      <c r="F40" s="116">
        <v>5879178.6699999999</v>
      </c>
      <c r="G40" s="51">
        <f t="shared" ref="G40:G47" si="14">$F40</f>
        <v>5879178.6699999999</v>
      </c>
      <c r="J40" s="12">
        <f>F36+F45+600000</f>
        <v>2182259.09</v>
      </c>
      <c r="O40" s="49">
        <f>SUM(M40:N40)</f>
        <v>0</v>
      </c>
      <c r="Q40" s="44">
        <f>SUM(Q37:Q39)</f>
        <v>0</v>
      </c>
    </row>
    <row r="41" spans="1:17" ht="15" customHeight="1" x14ac:dyDescent="0.2">
      <c r="A41" s="22">
        <v>20</v>
      </c>
      <c r="B41" s="35" t="s">
        <v>67</v>
      </c>
      <c r="C41" s="118">
        <f>SUM(C42:C45)</f>
        <v>2401008</v>
      </c>
      <c r="D41" s="118">
        <f t="shared" ref="D41" si="15">SUM(D42:D45)</f>
        <v>3638057</v>
      </c>
      <c r="E41" s="118">
        <f>SUM(E42:E45)</f>
        <v>4329429</v>
      </c>
      <c r="F41" s="118">
        <f>SUM(F42:F45)</f>
        <v>4222241.67</v>
      </c>
      <c r="G41" s="52">
        <f>SUM(G42:G45)</f>
        <v>4222241.67</v>
      </c>
      <c r="J41" s="1">
        <f>J40/F48</f>
        <v>9.0059176459095738E-2</v>
      </c>
    </row>
    <row r="42" spans="1:17" ht="12.75" customHeight="1" x14ac:dyDescent="0.2">
      <c r="A42" s="1">
        <v>21</v>
      </c>
      <c r="B42" s="53" t="s">
        <v>64</v>
      </c>
      <c r="C42" s="116">
        <v>2119026</v>
      </c>
      <c r="D42" s="116">
        <v>3353594</v>
      </c>
      <c r="E42" s="116">
        <v>4123220</v>
      </c>
      <c r="F42" s="116">
        <f>324263.75+34059.13+118000</f>
        <v>476322.88</v>
      </c>
      <c r="G42" s="51">
        <f t="shared" si="14"/>
        <v>476322.88</v>
      </c>
    </row>
    <row r="43" spans="1:17" ht="15" customHeight="1" x14ac:dyDescent="0.2">
      <c r="A43" s="22">
        <v>22</v>
      </c>
      <c r="B43" s="53" t="s">
        <v>68</v>
      </c>
      <c r="C43" s="116">
        <v>243486</v>
      </c>
      <c r="D43" s="116">
        <v>1300</v>
      </c>
      <c r="E43" s="116"/>
      <c r="F43" s="116">
        <v>2118659.7000000002</v>
      </c>
      <c r="G43" s="51">
        <f t="shared" si="14"/>
        <v>2118659.7000000002</v>
      </c>
    </row>
    <row r="44" spans="1:17" ht="15" customHeight="1" x14ac:dyDescent="0.2">
      <c r="A44" s="1">
        <v>23</v>
      </c>
      <c r="B44" s="53" t="s">
        <v>69</v>
      </c>
      <c r="C44" s="116"/>
      <c r="D44" s="116"/>
      <c r="E44" s="116"/>
      <c r="F44" s="116">
        <f>25000+20000</f>
        <v>45000</v>
      </c>
      <c r="G44" s="51">
        <f t="shared" si="14"/>
        <v>45000</v>
      </c>
    </row>
    <row r="45" spans="1:17" ht="15" customHeight="1" x14ac:dyDescent="0.2">
      <c r="A45" s="22">
        <v>24</v>
      </c>
      <c r="B45" s="53" t="s">
        <v>55</v>
      </c>
      <c r="C45" s="116">
        <v>38496</v>
      </c>
      <c r="D45" s="116">
        <f>283163</f>
        <v>283163</v>
      </c>
      <c r="E45" s="116">
        <f>206209</f>
        <v>206209</v>
      </c>
      <c r="F45" s="116">
        <f>1436872.21+8119.61+116600+20700-32.73</f>
        <v>1582259.09</v>
      </c>
      <c r="G45" s="51">
        <f t="shared" si="14"/>
        <v>1582259.09</v>
      </c>
    </row>
    <row r="46" spans="1:17" ht="15" customHeight="1" x14ac:dyDescent="0.2">
      <c r="A46" s="1">
        <v>25</v>
      </c>
      <c r="B46" s="32" t="s">
        <v>60</v>
      </c>
      <c r="C46" s="116">
        <f>4049987+3299000+1012922</f>
        <v>8361909</v>
      </c>
      <c r="D46" s="116">
        <f>4156809+3385000+413832</f>
        <v>7955641</v>
      </c>
      <c r="E46" s="116">
        <f>5086940+5850000+498459</f>
        <v>11435399</v>
      </c>
      <c r="F46" s="116">
        <f>5243165.81+1425676.03+7120000</f>
        <v>13788841.84</v>
      </c>
      <c r="G46" s="51">
        <f t="shared" si="14"/>
        <v>13788841.84</v>
      </c>
    </row>
    <row r="47" spans="1:17" ht="16" customHeight="1" thickBot="1" x14ac:dyDescent="0.25">
      <c r="A47" s="22">
        <v>26</v>
      </c>
      <c r="B47" s="32" t="s">
        <v>63</v>
      </c>
      <c r="C47" s="116">
        <v>265626</v>
      </c>
      <c r="D47" s="116">
        <v>119876</v>
      </c>
      <c r="E47" s="116">
        <v>158205</v>
      </c>
      <c r="F47" s="116">
        <v>341128.51</v>
      </c>
      <c r="G47" s="51">
        <f t="shared" si="14"/>
        <v>341128.51</v>
      </c>
    </row>
    <row r="48" spans="1:17" ht="16" customHeight="1" thickBot="1" x14ac:dyDescent="0.25">
      <c r="A48" s="1">
        <v>27</v>
      </c>
      <c r="B48" s="41" t="s">
        <v>70</v>
      </c>
      <c r="C48" s="42">
        <f>SUM(C35,C39)</f>
        <v>16594848</v>
      </c>
      <c r="D48" s="42">
        <f>SUM(D35,D39)</f>
        <v>15288355</v>
      </c>
      <c r="E48" s="42">
        <f>SUM(E35,E39)</f>
        <v>19323698</v>
      </c>
      <c r="F48" s="42">
        <f>SUM(F35,F39)</f>
        <v>24231390.690000001</v>
      </c>
      <c r="G48" s="43">
        <f>SUM(G35,G39)</f>
        <v>24231390.690000001</v>
      </c>
      <c r="H48" s="56"/>
    </row>
    <row r="49" spans="1:12" ht="15" customHeight="1" x14ac:dyDescent="0.2">
      <c r="A49" s="22">
        <v>28</v>
      </c>
      <c r="B49" s="54" t="s">
        <v>71</v>
      </c>
      <c r="C49" s="55">
        <f>SUM(C50:C52)</f>
        <v>4657094</v>
      </c>
      <c r="D49" s="55">
        <f t="shared" ref="D49:E49" si="16">SUM(D50:D52)</f>
        <v>6073258</v>
      </c>
      <c r="E49" s="55">
        <f t="shared" si="16"/>
        <v>7820947</v>
      </c>
      <c r="F49" s="55">
        <f>SUM(F50:F52)</f>
        <v>9839895.2599999998</v>
      </c>
      <c r="G49" s="55">
        <f>SUM(G50:G52)</f>
        <v>9839895.2599999998</v>
      </c>
    </row>
    <row r="50" spans="1:12" ht="15" customHeight="1" x14ac:dyDescent="0.2">
      <c r="A50" s="1">
        <v>29</v>
      </c>
      <c r="B50" s="57" t="s">
        <v>72</v>
      </c>
      <c r="C50" s="58">
        <v>1800000</v>
      </c>
      <c r="D50" s="58">
        <v>1800000</v>
      </c>
      <c r="E50" s="58">
        <v>1800000</v>
      </c>
      <c r="F50" s="58">
        <v>1800000</v>
      </c>
      <c r="G50" s="51">
        <f>F50</f>
        <v>1800000</v>
      </c>
      <c r="I50" s="12">
        <f>E50+F16</f>
        <v>1800000</v>
      </c>
      <c r="K50" s="12">
        <f>C50+D16</f>
        <v>2340160</v>
      </c>
      <c r="L50" s="12">
        <f>D50+E16</f>
        <v>2433145</v>
      </c>
    </row>
    <row r="51" spans="1:12" ht="15" customHeight="1" x14ac:dyDescent="0.2">
      <c r="A51" s="1">
        <v>30</v>
      </c>
      <c r="B51" s="59" t="s">
        <v>73</v>
      </c>
      <c r="C51" s="120">
        <v>2857094</v>
      </c>
      <c r="D51" s="120">
        <v>4273258</v>
      </c>
      <c r="E51" s="120">
        <v>6020947</v>
      </c>
      <c r="F51" s="120">
        <f>6020945.83+2018949.43</f>
        <v>8039895.2599999998</v>
      </c>
      <c r="G51" s="51">
        <f>F51</f>
        <v>8039895.2599999998</v>
      </c>
    </row>
    <row r="52" spans="1:12" ht="16" customHeight="1" thickBot="1" x14ac:dyDescent="0.25">
      <c r="A52" s="1">
        <v>31</v>
      </c>
      <c r="B52" s="60" t="s">
        <v>74</v>
      </c>
      <c r="C52" s="61"/>
      <c r="D52" s="61"/>
      <c r="E52" s="61"/>
      <c r="F52" s="61"/>
      <c r="G52" s="62">
        <f>F52</f>
        <v>0</v>
      </c>
    </row>
    <row r="53" spans="1:12" ht="16" customHeight="1" thickBot="1" x14ac:dyDescent="0.25">
      <c r="A53" s="1">
        <v>32</v>
      </c>
      <c r="B53" s="63" t="s">
        <v>75</v>
      </c>
      <c r="C53" s="42">
        <f>C48+C49</f>
        <v>21251942</v>
      </c>
      <c r="D53" s="42">
        <f t="shared" ref="D53:G53" si="17">D48+D49</f>
        <v>21361613</v>
      </c>
      <c r="E53" s="42">
        <f t="shared" si="17"/>
        <v>27144645</v>
      </c>
      <c r="F53" s="42">
        <f t="shared" si="17"/>
        <v>34071285.950000003</v>
      </c>
      <c r="G53" s="43">
        <f t="shared" si="17"/>
        <v>34071285.950000003</v>
      </c>
    </row>
    <row r="54" spans="1:12" x14ac:dyDescent="0.2">
      <c r="B54" s="64"/>
      <c r="C54" s="65">
        <f>C34-C53</f>
        <v>0</v>
      </c>
      <c r="D54" s="65">
        <f t="shared" ref="D54:F54" si="18">D34-D53</f>
        <v>0</v>
      </c>
      <c r="E54" s="65">
        <f t="shared" si="18"/>
        <v>0</v>
      </c>
      <c r="F54" s="65">
        <f t="shared" si="18"/>
        <v>0</v>
      </c>
      <c r="G54" s="65"/>
    </row>
    <row r="55" spans="1:12" ht="15" customHeight="1" thickBot="1" x14ac:dyDescent="0.25">
      <c r="B55" s="64"/>
      <c r="C55" s="65"/>
      <c r="D55" s="65"/>
      <c r="E55" s="65"/>
      <c r="F55" s="65"/>
      <c r="G55" s="65"/>
    </row>
    <row r="56" spans="1:12" ht="16" customHeight="1" thickBot="1" x14ac:dyDescent="0.25">
      <c r="B56" s="41" t="s">
        <v>76</v>
      </c>
      <c r="C56" s="66">
        <f>SUM(C57:C60)</f>
        <v>0</v>
      </c>
      <c r="D56" s="66">
        <f t="shared" ref="D56:F56" si="19">SUM(D57:D60)</f>
        <v>0</v>
      </c>
      <c r="E56" s="66">
        <f t="shared" si="19"/>
        <v>0</v>
      </c>
      <c r="F56" s="67">
        <f t="shared" si="19"/>
        <v>0</v>
      </c>
    </row>
    <row r="57" spans="1:12" ht="15" customHeight="1" x14ac:dyDescent="0.2">
      <c r="B57" s="69" t="s">
        <v>77</v>
      </c>
      <c r="C57" s="70"/>
      <c r="D57" s="70"/>
      <c r="E57" s="70"/>
      <c r="F57" s="71"/>
    </row>
    <row r="58" spans="1:12" ht="15" customHeight="1" x14ac:dyDescent="0.2">
      <c r="B58" s="72" t="s">
        <v>78</v>
      </c>
      <c r="C58" s="121"/>
      <c r="D58" s="121"/>
      <c r="E58" s="121"/>
      <c r="F58" s="73"/>
    </row>
    <row r="59" spans="1:12" ht="15" customHeight="1" x14ac:dyDescent="0.2">
      <c r="B59" s="72" t="s">
        <v>79</v>
      </c>
      <c r="C59" s="121"/>
      <c r="D59" s="121"/>
      <c r="E59" s="121"/>
      <c r="F59" s="73"/>
    </row>
    <row r="60" spans="1:12" ht="16" customHeight="1" thickBot="1" x14ac:dyDescent="0.25">
      <c r="B60" s="74" t="s">
        <v>80</v>
      </c>
      <c r="C60" s="75"/>
      <c r="D60" s="75"/>
      <c r="E60" s="75"/>
      <c r="F60" s="76"/>
    </row>
    <row r="61" spans="1:12" ht="16" customHeight="1" thickBot="1" x14ac:dyDescent="0.25">
      <c r="B61" s="41" t="s">
        <v>81</v>
      </c>
      <c r="C61" s="66">
        <f>C34-C48-C56</f>
        <v>4657094</v>
      </c>
      <c r="D61" s="66">
        <f>D34-D48-D56</f>
        <v>6073258</v>
      </c>
      <c r="E61" s="66">
        <f>E34-E48-E56</f>
        <v>7820947</v>
      </c>
      <c r="F61" s="66">
        <f>F34-F48-F56</f>
        <v>9839895.2600000016</v>
      </c>
    </row>
    <row r="62" spans="1:12" ht="49" customHeight="1" thickBot="1" x14ac:dyDescent="0.25">
      <c r="B62" s="77" t="s">
        <v>82</v>
      </c>
      <c r="C62" s="12"/>
      <c r="D62" s="12"/>
      <c r="E62" s="12"/>
      <c r="F62" s="12"/>
    </row>
    <row r="63" spans="1:12" ht="16" customHeight="1" thickBot="1" x14ac:dyDescent="0.25">
      <c r="B63" s="41" t="s">
        <v>83</v>
      </c>
      <c r="C63" s="78">
        <v>3320000</v>
      </c>
      <c r="D63" s="78">
        <v>4920000</v>
      </c>
      <c r="E63" s="78">
        <v>24258950</v>
      </c>
      <c r="F63" s="79">
        <v>24257375.82</v>
      </c>
      <c r="G63"/>
    </row>
    <row r="64" spans="1:12" x14ac:dyDescent="0.2">
      <c r="B64" s="64"/>
      <c r="C64" s="68"/>
      <c r="D64" s="68"/>
      <c r="E64" s="68"/>
    </row>
    <row r="65" spans="1:7" x14ac:dyDescent="0.2">
      <c r="C65" s="68"/>
      <c r="D65" s="68"/>
      <c r="E65" s="68"/>
      <c r="F65" s="68"/>
    </row>
    <row r="66" spans="1:7" x14ac:dyDescent="0.2">
      <c r="C66" s="68"/>
      <c r="D66" s="68"/>
      <c r="E66" s="68"/>
    </row>
    <row r="67" spans="1:7" x14ac:dyDescent="0.2">
      <c r="C67" s="68"/>
      <c r="D67" s="68"/>
      <c r="E67" s="68"/>
    </row>
    <row r="68" spans="1:7" ht="15" customHeight="1" thickBot="1" x14ac:dyDescent="0.25">
      <c r="C68" s="68"/>
      <c r="D68" s="68"/>
      <c r="E68" s="68"/>
      <c r="F68" s="12">
        <f>E51+F17</f>
        <v>8039896.4299999978</v>
      </c>
    </row>
    <row r="69" spans="1:7" ht="15" customHeight="1" x14ac:dyDescent="0.2">
      <c r="B69" s="15" t="s">
        <v>41</v>
      </c>
      <c r="C69" s="16" t="str">
        <f t="shared" ref="C69:G73" si="20">C21</f>
        <v>31/12/2022</v>
      </c>
      <c r="D69" s="16" t="str">
        <f t="shared" si="20"/>
        <v>31/12/2023</v>
      </c>
      <c r="E69" s="16" t="str">
        <f t="shared" si="20"/>
        <v>31/12/2024</v>
      </c>
      <c r="F69" s="16" t="str">
        <f t="shared" si="20"/>
        <v>31/10/2025</v>
      </c>
      <c r="G69" s="17" t="str">
        <f t="shared" si="20"/>
        <v>31/10/2025</v>
      </c>
    </row>
    <row r="70" spans="1:7" ht="30" customHeight="1" x14ac:dyDescent="0.2">
      <c r="B70" s="18" t="s">
        <v>43</v>
      </c>
      <c r="C70" s="6" t="str">
        <f t="shared" si="20"/>
        <v>Audited -31/12/2022</v>
      </c>
      <c r="D70" s="6" t="str">
        <f t="shared" si="20"/>
        <v>Audited -31/12/2023</v>
      </c>
      <c r="E70" s="6" t="str">
        <f t="shared" si="20"/>
        <v>Audited-31/12/2024</v>
      </c>
      <c r="F70" s="6" t="str">
        <f t="shared" si="20"/>
        <v>Mgmt Acc-31/10/2025</v>
      </c>
      <c r="G70" s="19" t="str">
        <f t="shared" si="20"/>
        <v>Annualised-31/10/2025</v>
      </c>
    </row>
    <row r="71" spans="1:7" ht="16" customHeight="1" thickBot="1" x14ac:dyDescent="0.25">
      <c r="A71" s="22">
        <v>2</v>
      </c>
      <c r="B71" s="23" t="s">
        <v>45</v>
      </c>
      <c r="C71" s="113" t="str">
        <f t="shared" si="20"/>
        <v>Yes</v>
      </c>
      <c r="D71" s="113" t="str">
        <f t="shared" si="20"/>
        <v>Yes</v>
      </c>
      <c r="E71" s="113" t="str">
        <f t="shared" si="20"/>
        <v>Yes</v>
      </c>
      <c r="F71" s="113" t="str">
        <f t="shared" si="20"/>
        <v>N/A</v>
      </c>
      <c r="G71" s="24" t="str">
        <f t="shared" si="20"/>
        <v>N/A</v>
      </c>
    </row>
    <row r="72" spans="1:7" ht="15" customHeight="1" x14ac:dyDescent="0.2">
      <c r="A72" s="1">
        <f>A71+1</f>
        <v>3</v>
      </c>
      <c r="B72" s="27" t="s">
        <v>47</v>
      </c>
      <c r="C72" s="28">
        <f t="shared" si="20"/>
        <v>6397298</v>
      </c>
      <c r="D72" s="28">
        <f t="shared" si="20"/>
        <v>6188936</v>
      </c>
      <c r="E72" s="28">
        <f t="shared" si="20"/>
        <v>5008964</v>
      </c>
      <c r="F72" s="28">
        <f t="shared" si="20"/>
        <v>4949488</v>
      </c>
      <c r="G72" s="29">
        <f t="shared" si="20"/>
        <v>4949488</v>
      </c>
    </row>
    <row r="73" spans="1:7" ht="16" customHeight="1" thickBot="1" x14ac:dyDescent="0.25">
      <c r="A73" s="1">
        <f t="shared" ref="A73:A81" si="21">A72+1</f>
        <v>4</v>
      </c>
      <c r="B73" s="30" t="s">
        <v>49</v>
      </c>
      <c r="C73" s="115">
        <f t="shared" si="20"/>
        <v>14854644</v>
      </c>
      <c r="D73" s="115">
        <f t="shared" si="20"/>
        <v>15172677</v>
      </c>
      <c r="E73" s="115">
        <f t="shared" si="20"/>
        <v>22135681</v>
      </c>
      <c r="F73" s="115">
        <f t="shared" si="20"/>
        <v>29121797.949999999</v>
      </c>
      <c r="G73" s="31">
        <f t="shared" si="20"/>
        <v>29121797.949999999</v>
      </c>
    </row>
    <row r="74" spans="1:7" ht="16" customHeight="1" thickBot="1" x14ac:dyDescent="0.25">
      <c r="A74" s="1">
        <f t="shared" si="21"/>
        <v>5</v>
      </c>
      <c r="B74" s="41" t="s">
        <v>58</v>
      </c>
      <c r="C74" s="42">
        <f>C34</f>
        <v>21251942</v>
      </c>
      <c r="D74" s="42">
        <f t="shared" ref="D74:G75" si="22">D34</f>
        <v>21361613</v>
      </c>
      <c r="E74" s="42">
        <f t="shared" si="22"/>
        <v>27144645</v>
      </c>
      <c r="F74" s="42">
        <f t="shared" si="22"/>
        <v>34071285.950000003</v>
      </c>
      <c r="G74" s="43">
        <f t="shared" si="22"/>
        <v>34071285.950000003</v>
      </c>
    </row>
    <row r="75" spans="1:7" ht="15" customHeight="1" x14ac:dyDescent="0.2">
      <c r="A75" s="1">
        <f t="shared" si="21"/>
        <v>6</v>
      </c>
      <c r="B75" s="45" t="s">
        <v>59</v>
      </c>
      <c r="C75" s="46">
        <f>C35</f>
        <v>3079173</v>
      </c>
      <c r="D75" s="46">
        <f t="shared" si="22"/>
        <v>2638312</v>
      </c>
      <c r="E75" s="46">
        <f t="shared" si="22"/>
        <v>1826923</v>
      </c>
      <c r="F75" s="46">
        <f t="shared" si="22"/>
        <v>0</v>
      </c>
      <c r="G75" s="47">
        <f t="shared" si="22"/>
        <v>0</v>
      </c>
    </row>
    <row r="76" spans="1:7" ht="16" customHeight="1" thickBot="1" x14ac:dyDescent="0.25">
      <c r="A76" s="1">
        <f t="shared" si="21"/>
        <v>7</v>
      </c>
      <c r="B76" s="30" t="s">
        <v>65</v>
      </c>
      <c r="C76" s="115">
        <f>C39</f>
        <v>13515675</v>
      </c>
      <c r="D76" s="115">
        <f t="shared" ref="D76:G76" si="23">D39</f>
        <v>12650043</v>
      </c>
      <c r="E76" s="115">
        <f>E39</f>
        <v>17496775</v>
      </c>
      <c r="F76" s="115">
        <f t="shared" si="23"/>
        <v>24231390.690000001</v>
      </c>
      <c r="G76" s="31">
        <f t="shared" si="23"/>
        <v>24231390.690000001</v>
      </c>
    </row>
    <row r="77" spans="1:7" ht="16" customHeight="1" thickBot="1" x14ac:dyDescent="0.25">
      <c r="A77" s="1">
        <f t="shared" si="21"/>
        <v>8</v>
      </c>
      <c r="B77" s="41" t="s">
        <v>70</v>
      </c>
      <c r="C77" s="42">
        <f>C48</f>
        <v>16594848</v>
      </c>
      <c r="D77" s="42">
        <f t="shared" ref="D77:G77" si="24">D48</f>
        <v>15288355</v>
      </c>
      <c r="E77" s="42">
        <f t="shared" si="24"/>
        <v>19323698</v>
      </c>
      <c r="F77" s="42">
        <f t="shared" si="24"/>
        <v>24231390.690000001</v>
      </c>
      <c r="G77" s="43">
        <f t="shared" si="24"/>
        <v>24231390.690000001</v>
      </c>
    </row>
    <row r="78" spans="1:7" ht="15" customHeight="1" x14ac:dyDescent="0.2">
      <c r="A78" s="1">
        <v>9</v>
      </c>
      <c r="B78" s="57" t="s">
        <v>72</v>
      </c>
      <c r="C78" s="120">
        <f>C50</f>
        <v>1800000</v>
      </c>
      <c r="D78" s="120">
        <f t="shared" ref="D78:G78" si="25">D50</f>
        <v>1800000</v>
      </c>
      <c r="E78" s="58">
        <f t="shared" si="25"/>
        <v>1800000</v>
      </c>
      <c r="F78" s="58">
        <f t="shared" si="25"/>
        <v>1800000</v>
      </c>
      <c r="G78" s="51">
        <f t="shared" si="25"/>
        <v>1800000</v>
      </c>
    </row>
    <row r="79" spans="1:7" ht="15" customHeight="1" x14ac:dyDescent="0.2">
      <c r="A79" s="1">
        <v>10</v>
      </c>
      <c r="B79" s="59" t="s">
        <v>84</v>
      </c>
      <c r="C79" s="120">
        <f>C52</f>
        <v>0</v>
      </c>
      <c r="D79" s="120">
        <f t="shared" ref="D79:G79" si="26">D52</f>
        <v>0</v>
      </c>
      <c r="E79" s="120">
        <f t="shared" si="26"/>
        <v>0</v>
      </c>
      <c r="F79" s="120">
        <f t="shared" si="26"/>
        <v>0</v>
      </c>
      <c r="G79" s="51">
        <f t="shared" si="26"/>
        <v>0</v>
      </c>
    </row>
    <row r="80" spans="1:7" ht="15" customHeight="1" x14ac:dyDescent="0.2">
      <c r="A80" s="1">
        <f t="shared" si="21"/>
        <v>11</v>
      </c>
      <c r="B80" s="59" t="s">
        <v>85</v>
      </c>
      <c r="C80" s="120">
        <f>C51</f>
        <v>2857094</v>
      </c>
      <c r="D80" s="120">
        <f t="shared" ref="D80:G80" si="27">D51</f>
        <v>4273258</v>
      </c>
      <c r="E80" s="120">
        <f t="shared" si="27"/>
        <v>6020947</v>
      </c>
      <c r="F80" s="120">
        <f t="shared" si="27"/>
        <v>8039895.2599999998</v>
      </c>
      <c r="G80" s="51">
        <f t="shared" si="27"/>
        <v>8039895.2599999998</v>
      </c>
    </row>
    <row r="81" spans="1:7" ht="15" customHeight="1" x14ac:dyDescent="0.2">
      <c r="A81" s="1">
        <f t="shared" si="21"/>
        <v>12</v>
      </c>
      <c r="B81" s="59" t="s">
        <v>86</v>
      </c>
      <c r="C81" s="120">
        <v>0</v>
      </c>
      <c r="D81" s="120">
        <v>0</v>
      </c>
      <c r="E81" s="120">
        <v>0</v>
      </c>
      <c r="F81" s="120">
        <v>0</v>
      </c>
      <c r="G81" s="51">
        <v>0</v>
      </c>
    </row>
    <row r="82" spans="1:7" ht="16" customHeight="1" thickBot="1" x14ac:dyDescent="0.25">
      <c r="A82" s="1">
        <v>13</v>
      </c>
      <c r="B82" s="54" t="s">
        <v>71</v>
      </c>
      <c r="C82" s="55">
        <f>SUM(C78:C81)</f>
        <v>4657094</v>
      </c>
      <c r="D82" s="55">
        <f>SUM(D78:D81)</f>
        <v>6073258</v>
      </c>
      <c r="E82" s="55">
        <f>SUM(E78:E81)</f>
        <v>7820947</v>
      </c>
      <c r="F82" s="55">
        <f>SUM(F78:F81)</f>
        <v>9839895.2599999998</v>
      </c>
      <c r="G82" s="31">
        <f>SUM(G78:G81)</f>
        <v>9839895.2599999998</v>
      </c>
    </row>
    <row r="83" spans="1:7" ht="16" customHeight="1" thickBot="1" x14ac:dyDescent="0.25">
      <c r="A83" s="1">
        <v>14</v>
      </c>
      <c r="B83" s="41" t="s">
        <v>75</v>
      </c>
      <c r="C83" s="42">
        <f>C53</f>
        <v>21251942</v>
      </c>
      <c r="D83" s="42">
        <f t="shared" ref="D83:G83" si="28">D53</f>
        <v>21361613</v>
      </c>
      <c r="E83" s="42">
        <f t="shared" si="28"/>
        <v>27144645</v>
      </c>
      <c r="F83" s="42">
        <f t="shared" si="28"/>
        <v>34071285.950000003</v>
      </c>
      <c r="G83" s="42">
        <f t="shared" si="28"/>
        <v>34071285.950000003</v>
      </c>
    </row>
    <row r="85" spans="1:7" x14ac:dyDescent="0.2">
      <c r="C85" s="1" t="b">
        <f>C74=C83</f>
        <v>1</v>
      </c>
      <c r="D85" s="1" t="b">
        <f>D74=D83</f>
        <v>1</v>
      </c>
      <c r="E85" s="1" t="b">
        <f>E74=E83</f>
        <v>1</v>
      </c>
      <c r="F85" s="1" t="b">
        <f>F74=F83</f>
        <v>1</v>
      </c>
      <c r="G85" s="1" t="b">
        <f>G74=G83</f>
        <v>1</v>
      </c>
    </row>
    <row r="89" spans="1:7" ht="15" customHeight="1" x14ac:dyDescent="0.2">
      <c r="B89" s="89" t="s">
        <v>1</v>
      </c>
      <c r="C89" s="3" t="str">
        <f>C3</f>
        <v xml:space="preserve">Audited </v>
      </c>
      <c r="D89" s="3" t="str">
        <f t="shared" ref="D89:G89" si="29">D3</f>
        <v xml:space="preserve">Audited </v>
      </c>
      <c r="E89" s="3" t="str">
        <f t="shared" si="29"/>
        <v>Audited</v>
      </c>
      <c r="F89" s="3" t="str">
        <f t="shared" si="29"/>
        <v>Mgmt Acc</v>
      </c>
      <c r="G89" s="4" t="str">
        <f t="shared" si="29"/>
        <v>Annualised</v>
      </c>
    </row>
    <row r="90" spans="1:7" ht="15" customHeight="1" x14ac:dyDescent="0.2">
      <c r="B90" s="5" t="s">
        <v>6</v>
      </c>
      <c r="C90" s="3" t="str">
        <f t="shared" ref="C90:G92" si="30">C4</f>
        <v>31/12/2022</v>
      </c>
      <c r="D90" s="3" t="str">
        <f t="shared" si="30"/>
        <v>31/12/2023</v>
      </c>
      <c r="E90" s="6" t="str">
        <f t="shared" si="30"/>
        <v>31/12/2024</v>
      </c>
      <c r="F90" s="6" t="str">
        <f t="shared" si="30"/>
        <v>31/10/2025</v>
      </c>
      <c r="G90" s="6" t="str">
        <f t="shared" si="30"/>
        <v>31/10/2025</v>
      </c>
    </row>
    <row r="91" spans="1:7" ht="30" customHeight="1" x14ac:dyDescent="0.2">
      <c r="B91" s="5" t="s">
        <v>9</v>
      </c>
      <c r="C91" s="6" t="str">
        <f t="shared" si="30"/>
        <v>Audited -31/12/2022</v>
      </c>
      <c r="D91" s="6" t="str">
        <f t="shared" si="30"/>
        <v>Audited -31/12/2023</v>
      </c>
      <c r="E91" s="6" t="str">
        <f t="shared" si="30"/>
        <v>Audited-31/12/2024</v>
      </c>
      <c r="F91" s="6" t="str">
        <f t="shared" si="30"/>
        <v>Mgmt Acc-31/10/2025</v>
      </c>
      <c r="G91" s="6" t="str">
        <f t="shared" si="30"/>
        <v>Annualised-31/10/2025</v>
      </c>
    </row>
    <row r="92" spans="1:7" ht="15" customHeight="1" x14ac:dyDescent="0.2">
      <c r="A92" s="1">
        <v>2</v>
      </c>
      <c r="B92" s="90" t="s">
        <v>12</v>
      </c>
      <c r="C92" s="91">
        <f>C6</f>
        <v>18781935</v>
      </c>
      <c r="D92" s="91">
        <f t="shared" si="30"/>
        <v>21692183</v>
      </c>
      <c r="E92" s="91">
        <f t="shared" si="30"/>
        <v>31614043</v>
      </c>
      <c r="F92" s="91">
        <f t="shared" si="30"/>
        <v>28838267.710000001</v>
      </c>
      <c r="G92" s="92">
        <f>IF($G$2&lt;365,$F92*365/$G$2,$F92)</f>
        <v>35086559.047166668</v>
      </c>
    </row>
    <row r="93" spans="1:7" ht="15" customHeight="1" x14ac:dyDescent="0.2">
      <c r="A93" s="1">
        <v>3</v>
      </c>
      <c r="B93" s="102" t="s">
        <v>87</v>
      </c>
      <c r="C93" s="103">
        <f>SUM(C16:C17)</f>
        <v>1124730</v>
      </c>
      <c r="D93" s="103">
        <f>SUM(D16:D17)</f>
        <v>1956324</v>
      </c>
      <c r="E93" s="103">
        <f>SUM(E16:E17)</f>
        <v>2380834</v>
      </c>
      <c r="F93" s="103">
        <f>SUM(F16:F17)</f>
        <v>2018949.4299999983</v>
      </c>
      <c r="G93" s="103">
        <f>SUM(G16:G17)</f>
        <v>2452662.2853333321</v>
      </c>
    </row>
    <row r="94" spans="1:7" ht="15" customHeight="1" x14ac:dyDescent="0.2">
      <c r="A94" s="1">
        <v>4</v>
      </c>
      <c r="B94" s="102" t="s">
        <v>88</v>
      </c>
      <c r="C94" s="103">
        <f>C17</f>
        <v>774574</v>
      </c>
      <c r="D94" s="103">
        <f t="shared" ref="D94:G95" si="31">D17</f>
        <v>1416164</v>
      </c>
      <c r="E94" s="103">
        <f t="shared" si="31"/>
        <v>1747689</v>
      </c>
      <c r="F94" s="103">
        <f t="shared" si="31"/>
        <v>2018949.4299999983</v>
      </c>
      <c r="G94" s="103">
        <f t="shared" si="31"/>
        <v>2452662.2853333321</v>
      </c>
    </row>
    <row r="95" spans="1:7" ht="15" customHeight="1" x14ac:dyDescent="0.2">
      <c r="A95" s="1">
        <v>5</v>
      </c>
      <c r="B95" s="90" t="s">
        <v>89</v>
      </c>
      <c r="C95" s="97">
        <f>C18</f>
        <v>0</v>
      </c>
      <c r="D95" s="97">
        <f t="shared" si="31"/>
        <v>0</v>
      </c>
      <c r="E95" s="97">
        <f t="shared" si="31"/>
        <v>0</v>
      </c>
      <c r="F95" s="97">
        <f t="shared" si="31"/>
        <v>0</v>
      </c>
      <c r="G95" s="106">
        <f t="shared" si="31"/>
        <v>0</v>
      </c>
    </row>
    <row r="96" spans="1:7" ht="15" customHeight="1" x14ac:dyDescent="0.2">
      <c r="A96" s="1">
        <v>6</v>
      </c>
      <c r="B96" s="90" t="s">
        <v>90</v>
      </c>
      <c r="C96" s="97">
        <v>0</v>
      </c>
      <c r="D96" s="97">
        <v>0</v>
      </c>
      <c r="E96" s="97">
        <v>0</v>
      </c>
      <c r="F96" s="97">
        <v>0</v>
      </c>
      <c r="G96" s="106">
        <v>0</v>
      </c>
    </row>
  </sheetData>
  <dataValidations count="1">
    <dataValidation type="list" allowBlank="1" showInputMessage="1" showErrorMessage="1" sqref="J28 C71:G71 C23:G23" xr:uid="{00000000-0002-0000-0000-000000000000}">
      <formula1>$X$3:$X$5</formula1>
    </dataValidation>
  </dataValidations>
  <pageMargins left="0.11811023622047249" right="0.11811023622047249" top="0.15748031496062989" bottom="0.15748031496062989" header="0.31496062992125978" footer="0.31496062992125978"/>
  <pageSetup paperSize="9" scale="44" fitToHeight="7"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workbookViewId="0"/>
  </sheetViews>
  <sheetFormatPr baseColWidth="10" defaultColWidth="8.83203125" defaultRowHeight="15" x14ac:dyDescent="0.2"/>
  <cols>
    <col min="1" max="1" width="32" customWidth="1"/>
    <col min="2" max="2" width="60" customWidth="1"/>
  </cols>
  <sheetData>
    <row r="1" spans="1:2" ht="19" x14ac:dyDescent="0.25">
      <c r="A1" s="80" t="s">
        <v>91</v>
      </c>
    </row>
    <row r="3" spans="1:2" x14ac:dyDescent="0.2">
      <c r="A3" s="85" t="s">
        <v>92</v>
      </c>
      <c r="B3" s="86"/>
    </row>
    <row r="4" spans="1:2" x14ac:dyDescent="0.2">
      <c r="A4" s="81" t="s">
        <v>93</v>
      </c>
      <c r="B4" s="82" t="s">
        <v>91</v>
      </c>
    </row>
    <row r="5" spans="1:2" x14ac:dyDescent="0.2">
      <c r="A5" s="81" t="s">
        <v>94</v>
      </c>
      <c r="B5" s="82" t="s">
        <v>95</v>
      </c>
    </row>
    <row r="6" spans="1:2" x14ac:dyDescent="0.2">
      <c r="A6" s="81" t="s">
        <v>96</v>
      </c>
      <c r="B6" s="82" t="s">
        <v>97</v>
      </c>
    </row>
    <row r="8" spans="1:2" x14ac:dyDescent="0.2">
      <c r="A8" s="85" t="s">
        <v>98</v>
      </c>
      <c r="B8" s="86"/>
    </row>
    <row r="9" spans="1:2" x14ac:dyDescent="0.2">
      <c r="A9" s="81" t="s">
        <v>99</v>
      </c>
      <c r="B9" s="82" t="s">
        <v>100</v>
      </c>
    </row>
    <row r="10" spans="1:2" x14ac:dyDescent="0.2">
      <c r="A10" s="81" t="s">
        <v>101</v>
      </c>
      <c r="B10" s="82" t="s">
        <v>102</v>
      </c>
    </row>
    <row r="11" spans="1:2" x14ac:dyDescent="0.2">
      <c r="A11" s="81" t="s">
        <v>103</v>
      </c>
      <c r="B11" s="82" t="s">
        <v>104</v>
      </c>
    </row>
    <row r="12" spans="1:2" x14ac:dyDescent="0.2">
      <c r="A12" s="81" t="s">
        <v>105</v>
      </c>
      <c r="B12" s="82" t="s">
        <v>106</v>
      </c>
    </row>
    <row r="14" spans="1:2" x14ac:dyDescent="0.2">
      <c r="A14" s="85" t="s">
        <v>107</v>
      </c>
      <c r="B14" s="86"/>
    </row>
    <row r="15" spans="1:2" x14ac:dyDescent="0.2">
      <c r="A15" s="81" t="s">
        <v>108</v>
      </c>
      <c r="B15" s="82" t="s">
        <v>109</v>
      </c>
    </row>
    <row r="16" spans="1:2" x14ac:dyDescent="0.2">
      <c r="A16" s="81" t="s">
        <v>110</v>
      </c>
      <c r="B16" s="82" t="s">
        <v>111</v>
      </c>
    </row>
    <row r="17" spans="1:2" x14ac:dyDescent="0.2">
      <c r="A17" s="81" t="s">
        <v>112</v>
      </c>
      <c r="B17" s="82" t="s">
        <v>113</v>
      </c>
    </row>
    <row r="18" spans="1:2" x14ac:dyDescent="0.2">
      <c r="A18" s="81" t="s">
        <v>114</v>
      </c>
      <c r="B18" s="82" t="s">
        <v>109</v>
      </c>
    </row>
    <row r="19" spans="1:2" x14ac:dyDescent="0.2">
      <c r="A19" s="81" t="s">
        <v>115</v>
      </c>
      <c r="B19" s="82" t="s">
        <v>116</v>
      </c>
    </row>
    <row r="20" spans="1:2" x14ac:dyDescent="0.2">
      <c r="A20" s="81" t="s">
        <v>117</v>
      </c>
      <c r="B20" s="82" t="s">
        <v>118</v>
      </c>
    </row>
    <row r="22" spans="1:2" x14ac:dyDescent="0.2">
      <c r="A22" s="85" t="s">
        <v>119</v>
      </c>
      <c r="B22" s="86"/>
    </row>
    <row r="23" spans="1:2" x14ac:dyDescent="0.2">
      <c r="A23" s="81" t="s">
        <v>120</v>
      </c>
      <c r="B23" s="82" t="s">
        <v>121</v>
      </c>
    </row>
    <row r="24" spans="1:2" x14ac:dyDescent="0.2">
      <c r="A24" s="81" t="s">
        <v>122</v>
      </c>
      <c r="B24" s="82" t="s">
        <v>121</v>
      </c>
    </row>
    <row r="25" spans="1:2" x14ac:dyDescent="0.2">
      <c r="A25" s="81" t="s">
        <v>123</v>
      </c>
      <c r="B25" s="82" t="s">
        <v>106</v>
      </c>
    </row>
    <row r="26" spans="1:2" x14ac:dyDescent="0.2">
      <c r="A26" s="81" t="s">
        <v>124</v>
      </c>
      <c r="B26" s="82" t="s">
        <v>125</v>
      </c>
    </row>
    <row r="28" spans="1:2" x14ac:dyDescent="0.2">
      <c r="A28" s="85" t="s">
        <v>126</v>
      </c>
      <c r="B28" s="86"/>
    </row>
    <row r="29" spans="1:2" x14ac:dyDescent="0.2">
      <c r="A29" s="81" t="s">
        <v>127</v>
      </c>
      <c r="B29" s="82" t="s">
        <v>128</v>
      </c>
    </row>
    <row r="30" spans="1:2" x14ac:dyDescent="0.2">
      <c r="A30" s="81" t="s">
        <v>129</v>
      </c>
      <c r="B30" s="82" t="s">
        <v>121</v>
      </c>
    </row>
    <row r="31" spans="1:2" x14ac:dyDescent="0.2">
      <c r="A31" s="81" t="s">
        <v>130</v>
      </c>
      <c r="B31" s="82" t="s">
        <v>95</v>
      </c>
    </row>
    <row r="32" spans="1:2" x14ac:dyDescent="0.2">
      <c r="A32" s="81" t="s">
        <v>131</v>
      </c>
      <c r="B32" s="82" t="s">
        <v>132</v>
      </c>
    </row>
    <row r="33" spans="1:2" x14ac:dyDescent="0.2">
      <c r="A33" s="81" t="s">
        <v>133</v>
      </c>
      <c r="B33" s="82"/>
    </row>
  </sheetData>
  <mergeCells count="5">
    <mergeCell ref="A28:B28"/>
    <mergeCell ref="A14:B14"/>
    <mergeCell ref="A8:B8"/>
    <mergeCell ref="A3:B3"/>
    <mergeCell ref="A22:B2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heetViews>
  <sheetFormatPr baseColWidth="10" defaultColWidth="8.83203125" defaultRowHeight="15" x14ac:dyDescent="0.2"/>
  <cols>
    <col min="1" max="1" width="38" customWidth="1"/>
    <col min="2" max="2" width="20" customWidth="1"/>
    <col min="3" max="3" width="50" customWidth="1"/>
  </cols>
  <sheetData>
    <row r="1" spans="1:3" x14ac:dyDescent="0.2">
      <c r="A1" s="85" t="s">
        <v>134</v>
      </c>
      <c r="B1" s="86"/>
      <c r="C1" s="86"/>
    </row>
    <row r="3" spans="1:3" x14ac:dyDescent="0.2">
      <c r="A3" s="81" t="s">
        <v>135</v>
      </c>
      <c r="B3" s="83" t="s">
        <v>91</v>
      </c>
      <c r="C3" s="82" t="s">
        <v>136</v>
      </c>
    </row>
    <row r="4" spans="1:3" x14ac:dyDescent="0.2">
      <c r="A4" s="81" t="s">
        <v>94</v>
      </c>
      <c r="B4" s="83" t="s">
        <v>95</v>
      </c>
      <c r="C4" s="82"/>
    </row>
    <row r="5" spans="1:3" x14ac:dyDescent="0.2">
      <c r="A5" s="81" t="s">
        <v>137</v>
      </c>
      <c r="B5" s="84" t="s">
        <v>109</v>
      </c>
      <c r="C5" s="82" t="s">
        <v>113</v>
      </c>
    </row>
    <row r="6" spans="1:3" x14ac:dyDescent="0.2">
      <c r="A6" s="81" t="s">
        <v>138</v>
      </c>
      <c r="B6" s="84" t="s">
        <v>109</v>
      </c>
      <c r="C6" s="82" t="s">
        <v>118</v>
      </c>
    </row>
    <row r="7" spans="1:3" x14ac:dyDescent="0.2">
      <c r="A7" s="81" t="s">
        <v>139</v>
      </c>
      <c r="B7" s="83" t="s">
        <v>140</v>
      </c>
      <c r="C7" s="82"/>
    </row>
    <row r="8" spans="1:3" x14ac:dyDescent="0.2">
      <c r="A8" s="81" t="s">
        <v>141</v>
      </c>
      <c r="B8" s="83" t="s">
        <v>132</v>
      </c>
      <c r="C8" s="82"/>
    </row>
    <row r="9" spans="1:3" x14ac:dyDescent="0.2">
      <c r="A9" s="81" t="s">
        <v>142</v>
      </c>
      <c r="B9" s="83" t="s">
        <v>143</v>
      </c>
      <c r="C9" s="82"/>
    </row>
    <row r="11" spans="1:3" x14ac:dyDescent="0.2">
      <c r="A11" s="85" t="s">
        <v>144</v>
      </c>
      <c r="B11" s="86"/>
      <c r="C11" s="86"/>
    </row>
    <row r="12" spans="1:3" x14ac:dyDescent="0.2">
      <c r="A12" s="81" t="s">
        <v>145</v>
      </c>
      <c r="B12" s="83" t="s">
        <v>146</v>
      </c>
      <c r="C12" s="82"/>
    </row>
    <row r="13" spans="1:3" x14ac:dyDescent="0.2">
      <c r="A13" s="81" t="s">
        <v>147</v>
      </c>
      <c r="B13" s="83" t="s">
        <v>146</v>
      </c>
      <c r="C13" s="82"/>
    </row>
    <row r="14" spans="1:3" x14ac:dyDescent="0.2">
      <c r="A14" s="81" t="s">
        <v>148</v>
      </c>
      <c r="B14" s="83" t="s">
        <v>146</v>
      </c>
      <c r="C14" s="82"/>
    </row>
    <row r="15" spans="1:3" x14ac:dyDescent="0.2">
      <c r="A15" s="81" t="s">
        <v>149</v>
      </c>
      <c r="B15" s="83" t="s">
        <v>146</v>
      </c>
      <c r="C15" s="82"/>
    </row>
    <row r="18" spans="1:3" x14ac:dyDescent="0.2">
      <c r="A18" s="85" t="s">
        <v>150</v>
      </c>
      <c r="B18" s="86"/>
      <c r="C18" s="86"/>
    </row>
    <row r="19" spans="1:3" ht="21" x14ac:dyDescent="0.25">
      <c r="A19" s="87" t="s">
        <v>151</v>
      </c>
      <c r="B19" s="86"/>
      <c r="C19" s="86"/>
    </row>
  </sheetData>
  <mergeCells count="4">
    <mergeCell ref="A1:C1"/>
    <mergeCell ref="A18:C18"/>
    <mergeCell ref="A19:C19"/>
    <mergeCell ref="A11:C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 of Information</vt:lpstr>
      <vt:lpstr>auditor</vt:lpstr>
      <vt:lpstr>CreditFlag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Kian Hou</dc:creator>
  <cp:lastModifiedBy>Szekiat</cp:lastModifiedBy>
  <dcterms:created xsi:type="dcterms:W3CDTF">2026-04-23T07:59:28Z</dcterms:created>
  <dcterms:modified xsi:type="dcterms:W3CDTF">2026-04-26T03:44:33Z</dcterms:modified>
</cp:coreProperties>
</file>