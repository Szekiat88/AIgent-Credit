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Sas Teknik Sdn Bhd/Credit Underwriting/"/>
    </mc:Choice>
  </mc:AlternateContent>
  <xr:revisionPtr revIDLastSave="1774" documentId="8_{1DB93CF1-7E60-480C-8381-A284F293C7A0}" xr6:coauthVersionLast="47" xr6:coauthVersionMax="47" xr10:uidLastSave="{0E11E825-406D-4259-A8AE-1F401590A8CE}"/>
  <bookViews>
    <workbookView xWindow="-98" yWindow="-98" windowWidth="21795" windowHeight="13875" firstSheet="8" activeTab="10"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WCR Calculation " sheetId="55"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s>
  <externalReferences>
    <externalReference r:id="rId22"/>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Checklist'!$A$1:$M$67,'Drawdown Checklist'!$A$69:$M$90</definedName>
    <definedName name="_xlnm.Print_Area" localSheetId="4">'Knock-Out'!$B$1:$U$85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 i="14" l="1"/>
  <c r="E45" i="14"/>
  <c r="E31" i="14"/>
  <c r="F31" i="14"/>
  <c r="E42" i="14"/>
  <c r="E33" i="14"/>
  <c r="E10" i="14"/>
  <c r="E11" i="14" s="1"/>
  <c r="F45" i="14"/>
  <c r="F36" i="14"/>
  <c r="F42" i="14"/>
  <c r="F33" i="14"/>
  <c r="F10" i="14"/>
  <c r="F11" i="14"/>
  <c r="D31" i="14"/>
  <c r="C31" i="14"/>
  <c r="D10" i="14"/>
  <c r="D11" i="14" s="1"/>
  <c r="C10" i="14"/>
  <c r="C11" i="14" s="1"/>
  <c r="I26" i="14" l="1"/>
  <c r="H10" i="14"/>
  <c r="H11" i="14"/>
  <c r="E260" i="15"/>
  <c r="S50" i="51" l="1"/>
  <c r="E242" i="15"/>
  <c r="F242" i="15" s="1"/>
  <c r="I35" i="16"/>
  <c r="G35" i="16"/>
  <c r="F35" i="16"/>
  <c r="E35" i="16"/>
  <c r="D35" i="16"/>
  <c r="C35" i="16"/>
  <c r="B35" i="16"/>
  <c r="I34" i="16"/>
  <c r="G34" i="16"/>
  <c r="F34" i="16"/>
  <c r="E34" i="16"/>
  <c r="D34" i="16"/>
  <c r="B34" i="16"/>
  <c r="C34" i="16"/>
  <c r="H28" i="16"/>
  <c r="H27" i="16"/>
  <c r="H26" i="16"/>
  <c r="H25" i="16"/>
  <c r="H24" i="16"/>
  <c r="H23" i="16"/>
  <c r="H19" i="16"/>
  <c r="H18" i="16"/>
  <c r="H17" i="16"/>
  <c r="H16" i="16"/>
  <c r="H15" i="16"/>
  <c r="H14" i="16"/>
  <c r="I33" i="16" l="1"/>
  <c r="G33" i="16"/>
  <c r="F33" i="16"/>
  <c r="E33" i="16"/>
  <c r="D33" i="16"/>
  <c r="C33" i="16"/>
  <c r="B33" i="16"/>
  <c r="AA11" i="51"/>
  <c r="M15" i="14"/>
  <c r="C8" i="55" s="1"/>
  <c r="L14" i="14"/>
  <c r="D17" i="55"/>
  <c r="D11" i="55"/>
  <c r="D12" i="55" s="1"/>
  <c r="M14" i="14" l="1"/>
  <c r="M16" i="14"/>
  <c r="C9" i="55" s="1"/>
  <c r="L32" i="52"/>
  <c r="M32" i="52"/>
  <c r="I36" i="52"/>
  <c r="L36" i="52"/>
  <c r="I37" i="52"/>
  <c r="M17" i="14" l="1"/>
  <c r="C11" i="55" s="1"/>
  <c r="C12" i="55" s="1"/>
  <c r="C7" i="55"/>
  <c r="L38" i="52"/>
  <c r="L37" i="52"/>
  <c r="Q50" i="51"/>
  <c r="O50" i="51"/>
  <c r="M50" i="51"/>
  <c r="F56" i="14"/>
  <c r="E56" i="14"/>
  <c r="D56" i="14"/>
  <c r="C56" i="14"/>
  <c r="F11" i="16" l="1"/>
  <c r="G6" i="14" l="1"/>
  <c r="C3" i="55" s="1"/>
  <c r="C14" i="55" l="1"/>
  <c r="C18" i="55" s="1"/>
  <c r="D3" i="55"/>
  <c r="D14" i="55" s="1"/>
  <c r="D18" i="55" s="1"/>
  <c r="E22" i="14"/>
  <c r="D5" i="14"/>
  <c r="F80" i="14"/>
  <c r="D21" i="14" l="1"/>
  <c r="E21" i="14"/>
  <c r="J41" i="14" l="1"/>
  <c r="L6" i="14"/>
  <c r="G8" i="9"/>
  <c r="A16" i="39" l="1"/>
  <c r="A17" i="39" s="1"/>
  <c r="A15" i="39"/>
  <c r="F13" i="39"/>
  <c r="E13" i="39"/>
  <c r="D13" i="39"/>
  <c r="C13" i="39"/>
  <c r="F12" i="39"/>
  <c r="E12" i="39"/>
  <c r="D12" i="39"/>
  <c r="C12" i="39"/>
  <c r="A8" i="39"/>
  <c r="A7" i="39"/>
  <c r="F95" i="14"/>
  <c r="E95" i="14"/>
  <c r="D95" i="14"/>
  <c r="C95" i="14"/>
  <c r="F92" i="14"/>
  <c r="G92" i="14" s="1"/>
  <c r="E92" i="14"/>
  <c r="D92" i="14"/>
  <c r="C92" i="14"/>
  <c r="F90" i="14"/>
  <c r="E90" i="14"/>
  <c r="D90" i="14"/>
  <c r="C90" i="14"/>
  <c r="G89" i="14"/>
  <c r="F89" i="14"/>
  <c r="E89" i="14"/>
  <c r="D89" i="14"/>
  <c r="C89" i="14"/>
  <c r="E80" i="14"/>
  <c r="D80" i="14"/>
  <c r="C80" i="14"/>
  <c r="A80" i="14"/>
  <c r="A81" i="14" s="1"/>
  <c r="F79" i="14"/>
  <c r="E79" i="14"/>
  <c r="D79" i="14"/>
  <c r="C79" i="14"/>
  <c r="F78" i="14"/>
  <c r="E78" i="14"/>
  <c r="D78" i="14"/>
  <c r="C78" i="14"/>
  <c r="F72" i="14"/>
  <c r="E72" i="14"/>
  <c r="D72" i="14"/>
  <c r="C72" i="14"/>
  <c r="A72" i="14"/>
  <c r="A73" i="14" s="1"/>
  <c r="A74" i="14" s="1"/>
  <c r="A75" i="14" s="1"/>
  <c r="A76" i="14" s="1"/>
  <c r="A77" i="14" s="1"/>
  <c r="G71" i="14"/>
  <c r="F71" i="14"/>
  <c r="E71" i="14"/>
  <c r="D71" i="14"/>
  <c r="C71" i="14"/>
  <c r="C82" i="14" l="1"/>
  <c r="D82" i="14"/>
  <c r="E82" i="14"/>
  <c r="F82" i="14"/>
  <c r="A18" i="39"/>
  <c r="A9" i="39"/>
  <c r="A10" i="39" l="1"/>
  <c r="A19" i="39"/>
  <c r="A20" i="39" l="1"/>
  <c r="F49" i="14"/>
  <c r="D49" i="14"/>
  <c r="K11" i="14" s="1"/>
  <c r="E49" i="14"/>
  <c r="L11" i="14" s="1"/>
  <c r="C49" i="14"/>
  <c r="J11" i="14" s="1"/>
  <c r="G52" i="14"/>
  <c r="G79" i="14" s="1"/>
  <c r="J38" i="14" l="1"/>
  <c r="M11" i="14"/>
  <c r="K20" i="52" s="1"/>
  <c r="J42" i="14"/>
  <c r="A21" i="39"/>
  <c r="G15" i="14"/>
  <c r="G9" i="14"/>
  <c r="L23" i="14"/>
  <c r="G51" i="14"/>
  <c r="G80" i="14" s="1"/>
  <c r="G50" i="14"/>
  <c r="G78" i="14" s="1"/>
  <c r="F8" i="14"/>
  <c r="F12" i="14" s="1"/>
  <c r="F14" i="14" s="1"/>
  <c r="F17" i="14" s="1"/>
  <c r="C8" i="14"/>
  <c r="K14" i="14"/>
  <c r="K15" i="14"/>
  <c r="J23" i="14"/>
  <c r="E8" i="14"/>
  <c r="E12" i="14" s="1"/>
  <c r="D8" i="14"/>
  <c r="D12" i="14" s="1"/>
  <c r="D14" i="14" s="1"/>
  <c r="D17" i="14" s="1"/>
  <c r="D19" i="14" l="1"/>
  <c r="J51" i="14"/>
  <c r="M19" i="14"/>
  <c r="L51" i="14"/>
  <c r="G82" i="14"/>
  <c r="D93" i="14"/>
  <c r="D94" i="14"/>
  <c r="A22" i="39"/>
  <c r="G49" i="14"/>
  <c r="F19" i="14"/>
  <c r="K19" i="14"/>
  <c r="K21" i="14"/>
  <c r="M12" i="14"/>
  <c r="C12" i="14"/>
  <c r="C14" i="14" s="1"/>
  <c r="C17" i="14" s="1"/>
  <c r="C19" i="14" s="1"/>
  <c r="E14" i="14"/>
  <c r="E17" i="14" s="1"/>
  <c r="E19" i="14" l="1"/>
  <c r="L24" i="14" s="1"/>
  <c r="K51" i="14"/>
  <c r="E94" i="14"/>
  <c r="E93" i="14"/>
  <c r="K24" i="14"/>
  <c r="C93" i="14"/>
  <c r="C94" i="14"/>
  <c r="F93" i="14"/>
  <c r="F94" i="14"/>
  <c r="A23" i="39"/>
  <c r="F68" i="14"/>
  <c r="M21" i="14"/>
  <c r="L21" i="14"/>
  <c r="L22" i="14"/>
  <c r="L19" i="14"/>
  <c r="J21" i="14"/>
  <c r="J22" i="14"/>
  <c r="J24" i="14" l="1"/>
  <c r="M24" i="14"/>
  <c r="A24" i="39"/>
  <c r="K23" i="14"/>
  <c r="M23" i="14"/>
  <c r="K22" i="14"/>
  <c r="M22" i="14"/>
  <c r="G18" i="14"/>
  <c r="J15" i="14"/>
  <c r="J19" i="14"/>
  <c r="N23" i="14" l="1"/>
  <c r="G95"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5" i="14" s="1"/>
  <c r="F41" i="14"/>
  <c r="E35" i="14"/>
  <c r="E75" i="14" s="1"/>
  <c r="E41" i="14"/>
  <c r="G29" i="14"/>
  <c r="G43" i="14"/>
  <c r="G44" i="14"/>
  <c r="J12" i="14"/>
  <c r="C5" i="14"/>
  <c r="E27" i="14"/>
  <c r="E25" i="14" s="1"/>
  <c r="E73" i="14" s="1"/>
  <c r="G26" i="14"/>
  <c r="H10" i="9" s="1"/>
  <c r="G28" i="14"/>
  <c r="G30" i="14"/>
  <c r="G31" i="14"/>
  <c r="G32" i="14"/>
  <c r="H11" i="9" s="1"/>
  <c r="G33" i="14"/>
  <c r="G42" i="14"/>
  <c r="G45" i="14"/>
  <c r="G46" i="14"/>
  <c r="G47" i="14"/>
  <c r="G36" i="14"/>
  <c r="G37" i="14"/>
  <c r="G38" i="14"/>
  <c r="L15" i="14"/>
  <c r="L16" i="14"/>
  <c r="G24" i="14"/>
  <c r="G72" i="14" s="1"/>
  <c r="C41" i="14"/>
  <c r="D27" i="14"/>
  <c r="D25" i="14" s="1"/>
  <c r="D73" i="14" s="1"/>
  <c r="D41" i="14"/>
  <c r="C35" i="14"/>
  <c r="C75" i="14" s="1"/>
  <c r="D35" i="14"/>
  <c r="D75" i="14" s="1"/>
  <c r="J16" i="14"/>
  <c r="K16" i="14"/>
  <c r="K6" i="14"/>
  <c r="F27" i="14"/>
  <c r="F25" i="14" s="1"/>
  <c r="N3" i="14"/>
  <c r="M3" i="14"/>
  <c r="L3" i="14"/>
  <c r="K3" i="14"/>
  <c r="J3" i="14"/>
  <c r="D12" i="15"/>
  <c r="F12" i="15"/>
  <c r="F24" i="8"/>
  <c r="M6" i="14"/>
  <c r="H11" i="16"/>
  <c r="H33" i="16" s="1"/>
  <c r="F20" i="16"/>
  <c r="I20" i="16" s="1"/>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H56" i="15" s="1"/>
  <c r="F57" i="15"/>
  <c r="H57" i="15"/>
  <c r="F293" i="15"/>
  <c r="F58" i="15" s="1"/>
  <c r="P46" i="15"/>
  <c r="R46" i="15"/>
  <c r="P47" i="15"/>
  <c r="R47" i="15"/>
  <c r="P48" i="15"/>
  <c r="R48" i="15"/>
  <c r="P49" i="15"/>
  <c r="R49" i="15"/>
  <c r="P50" i="15"/>
  <c r="R50" i="15"/>
  <c r="P51" i="15"/>
  <c r="R51" i="15"/>
  <c r="P52" i="15"/>
  <c r="R52" i="15"/>
  <c r="P53" i="15"/>
  <c r="R53" i="15"/>
  <c r="P221" i="15"/>
  <c r="P54" i="15" s="1"/>
  <c r="R54" i="15" s="1"/>
  <c r="P239" i="15"/>
  <c r="P55" i="15" s="1"/>
  <c r="R55" i="15" s="1"/>
  <c r="S55" i="15" s="1"/>
  <c r="P257" i="15"/>
  <c r="P56" i="15"/>
  <c r="R56" i="15"/>
  <c r="P57" i="15"/>
  <c r="R57" i="15"/>
  <c r="P293" i="15"/>
  <c r="P58" i="15" s="1"/>
  <c r="H62" i="15"/>
  <c r="I62" i="15"/>
  <c r="I77" i="15" s="1"/>
  <c r="G46" i="15" s="1"/>
  <c r="I46" i="15" s="1"/>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I113" i="15" s="1"/>
  <c r="G48" i="15" s="1"/>
  <c r="I48" i="15" s="1"/>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H116" i="15"/>
  <c r="I116" i="15"/>
  <c r="I131" i="15" s="1"/>
  <c r="G49" i="15" s="1"/>
  <c r="I49" i="15" s="1"/>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4" i="15"/>
  <c r="I134" i="15"/>
  <c r="I149" i="15" s="1"/>
  <c r="G50" i="15" s="1"/>
  <c r="I50" i="15" s="1"/>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I185" i="15" s="1"/>
  <c r="G52" i="15" s="1"/>
  <c r="I52" i="15" s="1"/>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H188" i="15"/>
  <c r="I188" i="15"/>
  <c r="I203" i="15" s="1"/>
  <c r="G53" i="15" s="1"/>
  <c r="I53" i="15" s="1"/>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6" i="16"/>
  <c r="F36"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35" i="16" s="1"/>
  <c r="H20" i="16"/>
  <c r="H34" i="16" s="1"/>
  <c r="D36" i="16"/>
  <c r="E36"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9" i="14" s="1"/>
  <c r="N67" i="9"/>
  <c r="N66" i="9"/>
  <c r="N65" i="9"/>
  <c r="J4" i="14"/>
  <c r="E69" i="14"/>
  <c r="D69" i="14"/>
  <c r="C21" i="14"/>
  <c r="C69" i="14" s="1"/>
  <c r="Z293" i="15"/>
  <c r="Z58" i="15" s="1"/>
  <c r="Y293" i="15"/>
  <c r="Y58" i="15" s="1"/>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s="1"/>
  <c r="AC55" i="15" s="1"/>
  <c r="Y239" i="15"/>
  <c r="Y55" i="15" s="1"/>
  <c r="X239" i="15"/>
  <c r="X55" i="15" s="1"/>
  <c r="Z221" i="15"/>
  <c r="Z54" i="15"/>
  <c r="AB54" i="15" s="1"/>
  <c r="Y221" i="15"/>
  <c r="Y54" i="15" s="1"/>
  <c r="X221" i="15"/>
  <c r="X54" i="15" s="1"/>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6" i="15"/>
  <c r="AC131" i="15"/>
  <c r="AA49" i="15"/>
  <c r="AC49" i="15"/>
  <c r="AC149" i="15"/>
  <c r="AA50" i="15"/>
  <c r="AC50" i="15"/>
  <c r="AC95" i="15"/>
  <c r="AA47" i="15"/>
  <c r="AC47" i="15"/>
  <c r="AC77" i="15"/>
  <c r="AA46" i="15"/>
  <c r="AC185" i="15"/>
  <c r="AA52" i="15"/>
  <c r="AC52" i="15"/>
  <c r="AC275" i="15"/>
  <c r="AA57" i="15"/>
  <c r="AC57" i="15"/>
  <c r="AC203" i="15"/>
  <c r="AA53" i="15"/>
  <c r="AC53" i="15"/>
  <c r="AC167" i="15"/>
  <c r="AA51" i="15"/>
  <c r="AC51" i="15"/>
  <c r="AC113" i="15"/>
  <c r="AA48" i="15"/>
  <c r="AC48" i="15"/>
  <c r="AA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s="1"/>
  <c r="N293" i="15"/>
  <c r="N58" i="15" s="1"/>
  <c r="O275" i="15"/>
  <c r="O57" i="15"/>
  <c r="N275" i="15"/>
  <c r="N57" i="15"/>
  <c r="O257" i="15"/>
  <c r="O56" i="15"/>
  <c r="N257" i="15"/>
  <c r="N56" i="15"/>
  <c r="O239" i="15"/>
  <c r="O55" i="15" s="1"/>
  <c r="N239" i="15"/>
  <c r="N55" i="15" s="1"/>
  <c r="O221" i="15"/>
  <c r="O54" i="15" s="1"/>
  <c r="N221" i="15"/>
  <c r="N54" i="15" s="1"/>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S48" i="15"/>
  <c r="S52" i="15"/>
  <c r="S51" i="15"/>
  <c r="S49" i="15"/>
  <c r="S50" i="15"/>
  <c r="B293" i="15"/>
  <c r="B275" i="15"/>
  <c r="B257" i="15"/>
  <c r="B239" i="15"/>
  <c r="B221" i="15"/>
  <c r="B203" i="15"/>
  <c r="B185" i="15"/>
  <c r="B167" i="15"/>
  <c r="B149" i="15"/>
  <c r="B131" i="15"/>
  <c r="B113" i="15"/>
  <c r="B95" i="15"/>
  <c r="B77" i="15"/>
  <c r="S46" i="15"/>
  <c r="I58" i="15"/>
  <c r="E293" i="15"/>
  <c r="E58" i="15" s="1"/>
  <c r="D293" i="15"/>
  <c r="D58" i="15" s="1"/>
  <c r="E275" i="15"/>
  <c r="E57" i="15" s="1"/>
  <c r="D275" i="15"/>
  <c r="D57" i="15" s="1"/>
  <c r="E257" i="15"/>
  <c r="E56" i="15" s="1"/>
  <c r="D257" i="15"/>
  <c r="D56" i="15" s="1"/>
  <c r="D203" i="15"/>
  <c r="D53" i="15" s="1"/>
  <c r="D305" i="15" s="1"/>
  <c r="E185" i="15"/>
  <c r="E52" i="15" s="1"/>
  <c r="D185" i="15"/>
  <c r="D52" i="15"/>
  <c r="E167" i="15"/>
  <c r="E51" i="15"/>
  <c r="D167" i="15"/>
  <c r="D51" i="15"/>
  <c r="E149" i="15"/>
  <c r="E50" i="15" s="1"/>
  <c r="D149" i="15"/>
  <c r="D50" i="15" s="1"/>
  <c r="E131" i="15"/>
  <c r="E49" i="15" s="1"/>
  <c r="D131" i="15"/>
  <c r="D49" i="15"/>
  <c r="E113" i="15"/>
  <c r="E48" i="15" s="1"/>
  <c r="D113" i="15"/>
  <c r="D48" i="15" s="1"/>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1" i="15"/>
  <c r="E77" i="15"/>
  <c r="E46" i="15" s="1"/>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s="1"/>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H36" i="16" l="1"/>
  <c r="Y59" i="15"/>
  <c r="O20" i="16"/>
  <c r="AB58" i="15"/>
  <c r="AC58" i="15" s="1"/>
  <c r="Z59" i="15"/>
  <c r="P59" i="15"/>
  <c r="R58" i="15"/>
  <c r="S58" i="15" s="1"/>
  <c r="X59" i="15"/>
  <c r="E307" i="15"/>
  <c r="N59" i="15"/>
  <c r="O59" i="15"/>
  <c r="C307" i="15"/>
  <c r="AC54" i="15"/>
  <c r="R59" i="15"/>
  <c r="D29" i="15" s="1"/>
  <c r="S54" i="15"/>
  <c r="S59" i="15" s="1"/>
  <c r="C303" i="15"/>
  <c r="D303" i="15"/>
  <c r="E306" i="15"/>
  <c r="C306" i="15"/>
  <c r="D306" i="15"/>
  <c r="N11" i="14"/>
  <c r="H9" i="9"/>
  <c r="H17" i="9" s="1"/>
  <c r="C4" i="55"/>
  <c r="D4" i="55" s="1"/>
  <c r="P29" i="16"/>
  <c r="R20" i="16"/>
  <c r="N29" i="16"/>
  <c r="D39" i="14"/>
  <c r="D76" i="14" s="1"/>
  <c r="F39" i="14"/>
  <c r="F76" i="14" s="1"/>
  <c r="C39" i="14"/>
  <c r="C76" i="14" s="1"/>
  <c r="H12" i="9"/>
  <c r="H14" i="9" s="1"/>
  <c r="H19" i="9" s="1"/>
  <c r="D16" i="9"/>
  <c r="E39" i="14"/>
  <c r="E76" i="14" s="1"/>
  <c r="P20" i="16"/>
  <c r="O29" i="16"/>
  <c r="N20" i="16"/>
  <c r="H16" i="9"/>
  <c r="R29" i="16"/>
  <c r="R11" i="16"/>
  <c r="F73" i="14"/>
  <c r="F34" i="14"/>
  <c r="C91" i="14"/>
  <c r="W6" i="15"/>
  <c r="D91" i="14"/>
  <c r="F59" i="15"/>
  <c r="E59" i="15"/>
  <c r="E303" i="15"/>
  <c r="E91" i="14"/>
  <c r="D307" i="15"/>
  <c r="D59" i="15"/>
  <c r="M5" i="14"/>
  <c r="F91" i="14"/>
  <c r="N4" i="14"/>
  <c r="G90" i="14"/>
  <c r="G59" i="15"/>
  <c r="D25" i="15" s="1"/>
  <c r="I57" i="15"/>
  <c r="L17" i="14"/>
  <c r="P11" i="16"/>
  <c r="O11" i="16"/>
  <c r="N11" i="16"/>
  <c r="K17" i="14"/>
  <c r="N14" i="14"/>
  <c r="J13" i="14"/>
  <c r="G5" i="14"/>
  <c r="G21" i="14"/>
  <c r="G69" i="14" s="1"/>
  <c r="E12" i="9"/>
  <c r="E14" i="9" s="1"/>
  <c r="E19" i="9" s="1"/>
  <c r="G12" i="9"/>
  <c r="G14" i="9" s="1"/>
  <c r="G15" i="9" s="1"/>
  <c r="L12" i="9"/>
  <c r="L14" i="9" s="1"/>
  <c r="L19" i="9" s="1"/>
  <c r="N6" i="14"/>
  <c r="L8" i="9"/>
  <c r="G17" i="9"/>
  <c r="N15" i="14"/>
  <c r="G27" i="14"/>
  <c r="G25" i="14" s="1"/>
  <c r="G73" i="14" s="1"/>
  <c r="L5" i="14"/>
  <c r="F22" i="14"/>
  <c r="F70" i="14" s="1"/>
  <c r="E17" i="9"/>
  <c r="E70" i="14"/>
  <c r="F16" i="9"/>
  <c r="D22" i="14"/>
  <c r="D70" i="14" s="1"/>
  <c r="J5" i="14"/>
  <c r="F17" i="9"/>
  <c r="C22" i="14"/>
  <c r="C70" i="14" s="1"/>
  <c r="G41" i="14"/>
  <c r="G39" i="14" s="1"/>
  <c r="G76" i="14" s="1"/>
  <c r="X6" i="15"/>
  <c r="K7" i="14"/>
  <c r="M7" i="14"/>
  <c r="G16" i="9"/>
  <c r="D17" i="9"/>
  <c r="G8" i="14"/>
  <c r="L7" i="14"/>
  <c r="W7" i="15"/>
  <c r="K13" i="14"/>
  <c r="E16" i="9"/>
  <c r="J7" i="14"/>
  <c r="D12" i="9"/>
  <c r="D14" i="9" s="1"/>
  <c r="D15" i="9" s="1"/>
  <c r="C25" i="14"/>
  <c r="C73" i="14" s="1"/>
  <c r="E34" i="14"/>
  <c r="M13" i="14"/>
  <c r="Y7" i="15"/>
  <c r="D34" i="14"/>
  <c r="X7" i="15"/>
  <c r="L13" i="14"/>
  <c r="L12" i="14"/>
  <c r="K5" i="14"/>
  <c r="K12" i="14"/>
  <c r="N16" i="14"/>
  <c r="F12" i="9"/>
  <c r="F14" i="9" s="1"/>
  <c r="L9" i="9"/>
  <c r="L17" i="9" s="1"/>
  <c r="G35" i="14"/>
  <c r="G75" i="14" s="1"/>
  <c r="Y6" i="15"/>
  <c r="AB59" i="15" l="1"/>
  <c r="AC59" i="15"/>
  <c r="D31" i="15"/>
  <c r="F29" i="15"/>
  <c r="F31" i="15" s="1"/>
  <c r="E308" i="15"/>
  <c r="C308" i="15"/>
  <c r="C48" i="14"/>
  <c r="C77" i="14" s="1"/>
  <c r="L9" i="14"/>
  <c r="D308" i="15"/>
  <c r="K9" i="14"/>
  <c r="F48" i="14"/>
  <c r="F61" i="14" s="1"/>
  <c r="M9" i="14"/>
  <c r="K17" i="52" s="1"/>
  <c r="M10" i="14"/>
  <c r="K10" i="14"/>
  <c r="D48" i="14"/>
  <c r="D53" i="14" s="1"/>
  <c r="D83" i="14" s="1"/>
  <c r="G12" i="14"/>
  <c r="G14" i="14" s="1"/>
  <c r="N12" i="14" s="1"/>
  <c r="C5" i="55"/>
  <c r="D5" i="55" s="1"/>
  <c r="H23" i="9"/>
  <c r="H15" i="9"/>
  <c r="H21" i="9"/>
  <c r="D74" i="14"/>
  <c r="L10" i="14"/>
  <c r="E48" i="14"/>
  <c r="E61" i="14" s="1"/>
  <c r="M18" i="14"/>
  <c r="I56" i="15"/>
  <c r="I59" i="15" s="1"/>
  <c r="H59" i="15"/>
  <c r="D24" i="15" s="1"/>
  <c r="F24" i="15" s="1"/>
  <c r="F26" i="8" s="1"/>
  <c r="L20" i="14"/>
  <c r="E74" i="14"/>
  <c r="M20" i="14"/>
  <c r="F74" i="14"/>
  <c r="N5" i="14"/>
  <c r="G91" i="14"/>
  <c r="F8" i="39" s="1"/>
  <c r="F25" i="15"/>
  <c r="E21" i="9"/>
  <c r="K20" i="14"/>
  <c r="G48" i="14"/>
  <c r="G23" i="9"/>
  <c r="N17" i="14"/>
  <c r="E15" i="9"/>
  <c r="E23" i="9"/>
  <c r="L18" i="14"/>
  <c r="Z6" i="15"/>
  <c r="G22" i="14"/>
  <c r="C2" i="55" s="1"/>
  <c r="L23" i="9"/>
  <c r="L21" i="9"/>
  <c r="G21" i="9"/>
  <c r="G19" i="9"/>
  <c r="L15" i="9"/>
  <c r="D23" i="9"/>
  <c r="D19" i="9"/>
  <c r="L16" i="9"/>
  <c r="D21" i="9"/>
  <c r="N9" i="14"/>
  <c r="N10" i="14"/>
  <c r="G34" i="14"/>
  <c r="G74" i="14" s="1"/>
  <c r="J10" i="14"/>
  <c r="N7" i="14"/>
  <c r="K8" i="14"/>
  <c r="J9" i="14"/>
  <c r="C34" i="14"/>
  <c r="F21" i="9"/>
  <c r="F15" i="9"/>
  <c r="F19" i="9"/>
  <c r="F23" i="9"/>
  <c r="M8" i="14"/>
  <c r="J8" i="14"/>
  <c r="L8" i="14"/>
  <c r="F77" i="14" l="1"/>
  <c r="C7" i="39"/>
  <c r="C10" i="39"/>
  <c r="C8" i="39"/>
  <c r="C9" i="39"/>
  <c r="C6" i="39"/>
  <c r="F53" i="14"/>
  <c r="F83" i="14" s="1"/>
  <c r="F85" i="14" s="1"/>
  <c r="C53" i="14"/>
  <c r="C83" i="14" s="1"/>
  <c r="C61" i="14"/>
  <c r="D54" i="14"/>
  <c r="D61" i="14"/>
  <c r="D77" i="14"/>
  <c r="D6" i="39"/>
  <c r="Z7" i="15"/>
  <c r="D9" i="15" s="1"/>
  <c r="D21" i="15" s="1"/>
  <c r="G17" i="14"/>
  <c r="N20" i="14" s="1"/>
  <c r="N13" i="14"/>
  <c r="D10" i="39"/>
  <c r="D9" i="39"/>
  <c r="D8" i="39"/>
  <c r="D7" i="39"/>
  <c r="E77" i="14"/>
  <c r="E53" i="14"/>
  <c r="D26" i="15"/>
  <c r="E7" i="39"/>
  <c r="F6" i="39"/>
  <c r="E6" i="39"/>
  <c r="F9" i="39"/>
  <c r="E9" i="39"/>
  <c r="E10" i="39"/>
  <c r="E8" i="39"/>
  <c r="D85" i="14"/>
  <c r="J20" i="14"/>
  <c r="C74" i="14"/>
  <c r="G53" i="14"/>
  <c r="G83" i="14" s="1"/>
  <c r="G85" i="14" s="1"/>
  <c r="G77" i="14"/>
  <c r="F10" i="39"/>
  <c r="G70" i="14"/>
  <c r="F7" i="39"/>
  <c r="F27" i="8"/>
  <c r="F28" i="8" s="1"/>
  <c r="F32" i="8" s="1"/>
  <c r="F26" i="15"/>
  <c r="K18" i="14"/>
  <c r="N18" i="14"/>
  <c r="F54" i="14" l="1"/>
  <c r="C16" i="39"/>
  <c r="C21" i="39"/>
  <c r="C15" i="39"/>
  <c r="C22" i="39"/>
  <c r="C14" i="39"/>
  <c r="C23" i="39"/>
  <c r="C25" i="39"/>
  <c r="C19" i="39"/>
  <c r="C24" i="39"/>
  <c r="C18" i="39"/>
  <c r="C20" i="39"/>
  <c r="C26" i="39"/>
  <c r="D20" i="39"/>
  <c r="C54" i="14"/>
  <c r="G19" i="14"/>
  <c r="N24" i="14" s="1"/>
  <c r="G94" i="14"/>
  <c r="E83" i="14"/>
  <c r="E85" i="14" s="1"/>
  <c r="E54" i="14"/>
  <c r="N8" i="14"/>
  <c r="N22" i="14"/>
  <c r="N19" i="14"/>
  <c r="N21" i="14"/>
  <c r="G93" i="14"/>
  <c r="F9" i="15"/>
  <c r="F21" i="15" s="1"/>
  <c r="F4" i="15" s="1"/>
  <c r="K9" i="52" s="1"/>
  <c r="D26" i="39"/>
  <c r="D15" i="39"/>
  <c r="D17" i="39"/>
  <c r="D25" i="39"/>
  <c r="D19" i="39"/>
  <c r="D23" i="39"/>
  <c r="D21" i="39"/>
  <c r="D16" i="39"/>
  <c r="D24" i="39"/>
  <c r="D22" i="39"/>
  <c r="D18" i="39"/>
  <c r="D14" i="39"/>
  <c r="D4" i="15"/>
  <c r="E22" i="39"/>
  <c r="E19" i="39"/>
  <c r="E18" i="39"/>
  <c r="E24" i="39"/>
  <c r="E23" i="39"/>
  <c r="E16" i="39"/>
  <c r="E15" i="39"/>
  <c r="E21" i="39"/>
  <c r="E20" i="39"/>
  <c r="E14" i="39"/>
  <c r="E25" i="39"/>
  <c r="E17" i="39"/>
  <c r="C17" i="39"/>
  <c r="C85" i="14"/>
  <c r="F26" i="39"/>
  <c r="F22" i="39"/>
  <c r="F24" i="39"/>
  <c r="F20" i="39"/>
  <c r="F16" i="39"/>
  <c r="F25" i="39"/>
  <c r="F23" i="39"/>
  <c r="F18" i="39"/>
  <c r="F21" i="39"/>
  <c r="F14" i="39"/>
  <c r="F15" i="39"/>
  <c r="F19" i="39"/>
  <c r="F17" i="39"/>
  <c r="E26" i="39" l="1"/>
  <c r="F21" i="8"/>
  <c r="F25" i="8" s="1"/>
  <c r="F31" i="8" s="1"/>
  <c r="F12" i="8" s="1"/>
  <c r="F10"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<sst xmlns="http://schemas.openxmlformats.org/spreadsheetml/2006/main" count="10148" uniqueCount="965">
  <si>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</si>
  <si>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</si>
  <si>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</si>
  <si>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</si>
  <si>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</si>
  <si>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</si>
  <si>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</si>
  <si>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</si>
  <si>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</si>
  <si>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</si>
  <si>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</si>
  <si>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</si>
  <si>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</si>
  <si>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</si>
  <si>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</si>
  <si>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</si>
  <si>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</si>
  <si>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</si>
  <si>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</si>
  <si>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</si>
  <si>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</si>
  <si>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</si>
  <si>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</si>
  <si>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</si>
  <si>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</si>
  <si>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</si>
  <si>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</si>
  <si>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</si>
  <si>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</si>
  <si>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</si>
  <si>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</si>
  <si>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</si>
  <si>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</si>
  <si>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</si>
  <si>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</si>
  <si>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</si>
  <si>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</si>
  <si>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</si>
  <si>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</si>
  <si>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</si>
  <si>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</si>
  <si>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</si>
  <si>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</si>
  <si>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</si>
  <si>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</si>
  <si>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</si>
  <si>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</si>
  <si>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</si>
  <si>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</si>
  <si>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</si>
  <si>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</si>
  <si>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</si>
  <si>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</si>
  <si>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</si>
  <si>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</si>
  <si>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</si>
  <si>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</si>
  <si>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</si>
  <si>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</si>
  <si>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</si>
  <si>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</si>
  <si>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</si>
  <si>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</si>
  <si>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</si>
  <si>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</si>
  <si>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</si>
  <si>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</si>
  <si>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</si>
  <si>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</si>
  <si>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</si>
  <si>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</si>
  <si>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</si>
  <si>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</si>
  <si>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</si>
  <si>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</si>
  <si>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</si>
  <si>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</si>
  <si>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</si>
  <si>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</si>
  <si>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</si>
  <si>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</si>
  <si>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</si>
  <si>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</si>
  <si>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</si>
  <si>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</si>
  <si>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</si>
  <si>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</si>
  <si>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</si>
  <si>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</si>
  <si>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</si>
  <si>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</si>
  <si>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</si>
  <si>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</si>
  <si>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</si>
  <si>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</si>
  <si>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</si>
  <si>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</si>
  <si>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</si>
  <si>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</si>
  <si>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</si>
  <si>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</si>
  <si>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</si>
  <si>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</si>
  <si>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</si>
  <si>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</si>
  <si>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</si>
  <si>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</si>
  <si>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</si>
  <si>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</si>
  <si>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</si>
  <si>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</si>
  <si>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</si>
  <si>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</si>
  <si>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</si>
  <si>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</si>
  <si>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</si>
  <si>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</si>
  <si>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</si>
  <si>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</si>
  <si>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</si>
  <si>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</si>
  <si>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</si>
  <si>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</si>
  <si>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</si>
  <si>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</si>
  <si>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</si>
  <si>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</si>
  <si>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</si>
  <si>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</si>
  <si>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</si>
  <si>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</si>
  <si>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</si>
  <si>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</si>
  <si>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</si>
  <si>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</si>
  <si>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</si>
  <si>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</si>
  <si>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</si>
  <si>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</si>
  <si>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</si>
  <si>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</si>
  <si>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</si>
  <si>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</si>
  <si>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</si>
  <si>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</si>
  <si>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</si>
  <si>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</si>
  <si>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</si>
  <si>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</si>
  <si>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</si>
  <si>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</si>
  <si>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</si>
  <si>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</si>
  <si>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</si>
  <si>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</si>
  <si>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</si>
  <si>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</si>
  <si>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</si>
  <si>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</si>
  <si>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</si>
  <si>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</si>
  <si>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</si>
  <si>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</si>
  <si>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</si>
  <si>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</si>
  <si>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</si>
  <si>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</si>
  <si>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</si>
  <si>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</si>
  <si>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</si>
  <si>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</si>
  <si>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</si>
  <si>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</si>
  <si>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</si>
  <si>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</si>
  <si>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</si>
  <si>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</si>
  <si>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</si>
  <si>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</si>
  <si>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</si>
  <si>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</si>
  <si>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</si>
  <si>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</si>
  <si>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</si>
  <si>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</si>
  <si>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</si>
  <si>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</si>
  <si>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</si>
  <si>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</si>
  <si>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</si>
  <si>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</si>
  <si>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</si>
  <si>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</si>
  <si>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</si>
  <si>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</si>
  <si>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</si>
  <si>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</si>
  <si>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</si>
  <si>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</si>
  <si>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</si>
  <si>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</si>
  <si>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</si>
  <si>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</si>
  <si>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</si>
  <si>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</si>
  <si>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</si>
  <si>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</si>
  <si>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</si>
  <si>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</si>
  <si>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</si>
  <si>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</si>
  <si>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</si>
  <si>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</si>
  <si>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</si>
  <si>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</si>
  <si>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</si>
  <si>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</si>
  <si>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</si>
  <si>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</si>
  <si>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</si>
  <si>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</si>
  <si>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</si>
  <si>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</si>
  <si>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</si>
  <si>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</si>
  <si>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</si>
  <si>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</si>
  <si>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</si>
  <si>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</si>
  <si>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</si>
  <si>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</si>
  <si>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</si>
  <si>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</si>
  <si>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</si>
  <si>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</si>
  <si>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</si>
  <si>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</si>
  <si>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</si>
  <si>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</si>
  <si>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</si>
  <si>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</si>
  <si>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</si>
  <si>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</si>
  <si>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</si>
  <si>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</si>
  <si>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</si>
  <si>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</si>
  <si>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</si>
  <si>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</si>
  <si>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</si>
  <si>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</si>
  <si>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</si>
  <si>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</si>
  <si>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</si>
  <si>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</si>
  <si>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</si>
  <si>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</si>
  <si>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</si>
  <si>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</si>
  <si>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</si>
  <si>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</si>
  <si>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</si>
  <si>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</si>
  <si>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</si>
  <si>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</si>
  <si>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</si>
  <si>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</si>
  <si>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</si>
  <si>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</si>
  <si>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</si>
  <si>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</si>
  <si>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</si>
  <si>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</si>
  <si>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</si>
  <si>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</si>
  <si>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</si>
  <si>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</si>
  <si>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</si>
  <si>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</si>
  <si>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</si>
  <si>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</si>
  <si>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</si>
  <si>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</si>
  <si>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</si>
  <si>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</si>
  <si>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</si>
  <si>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</si>
  <si>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</si>
  <si>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</si>
  <si>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</si>
  <si>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</si>
  <si>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</si>
  <si>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</si>
  <si>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</si>
  <si>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</si>
  <si>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</si>
  <si>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</si>
  <si>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</si>
  <si>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</si>
  <si>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</si>
  <si>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</si>
  <si>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</si>
  <si>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</si>
  <si>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</si>
  <si>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</si>
  <si>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</si>
  <si>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</si>
  <si>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</si>
  <si>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</si>
  <si>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</si>
  <si>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</si>
  <si>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</si>
  <si>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</si>
  <si>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</si>
  <si>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</si>
  <si>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</si>
  <si>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</si>
  <si>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</si>
  <si>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</si>
  <si>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</si>
  <si>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</si>
  <si>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</si>
  <si>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</si>
  <si>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</si>
  <si>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</si>
  <si>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</si>
  <si>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</si>
  <si>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</si>
  <si>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</si>
  <si>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</si>
  <si>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</si>
  <si>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</si>
  <si>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</si>
  <si>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</si>
  <si>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</si>
  <si>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</si>
  <si>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</si>
  <si>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</si>
  <si>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</si>
  <si>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</si>
  <si>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</si>
  <si>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</si>
  <si>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</si>
  <si>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</si>
  <si>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</si>
  <si>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</si>
  <si>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</si>
  <si>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</si>
  <si>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</si>
  <si>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</si>
  <si>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</si>
  <si>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</si>
  <si>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</si>
  <si>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</si>
  <si>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</si>
  <si>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</si>
  <si>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</si>
  <si>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</si>
  <si>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</si>
  <si>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</si>
  <si>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</si>
  <si>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</si>
  <si>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</si>
  <si>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</si>
  <si>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</si>
  <si>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</si>
  <si>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</si>
  <si>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</si>
  <si>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</si>
  <si>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</si>
  <si>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</si>
  <si>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</si>
  <si>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</si>
  <si>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</si>
  <si>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</si>
  <si>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</si>
  <si>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</si>
  <si>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</si>
  <si>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</si>
  <si>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</si>
  <si>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</si>
  <si>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</si>
  <si>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</si>
  <si>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</si>
  <si>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</si>
  <si>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</si>
  <si>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</si>
  <si>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</si>
  <si>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</si>
  <si>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</si>
  <si>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</si>
  <si>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</si>
  <si>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</si>
  <si>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</si>
  <si>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</si>
  <si>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</si>
  <si>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</si>
  <si>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</si>
  <si>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</si>
  <si>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</si>
  <si>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</si>
  <si>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</si>
  <si>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</si>
  <si>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</si>
  <si>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</si>
  <si>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</si>
  <si>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</si>
  <si>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</si>
  <si>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</si>
  <si>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</si>
  <si>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</si>
  <si>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</si>
  <si>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</si>
  <si>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</si>
  <si>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</si>
  <si>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</si>
  <si>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</si>
  <si>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</si>
  <si>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</si>
  <si>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</si>
  <si>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</si>
  <si>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</si>
  <si>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</si>
  <si>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</si>
  <si>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</si>
  <si>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</si>
  <si>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</si>
  <si>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</si>
  <si>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</si>
  <si>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</si>
  <si>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</si>
  <si>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</si>
  <si>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</si>
  <si>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</si>
  <si>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</si>
  <si>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</si>
  <si>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</si>
  <si>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</si>
  <si>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</si>
  <si>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</si>
  <si>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</si>
  <si>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</si>
  <si>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</si>
  <si>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</si>
  <si>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</si>
  <si>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</si>
  <si>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</si>
  <si>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</si>
  <si>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</si>
  <si>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</si>
  <si>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</si>
  <si>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</si>
  <si>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</si>
  <si>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</si>
  <si>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</si>
  <si>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</si>
  <si>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</si>
  <si>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</si>
  <si>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</si>
  <si>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</si>
  <si>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</si>
  <si>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</si>
  <si>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</si>
  <si>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</si>
  <si>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</si>
  <si>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</si>
  <si>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</si>
  <si>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</si>
  <si>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</si>
  <si>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</si>
  <si>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</si>
  <si>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</si>
  <si>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</si>
  <si>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</si>
  <si>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</si>
  <si>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</si>
  <si>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</si>
  <si>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</si>
  <si>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</si>
  <si>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</si>
  <si>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</si>
  <si>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</si>
  <si>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</si>
  <si>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</si>
  <si>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</si>
  <si>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</si>
  <si>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</si>
  <si>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</si>
  <si>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</si>
  <si>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</si>
  <si>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</si>
  <si>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</si>
  <si>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</si>
  <si>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</si>
  <si>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</si>
  <si>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</si>
  <si>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</si>
  <si>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</si>
  <si>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</si>
  <si>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</si>
  <si>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</si>
  <si>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</si>
  <si>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</si>
  <si>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</si>
  <si>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</si>
  <si>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</si>
  <si>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</si>
  <si>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</si>
  <si>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</si>
  <si>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</si>
  <si>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</si>
  <si>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</si>
  <si>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</si>
  <si>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</si>
  <si>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</si>
  <si>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</si>
  <si>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</si>
  <si>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</si>
  <si>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</si>
  <si>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</si>
  <si>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</si>
  <si>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</si>
  <si>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</si>
  <si>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</si>
  <si>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</si>
  <si>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</si>
  <si>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</si>
  <si>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</si>
  <si>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</si>
  <si>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</si>
  <si>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</si>
  <si>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</si>
  <si>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</si>
  <si>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</si>
  <si>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</si>
  <si>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</si>
  <si>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</si>
  <si>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</si>
  <si>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</si>
  <si>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</si>
  <si>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</si>
  <si>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</si>
  <si>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</si>
  <si>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</si>
  <si>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</si>
  <si>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</si>
  <si>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</si>
  <si>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</si>
  <si>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</si>
  <si>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</si>
  <si>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</si>
  <si>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</si>
  <si>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</si>
  <si>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</si>
  <si>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</si>
  <si>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</si>
  <si>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</si>
  <si>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</si>
  <si>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</si>
  <si>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</si>
  <si>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</si>
  <si>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</si>
  <si>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</si>
  <si>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</si>
  <si>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</si>
  <si>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</si>
  <si>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</si>
  <si>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</si>
  <si>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</si>
  <si>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</si>
  <si>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</si>
  <si>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</si>
  <si>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</si>
  <si>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</si>
  <si>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</si>
  <si>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</si>
  <si>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</si>
  <si>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</si>
  <si>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</si>
  <si>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</si>
  <si>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</si>
  <si>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</si>
  <si>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</si>
  <si>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</si>
  <si>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</si>
  <si>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</si>
  <si>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</si>
  <si>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</si>
  <si>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</si>
  <si>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</si>
  <si>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</si>
  <si>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</si>
  <si>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</si>
  <si>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</si>
  <si>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</si>
  <si>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</si>
  <si>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</si>
  <si>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</si>
  <si>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</si>
  <si>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</si>
  <si>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</si>
  <si>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</si>
  <si>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</si>
  <si>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</si>
  <si>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</si>
  <si>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</si>
  <si>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</si>
  <si>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</si>
  <si>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</si>
  <si>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</si>
  <si>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</si>
  <si>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</si>
  <si>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</si>
  <si>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</si>
  <si>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</si>
  <si>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</si>
  <si>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</si>
  <si>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</si>
  <si>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</si>
  <si>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</si>
  <si>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</si>
  <si>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</si>
  <si>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</si>
  <si>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</si>
  <si>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</si>
  <si>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</si>
  <si>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</si>
  <si>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</si>
  <si>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</si>
  <si>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</si>
  <si>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</si>
  <si>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</si>
  <si>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</si>
  <si>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</si>
  <si>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</si>
  <si>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</si>
  <si>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</si>
  <si>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</si>
  <si>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</si>
  <si>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</si>
  <si>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</si>
  <si>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</si>
  <si>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</si>
  <si>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</si>
  <si>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</si>
  <si>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</si>
  <si>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</si>
  <si>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</si>
  <si>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</si>
  <si>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</si>
  <si>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</si>
  <si>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</si>
  <si>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</si>
  <si>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</si>
  <si>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</si>
  <si>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</si>
  <si>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</si>
  <si>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</si>
  <si>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</si>
  <si>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</si>
  <si>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</si>
  <si>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</si>
  <si>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</si>
  <si>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</si>
  <si>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</si>
  <si>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</si>
  <si>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</si>
  <si>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</si>
  <si>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</si>
  <si>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</si>
  <si>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</si>
  <si>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</si>
  <si>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</si>
  <si>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</si>
  <si>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</si>
  <si>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</si>
  <si>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</si>
  <si>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</si>
  <si>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DD/MM/YYYY</t>
  </si>
  <si>
    <t>Date (CRA Report):</t>
  </si>
  <si>
    <t>Review</t>
  </si>
  <si>
    <t xml:space="preserve">If yes, Initial by Maker </t>
  </si>
  <si>
    <t>If yes, Initial by Checker</t>
  </si>
  <si>
    <t>Remarks is mendatory for  inputs that are not affirmative/(No)</t>
  </si>
  <si>
    <t>dd/Mmm/yyyy</t>
  </si>
  <si>
    <t>Mmm yyyy</t>
  </si>
  <si>
    <t>(DD / MM /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</si>
  <si>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</si>
  <si>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</si>
  <si>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</si>
  <si>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</si>
  <si>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</si>
  <si>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</si>
  <si>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</si>
  <si>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</si>
  <si>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</si>
  <si>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</si>
  <si>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</si>
  <si>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</si>
  <si>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</si>
  <si>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</si>
  <si>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</si>
  <si>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</si>
  <si>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</si>
  <si>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</si>
  <si>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</si>
  <si>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</si>
  <si>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</si>
  <si>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</si>
  <si>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</si>
  <si>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</si>
  <si>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</si>
  <si>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</si>
  <si>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For Credit Memo / Drawdown</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</si>
  <si>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</si>
  <si>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</si>
  <si>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</si>
  <si>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</si>
  <si>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</si>
  <si>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</si>
  <si>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</si>
  <si>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</si>
  <si>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</si>
  <si>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</si>
  <si>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</si>
  <si>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</si>
  <si>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</si>
  <si>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</si>
  <si>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</si>
  <si>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</si>
  <si>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</si>
  <si>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</si>
  <si>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</si>
  <si>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</si>
  <si>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</si>
  <si>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</si>
  <si>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</si>
  <si>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</si>
  <si>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</si>
  <si>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</si>
  <si>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</si>
  <si>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</si>
  <si>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</si>
  <si>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</si>
  <si>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</si>
  <si>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</si>
  <si>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</si>
  <si>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</si>
  <si>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</si>
  <si>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</si>
  <si>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</si>
  <si>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</si>
  <si>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</si>
  <si>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</si>
  <si>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</si>
  <si>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</si>
  <si>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</si>
  <si>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</si>
  <si>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</si>
  <si>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</si>
  <si>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</si>
  <si>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</si>
  <si>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</si>
  <si>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</si>
  <si>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</si>
  <si>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</si>
  <si>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</si>
  <si>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</si>
  <si>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</si>
  <si>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</si>
  <si>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</si>
  <si>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</si>
  <si>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</si>
  <si>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</si>
  <si>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</si>
  <si>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</si>
  <si>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</si>
  <si>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</si>
  <si>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</si>
  <si>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</si>
  <si>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</si>
  <si>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</si>
  <si>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</si>
  <si>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</si>
  <si>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</si>
  <si>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</si>
  <si>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</si>
  <si>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</si>
  <si>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</si>
  <si>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</si>
  <si>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</si>
  <si>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</si>
  <si>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</si>
  <si>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</si>
  <si>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</si>
  <si>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</si>
  <si>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</si>
  <si>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</si>
  <si>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</si>
  <si>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</si>
  <si>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</si>
  <si>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</si>
  <si>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</si>
  <si>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Experian/CTOS/CTOS Basis/CBM</t>
  </si>
  <si>
    <t>Director / Key Person / Guarantor- Individual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</si>
  <si>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</si>
  <si>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</si>
  <si>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</si>
  <si>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</si>
  <si>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</si>
  <si>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</si>
  <si>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</si>
  <si>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</si>
  <si>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</si>
  <si>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</si>
  <si>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</si>
  <si>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</si>
  <si>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</si>
  <si>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</si>
  <si>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</si>
  <si>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</si>
  <si>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</si>
  <si>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</si>
  <si>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</si>
  <si>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</si>
  <si>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</si>
  <si>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</si>
  <si>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</si>
  <si>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</si>
  <si>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</si>
  <si>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</si>
  <si>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</si>
  <si>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</si>
  <si>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</si>
  <si>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</si>
  <si>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</si>
  <si>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</si>
  <si>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</si>
  <si>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</si>
  <si>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</si>
  <si>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</si>
  <si>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</si>
  <si>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</si>
  <si>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</si>
  <si>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</si>
  <si>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</si>
  <si>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r>
      <t xml:space="preserve">Management Account Updated
(if available, updated to :   </t>
    </r>
    <r>
      <rPr>
        <sz val="13"/>
        <color theme="0" tint="-0.14999847407452621"/>
        <rFont val="Calibri"/>
        <family val="2"/>
      </rPr>
      <t>dd/mm/yyyy</t>
    </r>
    <r>
      <rPr>
        <sz val="13"/>
        <color theme="1"/>
        <rFont val="Calibri"/>
        <family val="2"/>
      </rPr>
      <t xml:space="preserve">  )</t>
    </r>
  </si>
  <si>
    <r>
      <t xml:space="preserve">Audited Accounts Updated
(if available, updated to :   </t>
    </r>
    <r>
      <rPr>
        <sz val="13"/>
        <color theme="0" tint="-0.14999847407452621"/>
        <rFont val="Calibri"/>
        <family val="2"/>
      </rPr>
      <t>dd/mm/yyyy</t>
    </r>
    <r>
      <rPr>
        <sz val="13"/>
        <color theme="1"/>
        <rFont val="Calibri"/>
        <family val="2"/>
      </rPr>
      <t xml:space="preserve"> )</t>
    </r>
  </si>
  <si>
    <r>
      <t xml:space="preserve">Bank Statements Updated 
(Latest 6 months Bank Statement, </t>
    </r>
    <r>
      <rPr>
        <sz val="13"/>
        <color theme="0" tint="-0.14999847407452621"/>
        <rFont val="Calibri"/>
        <family val="2"/>
      </rPr>
      <t>dd/mm/yyyy</t>
    </r>
    <r>
      <rPr>
        <sz val="13"/>
        <color theme="1"/>
        <rFont val="Calibri"/>
        <family val="2"/>
      </rPr>
      <t xml:space="preserve"> to </t>
    </r>
    <r>
      <rPr>
        <sz val="13"/>
        <color theme="0" tint="-0.14999847407452621"/>
        <rFont val="Calibri"/>
        <family val="2"/>
      </rPr>
      <t>dd/mm/yyyy</t>
    </r>
    <r>
      <rPr>
        <sz val="13"/>
        <color theme="1"/>
        <rFont val="Calibri"/>
        <family val="2"/>
      </rPr>
      <t xml:space="preserve"> )</t>
    </r>
  </si>
  <si>
    <r>
      <t xml:space="preserve">Risk Loading Calculation 
</t>
    </r>
    <r>
      <rPr>
        <i/>
        <sz val="10"/>
        <rFont val="Calibri"/>
        <family val="2"/>
      </rPr>
      <t>(Based on Board Memo Approval Dated [dd / mm / yyyy])</t>
    </r>
  </si>
  <si>
    <t>Check</t>
  </si>
  <si>
    <r>
      <t xml:space="preserve">Base Rate 
</t>
    </r>
    <r>
      <rPr>
        <i/>
        <sz val="10"/>
        <rFont val="Calibri"/>
        <family val="2"/>
      </rPr>
      <t>(Based on Board Memo Approval Dated [dd / mm / yyyy])</t>
    </r>
  </si>
  <si>
    <r>
      <t xml:space="preserve">Knock Out Matrix  
</t>
    </r>
    <r>
      <rPr>
        <i/>
        <sz val="10"/>
        <rFont val="Calibri"/>
        <family val="2"/>
      </rPr>
      <t>(Based on Board Memo Approval Dated [dd / mm / yyyy])</t>
    </r>
  </si>
  <si>
    <r>
      <t xml:space="preserve">Credit Evaluation Checklist  
</t>
    </r>
    <r>
      <rPr>
        <i/>
        <sz val="10"/>
        <rFont val="Calibri"/>
        <family val="2"/>
      </rPr>
      <t>(Based on Board Memo Approval Dated [dd / mm / yyyy])</t>
    </r>
  </si>
  <si>
    <t>Any specific conditions to be complied with as per Letter of Offer</t>
  </si>
  <si>
    <t>Facility Drawdown Checklist - Appendix 1</t>
  </si>
  <si>
    <t>Risk Mitigation
(Based on Board Memo Approval Dated [dd / mm / yyyy])</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</si>
  <si>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</si>
  <si>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</si>
  <si>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</si>
  <si>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</si>
  <si>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</si>
  <si>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</si>
  <si>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</si>
  <si>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</si>
  <si>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</si>
  <si>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</si>
  <si>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</si>
  <si>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</si>
  <si>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</si>
  <si>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</si>
  <si>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</si>
  <si>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</si>
  <si>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</si>
  <si>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</si>
  <si>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</si>
  <si>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</si>
  <si>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</si>
  <si>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</si>
  <si>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</si>
  <si>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</si>
  <si>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</si>
  <si>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</si>
  <si>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</si>
  <si>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</si>
  <si>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</si>
  <si>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</si>
  <si>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</si>
  <si>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</si>
  <si>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</si>
  <si>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</si>
  <si>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</si>
  <si>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</si>
  <si>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</si>
  <si>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</si>
  <si>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</si>
  <si>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</si>
  <si>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</si>
  <si>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</si>
  <si>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</si>
  <si>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</si>
  <si>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</si>
  <si>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</si>
  <si>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</si>
  <si>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r>
      <t>Is the total aggregate limit under this application within MS daily operational limit  and Single Issuer Limit (&lt;RM</t>
    </r>
    <r>
      <rPr>
        <u/>
        <sz val="13"/>
        <color theme="1"/>
        <rFont val="Calibri"/>
        <family val="2"/>
      </rPr>
      <t xml:space="preserve">                                    </t>
    </r>
    <r>
      <rPr>
        <sz val="13"/>
        <color theme="1"/>
        <rFont val="Calibri"/>
        <family val="2"/>
      </rPr>
      <t xml:space="preserve">)?
</t>
    </r>
  </si>
  <si>
    <r>
      <rPr>
        <sz val="13"/>
        <color theme="1"/>
        <rFont val="Calibri"/>
        <family val="2"/>
      </rPr>
      <t xml:space="preserve">Credit Memo Approval Date: dd / mm / yyyy
Latest CRA Report Date: dd / mm / yyyy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</si>
  <si>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</si>
  <si>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</si>
  <si>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</si>
  <si>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</si>
  <si>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</si>
  <si>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</si>
  <si>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</si>
  <si>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</si>
  <si>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</si>
  <si>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</si>
  <si>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</si>
  <si>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</si>
  <si>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</si>
  <si>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</si>
  <si>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</si>
  <si>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</si>
  <si>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</si>
  <si>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</si>
  <si>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</si>
  <si>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</si>
  <si>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Existing</t>
  </si>
  <si>
    <t>No MIA in current month
No MIA in past 6 months</t>
  </si>
  <si>
    <t>Negative</t>
  </si>
  <si>
    <t>2025-06</t>
  </si>
  <si>
    <t>2025-07</t>
  </si>
  <si>
    <t>2025-08</t>
  </si>
  <si>
    <t>2025-09</t>
  </si>
  <si>
    <t>2025-10</t>
  </si>
  <si>
    <t>2025-11</t>
  </si>
  <si>
    <t>Latest Balance as at Nov 2025</t>
  </si>
  <si>
    <t>1 year</t>
  </si>
  <si>
    <t>Moneysave</t>
  </si>
  <si>
    <t>ALLIANCE</t>
  </si>
  <si>
    <t>2025-12</t>
  </si>
  <si>
    <t>*10 months installment</t>
  </si>
  <si>
    <t>SAS TEKNIK SDN. BHD.</t>
  </si>
  <si>
    <t>Issuer Name: SAS TEKNIK SDN. BHD.</t>
  </si>
  <si>
    <t>2025-01</t>
  </si>
  <si>
    <t>2025-02</t>
  </si>
  <si>
    <t>2025-03</t>
  </si>
  <si>
    <t>2025-04</t>
  </si>
  <si>
    <t>2025-05</t>
  </si>
  <si>
    <t>Bank Muamalat - 9719</t>
  </si>
  <si>
    <t>NORIZAN BINTI ZULKOFLI</t>
  </si>
  <si>
    <t>AHMAD SHAFIE BIN TAIB</t>
  </si>
  <si>
    <t>HISHAM WONG CHOW YONG</t>
  </si>
  <si>
    <t>30/06/2023</t>
  </si>
  <si>
    <t>30/06/2024</t>
  </si>
  <si>
    <t>31/12/2025</t>
  </si>
  <si>
    <t>6 months</t>
  </si>
  <si>
    <t>25-03-2023 OTLNFNCE</t>
  </si>
  <si>
    <t>16-01-2024 PCPASCAR</t>
  </si>
  <si>
    <t>23-01-2025 PCPASCAR</t>
  </si>
  <si>
    <t>10-03-2025 PCPASCAR</t>
  </si>
  <si>
    <t>30/06/2025</t>
  </si>
  <si>
    <t>Audited-30/06/2023</t>
  </si>
  <si>
    <t>Audited-30/06/2024</t>
  </si>
  <si>
    <t>Mgmt Acc-31/12/2025</t>
  </si>
  <si>
    <t>Audited-30062025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</si>
</sst>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409]d\-mmm\-yy;@"/>
    <numFmt numFmtId="171" formatCode="[$-409]d\-mmm\-yyyy;@"/>
  </numFmts>
  <fonts count="112"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sz val="12"/>
      <color theme="0" tint="-0.14999847407452621"/>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b/>
      <sz val="13"/>
      <color rgb="FF002060"/>
      <name val="Calibri"/>
      <family val="2"/>
    </font>
    <font>
      <sz val="13"/>
      <color theme="0" tint="-0.14999847407452621"/>
      <name val="Calibri"/>
      <family val="2"/>
    </font>
    <font>
      <i/>
      <sz val="10"/>
      <name val="Calibri"/>
      <family val="2"/>
    </font>
    <font>
      <sz val="11"/>
      <color rgb="FF002060"/>
      <name val="Calibri"/>
      <family val="2"/>
    </font>
    <font>
      <sz val="13"/>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b/>
      <sz val="13"/>
      <color rgb="FFFF0000"/>
      <name val="Calibri"/>
      <family val="2"/>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861">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8" borderId="0" xfId="0" applyFont="1" applyFill="1" applyProtection="1">
      <protection hidden="1"/>
    </xf>
    <xf numFmtId="164"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164" fontId="28" fillId="18" borderId="1" xfId="1" applyNumberFormat="1" applyFont="1" applyFill="1" applyBorder="1" applyAlignment="1">
      <alignment vertical="center"/>
    </xf>
    <xf numFmtId="164" fontId="4" fillId="18" borderId="1" xfId="1" applyNumberFormat="1" applyFont="1" applyFill="1" applyBorder="1" applyAlignment="1">
      <alignment vertical="center"/>
    </xf>
    <xf numFmtId="43" fontId="14" fillId="18" borderId="1" xfId="1" applyFont="1" applyFill="1" applyBorder="1" applyAlignment="1">
      <alignment vertical="center"/>
    </xf>
    <xf numFmtId="43"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1" borderId="1" xfId="0" applyNumberFormat="1" applyFont="1" applyFill="1" applyBorder="1" applyAlignment="1">
      <alignment vertical="center"/>
    </xf>
    <xf numFmtId="165" fontId="6" fillId="17"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0"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4"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4" fillId="21" borderId="1" xfId="1" applyNumberFormat="1" applyFont="1" applyFill="1" applyBorder="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20" fillId="0" borderId="1" xfId="0"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43" fontId="0" fillId="0" borderId="1" xfId="4" applyNumberFormat="1" applyFont="1" applyFill="1" applyBorder="1"/>
    <xf numFmtId="41" fontId="0" fillId="2" borderId="1" xfId="4" applyNumberFormat="1" applyFont="1" applyFill="1" applyBorder="1"/>
    <xf numFmtId="10" fontId="36" fillId="0" borderId="1" xfId="0" applyNumberFormat="1" applyFont="1" applyBorder="1"/>
    <xf numFmtId="43" fontId="0" fillId="0" borderId="1" xfId="4" applyNumberFormat="1" applyFont="1" applyBorder="1"/>
    <xf numFmtId="43" fontId="0" fillId="0" borderId="1" xfId="0" applyNumberFormat="1" applyBorder="1"/>
    <xf numFmtId="10" fontId="0" fillId="25" borderId="1" xfId="2" applyNumberFormat="1" applyFont="1" applyFill="1" applyBorder="1"/>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5" fontId="4" fillId="26" borderId="1" xfId="1" applyNumberFormat="1" applyFont="1" applyFill="1" applyBorder="1" applyAlignment="1">
      <alignment horizontal="center" vertical="center" wrapText="1"/>
    </xf>
    <xf numFmtId="165"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5" fontId="20" fillId="26" borderId="1" xfId="1" applyNumberFormat="1" applyFont="1" applyFill="1" applyBorder="1" applyAlignment="1">
      <alignment horizontal="center" vertical="center" wrapText="1"/>
    </xf>
    <xf numFmtId="165"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5" fontId="4" fillId="26" borderId="19" xfId="1" applyNumberFormat="1" applyFont="1" applyFill="1" applyBorder="1" applyAlignment="1">
      <alignment horizontal="center" vertical="center" wrapText="1"/>
    </xf>
    <xf numFmtId="165"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5" fontId="4" fillId="27" borderId="26" xfId="1" applyNumberFormat="1" applyFont="1" applyFill="1" applyBorder="1" applyAlignment="1">
      <alignment horizontal="center" vertical="center" wrapText="1"/>
    </xf>
    <xf numFmtId="165" fontId="4" fillId="27" borderId="27" xfId="1" applyNumberFormat="1" applyFont="1" applyFill="1" applyBorder="1" applyAlignment="1">
      <alignment horizontal="center" vertical="center" wrapText="1"/>
    </xf>
    <xf numFmtId="165"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5"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4" fillId="2" borderId="17" xfId="1" applyNumberFormat="1" applyFont="1" applyFill="1" applyBorder="1" applyAlignment="1">
      <alignment horizontal="center" vertical="center" wrapText="1"/>
    </xf>
    <xf numFmtId="167" fontId="4" fillId="5" borderId="39" xfId="0" applyNumberFormat="1" applyFont="1" applyFill="1" applyBorder="1" applyAlignment="1">
      <alignment horizontal="center" vertical="center" wrapText="1"/>
    </xf>
    <xf numFmtId="167"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3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27" borderId="26" xfId="1" applyNumberFormat="1" applyFont="1" applyFill="1" applyBorder="1" applyAlignment="1">
      <alignment vertical="center" wrapText="1"/>
    </xf>
    <xf numFmtId="165" fontId="2" fillId="27"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7"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vertical="center"/>
    </xf>
    <xf numFmtId="0" fontId="47" fillId="0" borderId="0" xfId="0" applyFont="1" applyAlignment="1">
      <alignment horizontal="left" vertical="center"/>
    </xf>
    <xf numFmtId="0" fontId="47" fillId="0" borderId="0" xfId="0" applyFont="1" applyAlignment="1">
      <alignment horizontal="right" vertical="center"/>
    </xf>
    <xf numFmtId="0" fontId="47" fillId="0" borderId="0" xfId="0" applyFont="1" applyAlignment="1">
      <alignment horizontal="center" vertical="center"/>
    </xf>
    <xf numFmtId="0" fontId="48"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8"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8"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9" fillId="0" borderId="0" xfId="0" applyFont="1" applyAlignment="1">
      <alignment vertical="center"/>
    </xf>
    <xf numFmtId="0" fontId="42" fillId="0" borderId="0" xfId="0" applyFont="1" applyAlignment="1">
      <alignment horizontal="right" vertical="center"/>
    </xf>
    <xf numFmtId="0" fontId="50" fillId="0" borderId="0" xfId="0" applyFont="1" applyAlignment="1">
      <alignment horizontal="center" vertical="center"/>
    </xf>
    <xf numFmtId="0" fontId="52" fillId="0" borderId="0" xfId="0" applyFont="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30" xfId="0" applyFont="1" applyBorder="1" applyAlignment="1">
      <alignment horizontal="left"/>
    </xf>
    <xf numFmtId="0" fontId="57" fillId="0" borderId="30" xfId="0" applyFont="1" applyBorder="1" applyAlignment="1">
      <alignment horizontal="left" vertical="center" wrapText="1"/>
    </xf>
    <xf numFmtId="0" fontId="35" fillId="0" borderId="30" xfId="0" applyFont="1" applyBorder="1"/>
    <xf numFmtId="0" fontId="57" fillId="0" borderId="30" xfId="0" applyFont="1" applyBorder="1" applyAlignment="1">
      <alignment wrapText="1"/>
    </xf>
    <xf numFmtId="0" fontId="57" fillId="0" borderId="30" xfId="0" applyFont="1" applyBorder="1" applyAlignment="1">
      <alignment vertical="center" wrapText="1"/>
    </xf>
    <xf numFmtId="0" fontId="42" fillId="0" borderId="36" xfId="0" applyFont="1" applyBorder="1" applyAlignment="1">
      <alignment wrapText="1"/>
    </xf>
    <xf numFmtId="0" fontId="53" fillId="0" borderId="29" xfId="0" applyFont="1" applyBorder="1" applyAlignment="1">
      <alignment vertical="center"/>
    </xf>
    <xf numFmtId="0" fontId="53" fillId="0" borderId="31" xfId="0" applyFont="1" applyBorder="1" applyAlignment="1">
      <alignment horizontal="left" vertical="center" wrapText="1"/>
    </xf>
    <xf numFmtId="0" fontId="53" fillId="0" borderId="29" xfId="0" applyFont="1" applyBorder="1" applyAlignment="1">
      <alignment horizontal="left" vertical="center" wrapText="1"/>
    </xf>
    <xf numFmtId="0" fontId="53" fillId="0" borderId="30" xfId="0" applyFont="1" applyBorder="1" applyAlignment="1">
      <alignment horizontal="left" vertical="center" wrapText="1"/>
    </xf>
    <xf numFmtId="0" fontId="31" fillId="0" borderId="31" xfId="0" applyFont="1" applyBorder="1"/>
    <xf numFmtId="0" fontId="53"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7" fillId="0" borderId="36" xfId="0" applyFont="1" applyBorder="1" applyAlignment="1">
      <alignment vertical="center"/>
    </xf>
    <xf numFmtId="0" fontId="57" fillId="0" borderId="47" xfId="0" applyFont="1" applyBorder="1" applyAlignment="1">
      <alignment horizontal="left" vertical="center" wrapText="1"/>
    </xf>
    <xf numFmtId="0" fontId="57" fillId="0" borderId="36" xfId="0" applyFont="1" applyBorder="1" applyAlignment="1">
      <alignment horizontal="left" vertical="center" wrapText="1"/>
    </xf>
    <xf numFmtId="0" fontId="57" fillId="0" borderId="0" xfId="0" applyFont="1" applyAlignment="1">
      <alignment horizontal="left" vertical="center" wrapText="1"/>
    </xf>
    <xf numFmtId="0" fontId="35" fillId="0" borderId="36" xfId="0" applyFont="1" applyBorder="1"/>
    <xf numFmtId="0" fontId="35" fillId="0" borderId="47" xfId="0" applyFont="1" applyBorder="1"/>
    <xf numFmtId="0" fontId="57" fillId="0" borderId="0" xfId="0" applyFont="1" applyAlignment="1">
      <alignment wrapText="1"/>
    </xf>
    <xf numFmtId="0" fontId="57" fillId="0" borderId="47" xfId="0" applyFont="1" applyBorder="1" applyAlignment="1">
      <alignment vertical="center" wrapText="1"/>
    </xf>
    <xf numFmtId="0" fontId="57" fillId="0" borderId="36" xfId="0" applyFont="1" applyBorder="1" applyAlignment="1">
      <alignment horizontal="left" vertical="center"/>
    </xf>
    <xf numFmtId="0" fontId="53" fillId="0" borderId="36" xfId="0" applyFont="1" applyBorder="1" applyAlignment="1">
      <alignment horizontal="left" vertical="center"/>
    </xf>
    <xf numFmtId="0" fontId="57" fillId="0" borderId="36" xfId="0" applyFont="1" applyBorder="1" applyAlignment="1">
      <alignment horizontal="center" vertical="center"/>
    </xf>
    <xf numFmtId="0" fontId="57" fillId="0" borderId="36" xfId="0" applyFont="1" applyBorder="1" applyAlignment="1">
      <alignment wrapText="1"/>
    </xf>
    <xf numFmtId="0" fontId="57" fillId="0" borderId="32" xfId="0" applyFont="1" applyBorder="1" applyAlignment="1">
      <alignment horizontal="center" vertical="center"/>
    </xf>
    <xf numFmtId="0" fontId="57" fillId="0" borderId="34" xfId="0" applyFont="1" applyBorder="1" applyAlignment="1">
      <alignment horizontal="left" vertical="center" wrapText="1"/>
    </xf>
    <xf numFmtId="0" fontId="57" fillId="0" borderId="32" xfId="0" applyFont="1" applyBorder="1" applyAlignment="1">
      <alignment horizontal="left" vertical="center" wrapText="1"/>
    </xf>
    <xf numFmtId="0" fontId="57" fillId="0" borderId="33" xfId="0" applyFont="1" applyBorder="1" applyAlignment="1">
      <alignment horizontal="left" vertical="center" wrapText="1"/>
    </xf>
    <xf numFmtId="0" fontId="57" fillId="0" borderId="32" xfId="0" applyFont="1" applyBorder="1" applyAlignment="1">
      <alignment wrapText="1"/>
    </xf>
    <xf numFmtId="0" fontId="35" fillId="0" borderId="34" xfId="0" applyFont="1" applyBorder="1"/>
    <xf numFmtId="0" fontId="57" fillId="0" borderId="33" xfId="0" applyFont="1" applyBorder="1" applyAlignment="1">
      <alignment wrapText="1"/>
    </xf>
    <xf numFmtId="0" fontId="57" fillId="0" borderId="34"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57" fillId="0" borderId="33" xfId="0" applyFont="1" applyBorder="1" applyAlignment="1">
      <alignment vertical="center"/>
    </xf>
    <xf numFmtId="0" fontId="57" fillId="0" borderId="33" xfId="0" applyFont="1" applyBorder="1" applyAlignment="1">
      <alignment vertical="center" wrapText="1"/>
    </xf>
    <xf numFmtId="0" fontId="58" fillId="0" borderId="0" xfId="0" applyFont="1" applyAlignment="1">
      <alignment vertical="center"/>
    </xf>
    <xf numFmtId="0" fontId="58"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7" fillId="0" borderId="30" xfId="0" applyFont="1" applyBorder="1" applyAlignment="1">
      <alignment horizontal="left" vertical="center"/>
    </xf>
    <xf numFmtId="0" fontId="57" fillId="0" borderId="31" xfId="0" applyFont="1" applyBorder="1" applyAlignment="1">
      <alignment horizontal="left" vertical="center" wrapText="1"/>
    </xf>
    <xf numFmtId="0" fontId="35" fillId="0" borderId="31" xfId="0" applyFont="1" applyBorder="1"/>
    <xf numFmtId="0" fontId="57" fillId="0" borderId="29" xfId="0" applyFont="1" applyBorder="1" applyAlignment="1">
      <alignment horizontal="left" vertical="center" wrapText="1"/>
    </xf>
    <xf numFmtId="0" fontId="57"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3" fillId="0" borderId="36" xfId="0" applyFont="1" applyBorder="1" applyAlignment="1">
      <alignment horizontal="left" vertical="center" wrapText="1"/>
    </xf>
    <xf numFmtId="0" fontId="53" fillId="0" borderId="32" xfId="0" applyFont="1" applyBorder="1" applyAlignment="1">
      <alignment horizontal="left" vertical="center" wrapText="1"/>
    </xf>
    <xf numFmtId="0" fontId="43" fillId="0" borderId="36" xfId="0" applyFont="1" applyBorder="1" applyAlignment="1">
      <alignment wrapText="1"/>
    </xf>
    <xf numFmtId="0" fontId="59" fillId="0" borderId="0" xfId="0" applyFont="1" applyAlignment="1">
      <alignment horizontal="left" vertical="center" wrapText="1"/>
    </xf>
    <xf numFmtId="0" fontId="58" fillId="0" borderId="0" xfId="0" applyFont="1" applyAlignment="1">
      <alignment horizontal="left" vertical="center" wrapText="1"/>
    </xf>
    <xf numFmtId="0" fontId="58" fillId="0" borderId="0" xfId="0" applyFont="1" applyAlignment="1">
      <alignment wrapText="1"/>
    </xf>
    <xf numFmtId="0" fontId="60" fillId="0" borderId="0" xfId="0" applyFont="1"/>
    <xf numFmtId="0" fontId="43" fillId="0" borderId="47" xfId="0" applyFont="1" applyBorder="1" applyAlignment="1">
      <alignment vertical="center"/>
    </xf>
    <xf numFmtId="0" fontId="61" fillId="0" borderId="0" xfId="0" applyFont="1" applyAlignment="1">
      <alignment horizontal="center" vertical="center"/>
    </xf>
    <xf numFmtId="0" fontId="53" fillId="0" borderId="0" xfId="0" applyFont="1" applyAlignment="1">
      <alignment vertical="center"/>
    </xf>
    <xf numFmtId="0" fontId="31" fillId="0" borderId="0" xfId="0" applyFont="1"/>
    <xf numFmtId="0" fontId="53" fillId="0" borderId="0" xfId="0" applyFont="1" applyAlignment="1">
      <alignment horizontal="left" vertical="center" wrapText="1"/>
    </xf>
    <xf numFmtId="0" fontId="53" fillId="0" borderId="0" xfId="0" applyFont="1" applyAlignment="1">
      <alignment vertical="center" wrapText="1"/>
    </xf>
    <xf numFmtId="0" fontId="35" fillId="0" borderId="0" xfId="0" applyFont="1"/>
    <xf numFmtId="0" fontId="53" fillId="0" borderId="0" xfId="0" applyFont="1" applyAlignment="1">
      <alignment horizontal="left" vertical="center"/>
    </xf>
    <xf numFmtId="0" fontId="57" fillId="0" borderId="0" xfId="0" applyFont="1" applyAlignment="1">
      <alignment horizontal="center" vertical="center" wrapText="1"/>
    </xf>
    <xf numFmtId="0" fontId="62" fillId="0" borderId="36" xfId="0" applyFont="1" applyBorder="1" applyAlignment="1">
      <alignment horizontal="left" vertical="center" wrapText="1"/>
    </xf>
    <xf numFmtId="0" fontId="54" fillId="0" borderId="47" xfId="0" applyFont="1" applyBorder="1" applyAlignment="1">
      <alignment horizontal="left" vertical="center" wrapText="1"/>
    </xf>
    <xf numFmtId="0" fontId="63" fillId="0" borderId="36" xfId="0" applyFont="1" applyBorder="1" applyAlignment="1">
      <alignment horizontal="left" vertical="center" wrapText="1"/>
    </xf>
    <xf numFmtId="0" fontId="54" fillId="0" borderId="0" xfId="0" applyFont="1" applyAlignment="1">
      <alignment horizontal="left" vertical="center" wrapText="1"/>
    </xf>
    <xf numFmtId="0" fontId="54" fillId="0" borderId="0" xfId="0" applyFont="1" applyAlignment="1">
      <alignment wrapText="1"/>
    </xf>
    <xf numFmtId="0" fontId="64" fillId="0" borderId="0" xfId="0" applyFont="1"/>
    <xf numFmtId="0" fontId="62" fillId="0" borderId="32" xfId="0" applyFont="1" applyBorder="1" applyAlignment="1">
      <alignment horizontal="left" vertical="center" wrapText="1"/>
    </xf>
    <xf numFmtId="0" fontId="54" fillId="0" borderId="34" xfId="0" applyFont="1" applyBorder="1" applyAlignment="1">
      <alignment horizontal="left" vertical="center" wrapText="1"/>
    </xf>
    <xf numFmtId="0" fontId="63" fillId="0" borderId="32" xfId="0" applyFont="1" applyBorder="1" applyAlignment="1">
      <alignment horizontal="left" vertical="center" wrapText="1"/>
    </xf>
    <xf numFmtId="0" fontId="54"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5" fillId="0" borderId="0" xfId="0" applyFont="1" applyAlignment="1">
      <alignment vertical="top"/>
    </xf>
    <xf numFmtId="0" fontId="66" fillId="0" borderId="0" xfId="0" applyFont="1" applyAlignment="1">
      <alignment horizontal="center" vertical="top"/>
    </xf>
    <xf numFmtId="0" fontId="65" fillId="0" borderId="0" xfId="0" applyFont="1" applyAlignment="1">
      <alignment vertical="top" wrapText="1"/>
    </xf>
    <xf numFmtId="0" fontId="65" fillId="0" borderId="0" xfId="0" applyFont="1" applyAlignment="1">
      <alignment horizontal="center" vertical="top" wrapText="1"/>
    </xf>
    <xf numFmtId="10" fontId="67" fillId="0" borderId="0" xfId="2" applyNumberFormat="1" applyFont="1" applyAlignment="1">
      <alignment horizontal="center" vertical="top" wrapText="1"/>
    </xf>
    <xf numFmtId="0" fontId="44" fillId="0" borderId="0" xfId="0" applyFont="1" applyAlignment="1">
      <alignment horizontal="center" vertical="top"/>
    </xf>
    <xf numFmtId="0" fontId="68" fillId="0" borderId="0" xfId="0" applyFont="1" applyAlignment="1">
      <alignment horizontal="left" vertical="top"/>
    </xf>
    <xf numFmtId="0" fontId="69" fillId="0" borderId="0" xfId="0" applyFont="1" applyAlignment="1">
      <alignment vertical="center"/>
    </xf>
    <xf numFmtId="10" fontId="42" fillId="0" borderId="0" xfId="2" applyNumberFormat="1" applyFont="1" applyAlignment="1">
      <alignment horizontal="center" vertical="top" wrapText="1"/>
    </xf>
    <xf numFmtId="0" fontId="70" fillId="0" borderId="0" xfId="0" applyFont="1" applyAlignment="1">
      <alignment horizontal="center" vertical="top"/>
    </xf>
    <xf numFmtId="0" fontId="53" fillId="0" borderId="17" xfId="0" applyFont="1" applyBorder="1" applyAlignment="1">
      <alignment horizontal="center" vertical="center" wrapText="1"/>
    </xf>
    <xf numFmtId="10" fontId="53" fillId="0" borderId="17" xfId="2" applyNumberFormat="1" applyFont="1" applyBorder="1" applyAlignment="1">
      <alignment horizontal="center" vertical="center" wrapText="1"/>
    </xf>
    <xf numFmtId="0" fontId="53" fillId="0" borderId="0" xfId="0" applyFont="1" applyAlignment="1">
      <alignment horizontal="center" vertical="center" wrapText="1"/>
    </xf>
    <xf numFmtId="0" fontId="74" fillId="0" borderId="0" xfId="0" applyFont="1" applyAlignment="1">
      <alignment vertical="top" wrapText="1"/>
    </xf>
    <xf numFmtId="0" fontId="53" fillId="5" borderId="1" xfId="0" applyFont="1" applyFill="1" applyBorder="1" applyAlignment="1">
      <alignment horizontal="center" vertical="center" wrapText="1"/>
    </xf>
    <xf numFmtId="0" fontId="74" fillId="0" borderId="0" xfId="0" applyFont="1" applyAlignment="1">
      <alignment horizontal="center" vertical="top" wrapText="1"/>
    </xf>
    <xf numFmtId="10" fontId="73" fillId="0" borderId="0" xfId="2" applyNumberFormat="1" applyFont="1" applyAlignment="1">
      <alignment horizontal="center" vertical="top" wrapText="1"/>
    </xf>
    <xf numFmtId="0" fontId="53" fillId="5" borderId="1" xfId="0" applyFont="1" applyFill="1" applyBorder="1" applyAlignment="1">
      <alignment horizontal="left" vertical="center" wrapText="1"/>
    </xf>
    <xf numFmtId="0" fontId="57" fillId="10" borderId="1" xfId="0" applyFont="1" applyFill="1" applyBorder="1" applyAlignment="1">
      <alignment horizontal="center" vertical="center"/>
    </xf>
    <xf numFmtId="0" fontId="57" fillId="0" borderId="0" xfId="0" applyFont="1" applyAlignment="1">
      <alignment horizontal="center" vertical="center"/>
    </xf>
    <xf numFmtId="0" fontId="53" fillId="5" borderId="1" xfId="0" applyFont="1" applyFill="1" applyBorder="1" applyAlignment="1">
      <alignment horizontal="left" vertical="top" wrapText="1"/>
    </xf>
    <xf numFmtId="10" fontId="53" fillId="24" borderId="1" xfId="2" applyNumberFormat="1" applyFont="1" applyFill="1" applyBorder="1" applyAlignment="1">
      <alignment horizontal="center" vertical="top" wrapText="1"/>
    </xf>
    <xf numFmtId="0" fontId="57" fillId="0" borderId="0" xfId="0" applyFont="1" applyAlignment="1">
      <alignment horizontal="left"/>
    </xf>
    <xf numFmtId="0" fontId="56" fillId="0" borderId="0" xfId="0" applyFont="1" applyAlignment="1">
      <alignment horizontal="left"/>
    </xf>
    <xf numFmtId="0" fontId="54" fillId="0" borderId="0" xfId="0" applyFont="1" applyAlignment="1">
      <alignment horizontal="left"/>
    </xf>
    <xf numFmtId="0" fontId="57" fillId="0" borderId="29" xfId="0" applyFont="1" applyBorder="1" applyAlignment="1">
      <alignment vertical="center" wrapText="1"/>
    </xf>
    <xf numFmtId="0" fontId="57" fillId="0" borderId="30" xfId="0" applyFont="1" applyBorder="1"/>
    <xf numFmtId="0" fontId="75" fillId="0" borderId="31" xfId="0" applyFont="1" applyBorder="1" applyAlignment="1">
      <alignment vertical="center" wrapText="1"/>
    </xf>
    <xf numFmtId="0" fontId="53" fillId="0" borderId="29" xfId="0" applyFont="1" applyBorder="1"/>
    <xf numFmtId="0" fontId="75" fillId="0" borderId="31" xfId="0" applyFont="1" applyBorder="1" applyAlignment="1">
      <alignment horizontal="left" vertical="center" wrapText="1"/>
    </xf>
    <xf numFmtId="0" fontId="76" fillId="0" borderId="0" xfId="0" applyFont="1"/>
    <xf numFmtId="0" fontId="77" fillId="0" borderId="0" xfId="0" applyFont="1"/>
    <xf numFmtId="0" fontId="75" fillId="0" borderId="36" xfId="0" applyFont="1" applyBorder="1" applyAlignment="1">
      <alignment horizontal="left" vertical="center" wrapText="1"/>
    </xf>
    <xf numFmtId="0" fontId="75" fillId="0" borderId="0" xfId="0" applyFont="1" applyAlignment="1">
      <alignment horizontal="left" vertical="center" wrapText="1"/>
    </xf>
    <xf numFmtId="0" fontId="57" fillId="0" borderId="36" xfId="0" applyFont="1" applyBorder="1" applyAlignment="1">
      <alignment vertical="center" wrapText="1"/>
    </xf>
    <xf numFmtId="0" fontId="57" fillId="0" borderId="0" xfId="0" applyFont="1"/>
    <xf numFmtId="0" fontId="75" fillId="0" borderId="47" xfId="0" applyFont="1" applyBorder="1" applyAlignment="1">
      <alignment vertical="center" wrapText="1"/>
    </xf>
    <xf numFmtId="0" fontId="57" fillId="0" borderId="36" xfId="0" applyFont="1" applyBorder="1"/>
    <xf numFmtId="0" fontId="75" fillId="0" borderId="47" xfId="0" applyFont="1" applyBorder="1" applyAlignment="1">
      <alignment horizontal="left" vertical="center" wrapText="1"/>
    </xf>
    <xf numFmtId="0" fontId="56" fillId="0" borderId="0" xfId="0" applyFont="1" applyAlignment="1">
      <alignment horizontal="left" vertical="center" wrapText="1"/>
    </xf>
    <xf numFmtId="0" fontId="56" fillId="0" borderId="36" xfId="0" applyFont="1" applyBorder="1" applyAlignment="1">
      <alignment horizontal="left" vertical="center" wrapText="1"/>
    </xf>
    <xf numFmtId="0" fontId="57" fillId="0" borderId="47" xfId="0" applyFont="1" applyBorder="1"/>
    <xf numFmtId="0" fontId="56" fillId="0" borderId="47" xfId="0" applyFont="1" applyBorder="1" applyAlignment="1">
      <alignment horizontal="left" vertical="center" wrapText="1"/>
    </xf>
    <xf numFmtId="0" fontId="57" fillId="0" borderId="32" xfId="0" applyFont="1" applyBorder="1" applyAlignment="1">
      <alignment vertical="center" wrapText="1"/>
    </xf>
    <xf numFmtId="0" fontId="57" fillId="0" borderId="32" xfId="0" applyFont="1" applyBorder="1"/>
    <xf numFmtId="0" fontId="57" fillId="0" borderId="33" xfId="0" applyFont="1" applyBorder="1"/>
    <xf numFmtId="0" fontId="57" fillId="0" borderId="34" xfId="0" applyFont="1" applyBorder="1"/>
    <xf numFmtId="0" fontId="78" fillId="0" borderId="0" xfId="0" applyFont="1"/>
    <xf numFmtId="0" fontId="57" fillId="0" borderId="0" xfId="0" applyFont="1" applyAlignment="1">
      <alignment horizontal="center"/>
    </xf>
    <xf numFmtId="0" fontId="79" fillId="0" borderId="0" xfId="0" applyFont="1"/>
    <xf numFmtId="0" fontId="47" fillId="0" borderId="0" xfId="0" applyFont="1" applyAlignment="1">
      <alignment vertical="center" wrapText="1"/>
    </xf>
    <xf numFmtId="0" fontId="75" fillId="0" borderId="0" xfId="0" applyFont="1" applyAlignment="1">
      <alignment vertical="center"/>
    </xf>
    <xf numFmtId="0" fontId="80" fillId="0" borderId="0" xfId="0" applyFont="1" applyAlignment="1">
      <alignment vertical="center"/>
    </xf>
    <xf numFmtId="0" fontId="79" fillId="0" borderId="0" xfId="0" applyFont="1" applyAlignment="1">
      <alignment horizontal="center" vertical="center" wrapText="1"/>
    </xf>
    <xf numFmtId="0" fontId="79" fillId="0" borderId="0" xfId="0" applyFont="1" applyAlignment="1">
      <alignment horizontal="center"/>
    </xf>
    <xf numFmtId="0" fontId="80" fillId="0" borderId="0" xfId="0" applyFont="1" applyAlignment="1">
      <alignment vertical="center" wrapText="1"/>
    </xf>
    <xf numFmtId="0" fontId="80" fillId="23" borderId="1" xfId="0" applyFont="1" applyFill="1" applyBorder="1" applyAlignment="1">
      <alignment horizontal="center" vertical="center" wrapText="1"/>
    </xf>
    <xf numFmtId="0" fontId="80" fillId="19" borderId="1" xfId="0" applyFont="1" applyFill="1" applyBorder="1" applyAlignment="1">
      <alignment horizontal="center" vertical="center" wrapText="1"/>
    </xf>
    <xf numFmtId="0" fontId="75" fillId="3" borderId="1" xfId="0" applyFont="1" applyFill="1" applyBorder="1" applyAlignment="1">
      <alignment horizontal="center" vertical="center" wrapText="1"/>
    </xf>
    <xf numFmtId="0" fontId="79" fillId="3" borderId="1" xfId="0" applyFont="1" applyFill="1" applyBorder="1" applyAlignment="1">
      <alignment horizontal="center"/>
    </xf>
    <xf numFmtId="0" fontId="80" fillId="3" borderId="1" xfId="0" applyFont="1" applyFill="1" applyBorder="1" applyAlignment="1">
      <alignment horizontal="center" vertical="center" wrapText="1"/>
    </xf>
    <xf numFmtId="0" fontId="81" fillId="5" borderId="1" xfId="0" applyFont="1" applyFill="1" applyBorder="1" applyAlignment="1">
      <alignment horizontal="center" vertical="center" wrapText="1"/>
    </xf>
    <xf numFmtId="0" fontId="79" fillId="0" borderId="1" xfId="0" applyFont="1" applyBorder="1" applyAlignment="1">
      <alignment horizontal="center" vertical="center"/>
    </xf>
    <xf numFmtId="170" fontId="79" fillId="0" borderId="1" xfId="0" applyNumberFormat="1" applyFont="1" applyBorder="1" applyAlignment="1">
      <alignment horizontal="center" vertical="center"/>
    </xf>
    <xf numFmtId="0" fontId="79" fillId="19" borderId="1" xfId="0" applyFont="1" applyFill="1" applyBorder="1" applyAlignment="1">
      <alignment horizontal="center" vertical="center" wrapText="1"/>
    </xf>
    <xf numFmtId="4" fontId="79" fillId="0" borderId="1" xfId="0" applyNumberFormat="1" applyFont="1" applyBorder="1" applyAlignment="1">
      <alignment horizontal="center" vertical="center"/>
    </xf>
    <xf numFmtId="0" fontId="79" fillId="0" borderId="1" xfId="0" applyFont="1" applyBorder="1" applyAlignment="1">
      <alignment horizontal="center" vertical="center" wrapText="1"/>
    </xf>
    <xf numFmtId="0" fontId="77" fillId="0" borderId="47" xfId="0" applyFont="1" applyBorder="1"/>
    <xf numFmtId="0" fontId="77" fillId="0" borderId="32" xfId="0" applyFont="1" applyBorder="1"/>
    <xf numFmtId="0" fontId="77" fillId="0" borderId="33" xfId="0" applyFont="1" applyBorder="1"/>
    <xf numFmtId="0" fontId="77" fillId="0" borderId="34" xfId="0" applyFont="1" applyBorder="1"/>
    <xf numFmtId="0" fontId="56" fillId="0" borderId="0" xfId="0" applyFont="1"/>
    <xf numFmtId="0" fontId="53" fillId="0" borderId="0" xfId="0" applyFont="1"/>
    <xf numFmtId="0" fontId="75" fillId="0" borderId="9" xfId="0" applyFont="1" applyBorder="1"/>
    <xf numFmtId="0" fontId="57" fillId="0" borderId="9" xfId="0" applyFont="1" applyBorder="1"/>
    <xf numFmtId="0" fontId="57" fillId="0" borderId="9" xfId="0" applyFont="1" applyBorder="1" applyAlignment="1">
      <alignment horizontal="center" vertical="center" wrapText="1"/>
    </xf>
    <xf numFmtId="0" fontId="57" fillId="0" borderId="9" xfId="0" applyFont="1" applyBorder="1" applyAlignment="1">
      <alignment horizontal="center"/>
    </xf>
    <xf numFmtId="0" fontId="79" fillId="0" borderId="11" xfId="0" applyFont="1" applyBorder="1"/>
    <xf numFmtId="0" fontId="75" fillId="23" borderId="1" xfId="0" applyFont="1" applyFill="1" applyBorder="1" applyAlignment="1">
      <alignment horizontal="center" vertical="center" wrapText="1"/>
    </xf>
    <xf numFmtId="0" fontId="81" fillId="0" borderId="0" xfId="0" applyFont="1" applyAlignment="1">
      <alignment horizontal="center" vertical="center"/>
    </xf>
    <xf numFmtId="0" fontId="79" fillId="0" borderId="12" xfId="0" applyFont="1" applyBorder="1"/>
    <xf numFmtId="0" fontId="57" fillId="0" borderId="1" xfId="0" applyFont="1" applyBorder="1" applyAlignment="1">
      <alignment horizontal="center"/>
    </xf>
    <xf numFmtId="0" fontId="57" fillId="0" borderId="1" xfId="0" applyFont="1" applyBorder="1" applyAlignment="1">
      <alignment horizontal="center" vertical="center" wrapText="1"/>
    </xf>
    <xf numFmtId="0" fontId="57" fillId="0" borderId="1" xfId="0" applyFont="1" applyBorder="1" applyAlignment="1">
      <alignment vertical="center" wrapText="1"/>
    </xf>
    <xf numFmtId="0" fontId="75" fillId="0" borderId="29" xfId="0" applyFont="1" applyBorder="1" applyAlignment="1">
      <alignment vertical="center" wrapText="1"/>
    </xf>
    <xf numFmtId="0" fontId="56" fillId="0" borderId="35" xfId="0" applyFont="1" applyBorder="1" applyAlignment="1">
      <alignment horizontal="left" vertical="center" wrapText="1"/>
    </xf>
    <xf numFmtId="0" fontId="57" fillId="0" borderId="35" xfId="0" applyFont="1" applyBorder="1"/>
    <xf numFmtId="0" fontId="57" fillId="0" borderId="17" xfId="0" applyFont="1" applyBorder="1"/>
    <xf numFmtId="0" fontId="80" fillId="0" borderId="12" xfId="0" applyFont="1" applyBorder="1" applyAlignment="1">
      <alignment vertical="center" wrapText="1"/>
    </xf>
    <xf numFmtId="0" fontId="75" fillId="0" borderId="16" xfId="0" applyFont="1" applyBorder="1" applyAlignment="1">
      <alignment vertical="center" wrapText="1"/>
    </xf>
    <xf numFmtId="0" fontId="75" fillId="0" borderId="35" xfId="0" applyFont="1" applyBorder="1" applyAlignment="1">
      <alignment horizontal="left" vertical="center" wrapText="1"/>
    </xf>
    <xf numFmtId="0" fontId="75" fillId="0" borderId="32" xfId="0" applyFont="1" applyBorder="1" applyAlignment="1">
      <alignment horizontal="left" vertical="center" wrapText="1"/>
    </xf>
    <xf numFmtId="0" fontId="75" fillId="0" borderId="34" xfId="0" applyFont="1" applyBorder="1" applyAlignment="1">
      <alignment horizontal="left" vertical="center" wrapText="1"/>
    </xf>
    <xf numFmtId="0" fontId="75" fillId="0" borderId="17" xfId="0" applyFont="1" applyBorder="1" applyAlignment="1">
      <alignment horizontal="left" vertical="center" wrapText="1"/>
    </xf>
    <xf numFmtId="0" fontId="75" fillId="0" borderId="33" xfId="0" applyFont="1" applyBorder="1" applyAlignment="1">
      <alignment horizontal="left" vertical="center" wrapText="1"/>
    </xf>
    <xf numFmtId="0" fontId="47"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7" fillId="0" borderId="12" xfId="0" applyFont="1" applyBorder="1"/>
    <xf numFmtId="0" fontId="47" fillId="0" borderId="0" xfId="0" applyFont="1"/>
    <xf numFmtId="0" fontId="45" fillId="0" borderId="0" xfId="0" applyFont="1" applyAlignment="1">
      <alignment horizontal="left" indent="19"/>
    </xf>
    <xf numFmtId="0" fontId="53" fillId="0" borderId="32" xfId="0" applyFont="1" applyBorder="1" applyAlignment="1">
      <alignment vertical="center" wrapText="1"/>
    </xf>
    <xf numFmtId="0" fontId="57" fillId="0" borderId="14" xfId="0" applyFont="1" applyBorder="1" applyAlignment="1">
      <alignment vertical="center" wrapText="1"/>
    </xf>
    <xf numFmtId="0" fontId="57" fillId="0" borderId="14" xfId="0" applyFont="1" applyBorder="1" applyAlignment="1">
      <alignment horizontal="center" vertical="center" wrapText="1"/>
    </xf>
    <xf numFmtId="0" fontId="57" fillId="0" borderId="14" xfId="0" applyFont="1" applyBorder="1" applyAlignment="1">
      <alignment horizontal="center"/>
    </xf>
    <xf numFmtId="0" fontId="44" fillId="0" borderId="0" xfId="0" applyFont="1" applyAlignment="1">
      <alignment horizontal="center"/>
    </xf>
    <xf numFmtId="0" fontId="56" fillId="0" borderId="0" xfId="0" applyFont="1" applyAlignment="1">
      <alignment vertical="center"/>
    </xf>
    <xf numFmtId="0" fontId="42" fillId="0" borderId="0" xfId="0" applyFont="1"/>
    <xf numFmtId="0" fontId="83"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7" fillId="0" borderId="0" xfId="2" applyNumberFormat="1" applyFont="1" applyFill="1" applyBorder="1" applyAlignment="1">
      <alignment horizontal="center" vertical="top" wrapText="1"/>
    </xf>
    <xf numFmtId="10" fontId="53" fillId="0" borderId="0" xfId="2" applyNumberFormat="1" applyFont="1" applyBorder="1" applyAlignment="1">
      <alignment horizontal="center" vertical="center" wrapText="1"/>
    </xf>
    <xf numFmtId="10" fontId="53"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4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27" borderId="26" xfId="0" applyNumberFormat="1" applyFont="1" applyFill="1" applyBorder="1" applyAlignment="1">
      <alignment vertical="center" wrapText="1"/>
    </xf>
    <xf numFmtId="165"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9" fillId="0" borderId="1" xfId="0" applyFont="1" applyBorder="1" applyAlignment="1">
      <alignment horizontal="left" vertical="center"/>
    </xf>
    <xf numFmtId="0" fontId="81" fillId="5" borderId="1" xfId="0" applyFont="1" applyFill="1" applyBorder="1" applyAlignment="1">
      <alignment horizontal="center" vertical="top" wrapText="1"/>
    </xf>
    <xf numFmtId="0" fontId="87" fillId="5" borderId="1" xfId="0" applyFont="1" applyFill="1" applyBorder="1" applyAlignment="1">
      <alignment horizontal="center" vertical="top" wrapText="1"/>
    </xf>
    <xf numFmtId="0" fontId="79" fillId="0" borderId="1" xfId="0" applyFont="1" applyBorder="1" applyAlignment="1">
      <alignment horizontal="left" vertical="center" wrapText="1"/>
    </xf>
    <xf numFmtId="0" fontId="88" fillId="5" borderId="1" xfId="0" applyFont="1" applyFill="1" applyBorder="1" applyAlignment="1">
      <alignment horizontal="center" vertical="center" wrapText="1"/>
    </xf>
    <xf numFmtId="10" fontId="53" fillId="0" borderId="0" xfId="2" applyNumberFormat="1" applyFont="1" applyAlignment="1">
      <alignment horizontal="center" vertical="top" wrapText="1"/>
    </xf>
    <xf numFmtId="0" fontId="57" fillId="0" borderId="0" xfId="0" applyFont="1" applyAlignment="1">
      <alignment horizontal="center" vertical="top" wrapText="1"/>
    </xf>
    <xf numFmtId="0" fontId="72" fillId="0" borderId="0" xfId="0" applyFont="1" applyAlignment="1">
      <alignment horizontal="center" vertical="top"/>
    </xf>
    <xf numFmtId="10" fontId="53" fillId="0" borderId="1" xfId="0" applyNumberFormat="1" applyFont="1" applyBorder="1" applyAlignment="1">
      <alignment horizontal="center" vertical="top"/>
    </xf>
    <xf numFmtId="0" fontId="53" fillId="0" borderId="1" xfId="0" applyFont="1" applyBorder="1" applyAlignment="1">
      <alignment horizontal="center" vertical="top"/>
    </xf>
    <xf numFmtId="10" fontId="53" fillId="0" borderId="0" xfId="0" applyNumberFormat="1" applyFont="1" applyAlignment="1">
      <alignment horizontal="center" vertical="top"/>
    </xf>
    <xf numFmtId="0" fontId="57" fillId="0" borderId="0" xfId="0" applyFont="1" applyAlignment="1">
      <alignment vertical="top"/>
    </xf>
    <xf numFmtId="0" fontId="57" fillId="0" borderId="0" xfId="0" applyFont="1" applyAlignment="1">
      <alignment vertical="top" wrapText="1"/>
    </xf>
    <xf numFmtId="0" fontId="72" fillId="0" borderId="0" xfId="0" applyFont="1" applyAlignment="1">
      <alignment horizontal="left" vertical="top" wrapText="1"/>
    </xf>
    <xf numFmtId="0" fontId="53" fillId="0" borderId="0" xfId="0" applyFont="1" applyAlignment="1">
      <alignment vertical="top"/>
    </xf>
    <xf numFmtId="0" fontId="41" fillId="0" borderId="0" xfId="0" applyFont="1" applyAlignment="1">
      <alignment vertical="top"/>
    </xf>
    <xf numFmtId="10" fontId="47" fillId="0" borderId="0" xfId="2" applyNumberFormat="1" applyFont="1" applyFill="1" applyBorder="1" applyAlignment="1">
      <alignment horizontal="center" vertical="top" wrapText="1"/>
    </xf>
    <xf numFmtId="10" fontId="45" fillId="5" borderId="1" xfId="2" applyNumberFormat="1" applyFont="1" applyFill="1" applyBorder="1" applyAlignment="1">
      <alignment horizontal="center" vertical="top" wrapText="1"/>
    </xf>
    <xf numFmtId="10" fontId="78" fillId="5" borderId="4" xfId="0" applyNumberFormat="1" applyFont="1" applyFill="1" applyBorder="1" applyAlignment="1">
      <alignment horizontal="center" vertical="top" wrapText="1"/>
    </xf>
    <xf numFmtId="10" fontId="89" fillId="5" borderId="1" xfId="0" applyNumberFormat="1" applyFont="1" applyFill="1" applyBorder="1" applyAlignment="1">
      <alignment horizontal="center" vertical="top"/>
    </xf>
    <xf numFmtId="10" fontId="47" fillId="5" borderId="1" xfId="2" applyNumberFormat="1" applyFont="1" applyFill="1" applyBorder="1" applyAlignment="1">
      <alignment horizontal="center" vertical="top" wrapText="1"/>
    </xf>
    <xf numFmtId="10" fontId="85" fillId="5" borderId="4" xfId="0" applyNumberFormat="1" applyFont="1" applyFill="1" applyBorder="1" applyAlignment="1">
      <alignment horizontal="center" vertical="top" wrapText="1"/>
    </xf>
    <xf numFmtId="10" fontId="91"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7" fillId="0" borderId="1" xfId="2" applyNumberFormat="1" applyFont="1" applyFill="1" applyBorder="1" applyAlignment="1">
      <alignment horizontal="center" vertical="top" wrapText="1"/>
    </xf>
    <xf numFmtId="43" fontId="93" fillId="0" borderId="4" xfId="0" applyNumberFormat="1" applyFont="1" applyBorder="1" applyAlignment="1">
      <alignment horizontal="center" vertical="top" wrapText="1"/>
    </xf>
    <xf numFmtId="10" fontId="91" fillId="0" borderId="1" xfId="0" applyNumberFormat="1" applyFont="1" applyBorder="1" applyAlignment="1">
      <alignment horizontal="center" vertical="top"/>
    </xf>
    <xf numFmtId="10" fontId="47"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7" fillId="0" borderId="0" xfId="2" applyNumberFormat="1" applyFont="1" applyAlignment="1">
      <alignment horizontal="center" vertical="top" wrapText="1"/>
    </xf>
    <xf numFmtId="0" fontId="94" fillId="0" borderId="4" xfId="0" applyFont="1" applyBorder="1" applyAlignment="1">
      <alignment vertical="top" wrapText="1"/>
    </xf>
    <xf numFmtId="0" fontId="95" fillId="0" borderId="1" xfId="0" applyFont="1" applyBorder="1" applyAlignment="1">
      <alignment horizontal="center" vertical="top" wrapText="1"/>
    </xf>
    <xf numFmtId="0" fontId="95" fillId="0" borderId="4" xfId="0" applyFont="1" applyBorder="1" applyAlignment="1">
      <alignment vertical="top"/>
    </xf>
    <xf numFmtId="0" fontId="95" fillId="0" borderId="1" xfId="0" applyFont="1" applyBorder="1" applyAlignment="1">
      <alignment horizontal="center" vertical="top"/>
    </xf>
    <xf numFmtId="10" fontId="47" fillId="5" borderId="17" xfId="2" applyNumberFormat="1" applyFont="1" applyFill="1" applyBorder="1" applyAlignment="1">
      <alignment horizontal="center" vertical="center" wrapText="1"/>
    </xf>
    <xf numFmtId="10" fontId="47" fillId="5" borderId="17" xfId="2" applyNumberFormat="1" applyFont="1" applyFill="1" applyBorder="1" applyAlignment="1">
      <alignment vertical="center" wrapText="1"/>
    </xf>
    <xf numFmtId="43" fontId="93" fillId="5" borderId="4" xfId="0" applyNumberFormat="1" applyFont="1" applyFill="1" applyBorder="1" applyAlignment="1">
      <alignment horizontal="center" vertical="top" wrapText="1"/>
    </xf>
    <xf numFmtId="10" fontId="91"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91" fillId="0" borderId="1" xfId="0" applyFont="1" applyBorder="1" applyAlignment="1">
      <alignment horizontal="center" vertical="top"/>
    </xf>
    <xf numFmtId="43" fontId="93" fillId="5" borderId="4" xfId="1" applyFont="1" applyFill="1" applyBorder="1" applyAlignment="1">
      <alignment horizontal="center" vertical="top" wrapText="1"/>
    </xf>
    <xf numFmtId="0" fontId="85" fillId="0" borderId="4" xfId="0" applyFont="1" applyBorder="1" applyAlignment="1">
      <alignment horizontal="center" vertical="top" wrapText="1"/>
    </xf>
    <xf numFmtId="0" fontId="41" fillId="0" borderId="0" xfId="0" applyFont="1" applyAlignment="1">
      <alignment vertical="top" wrapText="1"/>
    </xf>
    <xf numFmtId="0" fontId="85" fillId="5" borderId="4" xfId="0" applyFont="1" applyFill="1" applyBorder="1" applyAlignment="1">
      <alignment horizontal="center" vertical="top" wrapText="1"/>
    </xf>
    <xf numFmtId="10" fontId="86" fillId="0" borderId="0" xfId="2" applyNumberFormat="1" applyFont="1" applyFill="1" applyBorder="1" applyAlignment="1">
      <alignment horizontal="center" vertical="top" wrapText="1"/>
    </xf>
    <xf numFmtId="10" fontId="86" fillId="0" borderId="0" xfId="0" applyNumberFormat="1" applyFont="1" applyAlignment="1">
      <alignment horizontal="center" vertical="top"/>
    </xf>
    <xf numFmtId="10" fontId="83" fillId="0" borderId="0" xfId="0" applyNumberFormat="1" applyFont="1" applyAlignment="1">
      <alignment horizontal="left" vertical="top"/>
    </xf>
    <xf numFmtId="164" fontId="93" fillId="5" borderId="4" xfId="0" applyNumberFormat="1" applyFont="1" applyFill="1" applyBorder="1" applyAlignment="1">
      <alignment horizontal="center" vertical="top" wrapText="1"/>
    </xf>
    <xf numFmtId="0" fontId="47" fillId="0" borderId="0" xfId="0" applyFont="1" applyAlignment="1">
      <alignment horizontal="center" vertical="center" wrapText="1"/>
    </xf>
    <xf numFmtId="10" fontId="86" fillId="0" borderId="0" xfId="0" applyNumberFormat="1" applyFont="1" applyAlignment="1">
      <alignment horizontal="center" vertical="center" wrapText="1"/>
    </xf>
    <xf numFmtId="10" fontId="86" fillId="0" borderId="0" xfId="2" applyNumberFormat="1" applyFont="1" applyFill="1" applyBorder="1" applyAlignment="1">
      <alignment horizontal="center" vertical="center" wrapText="1"/>
    </xf>
    <xf numFmtId="10" fontId="47" fillId="0" borderId="1" xfId="2" applyNumberFormat="1" applyFont="1" applyBorder="1" applyAlignment="1">
      <alignment horizontal="center" vertical="center" wrapText="1"/>
    </xf>
    <xf numFmtId="14" fontId="47" fillId="5" borderId="4" xfId="0" applyNumberFormat="1" applyFont="1" applyFill="1" applyBorder="1" applyAlignment="1">
      <alignment horizontal="center" vertical="center" wrapText="1"/>
    </xf>
    <xf numFmtId="0" fontId="91" fillId="0" borderId="1" xfId="0" applyFont="1" applyBorder="1" applyAlignment="1">
      <alignment horizontal="center" vertical="center" wrapText="1"/>
    </xf>
    <xf numFmtId="10" fontId="47" fillId="0" borderId="0" xfId="2" applyNumberFormat="1" applyFont="1" applyFill="1" applyAlignment="1">
      <alignment horizontal="center" vertical="top" wrapText="1"/>
    </xf>
    <xf numFmtId="0" fontId="47" fillId="0" borderId="1" xfId="0" applyFont="1" applyBorder="1" applyAlignment="1">
      <alignment horizontal="center" vertical="center" wrapText="1"/>
    </xf>
    <xf numFmtId="0" fontId="79" fillId="0" borderId="0" xfId="0" applyFont="1" applyAlignment="1">
      <alignment vertical="top"/>
    </xf>
    <xf numFmtId="10" fontId="80" fillId="0" borderId="0" xfId="2" applyNumberFormat="1" applyFont="1" applyFill="1" applyAlignment="1">
      <alignment horizontal="center" vertical="top" wrapText="1"/>
    </xf>
    <xf numFmtId="0" fontId="79" fillId="0" borderId="0" xfId="0" applyFont="1" applyAlignment="1">
      <alignment horizontal="center" vertical="top" wrapText="1"/>
    </xf>
    <xf numFmtId="0" fontId="96" fillId="0" borderId="0" xfId="0" applyFont="1" applyAlignment="1">
      <alignment horizontal="center" vertical="top"/>
    </xf>
    <xf numFmtId="0" fontId="97" fillId="0" borderId="0" xfId="0" applyFont="1" applyAlignment="1">
      <alignment horizontal="left" vertical="top"/>
    </xf>
    <xf numFmtId="0" fontId="75" fillId="0" borderId="0" xfId="0" applyFont="1" applyAlignment="1">
      <alignment horizontal="right" vertical="center"/>
    </xf>
    <xf numFmtId="0" fontId="80" fillId="0" borderId="1" xfId="0" applyFont="1" applyBorder="1" applyAlignment="1">
      <alignment horizontal="center" vertical="center" wrapText="1"/>
    </xf>
    <xf numFmtId="0" fontId="98" fillId="5" borderId="1" xfId="0" applyFont="1" applyFill="1" applyBorder="1" applyAlignment="1">
      <alignment vertical="center" wrapText="1"/>
    </xf>
    <xf numFmtId="0" fontId="99" fillId="0" borderId="4" xfId="0" applyFont="1" applyBorder="1" applyAlignment="1">
      <alignment horizontal="left" vertical="center" wrapText="1"/>
    </xf>
    <xf numFmtId="0" fontId="79" fillId="0" borderId="2" xfId="0" applyFont="1" applyBorder="1" applyAlignment="1">
      <alignment horizontal="left" vertical="center" wrapText="1"/>
    </xf>
    <xf numFmtId="0" fontId="98" fillId="0" borderId="1" xfId="0" applyFont="1" applyBorder="1" applyAlignment="1">
      <alignment vertical="center" wrapText="1"/>
    </xf>
    <xf numFmtId="0" fontId="102" fillId="19" borderId="1" xfId="0" applyFont="1" applyFill="1" applyBorder="1" applyAlignment="1">
      <alignment horizontal="center" vertical="center" wrapText="1"/>
    </xf>
    <xf numFmtId="0" fontId="98" fillId="0" borderId="1" xfId="0" applyFont="1" applyBorder="1" applyAlignment="1">
      <alignment horizontal="left" vertical="center" wrapText="1"/>
    </xf>
    <xf numFmtId="0" fontId="103" fillId="19" borderId="1" xfId="0" applyFont="1" applyFill="1" applyBorder="1" applyAlignment="1">
      <alignment horizontal="center" vertical="center" wrapText="1"/>
    </xf>
    <xf numFmtId="0" fontId="79" fillId="28" borderId="1" xfId="0" applyFont="1" applyFill="1" applyBorder="1" applyAlignment="1">
      <alignment horizontal="center" vertical="center" wrapText="1"/>
    </xf>
    <xf numFmtId="0" fontId="79" fillId="0" borderId="0" xfId="0" applyFont="1" applyAlignment="1">
      <alignment vertical="center"/>
    </xf>
    <xf numFmtId="0" fontId="79" fillId="0" borderId="0" xfId="0" applyFont="1" applyAlignment="1">
      <alignment vertical="center" wrapText="1"/>
    </xf>
    <xf numFmtId="0" fontId="84" fillId="28" borderId="1" xfId="0" applyFont="1" applyFill="1" applyBorder="1" applyAlignment="1">
      <alignment horizontal="center" vertical="center"/>
    </xf>
    <xf numFmtId="0" fontId="96" fillId="0" borderId="1" xfId="0" applyFont="1" applyBorder="1" applyAlignment="1">
      <alignment horizontal="left" vertical="top" wrapText="1"/>
    </xf>
    <xf numFmtId="0" fontId="55" fillId="0" borderId="0" xfId="0" applyFont="1" applyAlignment="1">
      <alignment horizontal="right" vertical="center"/>
    </xf>
    <xf numFmtId="0" fontId="80" fillId="0" borderId="35" xfId="0" applyFont="1" applyBorder="1" applyAlignment="1">
      <alignment vertical="center" wrapText="1"/>
    </xf>
    <xf numFmtId="0" fontId="83" fillId="0" borderId="0" xfId="0" applyFont="1" applyAlignment="1">
      <alignment vertical="center"/>
    </xf>
    <xf numFmtId="10" fontId="92" fillId="0" borderId="1" xfId="0" quotePrefix="1" applyNumberFormat="1" applyFont="1" applyBorder="1" applyAlignment="1">
      <alignment vertical="center" wrapText="1"/>
    </xf>
    <xf numFmtId="0" fontId="80" fillId="0" borderId="35" xfId="0" applyFont="1" applyBorder="1" applyAlignment="1">
      <alignment horizontal="center" vertical="center" wrapText="1"/>
    </xf>
    <xf numFmtId="10" fontId="96" fillId="0" borderId="1" xfId="0" quotePrefix="1" applyNumberFormat="1" applyFont="1" applyBorder="1" applyAlignment="1">
      <alignment vertical="center" wrapText="1"/>
    </xf>
    <xf numFmtId="0" fontId="104" fillId="0" borderId="1" xfId="0" applyFont="1" applyBorder="1" applyAlignment="1">
      <alignment horizontal="center" vertical="center" wrapText="1"/>
    </xf>
    <xf numFmtId="0" fontId="75" fillId="19" borderId="1" xfId="0" applyFont="1" applyFill="1" applyBorder="1" applyAlignment="1">
      <alignment horizontal="center" vertical="center"/>
    </xf>
    <xf numFmtId="0" fontId="75" fillId="19" borderId="1" xfId="0" applyFont="1" applyFill="1" applyBorder="1" applyAlignment="1">
      <alignment horizontal="center" vertical="center" wrapText="1"/>
    </xf>
    <xf numFmtId="0" fontId="75" fillId="10" borderId="1" xfId="0" applyFont="1" applyFill="1" applyBorder="1" applyAlignment="1">
      <alignment horizontal="center" vertical="center"/>
    </xf>
    <xf numFmtId="0" fontId="81" fillId="0" borderId="1" xfId="0" applyFont="1" applyBorder="1" applyAlignment="1">
      <alignment vertical="center"/>
    </xf>
    <xf numFmtId="0" fontId="81" fillId="0" borderId="1" xfId="0" applyFont="1" applyBorder="1" applyAlignment="1">
      <alignment vertical="center" wrapText="1"/>
    </xf>
    <xf numFmtId="0" fontId="81" fillId="0" borderId="1" xfId="0" applyFont="1" applyBorder="1" applyAlignment="1">
      <alignment vertical="center"/>
      <extLst>
        <ext xmlns:xfpb="http://schemas.microsoft.com/office/spreadsheetml/2022/featurepropertybag" uri="{C7286773-470A-42A8-94C5-96B5CB345126}">
          <xfpb:xfComplement i="0"/>
        </ext>
      </extLst>
    </xf>
    <xf numFmtId="0" fontId="81"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81" fillId="0" borderId="1" xfId="0" applyFont="1" applyBorder="1" applyAlignment="1">
      <alignment horizontal="center" vertical="center"/>
    </xf>
    <xf numFmtId="0" fontId="81" fillId="0" borderId="1" xfId="0" applyFont="1" applyBorder="1" applyAlignment="1">
      <alignment horizontal="right" vertical="center"/>
    </xf>
    <xf numFmtId="0" fontId="81" fillId="0" borderId="1" xfId="0" applyFont="1" applyBorder="1" applyAlignment="1">
      <alignment horizontal="left" vertical="top" wrapText="1"/>
    </xf>
    <xf numFmtId="0" fontId="75" fillId="0" borderId="1" xfId="0" applyFont="1" applyBorder="1" applyAlignment="1">
      <alignment horizontal="center" vertical="center"/>
    </xf>
    <xf numFmtId="0" fontId="79" fillId="0" borderId="1" xfId="0" applyFont="1" applyBorder="1" applyAlignment="1">
      <alignment vertical="center" wrapText="1"/>
    </xf>
    <xf numFmtId="0" fontId="79" fillId="0" borderId="1" xfId="0" applyFont="1" applyBorder="1" applyAlignment="1">
      <alignment vertical="center"/>
      <extLst>
        <ext xmlns:xfpb="http://schemas.microsoft.com/office/spreadsheetml/2022/featurepropertybag" uri="{C7286773-470A-42A8-94C5-96B5CB345126}">
          <xfpb:xfComplement i="0"/>
        </ext>
      </extLst>
    </xf>
    <xf numFmtId="0" fontId="79" fillId="0" borderId="1" xfId="0" applyFont="1" applyBorder="1" applyAlignment="1">
      <alignment vertical="center"/>
    </xf>
    <xf numFmtId="0" fontId="80" fillId="0" borderId="1" xfId="0" applyFont="1" applyBorder="1" applyAlignment="1">
      <alignment vertical="center"/>
    </xf>
    <xf numFmtId="14" fontId="79"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0" fontId="63" fillId="0" borderId="1" xfId="0" applyNumberFormat="1" applyFont="1" applyBorder="1" applyAlignment="1">
      <alignment horizontal="center" vertical="top"/>
    </xf>
    <xf numFmtId="171" fontId="79" fillId="0" borderId="1" xfId="0" applyNumberFormat="1" applyFont="1" applyBorder="1" applyAlignment="1">
      <alignment horizontal="center" vertical="center"/>
    </xf>
    <xf numFmtId="171" fontId="69" fillId="0" borderId="0" xfId="0" applyNumberFormat="1" applyFont="1" applyAlignment="1">
      <alignment horizontal="center" vertical="center"/>
    </xf>
    <xf numFmtId="43" fontId="2" fillId="0" borderId="0" xfId="1" applyFont="1" applyBorder="1" applyAlignment="1">
      <alignment vertical="center" wrapText="1"/>
    </xf>
    <xf numFmtId="43" fontId="0" fillId="0" borderId="1" xfId="1" applyFont="1" applyBorder="1"/>
    <xf numFmtId="0" fontId="40" fillId="0" borderId="9" xfId="0" applyFont="1" applyBorder="1"/>
    <xf numFmtId="0" fontId="40" fillId="0" borderId="14" xfId="0" applyFont="1" applyBorder="1"/>
    <xf numFmtId="0" fontId="111" fillId="0" borderId="1" xfId="0" applyFont="1" applyBorder="1" applyAlignment="1">
      <alignment horizontal="center" vertical="center"/>
    </xf>
    <xf numFmtId="0" fontId="75" fillId="2" borderId="1" xfId="0" applyFont="1" applyFill="1" applyBorder="1" applyAlignment="1">
      <alignment horizontal="center" vertical="center" wrapText="1"/>
    </xf>
    <xf numFmtId="165" fontId="2" fillId="20" borderId="1" xfId="1" applyNumberFormat="1" applyFont="1" applyFill="1" applyBorder="1" applyAlignment="1">
      <alignment vertical="center"/>
    </xf>
    <xf numFmtId="43" fontId="4" fillId="5" borderId="16" xfId="1" applyFont="1" applyFill="1" applyBorder="1" applyAlignment="1">
      <alignment horizontal="center" vertical="center" wrapText="1"/>
    </xf>
    <xf numFmtId="43" fontId="0" fillId="0" borderId="0" xfId="1" applyFont="1"/>
    <xf numFmtId="9" fontId="2" fillId="0" borderId="0" xfId="2" applyFont="1" applyAlignment="1">
      <alignment vertical="center" wrapText="1"/>
    </xf>
    <xf numFmtId="165" fontId="20" fillId="0" borderId="1" xfId="1" applyNumberFormat="1" applyFont="1" applyBorder="1" applyAlignment="1">
      <alignment vertical="top"/>
    </xf>
    <xf numFmtId="169" fontId="20" fillId="10" borderId="1" xfId="1" applyNumberFormat="1" applyFont="1" applyFill="1" applyBorder="1" applyAlignment="1">
      <alignment vertical="top"/>
    </xf>
    <xf numFmtId="0" fontId="20" fillId="0" borderId="1" xfId="0" applyFont="1" applyBorder="1" applyAlignment="1">
      <alignment vertical="top"/>
    </xf>
    <xf numFmtId="0" fontId="80" fillId="0" borderId="4" xfId="0" applyFont="1" applyBorder="1" applyAlignment="1">
      <alignment horizontal="center" vertical="center" wrapText="1"/>
    </xf>
    <xf numFmtId="165" fontId="14" fillId="0" borderId="1" xfId="1" applyNumberFormat="1" applyFont="1" applyFill="1" applyBorder="1" applyAlignment="1">
      <alignment horizontal="center" vertical="center" wrapText="1"/>
    </xf>
    <xf numFmtId="43" fontId="4" fillId="0" borderId="0" xfId="1" applyFont="1" applyFill="1" applyBorder="1" applyAlignment="1">
      <alignment horizontal="center" vertical="center" wrapText="1"/>
    </xf>
    <xf numFmtId="0" fontId="75" fillId="0" borderId="29" xfId="0" applyFont="1" applyBorder="1" applyAlignment="1">
      <alignment horizontal="left" vertical="center" wrapText="1"/>
    </xf>
    <xf numFmtId="0" fontId="75" fillId="0" borderId="30" xfId="0" applyFont="1" applyBorder="1" applyAlignment="1">
      <alignment horizontal="left" vertical="center" wrapText="1"/>
    </xf>
    <xf numFmtId="0" fontId="75" fillId="0" borderId="31" xfId="0" applyFont="1" applyBorder="1" applyAlignment="1">
      <alignment horizontal="left" vertical="center" wrapText="1"/>
    </xf>
    <xf numFmtId="0" fontId="75" fillId="0" borderId="0" xfId="0" applyFont="1" applyAlignment="1">
      <alignment horizontal="left" vertical="center" wrapText="1"/>
    </xf>
    <xf numFmtId="0" fontId="75" fillId="3" borderId="2" xfId="0" applyFont="1" applyFill="1" applyBorder="1" applyAlignment="1">
      <alignment horizontal="center" vertical="center" wrapText="1"/>
    </xf>
    <xf numFmtId="0" fontId="75" fillId="3" borderId="3" xfId="0" applyFont="1" applyFill="1" applyBorder="1" applyAlignment="1">
      <alignment horizontal="center" vertical="center" wrapText="1"/>
    </xf>
    <xf numFmtId="0" fontId="81" fillId="0" borderId="2" xfId="0" applyFont="1" applyBorder="1" applyAlignment="1">
      <alignment horizontal="left" vertical="center" wrapText="1"/>
    </xf>
    <xf numFmtId="0" fontId="81" fillId="0" borderId="3" xfId="0" applyFont="1" applyBorder="1" applyAlignment="1">
      <alignment horizontal="left" vertical="center" wrapText="1"/>
    </xf>
    <xf numFmtId="0" fontId="57" fillId="0" borderId="2" xfId="0" applyFont="1" applyBorder="1" applyAlignment="1">
      <alignment horizontal="left"/>
    </xf>
    <xf numFmtId="0" fontId="57" fillId="0" borderId="3" xfId="0" applyFont="1" applyBorder="1" applyAlignment="1">
      <alignment horizontal="left"/>
    </xf>
    <xf numFmtId="0" fontId="57" fillId="0" borderId="4" xfId="0" applyFont="1" applyBorder="1" applyAlignment="1">
      <alignment horizontal="left"/>
    </xf>
    <xf numFmtId="0" fontId="75" fillId="0" borderId="36" xfId="0" applyFont="1" applyBorder="1" applyAlignment="1">
      <alignment horizontal="left" wrapText="1"/>
    </xf>
    <xf numFmtId="0" fontId="75" fillId="0" borderId="0" xfId="0" applyFont="1" applyAlignment="1">
      <alignment horizontal="left" wrapText="1"/>
    </xf>
    <xf numFmtId="0" fontId="81" fillId="0" borderId="4" xfId="0" applyFont="1" applyBorder="1" applyAlignment="1">
      <alignment horizontal="left" vertical="center" wrapText="1"/>
    </xf>
    <xf numFmtId="0" fontId="44" fillId="0" borderId="0" xfId="0" applyFont="1" applyAlignment="1">
      <alignment horizontal="center" vertical="center"/>
    </xf>
    <xf numFmtId="0" fontId="80" fillId="3" borderId="2" xfId="0" applyFont="1" applyFill="1" applyBorder="1" applyAlignment="1">
      <alignment horizontal="center" vertical="center" wrapText="1"/>
    </xf>
    <xf numFmtId="0" fontId="80" fillId="3" borderId="3" xfId="0" applyFont="1" applyFill="1" applyBorder="1" applyAlignment="1">
      <alignment horizontal="center" vertical="center" wrapText="1"/>
    </xf>
    <xf numFmtId="0" fontId="81" fillId="0" borderId="2" xfId="0" applyFont="1" applyBorder="1" applyAlignment="1">
      <alignment horizontal="left" vertical="center"/>
    </xf>
    <xf numFmtId="0" fontId="81" fillId="0" borderId="3" xfId="0" applyFont="1" applyBorder="1" applyAlignment="1">
      <alignment horizontal="left" vertical="center"/>
    </xf>
    <xf numFmtId="0" fontId="81" fillId="0" borderId="4" xfId="0" applyFont="1" applyBorder="1" applyAlignment="1">
      <alignment horizontal="left" vertical="center"/>
    </xf>
    <xf numFmtId="0" fontId="47" fillId="5" borderId="2" xfId="0" applyFont="1" applyFill="1" applyBorder="1" applyAlignment="1">
      <alignment horizontal="left" vertical="top" wrapText="1"/>
    </xf>
    <xf numFmtId="0" fontId="47" fillId="5" borderId="3" xfId="0" applyFont="1" applyFill="1" applyBorder="1" applyAlignment="1">
      <alignment horizontal="left" vertical="top" wrapText="1"/>
    </xf>
    <xf numFmtId="0" fontId="47" fillId="5" borderId="4" xfId="0" applyFont="1" applyFill="1" applyBorder="1" applyAlignment="1">
      <alignment horizontal="left" vertical="top" wrapText="1"/>
    </xf>
    <xf numFmtId="10" fontId="92" fillId="5" borderId="1" xfId="0" applyNumberFormat="1" applyFont="1" applyFill="1" applyBorder="1" applyAlignment="1">
      <alignment horizontal="center" vertical="top"/>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75" fillId="0" borderId="36" xfId="0" applyFont="1" applyBorder="1" applyAlignment="1">
      <alignment horizontal="left" vertical="center" wrapText="1"/>
    </xf>
    <xf numFmtId="10" fontId="90" fillId="5" borderId="1" xfId="0" applyNumberFormat="1" applyFont="1" applyFill="1" applyBorder="1" applyAlignment="1">
      <alignment horizontal="center" vertical="top"/>
    </xf>
    <xf numFmtId="0" fontId="70" fillId="0" borderId="30" xfId="0" applyFont="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78" fillId="0" borderId="2" xfId="0" applyFont="1" applyBorder="1" applyAlignment="1">
      <alignment horizontal="left" vertical="top" wrapText="1"/>
    </xf>
    <xf numFmtId="0" fontId="78" fillId="0" borderId="3" xfId="0" applyFont="1" applyBorder="1" applyAlignment="1">
      <alignment horizontal="left" vertical="top" wrapText="1"/>
    </xf>
    <xf numFmtId="0" fontId="78" fillId="0" borderId="4" xfId="0" applyFont="1" applyBorder="1" applyAlignment="1">
      <alignment horizontal="left" vertical="top" wrapText="1"/>
    </xf>
    <xf numFmtId="0" fontId="44" fillId="0" borderId="0" xfId="0" applyFont="1" applyAlignment="1">
      <alignment horizontal="center" vertical="top"/>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47" fillId="0" borderId="2" xfId="0" applyFont="1" applyBorder="1" applyAlignment="1">
      <alignment horizontal="center" vertical="center" wrapText="1"/>
    </xf>
    <xf numFmtId="0" fontId="47" fillId="0" borderId="3" xfId="0" applyFont="1" applyBorder="1" applyAlignment="1">
      <alignment horizontal="center" vertical="center" wrapText="1"/>
    </xf>
    <xf numFmtId="0" fontId="47" fillId="0" borderId="4" xfId="0" applyFont="1" applyBorder="1" applyAlignment="1">
      <alignment horizontal="center" vertical="center" wrapText="1"/>
    </xf>
    <xf numFmtId="0" fontId="91" fillId="0" borderId="1" xfId="0" applyFont="1" applyBorder="1" applyAlignment="1">
      <alignment horizontal="center" vertical="center" wrapText="1"/>
    </xf>
    <xf numFmtId="0" fontId="92" fillId="5" borderId="1" xfId="0" applyFont="1" applyFill="1" applyBorder="1" applyAlignment="1">
      <alignment horizontal="center" vertical="top"/>
    </xf>
    <xf numFmtId="10" fontId="92" fillId="0" borderId="1" xfId="0" applyNumberFormat="1" applyFont="1" applyBorder="1" applyAlignment="1">
      <alignment horizontal="center" vertical="top"/>
    </xf>
    <xf numFmtId="10" fontId="92" fillId="0" borderId="1" xfId="0" applyNumberFormat="1" applyFont="1" applyBorder="1" applyAlignment="1">
      <alignment horizontal="center" vertical="top" wrapText="1"/>
    </xf>
    <xf numFmtId="2" fontId="92" fillId="0" borderId="1" xfId="0" applyNumberFormat="1" applyFont="1" applyBorder="1" applyAlignment="1">
      <alignment horizontal="center" vertical="top" wrapText="1"/>
    </xf>
    <xf numFmtId="0" fontId="92" fillId="0" borderId="1" xfId="0" applyFont="1" applyBorder="1" applyAlignment="1">
      <alignment horizontal="center" vertical="top"/>
    </xf>
    <xf numFmtId="10" fontId="92" fillId="5" borderId="1" xfId="0" applyNumberFormat="1" applyFont="1" applyFill="1" applyBorder="1" applyAlignment="1">
      <alignment horizontal="center" vertical="center"/>
    </xf>
    <xf numFmtId="10" fontId="90"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79" fillId="0" borderId="2" xfId="0" applyFont="1" applyBorder="1" applyAlignment="1">
      <alignment horizontal="left" vertical="center" wrapText="1"/>
    </xf>
    <xf numFmtId="0" fontId="79" fillId="0" borderId="4" xfId="0" applyFont="1" applyBorder="1" applyAlignment="1">
      <alignment horizontal="left" vertical="center" wrapText="1"/>
    </xf>
    <xf numFmtId="0" fontId="79" fillId="0" borderId="3" xfId="0" applyFont="1" applyBorder="1" applyAlignment="1">
      <alignment horizontal="left" vertical="center" wrapText="1"/>
    </xf>
    <xf numFmtId="0" fontId="80" fillId="10" borderId="2" xfId="0" applyFont="1" applyFill="1" applyBorder="1" applyAlignment="1">
      <alignment horizontal="left" vertical="center"/>
    </xf>
    <xf numFmtId="0" fontId="80" fillId="10" borderId="3" xfId="0" applyFont="1" applyFill="1" applyBorder="1" applyAlignment="1">
      <alignment horizontal="left" vertical="center"/>
    </xf>
    <xf numFmtId="0" fontId="80" fillId="10" borderId="4" xfId="0" applyFont="1" applyFill="1" applyBorder="1" applyAlignment="1">
      <alignment horizontal="left" vertical="center"/>
    </xf>
    <xf numFmtId="0" fontId="79" fillId="0" borderId="2" xfId="0" applyFont="1" applyBorder="1" applyAlignment="1">
      <alignment horizontal="left" vertical="top" wrapText="1"/>
    </xf>
    <xf numFmtId="0" fontId="79" fillId="0" borderId="4" xfId="0" applyFont="1" applyBorder="1" applyAlignment="1">
      <alignment horizontal="left" vertical="top" wrapText="1"/>
    </xf>
    <xf numFmtId="0" fontId="80" fillId="10" borderId="2" xfId="0" applyFont="1" applyFill="1" applyBorder="1" applyAlignment="1">
      <alignment horizontal="left" vertical="center" wrapText="1"/>
    </xf>
    <xf numFmtId="0" fontId="80" fillId="10" borderId="3" xfId="0" applyFont="1" applyFill="1" applyBorder="1" applyAlignment="1">
      <alignment horizontal="left" vertical="center" wrapText="1"/>
    </xf>
    <xf numFmtId="0" fontId="80" fillId="10" borderId="4" xfId="0" applyFont="1" applyFill="1" applyBorder="1" applyAlignment="1">
      <alignment horizontal="left" vertical="center" wrapText="1"/>
    </xf>
    <xf numFmtId="0" fontId="79" fillId="0" borderId="2" xfId="0" applyFont="1" applyBorder="1" applyAlignment="1">
      <alignment horizontal="left" wrapText="1"/>
    </xf>
    <xf numFmtId="0" fontId="79" fillId="0" borderId="3" xfId="0" applyFont="1" applyBorder="1" applyAlignment="1">
      <alignment horizontal="left" wrapText="1"/>
    </xf>
    <xf numFmtId="0" fontId="79" fillId="0" borderId="4" xfId="0" applyFont="1" applyBorder="1" applyAlignment="1">
      <alignment horizontal="left" wrapText="1"/>
    </xf>
    <xf numFmtId="0" fontId="79" fillId="0" borderId="2" xfId="0" applyFont="1" applyBorder="1" applyAlignment="1">
      <alignment vertical="center" wrapText="1"/>
    </xf>
    <xf numFmtId="0" fontId="79" fillId="0" borderId="4" xfId="0" applyFont="1" applyBorder="1" applyAlignment="1">
      <alignment vertical="center" wrapText="1"/>
    </xf>
    <xf numFmtId="0" fontId="81" fillId="0" borderId="2" xfId="0" applyFont="1" applyBorder="1" applyAlignment="1">
      <alignment horizontal="left" vertical="top" wrapText="1"/>
    </xf>
    <xf numFmtId="0" fontId="81" fillId="0" borderId="4" xfId="0" applyFont="1" applyBorder="1" applyAlignment="1">
      <alignment horizontal="left" vertical="top" wrapText="1"/>
    </xf>
    <xf numFmtId="0" fontId="75" fillId="0" borderId="2" xfId="0" applyFont="1" applyBorder="1" applyAlignment="1">
      <alignment vertical="top" wrapText="1"/>
    </xf>
    <xf numFmtId="0" fontId="75" fillId="0" borderId="4" xfId="0" applyFont="1" applyBorder="1" applyAlignment="1">
      <alignment vertical="top" wrapText="1"/>
    </xf>
    <xf numFmtId="0" fontId="79" fillId="0" borderId="2" xfId="0" applyFont="1" applyBorder="1" applyAlignment="1">
      <alignment horizontal="left" vertical="center"/>
    </xf>
    <xf numFmtId="0" fontId="79" fillId="0" borderId="4" xfId="0" applyFont="1" applyBorder="1" applyAlignment="1">
      <alignment horizontal="left" vertical="center"/>
    </xf>
    <xf numFmtId="0" fontId="75" fillId="0" borderId="2" xfId="0" applyFont="1" applyBorder="1" applyAlignment="1">
      <alignment horizontal="left" vertical="top" wrapText="1"/>
    </xf>
    <xf numFmtId="0" fontId="75" fillId="0" borderId="4" xfId="0" applyFont="1" applyBorder="1" applyAlignment="1">
      <alignment horizontal="left" vertical="top" wrapText="1"/>
    </xf>
    <xf numFmtId="0" fontId="75" fillId="10" borderId="2" xfId="0" applyFont="1" applyFill="1" applyBorder="1" applyAlignment="1">
      <alignment horizontal="left" vertical="center"/>
    </xf>
    <xf numFmtId="0" fontId="75" fillId="10" borderId="3" xfId="0" applyFont="1" applyFill="1" applyBorder="1" applyAlignment="1">
      <alignment horizontal="left" vertical="center"/>
    </xf>
    <xf numFmtId="0" fontId="75" fillId="10" borderId="4" xfId="0" applyFont="1" applyFill="1" applyBorder="1" applyAlignment="1">
      <alignment horizontal="left" vertical="center"/>
    </xf>
    <xf numFmtId="0" fontId="82" fillId="0" borderId="0" xfId="0" applyFont="1" applyAlignment="1">
      <alignment horizontal="center"/>
    </xf>
    <xf numFmtId="0" fontId="92" fillId="0" borderId="2" xfId="0" quotePrefix="1" applyFont="1" applyBorder="1" applyAlignment="1">
      <alignment horizontal="left" vertical="center" wrapText="1"/>
    </xf>
    <xf numFmtId="0" fontId="92" fillId="0" borderId="3" xfId="0" quotePrefix="1" applyFont="1" applyBorder="1" applyAlignment="1">
      <alignment horizontal="left" vertical="center" wrapText="1"/>
    </xf>
    <xf numFmtId="0" fontId="52" fillId="0" borderId="2" xfId="0" applyFont="1" applyBorder="1" applyAlignment="1">
      <alignment horizontal="left" vertical="center" wrapText="1"/>
    </xf>
    <xf numFmtId="0" fontId="52" fillId="0" borderId="3" xfId="0" applyFont="1" applyBorder="1" applyAlignment="1">
      <alignment horizontal="left" vertical="center" wrapText="1"/>
    </xf>
    <xf numFmtId="0" fontId="52" fillId="0" borderId="4" xfId="0" applyFont="1" applyBorder="1" applyAlignment="1">
      <alignment horizontal="left" vertical="center" wrapText="1"/>
    </xf>
    <xf numFmtId="0" fontId="66" fillId="0" borderId="2" xfId="0" applyFont="1" applyBorder="1" applyAlignment="1">
      <alignment horizontal="left" vertical="center" wrapText="1"/>
    </xf>
    <xf numFmtId="0" fontId="66" fillId="0" borderId="3" xfId="0" applyFont="1" applyBorder="1" applyAlignment="1">
      <alignment horizontal="left" vertical="center" wrapText="1"/>
    </xf>
    <xf numFmtId="0" fontId="66" fillId="0" borderId="4" xfId="0" applyFont="1" applyBorder="1" applyAlignment="1">
      <alignment horizontal="left" vertical="center" wrapText="1"/>
    </xf>
    <xf numFmtId="0" fontId="80" fillId="0" borderId="2" xfId="0" quotePrefix="1" applyFont="1" applyBorder="1" applyAlignment="1">
      <alignment horizontal="left" vertical="center" wrapText="1"/>
    </xf>
    <xf numFmtId="0" fontId="80" fillId="0" borderId="3" xfId="0" quotePrefix="1" applyFont="1" applyBorder="1" applyAlignment="1">
      <alignment horizontal="left" vertical="center" wrapText="1"/>
    </xf>
    <xf numFmtId="0" fontId="80" fillId="0" borderId="4" xfId="0" quotePrefix="1" applyFont="1" applyBorder="1" applyAlignment="1">
      <alignment horizontal="left" vertical="center" wrapText="1"/>
    </xf>
    <xf numFmtId="0" fontId="79" fillId="28" borderId="1" xfId="0" applyFont="1" applyFill="1" applyBorder="1" applyAlignment="1">
      <alignment horizontal="center" vertical="center" wrapText="1"/>
    </xf>
    <xf numFmtId="0" fontId="98" fillId="5" borderId="1" xfId="0" applyFont="1" applyFill="1" applyBorder="1" applyAlignment="1">
      <alignment horizontal="center" vertical="center" wrapText="1"/>
    </xf>
    <xf numFmtId="0" fontId="98" fillId="0" borderId="1" xfId="0" applyFont="1" applyBorder="1" applyAlignment="1">
      <alignment horizontal="center" vertical="center" wrapText="1"/>
    </xf>
    <xf numFmtId="0" fontId="92" fillId="0" borderId="4" xfId="0" quotePrefix="1" applyFont="1" applyBorder="1" applyAlignment="1">
      <alignment horizontal="left" vertical="center" wrapText="1"/>
    </xf>
    <xf numFmtId="0" fontId="80" fillId="0" borderId="1" xfId="0" quotePrefix="1" applyFont="1" applyBorder="1" applyAlignment="1">
      <alignment horizontal="left" vertical="center" wrapText="1"/>
    </xf>
    <xf numFmtId="0" fontId="80" fillId="0" borderId="1" xfId="0" applyFont="1" applyBorder="1" applyAlignment="1">
      <alignment horizontal="left" vertical="center" wrapText="1"/>
    </xf>
    <xf numFmtId="0" fontId="92" fillId="0" borderId="2" xfId="0" applyFont="1" applyBorder="1" applyAlignment="1">
      <alignment horizontal="left" vertical="center" wrapText="1"/>
    </xf>
    <xf numFmtId="0" fontId="92" fillId="0" borderId="3" xfId="0" applyFont="1" applyBorder="1" applyAlignment="1">
      <alignment horizontal="left" vertical="center" wrapText="1"/>
    </xf>
    <xf numFmtId="0" fontId="80" fillId="0" borderId="2" xfId="0" applyFont="1" applyBorder="1" applyAlignment="1">
      <alignment horizontal="left" vertical="center" wrapText="1"/>
    </xf>
    <xf numFmtId="0" fontId="80" fillId="0" borderId="3" xfId="0" applyFont="1" applyBorder="1" applyAlignment="1">
      <alignment horizontal="left" vertical="center" wrapText="1"/>
    </xf>
    <xf numFmtId="0" fontId="80" fillId="0" borderId="4" xfId="0" applyFont="1" applyBorder="1" applyAlignment="1">
      <alignment horizontal="left" vertical="center" wrapText="1"/>
    </xf>
    <xf numFmtId="0" fontId="80" fillId="3" borderId="4" xfId="0" applyFont="1" applyFill="1" applyBorder="1" applyAlignment="1">
      <alignment horizontal="center" vertical="center" wrapText="1"/>
    </xf>
    <xf numFmtId="0" fontId="80" fillId="0" borderId="29" xfId="0" applyFont="1" applyBorder="1" applyAlignment="1">
      <alignment horizontal="center" vertical="center" wrapText="1"/>
    </xf>
    <xf numFmtId="0" fontId="80" fillId="0" borderId="36" xfId="0" applyFont="1" applyBorder="1" applyAlignment="1">
      <alignment horizontal="center" vertical="center" wrapText="1"/>
    </xf>
    <xf numFmtId="0" fontId="80" fillId="0" borderId="32" xfId="0" applyFont="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5126691" y="13786437"/>
          <a:ext cx="1276008" cy="588583"/>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52153" y="19866865"/>
          <a:ext cx="15277540" cy="1417345"/>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206803</xdr:colOff>
      <xdr:row>59</xdr:row>
      <xdr:rowOff>1359</xdr:rowOff>
    </xdr:from>
    <xdr:to>
      <xdr:col>11</xdr:col>
      <xdr:colOff>1599377</xdr:colOff>
      <xdr:row>62</xdr:row>
      <xdr:rowOff>27214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75259" y="16950257"/>
          <a:ext cx="9247898" cy="614163"/>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72563" y="18286395"/>
          <a:ext cx="9247898" cy="625050"/>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1634737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859121" y="13174115"/>
          <a:ext cx="1276010" cy="606112"/>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95618" y="14393956"/>
          <a:ext cx="11674295" cy="1142981"/>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𝐺𝑒𝑎𝑟𝑖𝑛𝑔</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𝑅𝑎𝑡𝑖𝑜</m:t>
                    </m:r>
                    <m:r>
                      <a:rPr lang="en-MY" sz="1100" i="1">
                        <a:solidFill>
                          <a:sysClr val="windowText" lastClr="000000"/>
                        </a:solidFill>
                        <a:latin typeface="Cambria Math" panose="02040503050406030204" pitchFamily="18" charset="0"/>
                      </a:rPr>
                      <m:t>=</m:t>
                    </m:r>
                    <m:f>
                      <m:fPr>
                        <m:ctrlPr>
                          <a:rPr lang="el-GR" sz="1100" i="1">
                            <a:solidFill>
                              <a:sysClr val="windowText" lastClr="000000"/>
                            </a:solidFill>
                            <a:latin typeface="Cambria Math" panose="02040503050406030204" pitchFamily="18" charset="0"/>
                          </a:rPr>
                        </m:ctrlPr>
                      </m:fPr>
                      <m:num>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MY" sz="1100" b="0" i="1">
                            <a:solidFill>
                              <a:sysClr val="windowText" lastClr="000000"/>
                            </a:solidFill>
                            <a:latin typeface="Cambria Math" panose="02040503050406030204" pitchFamily="18" charset="0"/>
                          </a:rPr>
                          <m:t>𝐵</m:t>
                        </m:r>
                        <m:r>
                          <a:rPr lang="en-US" sz="1100" b="0" i="1">
                            <a:solidFill>
                              <a:sysClr val="windowText" lastClr="000000"/>
                            </a:solidFill>
                            <a:latin typeface="Cambria Math" panose="02040503050406030204" pitchFamily="18" charset="0"/>
                          </a:rPr>
                          <m:t>𝑜𝑟𝑟𝑜𝑤𝑖𝑛𝑔𝑠</m:t>
                        </m:r>
                      </m:num>
                      <m:den>
                        <m:r>
                          <a:rPr lang="en-US" sz="1100" b="0" i="1">
                            <a:solidFill>
                              <a:sysClr val="windowText" lastClr="000000"/>
                            </a:solidFill>
                            <a:latin typeface="Cambria Math" panose="02040503050406030204" pitchFamily="18" charset="0"/>
                          </a:rPr>
                          <m:t>(</m:t>
                        </m:r>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𝑆h𝑎𝑟𝑒h𝑜𝑙𝑑𝑒𝑟</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𝐹𝑢𝑛𝑑𝑠</m:t>
                        </m:r>
                        <m:r>
                          <a:rPr lang="en-US" sz="1100" b="0" i="1">
                            <a:solidFill>
                              <a:sysClr val="windowText" lastClr="000000"/>
                            </a:solidFill>
                            <a:latin typeface="Cambria Math" panose="02040503050406030204" pitchFamily="18" charset="0"/>
                          </a:rPr>
                          <m:t> − </m:t>
                        </m:r>
                        <m:r>
                          <a:rPr lang="en-US" sz="1100" b="0" i="1">
                            <a:solidFill>
                              <a:sysClr val="windowText" lastClr="000000"/>
                            </a:solidFill>
                            <a:latin typeface="Cambria Math" panose="02040503050406030204" pitchFamily="18" charset="0"/>
                          </a:rPr>
                          <m:t>𝐼𝑛𝑡𝑎𝑛𝑔𝑖𝑏𝑙𝑒</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𝐴𝑠𝑠𝑒𝑡𝑠</m:t>
                        </m:r>
                        <m:r>
                          <a:rPr lang="en-US" sz="1100" b="0" i="1">
                            <a:solidFill>
                              <a:sysClr val="windowText" lastClr="000000"/>
                            </a:solidFill>
                            <a:latin typeface="Cambria Math" panose="02040503050406030204" pitchFamily="18" charset="0"/>
                          </a:rPr>
                          <m:t>)</m:t>
                        </m:r>
                      </m:den>
                    </m:f>
                  </m:oMath>
                </m:oMathPara>
              </a14:m>
              <a:endParaRPr lang="en-MY" sz="1100">
                <a:solidFill>
                  <a:sysClr val="windowText" lastClr="0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ysClr val="windowText" lastClr="000000"/>
                  </a:solidFill>
                  <a:latin typeface="Cambria Math" panose="02040503050406030204" pitchFamily="18" charset="0"/>
                </a:rPr>
                <a:t> 𝐺𝑒𝑎𝑟𝑖𝑛𝑔 𝑅𝑎𝑡𝑖𝑜</a:t>
              </a:r>
              <a:r>
                <a:rPr lang="en-MY" sz="1100" i="0">
                  <a:solidFill>
                    <a:sysClr val="windowText" lastClr="000000"/>
                  </a:solidFill>
                  <a:latin typeface="Cambria Math" panose="02040503050406030204" pitchFamily="18" charset="0"/>
                </a:rPr>
                <a:t>=</a:t>
              </a:r>
              <a:r>
                <a:rPr lang="el-GR" sz="110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a:t>
              </a:r>
              <a:r>
                <a:rPr lang="en-MY" sz="1100" b="0" i="0">
                  <a:solidFill>
                    <a:sysClr val="windowText" lastClr="000000"/>
                  </a:solidFill>
                  <a:latin typeface="Cambria Math" panose="02040503050406030204" pitchFamily="18" charset="0"/>
                </a:rPr>
                <a:t>𝐵</a:t>
              </a:r>
              <a:r>
                <a:rPr lang="en-US" sz="1100" b="0" i="0">
                  <a:solidFill>
                    <a:sysClr val="windowText" lastClr="000000"/>
                  </a:solidFill>
                  <a:latin typeface="Cambria Math" panose="02040503050406030204" pitchFamily="18" charset="0"/>
                </a:rPr>
                <a:t>𝑜𝑟𝑟𝑜𝑤𝑖𝑛𝑔𝑠</a:t>
              </a:r>
              <a:r>
                <a:rPr lang="el-GR" sz="1100" b="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ysClr val="windowText" lastClr="000000"/>
                  </a:solidFill>
                  <a:latin typeface="Cambria Math" panose="02040503050406030204" pitchFamily="18" charset="0"/>
                </a:rPr>
                <a:t>)</a:t>
              </a:r>
              <a:endParaRPr lang="en-MY" sz="1100">
                <a:solidFill>
                  <a:sysClr val="windowText" lastClr="0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15661" y="29187321"/>
          <a:ext cx="13373099" cy="1367518"/>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33</xdr:row>
      <xdr:rowOff>119764</xdr:rowOff>
    </xdr:from>
    <xdr:to>
      <xdr:col>3</xdr:col>
      <xdr:colOff>619564</xdr:colOff>
      <xdr:row>36</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311864" y="13148604"/>
          <a:ext cx="1375861" cy="638208"/>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33</xdr:row>
      <xdr:rowOff>146277</xdr:rowOff>
    </xdr:from>
    <xdr:to>
      <xdr:col>9</xdr:col>
      <xdr:colOff>273482</xdr:colOff>
      <xdr:row>37</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757648" y="13175117"/>
          <a:ext cx="1278710" cy="622526"/>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38</xdr:row>
      <xdr:rowOff>183697</xdr:rowOff>
    </xdr:from>
    <xdr:to>
      <xdr:col>11</xdr:col>
      <xdr:colOff>2645151</xdr:colOff>
      <xdr:row>44</xdr:row>
      <xdr:rowOff>4383</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77205" y="14173881"/>
          <a:ext cx="11862393" cy="968449"/>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48</xdr:row>
      <xdr:rowOff>119764</xdr:rowOff>
    </xdr:from>
    <xdr:to>
      <xdr:col>3</xdr:col>
      <xdr:colOff>619564</xdr:colOff>
      <xdr:row>51</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311864" y="15890443"/>
          <a:ext cx="1375861"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58</xdr:row>
      <xdr:rowOff>119764</xdr:rowOff>
    </xdr:from>
    <xdr:to>
      <xdr:col>3</xdr:col>
      <xdr:colOff>619564</xdr:colOff>
      <xdr:row>61</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311864" y="17700193"/>
          <a:ext cx="1375861"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48</xdr:row>
      <xdr:rowOff>90714</xdr:rowOff>
    </xdr:from>
    <xdr:to>
      <xdr:col>9</xdr:col>
      <xdr:colOff>366664</xdr:colOff>
      <xdr:row>51</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746875" y="15861393"/>
          <a:ext cx="1382665" cy="638208"/>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328125" defaultRowHeight="13.15" x14ac:dyDescent="0.45"/>
  <cols>
    <col min="1" max="1" width="9.1328125" style="2"/>
    <col min="2" max="2" width="3.265625" style="2" bestFit="1" customWidth="1"/>
    <col min="3" max="3" width="45.265625" style="2" bestFit="1" customWidth="1"/>
    <col min="4" max="4" width="28.86328125" style="2" customWidth="1"/>
    <col min="5" max="5" width="17.59765625" style="91" customWidth="1"/>
    <col min="6" max="16384" width="9.1328125" style="2"/>
  </cols>
  <sheetData>
    <row r="2" spans="2:5" x14ac:dyDescent="0.45">
      <c r="C2" s="2" t="s">
        <v>0</v>
      </c>
    </row>
    <row r="3" spans="2:5" x14ac:dyDescent="0.45">
      <c r="C3" s="2" t="s">
        <v>1</v>
      </c>
      <c r="D3" s="92" t="s">
        <v>2</v>
      </c>
    </row>
    <row r="4" spans="2:5" x14ac:dyDescent="0.45">
      <c r="C4" s="2" t="s">
        <v>3</v>
      </c>
      <c r="D4" s="92" t="s">
        <v>4</v>
      </c>
    </row>
    <row r="6" spans="2:5" s="91" customFormat="1" ht="26.25" x14ac:dyDescent="0.45">
      <c r="B6" s="93" t="s">
        <v>5</v>
      </c>
      <c r="C6" s="93" t="s">
        <v>6</v>
      </c>
      <c r="D6" s="93" t="s">
        <v>7</v>
      </c>
      <c r="E6" s="93" t="s">
        <v>8</v>
      </c>
    </row>
    <row r="7" spans="2:5" x14ac:dyDescent="0.45">
      <c r="B7" s="5">
        <v>1</v>
      </c>
      <c r="C7" s="5" t="s">
        <v>9</v>
      </c>
      <c r="D7" s="52" t="s">
        <v>10</v>
      </c>
      <c r="E7" s="52" t="s">
        <v>1</v>
      </c>
    </row>
    <row r="8" spans="2:5" x14ac:dyDescent="0.45">
      <c r="B8" s="5">
        <f>B7+1</f>
        <v>2</v>
      </c>
      <c r="C8" s="5" t="s">
        <v>11</v>
      </c>
      <c r="D8" s="52" t="s">
        <v>12</v>
      </c>
      <c r="E8" s="52" t="s">
        <v>13</v>
      </c>
    </row>
    <row r="9" spans="2:5" x14ac:dyDescent="0.45">
      <c r="B9" s="5">
        <f t="shared" ref="B9:B15" si="0">B8+1</f>
        <v>3</v>
      </c>
      <c r="C9" s="5" t="s">
        <v>14</v>
      </c>
      <c r="D9" s="52" t="s">
        <v>10</v>
      </c>
      <c r="E9" s="52" t="s">
        <v>1</v>
      </c>
    </row>
    <row r="10" spans="2:5" x14ac:dyDescent="0.45">
      <c r="B10" s="5">
        <f t="shared" si="0"/>
        <v>4</v>
      </c>
      <c r="C10" s="5" t="s">
        <v>15</v>
      </c>
      <c r="D10" s="52" t="s">
        <v>10</v>
      </c>
      <c r="E10" s="52" t="s">
        <v>1</v>
      </c>
    </row>
    <row r="11" spans="2:5" x14ac:dyDescent="0.45">
      <c r="B11" s="5">
        <f t="shared" si="0"/>
        <v>5</v>
      </c>
      <c r="C11" s="5" t="s">
        <v>16</v>
      </c>
      <c r="D11" s="52" t="s">
        <v>12</v>
      </c>
      <c r="E11" s="52" t="s">
        <v>13</v>
      </c>
    </row>
    <row r="12" spans="2:5" x14ac:dyDescent="0.45">
      <c r="B12" s="5">
        <f t="shared" si="0"/>
        <v>6</v>
      </c>
      <c r="C12" s="5" t="s">
        <v>17</v>
      </c>
      <c r="D12" s="52" t="s">
        <v>12</v>
      </c>
      <c r="E12" s="52" t="s">
        <v>13</v>
      </c>
    </row>
    <row r="13" spans="2:5" x14ac:dyDescent="0.45">
      <c r="B13" s="5">
        <f t="shared" si="0"/>
        <v>7</v>
      </c>
      <c r="C13" s="5" t="s">
        <v>18</v>
      </c>
      <c r="D13" s="52" t="s">
        <v>10</v>
      </c>
      <c r="E13" s="52" t="s">
        <v>3</v>
      </c>
    </row>
    <row r="14" spans="2:5" x14ac:dyDescent="0.45">
      <c r="B14" s="5">
        <f t="shared" si="0"/>
        <v>8</v>
      </c>
      <c r="C14" s="5" t="s">
        <v>19</v>
      </c>
      <c r="D14" s="52" t="s">
        <v>12</v>
      </c>
      <c r="E14" s="52" t="s">
        <v>13</v>
      </c>
    </row>
    <row r="15" spans="2:5" x14ac:dyDescent="0.45">
      <c r="B15" s="5">
        <f t="shared" si="0"/>
        <v>9</v>
      </c>
      <c r="C15" s="5" t="s">
        <v>20</v>
      </c>
      <c r="D15" s="52" t="s">
        <v>10</v>
      </c>
      <c r="E15" s="52" t="s">
        <v>1</v>
      </c>
    </row>
    <row r="17" spans="5:5" x14ac:dyDescent="0.4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328125" defaultRowHeight="13.15" x14ac:dyDescent="0.45"/>
  <cols>
    <col min="1" max="1" width="9.1328125" style="2"/>
    <col min="2" max="2" width="18" style="2" bestFit="1" customWidth="1"/>
    <col min="3" max="3" width="53.265625" style="2" bestFit="1" customWidth="1"/>
    <col min="4" max="16384" width="9.1328125" style="2"/>
  </cols>
  <sheetData>
    <row r="2" spans="2:3" x14ac:dyDescent="0.45">
      <c r="B2" s="63" t="s">
        <v>21</v>
      </c>
    </row>
    <row r="4" spans="2:3" x14ac:dyDescent="0.45">
      <c r="B4" s="65" t="s">
        <v>22</v>
      </c>
      <c r="C4" s="65" t="s">
        <v>23</v>
      </c>
    </row>
    <row r="5" spans="2:3" x14ac:dyDescent="0.45">
      <c r="B5" s="5" t="s">
        <v>24</v>
      </c>
      <c r="C5" s="52" t="s">
        <v>25</v>
      </c>
    </row>
    <row r="6" spans="2:3" x14ac:dyDescent="0.45">
      <c r="B6" s="5" t="s">
        <v>26</v>
      </c>
      <c r="C6" s="5" t="s">
        <v>27</v>
      </c>
    </row>
    <row r="7" spans="2:3" x14ac:dyDescent="0.45">
      <c r="B7" s="5" t="s">
        <v>28</v>
      </c>
      <c r="C7" s="5" t="s">
        <v>29</v>
      </c>
    </row>
    <row r="8" spans="2:3" x14ac:dyDescent="0.45">
      <c r="B8" s="5" t="s">
        <v>30</v>
      </c>
      <c r="C8" s="52" t="s">
        <v>31</v>
      </c>
    </row>
    <row r="9" spans="2:3" x14ac:dyDescent="0.4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25" x14ac:dyDescent="0.45"/>
  <cols>
    <col min="2" max="2" width="12.73046875" style="43" bestFit="1" customWidth="1"/>
    <col min="3" max="3" width="132.3984375" bestFit="1" customWidth="1"/>
  </cols>
  <sheetData>
    <row r="2" spans="2:3" s="47" customFormat="1" x14ac:dyDescent="0.45">
      <c r="B2" s="48" t="s">
        <v>34</v>
      </c>
    </row>
    <row r="3" spans="2:3" x14ac:dyDescent="0.45">
      <c r="B3" s="42">
        <v>1</v>
      </c>
      <c r="C3" s="14" t="s">
        <v>35</v>
      </c>
    </row>
    <row r="4" spans="2:3" x14ac:dyDescent="0.45">
      <c r="B4" s="42">
        <v>2</v>
      </c>
      <c r="C4" s="14" t="s">
        <v>36</v>
      </c>
    </row>
    <row r="5" spans="2:3" x14ac:dyDescent="0.45">
      <c r="B5" s="42">
        <v>3</v>
      </c>
      <c r="C5" s="14" t="s">
        <v>37</v>
      </c>
    </row>
    <row r="6" spans="2:3" x14ac:dyDescent="0.45">
      <c r="B6" s="42">
        <v>4</v>
      </c>
      <c r="C6" s="14" t="s">
        <v>38</v>
      </c>
    </row>
    <row r="7" spans="2:3" x14ac:dyDescent="0.45">
      <c r="B7" s="42">
        <v>5</v>
      </c>
      <c r="C7" s="14" t="s">
        <v>39</v>
      </c>
    </row>
    <row r="8" spans="2:3" x14ac:dyDescent="0.45">
      <c r="B8" s="42">
        <v>6</v>
      </c>
      <c r="C8" s="14" t="s">
        <v>40</v>
      </c>
    </row>
    <row r="9" spans="2:3" x14ac:dyDescent="0.45">
      <c r="B9" s="42">
        <v>7</v>
      </c>
      <c r="C9" s="14" t="s">
        <v>41</v>
      </c>
    </row>
    <row r="10" spans="2:3" x14ac:dyDescent="0.45">
      <c r="B10" s="42">
        <v>8</v>
      </c>
      <c r="C10" s="14" t="s">
        <v>42</v>
      </c>
    </row>
    <row r="12" spans="2:3" s="47" customFormat="1" x14ac:dyDescent="0.45">
      <c r="B12" s="46" t="s">
        <v>43</v>
      </c>
      <c r="C12" s="16" t="s">
        <v>44</v>
      </c>
    </row>
    <row r="13" spans="2:3" x14ac:dyDescent="0.45">
      <c r="B13" s="44"/>
      <c r="C13" s="15" t="s">
        <v>45</v>
      </c>
    </row>
    <row r="14" spans="2:3" x14ac:dyDescent="0.45">
      <c r="B14" s="49"/>
      <c r="C14" s="15" t="s">
        <v>46</v>
      </c>
    </row>
    <row r="15" spans="2:3" x14ac:dyDescent="0.45">
      <c r="B15" s="76"/>
      <c r="C15" s="15" t="s">
        <v>47</v>
      </c>
    </row>
    <row r="16" spans="2:3" x14ac:dyDescent="0.45">
      <c r="B16" s="45"/>
      <c r="C16" s="15" t="s">
        <v>48</v>
      </c>
    </row>
    <row r="17" spans="2:3" x14ac:dyDescent="0.4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25" x14ac:dyDescent="0.45"/>
  <cols>
    <col min="2" max="2" width="23.3984375" bestFit="1" customWidth="1"/>
    <col min="3" max="3" width="10.59765625" bestFit="1" customWidth="1"/>
  </cols>
  <sheetData>
    <row r="2" spans="2:3" x14ac:dyDescent="0.45">
      <c r="B2" s="15" t="s">
        <v>52</v>
      </c>
      <c r="C2" s="251">
        <v>75000</v>
      </c>
    </row>
    <row r="3" spans="2:3" x14ac:dyDescent="0.45">
      <c r="B3" s="15" t="s">
        <v>53</v>
      </c>
      <c r="C3" s="252">
        <v>2</v>
      </c>
    </row>
    <row r="4" spans="2:3" x14ac:dyDescent="0.45">
      <c r="B4" s="15" t="s">
        <v>54</v>
      </c>
      <c r="C4" s="253">
        <v>0.14000000000000001</v>
      </c>
    </row>
    <row r="7" spans="2:3" x14ac:dyDescent="0.45">
      <c r="B7" s="15" t="s">
        <v>55</v>
      </c>
      <c r="C7" s="254">
        <f>C2/C3</f>
        <v>37500</v>
      </c>
    </row>
    <row r="8" spans="2:3" x14ac:dyDescent="0.45">
      <c r="B8" s="15" t="s">
        <v>56</v>
      </c>
      <c r="C8" s="254">
        <f>C2*C4*C3/12/C3</f>
        <v>875.00000000000011</v>
      </c>
    </row>
    <row r="9" spans="2:3" x14ac:dyDescent="0.45">
      <c r="B9" s="15" t="s">
        <v>57</v>
      </c>
      <c r="C9" s="255">
        <f>SUM(C7:C8)</f>
        <v>38375</v>
      </c>
    </row>
    <row r="11" spans="2:3" x14ac:dyDescent="0.45">
      <c r="B11" s="15" t="s">
        <v>58</v>
      </c>
      <c r="C11" s="256">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AA83"/>
  <sheetViews>
    <sheetView showGridLines="0" view="pageBreakPreview" topLeftCell="A7" zoomScale="85" zoomScaleNormal="100" zoomScaleSheetLayoutView="85" workbookViewId="0">
      <selection activeCell="N18" sqref="N18"/>
    </sheetView>
  </sheetViews>
  <sheetFormatPr defaultColWidth="9" defaultRowHeight="14.25" x14ac:dyDescent="0.45"/>
  <cols>
    <col min="1" max="1" width="9" style="566"/>
    <col min="2" max="3" width="1.59765625" style="566" customWidth="1"/>
    <col min="4" max="9" width="13.59765625" style="572" customWidth="1"/>
    <col min="10" max="10" width="16.3984375" style="572" customWidth="1"/>
    <col min="11" max="11" width="12.1328125" style="572" customWidth="1"/>
    <col min="12" max="12" width="26.59765625" style="567" customWidth="1"/>
    <col min="13" max="13" width="25.59765625" style="568" customWidth="1"/>
    <col min="14" max="14" width="1.59765625" style="568" customWidth="1"/>
    <col min="15" max="15" width="25.59765625" style="568" customWidth="1"/>
    <col min="16" max="16" width="1.59765625" style="568" customWidth="1"/>
    <col min="17" max="17" width="25.59765625" style="568" customWidth="1"/>
    <col min="18" max="18" width="1.59765625" style="566" customWidth="1"/>
    <col min="19" max="19" width="25.59765625" style="568" customWidth="1"/>
    <col min="20" max="21" width="1.59765625" style="566" customWidth="1"/>
    <col min="22" max="22" width="28.59765625" style="566" bestFit="1" customWidth="1"/>
    <col min="23" max="23" width="9" style="566"/>
    <col min="24" max="24" width="51" style="566" customWidth="1"/>
    <col min="25" max="25" width="9" style="566"/>
    <col min="26" max="26" width="13.73046875" style="566" bestFit="1" customWidth="1"/>
    <col min="27" max="16384" width="9" style="566"/>
  </cols>
  <sheetData>
    <row r="3" spans="4:27" ht="23.25" x14ac:dyDescent="0.45">
      <c r="D3" s="749" t="s">
        <v>732</v>
      </c>
      <c r="E3" s="749"/>
      <c r="F3" s="749"/>
      <c r="G3" s="749"/>
      <c r="H3" s="749"/>
      <c r="I3" s="749"/>
      <c r="J3" s="749"/>
      <c r="K3" s="749"/>
      <c r="L3" s="749"/>
      <c r="M3" s="749"/>
      <c r="N3" s="749"/>
      <c r="O3" s="749"/>
      <c r="P3" s="749"/>
      <c r="Q3" s="749"/>
      <c r="S3" s="566"/>
    </row>
    <row r="4" spans="4:27" s="502" customFormat="1" ht="16.899999999999999" x14ac:dyDescent="0.5">
      <c r="F4" s="505"/>
      <c r="G4" s="505"/>
      <c r="H4" s="505"/>
      <c r="I4" s="505"/>
      <c r="J4" s="505"/>
      <c r="K4" s="505"/>
      <c r="L4" s="506"/>
      <c r="M4" s="507"/>
      <c r="N4" s="507"/>
      <c r="O4" s="507"/>
      <c r="P4" s="507"/>
      <c r="Q4" s="507"/>
      <c r="S4" s="507"/>
    </row>
    <row r="5" spans="4:27" s="502" customFormat="1" ht="16.899999999999999" x14ac:dyDescent="0.5">
      <c r="F5" s="505"/>
      <c r="G5" s="505"/>
      <c r="H5" s="505"/>
      <c r="I5" s="505"/>
      <c r="J5" s="505"/>
      <c r="K5" s="505"/>
      <c r="L5" s="506"/>
      <c r="M5" s="507"/>
      <c r="N5" s="507"/>
      <c r="O5" s="507"/>
      <c r="P5" s="507"/>
      <c r="Q5" s="507"/>
      <c r="S5" s="507"/>
    </row>
    <row r="6" spans="4:27" s="502" customFormat="1" ht="29.25" customHeight="1" x14ac:dyDescent="0.5">
      <c r="D6" s="504" t="s">
        <v>711</v>
      </c>
      <c r="E6" s="460" t="s">
        <v>941</v>
      </c>
      <c r="F6" s="508"/>
      <c r="G6" s="508"/>
      <c r="H6" s="738" t="s">
        <v>677</v>
      </c>
      <c r="I6" s="738"/>
      <c r="J6" s="460" t="s">
        <v>803</v>
      </c>
      <c r="K6" s="508"/>
      <c r="L6" s="506"/>
      <c r="M6" s="509" t="s">
        <v>84</v>
      </c>
      <c r="N6" s="507"/>
      <c r="O6" s="509" t="s">
        <v>804</v>
      </c>
      <c r="P6" s="507"/>
      <c r="Q6" s="509" t="s">
        <v>733</v>
      </c>
      <c r="S6" s="509" t="s">
        <v>733</v>
      </c>
    </row>
    <row r="7" spans="4:27" s="502" customFormat="1" ht="40.5" customHeight="1" x14ac:dyDescent="0.5">
      <c r="D7" s="504" t="s">
        <v>712</v>
      </c>
      <c r="E7" s="460" t="s">
        <v>713</v>
      </c>
      <c r="F7" s="508"/>
      <c r="G7" s="508"/>
      <c r="H7" s="738" t="s">
        <v>679</v>
      </c>
      <c r="I7" s="738"/>
      <c r="J7" s="718">
        <v>46034</v>
      </c>
      <c r="K7" s="718"/>
      <c r="L7" s="510" t="s">
        <v>400</v>
      </c>
      <c r="M7" s="732" t="s">
        <v>941</v>
      </c>
      <c r="N7" s="507"/>
      <c r="O7" s="677" t="s">
        <v>949</v>
      </c>
      <c r="P7" s="507"/>
      <c r="Q7" s="677" t="s">
        <v>950</v>
      </c>
      <c r="R7" s="507"/>
      <c r="S7" s="677" t="s">
        <v>951</v>
      </c>
    </row>
    <row r="8" spans="4:27" s="502" customFormat="1" ht="16.899999999999999" x14ac:dyDescent="0.5">
      <c r="D8" s="504" t="s">
        <v>714</v>
      </c>
      <c r="E8" s="505"/>
      <c r="F8" s="508"/>
      <c r="G8" s="508"/>
      <c r="H8" s="508"/>
      <c r="I8" s="508"/>
      <c r="J8" s="508"/>
      <c r="K8" s="508"/>
      <c r="L8" s="511" t="s">
        <v>679</v>
      </c>
      <c r="M8" s="717">
        <v>46034</v>
      </c>
      <c r="N8" s="507"/>
      <c r="O8" s="717">
        <v>46034</v>
      </c>
      <c r="P8" s="507"/>
      <c r="Q8" s="717">
        <v>46034</v>
      </c>
      <c r="R8" s="508"/>
      <c r="S8" s="717">
        <v>46034</v>
      </c>
      <c r="T8" s="508"/>
      <c r="U8" s="508"/>
    </row>
    <row r="9" spans="4:27" s="502" customFormat="1" ht="16.899999999999999" x14ac:dyDescent="0.5">
      <c r="D9" s="508"/>
      <c r="E9" s="508"/>
      <c r="F9" s="508"/>
      <c r="G9" s="508"/>
      <c r="H9" s="508"/>
      <c r="I9" s="508"/>
      <c r="J9" s="508"/>
      <c r="K9" s="508"/>
      <c r="L9" s="511" t="s">
        <v>734</v>
      </c>
      <c r="M9" s="512"/>
      <c r="N9" s="507"/>
      <c r="O9" s="512"/>
      <c r="P9" s="507"/>
      <c r="Q9" s="512"/>
      <c r="S9" s="512"/>
    </row>
    <row r="10" spans="4:27" s="502" customFormat="1" ht="28.5" customHeight="1" x14ac:dyDescent="0.5">
      <c r="D10" s="750" t="s">
        <v>735</v>
      </c>
      <c r="E10" s="751"/>
      <c r="F10" s="751"/>
      <c r="G10" s="751"/>
      <c r="H10" s="751"/>
      <c r="I10" s="751"/>
      <c r="J10" s="751"/>
      <c r="K10" s="751"/>
      <c r="L10" s="513" t="s">
        <v>90</v>
      </c>
      <c r="M10" s="512"/>
      <c r="N10" s="507"/>
      <c r="O10" s="512"/>
      <c r="P10" s="507"/>
      <c r="Q10" s="512"/>
      <c r="S10" s="512"/>
    </row>
    <row r="11" spans="4:27" s="502" customFormat="1" ht="20.25" customHeight="1" x14ac:dyDescent="0.5">
      <c r="D11" s="741" t="s">
        <v>736</v>
      </c>
      <c r="E11" s="742"/>
      <c r="F11" s="742"/>
      <c r="G11" s="742"/>
      <c r="H11" s="742"/>
      <c r="I11" s="742"/>
      <c r="J11" s="742"/>
      <c r="K11" s="742"/>
      <c r="L11" s="514"/>
      <c r="M11" s="515">
        <v>750</v>
      </c>
      <c r="N11" s="507"/>
      <c r="O11" s="515">
        <v>661</v>
      </c>
      <c r="P11" s="507"/>
      <c r="Q11" s="515">
        <v>646</v>
      </c>
      <c r="S11" s="515">
        <v>570</v>
      </c>
      <c r="X11" s="613" t="s">
        <v>84</v>
      </c>
      <c r="Z11" s="712">
        <v>42781</v>
      </c>
      <c r="AA11" s="502">
        <f>DATEDIF(Z11,Z12,"Y")</f>
        <v>8</v>
      </c>
    </row>
    <row r="12" spans="4:27" s="502" customFormat="1" ht="20.25" customHeight="1" x14ac:dyDescent="0.5">
      <c r="D12" s="752" t="s">
        <v>737</v>
      </c>
      <c r="E12" s="753"/>
      <c r="F12" s="753"/>
      <c r="G12" s="753"/>
      <c r="H12" s="753"/>
      <c r="I12" s="753"/>
      <c r="J12" s="753"/>
      <c r="K12" s="754"/>
      <c r="L12" s="614" t="s">
        <v>805</v>
      </c>
      <c r="M12" s="515" t="s">
        <v>62</v>
      </c>
      <c r="N12" s="507"/>
      <c r="O12" s="515" t="s">
        <v>63</v>
      </c>
      <c r="P12" s="507"/>
      <c r="Q12" s="515" t="s">
        <v>63</v>
      </c>
      <c r="S12" s="515" t="s">
        <v>64</v>
      </c>
      <c r="X12" s="613" t="s">
        <v>733</v>
      </c>
      <c r="Z12" s="712">
        <v>45854</v>
      </c>
    </row>
    <row r="13" spans="4:27" s="502" customFormat="1" ht="33.75" x14ac:dyDescent="0.5">
      <c r="D13" s="741" t="s">
        <v>806</v>
      </c>
      <c r="E13" s="742"/>
      <c r="F13" s="742"/>
      <c r="G13" s="742"/>
      <c r="H13" s="742"/>
      <c r="I13" s="742"/>
      <c r="J13" s="742"/>
      <c r="K13" s="748"/>
      <c r="L13" s="615" t="s">
        <v>807</v>
      </c>
      <c r="M13" s="516" t="s">
        <v>51</v>
      </c>
      <c r="N13" s="507"/>
      <c r="O13" s="517" t="s">
        <v>13</v>
      </c>
      <c r="P13" s="507"/>
      <c r="Q13" s="517" t="s">
        <v>13</v>
      </c>
      <c r="S13" s="517" t="s">
        <v>13</v>
      </c>
      <c r="X13" s="613" t="s">
        <v>739</v>
      </c>
    </row>
    <row r="14" spans="4:27" s="502" customFormat="1" ht="16.899999999999999" x14ac:dyDescent="0.5">
      <c r="D14" s="741" t="s">
        <v>808</v>
      </c>
      <c r="E14" s="742"/>
      <c r="F14" s="742"/>
      <c r="G14" s="742"/>
      <c r="H14" s="742"/>
      <c r="I14" s="742"/>
      <c r="J14" s="742"/>
      <c r="K14" s="748"/>
      <c r="L14" s="615" t="s">
        <v>5</v>
      </c>
      <c r="M14" s="517" t="s">
        <v>13</v>
      </c>
      <c r="N14" s="507"/>
      <c r="O14" s="516" t="s">
        <v>51</v>
      </c>
      <c r="P14" s="507"/>
      <c r="Q14" s="516" t="s">
        <v>51</v>
      </c>
      <c r="S14" s="516" t="s">
        <v>51</v>
      </c>
      <c r="X14" s="613" t="s">
        <v>85</v>
      </c>
    </row>
    <row r="15" spans="4:27" s="502" customFormat="1" ht="20.25" customHeight="1" x14ac:dyDescent="0.5">
      <c r="D15" s="741" t="s">
        <v>738</v>
      </c>
      <c r="E15" s="742"/>
      <c r="F15" s="742"/>
      <c r="G15" s="742"/>
      <c r="H15" s="742"/>
      <c r="I15" s="742"/>
      <c r="J15" s="742"/>
      <c r="K15" s="742"/>
      <c r="L15" s="514" t="s">
        <v>809</v>
      </c>
      <c r="M15" s="515" t="s">
        <v>926</v>
      </c>
      <c r="N15" s="507"/>
      <c r="O15" s="517" t="s">
        <v>13</v>
      </c>
      <c r="P15" s="507"/>
      <c r="Q15" s="517" t="s">
        <v>13</v>
      </c>
      <c r="S15" s="517" t="s">
        <v>13</v>
      </c>
      <c r="X15" s="616" t="s">
        <v>906</v>
      </c>
    </row>
    <row r="16" spans="4:27" s="502" customFormat="1" ht="20.25" customHeight="1" x14ac:dyDescent="0.5">
      <c r="D16" s="741" t="s">
        <v>92</v>
      </c>
      <c r="E16" s="742"/>
      <c r="F16" s="742"/>
      <c r="G16" s="742"/>
      <c r="H16" s="742"/>
      <c r="I16" s="742"/>
      <c r="J16" s="742"/>
      <c r="K16" s="742"/>
      <c r="L16" s="514" t="s">
        <v>51</v>
      </c>
      <c r="M16" s="515" t="s">
        <v>5</v>
      </c>
      <c r="N16" s="507"/>
      <c r="O16" s="517" t="s">
        <v>13</v>
      </c>
      <c r="P16" s="507"/>
      <c r="Q16" s="517" t="s">
        <v>13</v>
      </c>
      <c r="S16" s="517" t="s">
        <v>13</v>
      </c>
    </row>
    <row r="17" spans="4:19" s="502" customFormat="1" ht="20.25" customHeight="1" x14ac:dyDescent="0.5">
      <c r="D17" s="741" t="s">
        <v>93</v>
      </c>
      <c r="E17" s="742"/>
      <c r="F17" s="742"/>
      <c r="G17" s="742"/>
      <c r="H17" s="742"/>
      <c r="I17" s="742"/>
      <c r="J17" s="742"/>
      <c r="K17" s="742"/>
      <c r="L17" s="617" t="s">
        <v>810</v>
      </c>
      <c r="M17" s="515">
        <v>0</v>
      </c>
      <c r="N17" s="507"/>
      <c r="O17" s="515">
        <v>0</v>
      </c>
      <c r="P17" s="507"/>
      <c r="Q17" s="515">
        <v>0</v>
      </c>
      <c r="S17" s="515">
        <v>0</v>
      </c>
    </row>
    <row r="18" spans="4:19" s="502" customFormat="1" ht="16.899999999999999" x14ac:dyDescent="0.5">
      <c r="D18" s="741" t="s">
        <v>811</v>
      </c>
      <c r="E18" s="742"/>
      <c r="F18" s="742"/>
      <c r="G18" s="742"/>
      <c r="H18" s="742"/>
      <c r="I18" s="742"/>
      <c r="J18" s="742"/>
      <c r="K18" s="748"/>
      <c r="L18" s="514" t="s">
        <v>812</v>
      </c>
      <c r="M18" s="515">
        <v>3</v>
      </c>
      <c r="N18" s="507"/>
      <c r="O18" s="515">
        <v>0</v>
      </c>
      <c r="P18" s="507"/>
      <c r="Q18" s="515">
        <v>1</v>
      </c>
      <c r="S18" s="515">
        <v>5</v>
      </c>
    </row>
    <row r="19" spans="4:19" s="502" customFormat="1" ht="33.75" x14ac:dyDescent="0.5">
      <c r="D19" s="741" t="s">
        <v>813</v>
      </c>
      <c r="E19" s="742"/>
      <c r="F19" s="742"/>
      <c r="G19" s="742"/>
      <c r="H19" s="742"/>
      <c r="I19" s="742"/>
      <c r="J19" s="742"/>
      <c r="K19" s="748"/>
      <c r="L19" s="514" t="s">
        <v>814</v>
      </c>
      <c r="M19" s="515">
        <v>0</v>
      </c>
      <c r="N19" s="507"/>
      <c r="O19" s="515">
        <v>0</v>
      </c>
      <c r="P19" s="507"/>
      <c r="Q19" s="515">
        <v>0</v>
      </c>
      <c r="S19" s="515">
        <v>0</v>
      </c>
    </row>
    <row r="20" spans="4:19" s="502" customFormat="1" ht="17.25" x14ac:dyDescent="0.5">
      <c r="D20" s="741" t="s">
        <v>815</v>
      </c>
      <c r="E20" s="742"/>
      <c r="F20" s="742"/>
      <c r="G20" s="742"/>
      <c r="H20" s="742"/>
      <c r="I20" s="742"/>
      <c r="J20" s="742"/>
      <c r="K20" s="742"/>
      <c r="L20" s="617" t="s">
        <v>810</v>
      </c>
      <c r="M20" s="515">
        <v>0</v>
      </c>
      <c r="N20" s="507"/>
      <c r="O20" s="515">
        <v>0</v>
      </c>
      <c r="P20" s="507"/>
      <c r="Q20" s="515">
        <v>0</v>
      </c>
      <c r="S20" s="515">
        <v>0</v>
      </c>
    </row>
    <row r="21" spans="4:19" s="502" customFormat="1" ht="16.899999999999999" x14ac:dyDescent="0.5">
      <c r="D21" s="741" t="s">
        <v>816</v>
      </c>
      <c r="E21" s="742"/>
      <c r="F21" s="742"/>
      <c r="G21" s="742"/>
      <c r="H21" s="742"/>
      <c r="I21" s="742"/>
      <c r="J21" s="742"/>
      <c r="K21" s="742"/>
      <c r="L21" s="514" t="s">
        <v>812</v>
      </c>
      <c r="M21" s="515">
        <v>11</v>
      </c>
      <c r="N21" s="507"/>
      <c r="O21" s="515">
        <v>5</v>
      </c>
      <c r="P21" s="507"/>
      <c r="Q21" s="515">
        <v>7</v>
      </c>
      <c r="S21" s="515">
        <v>5</v>
      </c>
    </row>
    <row r="22" spans="4:19" s="502" customFormat="1" ht="17.25" x14ac:dyDescent="0.5">
      <c r="D22" s="741" t="s">
        <v>817</v>
      </c>
      <c r="E22" s="742"/>
      <c r="F22" s="742"/>
      <c r="G22" s="742"/>
      <c r="H22" s="742"/>
      <c r="I22" s="742"/>
      <c r="J22" s="742"/>
      <c r="K22" s="742"/>
      <c r="L22" s="617" t="s">
        <v>810</v>
      </c>
      <c r="M22" s="707">
        <v>0</v>
      </c>
      <c r="N22" s="507"/>
      <c r="O22" s="515">
        <v>0</v>
      </c>
      <c r="P22" s="507"/>
      <c r="Q22" s="515">
        <v>0</v>
      </c>
      <c r="S22" s="515">
        <v>0</v>
      </c>
    </row>
    <row r="23" spans="4:19" s="502" customFormat="1" ht="33.75" x14ac:dyDescent="0.5">
      <c r="D23" s="741" t="s">
        <v>744</v>
      </c>
      <c r="E23" s="742"/>
      <c r="F23" s="742"/>
      <c r="G23" s="742"/>
      <c r="H23" s="742"/>
      <c r="I23" s="742"/>
      <c r="J23" s="742"/>
      <c r="K23" s="742"/>
      <c r="L23" s="514" t="s">
        <v>818</v>
      </c>
      <c r="M23" s="519">
        <v>0</v>
      </c>
      <c r="N23" s="507"/>
      <c r="O23" s="519">
        <v>0</v>
      </c>
      <c r="P23" s="507"/>
      <c r="Q23" s="519">
        <v>0</v>
      </c>
      <c r="S23" s="519">
        <v>0</v>
      </c>
    </row>
    <row r="24" spans="4:19" s="502" customFormat="1" ht="17.25" x14ac:dyDescent="0.5">
      <c r="D24" s="741" t="s">
        <v>819</v>
      </c>
      <c r="E24" s="742"/>
      <c r="F24" s="742"/>
      <c r="G24" s="742"/>
      <c r="H24" s="742"/>
      <c r="I24" s="742"/>
      <c r="J24" s="742"/>
      <c r="K24" s="742"/>
      <c r="L24" s="617" t="s">
        <v>743</v>
      </c>
      <c r="M24" s="515">
        <v>0</v>
      </c>
      <c r="N24" s="507"/>
      <c r="O24" s="515">
        <v>0</v>
      </c>
      <c r="P24" s="507"/>
      <c r="Q24" s="515">
        <v>0</v>
      </c>
      <c r="S24" s="515">
        <v>0</v>
      </c>
    </row>
    <row r="25" spans="4:19" s="502" customFormat="1" ht="16.899999999999999" x14ac:dyDescent="0.5">
      <c r="D25" s="741" t="s">
        <v>919</v>
      </c>
      <c r="E25" s="742"/>
      <c r="F25" s="742"/>
      <c r="G25" s="742"/>
      <c r="H25" s="742"/>
      <c r="I25" s="742"/>
      <c r="J25" s="742"/>
      <c r="K25" s="742"/>
      <c r="L25" s="514" t="s">
        <v>748</v>
      </c>
      <c r="M25" s="515">
        <v>0</v>
      </c>
      <c r="N25" s="507"/>
      <c r="O25" s="515">
        <v>3</v>
      </c>
      <c r="P25" s="507"/>
      <c r="Q25" s="515">
        <v>3</v>
      </c>
      <c r="S25" s="515">
        <v>1</v>
      </c>
    </row>
    <row r="26" spans="4:19" s="502" customFormat="1" ht="20.25" customHeight="1" x14ac:dyDescent="0.5">
      <c r="D26" s="741" t="s">
        <v>740</v>
      </c>
      <c r="E26" s="742"/>
      <c r="F26" s="742"/>
      <c r="G26" s="742"/>
      <c r="H26" s="742"/>
      <c r="I26" s="742"/>
      <c r="J26" s="742"/>
      <c r="K26" s="742"/>
      <c r="L26" s="617" t="s">
        <v>810</v>
      </c>
      <c r="M26" s="515">
        <v>0</v>
      </c>
      <c r="N26" s="507"/>
      <c r="O26" s="515">
        <v>0</v>
      </c>
      <c r="P26" s="507"/>
      <c r="Q26" s="515">
        <v>0</v>
      </c>
      <c r="S26" s="515">
        <v>0</v>
      </c>
    </row>
    <row r="27" spans="4:19" s="502" customFormat="1" ht="20.25" customHeight="1" x14ac:dyDescent="0.5">
      <c r="D27" s="741" t="s">
        <v>741</v>
      </c>
      <c r="E27" s="742"/>
      <c r="F27" s="742"/>
      <c r="G27" s="742"/>
      <c r="H27" s="742"/>
      <c r="I27" s="742"/>
      <c r="J27" s="742"/>
      <c r="K27" s="742"/>
      <c r="L27" s="514" t="s">
        <v>812</v>
      </c>
      <c r="M27" s="518">
        <v>0</v>
      </c>
      <c r="N27" s="507"/>
      <c r="O27" s="518">
        <v>4708950</v>
      </c>
      <c r="P27" s="507"/>
      <c r="Q27" s="518">
        <v>6391212</v>
      </c>
      <c r="S27" s="518">
        <v>609737</v>
      </c>
    </row>
    <row r="28" spans="4:19" s="502" customFormat="1" ht="20.25" customHeight="1" x14ac:dyDescent="0.5">
      <c r="D28" s="741" t="s">
        <v>742</v>
      </c>
      <c r="E28" s="742"/>
      <c r="F28" s="742"/>
      <c r="G28" s="742"/>
      <c r="H28" s="742"/>
      <c r="I28" s="742"/>
      <c r="J28" s="742"/>
      <c r="K28" s="742"/>
      <c r="L28" s="514" t="s">
        <v>812</v>
      </c>
      <c r="M28" s="518">
        <v>0</v>
      </c>
      <c r="N28" s="507"/>
      <c r="O28" s="518">
        <v>5134968</v>
      </c>
      <c r="P28" s="507"/>
      <c r="Q28" s="518">
        <v>6657968</v>
      </c>
      <c r="S28" s="518">
        <v>646528</v>
      </c>
    </row>
    <row r="29" spans="4:19" s="502" customFormat="1" ht="34.5" customHeight="1" x14ac:dyDescent="0.5">
      <c r="D29" s="741" t="s">
        <v>820</v>
      </c>
      <c r="E29" s="742"/>
      <c r="F29" s="742"/>
      <c r="G29" s="742"/>
      <c r="H29" s="742"/>
      <c r="I29" s="742"/>
      <c r="J29" s="742"/>
      <c r="K29" s="742"/>
      <c r="L29" s="514" t="s">
        <v>5</v>
      </c>
      <c r="M29" s="518" t="s">
        <v>13</v>
      </c>
      <c r="N29" s="507"/>
      <c r="O29" s="517" t="s">
        <v>13</v>
      </c>
      <c r="P29" s="507"/>
      <c r="Q29" s="724" t="s">
        <v>51</v>
      </c>
      <c r="S29" s="517" t="s">
        <v>13</v>
      </c>
    </row>
    <row r="30" spans="4:19" s="502" customFormat="1" ht="42" customHeight="1" x14ac:dyDescent="0.5">
      <c r="D30" s="741" t="s">
        <v>821</v>
      </c>
      <c r="E30" s="742"/>
      <c r="F30" s="742"/>
      <c r="G30" s="742"/>
      <c r="H30" s="742"/>
      <c r="I30" s="742"/>
      <c r="J30" s="742"/>
      <c r="K30" s="742"/>
      <c r="L30" s="514" t="s">
        <v>5</v>
      </c>
      <c r="M30" s="518" t="s">
        <v>51</v>
      </c>
      <c r="N30" s="507"/>
      <c r="O30" s="517" t="s">
        <v>13</v>
      </c>
      <c r="P30" s="507"/>
      <c r="Q30" s="517" t="s">
        <v>13</v>
      </c>
      <c r="S30" s="517" t="s">
        <v>13</v>
      </c>
    </row>
    <row r="31" spans="4:19" s="502" customFormat="1" ht="78" customHeight="1" x14ac:dyDescent="0.5">
      <c r="D31" s="741" t="s">
        <v>745</v>
      </c>
      <c r="E31" s="742"/>
      <c r="F31" s="742"/>
      <c r="G31" s="742"/>
      <c r="H31" s="742"/>
      <c r="I31" s="742"/>
      <c r="J31" s="742"/>
      <c r="K31" s="742"/>
      <c r="L31" s="514" t="s">
        <v>822</v>
      </c>
      <c r="M31" s="519" t="s">
        <v>927</v>
      </c>
      <c r="N31" s="507"/>
      <c r="O31" s="519" t="s">
        <v>927</v>
      </c>
      <c r="P31" s="507"/>
      <c r="Q31" s="519" t="s">
        <v>927</v>
      </c>
      <c r="S31" s="519" t="s">
        <v>927</v>
      </c>
    </row>
    <row r="32" spans="4:19" s="502" customFormat="1" ht="20.25" customHeight="1" x14ac:dyDescent="0.5">
      <c r="D32" s="741" t="s">
        <v>746</v>
      </c>
      <c r="E32" s="742"/>
      <c r="F32" s="742"/>
      <c r="G32" s="742"/>
      <c r="H32" s="742"/>
      <c r="I32" s="742"/>
      <c r="J32" s="742"/>
      <c r="K32" s="742"/>
      <c r="L32" s="514" t="s">
        <v>747</v>
      </c>
      <c r="M32" s="515" t="s">
        <v>13</v>
      </c>
      <c r="N32" s="507"/>
      <c r="O32" s="515" t="s">
        <v>13</v>
      </c>
      <c r="P32" s="507"/>
      <c r="Q32" s="515" t="s">
        <v>13</v>
      </c>
      <c r="S32" s="515" t="s">
        <v>13</v>
      </c>
    </row>
    <row r="33" spans="4:19" s="502" customFormat="1" ht="42" customHeight="1" x14ac:dyDescent="0.5">
      <c r="D33" s="741" t="s">
        <v>823</v>
      </c>
      <c r="E33" s="742"/>
      <c r="F33" s="742"/>
      <c r="G33" s="742"/>
      <c r="H33" s="742"/>
      <c r="I33" s="742"/>
      <c r="J33" s="742"/>
      <c r="K33" s="742"/>
      <c r="L33" s="514" t="s">
        <v>5</v>
      </c>
      <c r="M33" s="515" t="s">
        <v>13</v>
      </c>
      <c r="N33" s="507"/>
      <c r="O33" s="517" t="s">
        <v>13</v>
      </c>
      <c r="P33" s="507"/>
      <c r="Q33" s="517" t="s">
        <v>13</v>
      </c>
      <c r="S33" s="517" t="s">
        <v>13</v>
      </c>
    </row>
    <row r="34" spans="4:19" s="502" customFormat="1" ht="58.5" customHeight="1" x14ac:dyDescent="0.5">
      <c r="D34" s="741" t="s">
        <v>824</v>
      </c>
      <c r="E34" s="742"/>
      <c r="F34" s="742"/>
      <c r="G34" s="742"/>
      <c r="H34" s="742"/>
      <c r="I34" s="742"/>
      <c r="J34" s="742"/>
      <c r="K34" s="742"/>
      <c r="L34" s="514" t="s">
        <v>822</v>
      </c>
      <c r="M34" s="515" t="s">
        <v>13</v>
      </c>
      <c r="N34" s="507"/>
      <c r="O34" s="515" t="s">
        <v>13</v>
      </c>
      <c r="P34" s="507"/>
      <c r="Q34" s="515" t="s">
        <v>13</v>
      </c>
      <c r="S34" s="515" t="s">
        <v>13</v>
      </c>
    </row>
    <row r="35" spans="4:19" s="502" customFormat="1" ht="20.25" customHeight="1" x14ac:dyDescent="0.5">
      <c r="D35" s="741" t="s">
        <v>825</v>
      </c>
      <c r="E35" s="742"/>
      <c r="F35" s="742"/>
      <c r="G35" s="742"/>
      <c r="H35" s="742"/>
      <c r="I35" s="742"/>
      <c r="J35" s="742"/>
      <c r="K35" s="742"/>
      <c r="L35" s="514" t="s">
        <v>747</v>
      </c>
      <c r="M35" s="515" t="s">
        <v>13</v>
      </c>
      <c r="N35" s="507"/>
      <c r="O35" s="515" t="s">
        <v>13</v>
      </c>
      <c r="P35" s="507"/>
      <c r="Q35" s="515" t="s">
        <v>13</v>
      </c>
      <c r="S35" s="515" t="s">
        <v>13</v>
      </c>
    </row>
    <row r="36" spans="4:19" s="502" customFormat="1" ht="33.75" x14ac:dyDescent="0.5">
      <c r="D36" s="741" t="s">
        <v>826</v>
      </c>
      <c r="E36" s="742"/>
      <c r="F36" s="742"/>
      <c r="G36" s="742"/>
      <c r="H36" s="742"/>
      <c r="I36" s="742"/>
      <c r="J36" s="742"/>
      <c r="K36" s="748"/>
      <c r="L36" s="514" t="s">
        <v>827</v>
      </c>
      <c r="M36" s="515" t="s">
        <v>51</v>
      </c>
      <c r="N36" s="507"/>
      <c r="O36" s="517" t="s">
        <v>13</v>
      </c>
      <c r="P36" s="507"/>
      <c r="Q36" s="517" t="s">
        <v>13</v>
      </c>
      <c r="S36" s="517" t="s">
        <v>13</v>
      </c>
    </row>
    <row r="37" spans="4:19" s="502" customFormat="1" ht="36.75" customHeight="1" x14ac:dyDescent="0.5">
      <c r="D37" s="741" t="s">
        <v>828</v>
      </c>
      <c r="E37" s="742"/>
      <c r="F37" s="742"/>
      <c r="G37" s="742"/>
      <c r="H37" s="742"/>
      <c r="I37" s="742"/>
      <c r="J37" s="742"/>
      <c r="K37" s="748"/>
      <c r="L37" s="514" t="s">
        <v>829</v>
      </c>
      <c r="M37" s="519" t="s">
        <v>51</v>
      </c>
      <c r="N37" s="507"/>
      <c r="O37" s="517" t="s">
        <v>13</v>
      </c>
      <c r="P37" s="507"/>
      <c r="Q37" s="517" t="s">
        <v>13</v>
      </c>
      <c r="S37" s="517" t="s">
        <v>13</v>
      </c>
    </row>
    <row r="38" spans="4:19" s="502" customFormat="1" ht="32.65" customHeight="1" x14ac:dyDescent="0.5">
      <c r="D38" s="741" t="s">
        <v>749</v>
      </c>
      <c r="E38" s="742"/>
      <c r="F38" s="742"/>
      <c r="G38" s="742"/>
      <c r="H38" s="742"/>
      <c r="I38" s="742"/>
      <c r="J38" s="742"/>
      <c r="K38" s="742"/>
      <c r="L38" s="514" t="s">
        <v>830</v>
      </c>
      <c r="M38" s="515" t="s">
        <v>928</v>
      </c>
      <c r="N38" s="507"/>
      <c r="O38" s="515" t="s">
        <v>928</v>
      </c>
      <c r="P38" s="507"/>
      <c r="Q38" s="515" t="s">
        <v>928</v>
      </c>
      <c r="S38" s="515" t="s">
        <v>928</v>
      </c>
    </row>
    <row r="39" spans="4:19" s="502" customFormat="1" ht="32.65" customHeight="1" x14ac:dyDescent="0.5">
      <c r="D39" s="741" t="s">
        <v>750</v>
      </c>
      <c r="E39" s="742"/>
      <c r="F39" s="742"/>
      <c r="G39" s="742"/>
      <c r="H39" s="742"/>
      <c r="I39" s="742"/>
      <c r="J39" s="742"/>
      <c r="K39" s="742"/>
      <c r="L39" s="514" t="s">
        <v>830</v>
      </c>
      <c r="M39" s="515" t="s">
        <v>928</v>
      </c>
      <c r="N39" s="507"/>
      <c r="O39" s="515" t="s">
        <v>928</v>
      </c>
      <c r="P39" s="507"/>
      <c r="Q39" s="515" t="s">
        <v>928</v>
      </c>
      <c r="S39" s="515" t="s">
        <v>928</v>
      </c>
    </row>
    <row r="40" spans="4:19" s="502" customFormat="1" ht="16.899999999999999" x14ac:dyDescent="0.5">
      <c r="D40" s="741" t="s">
        <v>831</v>
      </c>
      <c r="E40" s="742"/>
      <c r="F40" s="742"/>
      <c r="G40" s="742"/>
      <c r="H40" s="742"/>
      <c r="I40" s="742"/>
      <c r="J40" s="742"/>
      <c r="K40" s="742"/>
      <c r="L40" s="514" t="s">
        <v>5</v>
      </c>
      <c r="M40" s="515" t="s">
        <v>51</v>
      </c>
      <c r="N40" s="507"/>
      <c r="O40" s="517" t="s">
        <v>13</v>
      </c>
      <c r="P40" s="507"/>
      <c r="Q40" s="517" t="s">
        <v>13</v>
      </c>
      <c r="S40" s="517" t="s">
        <v>13</v>
      </c>
    </row>
    <row r="41" spans="4:19" s="502" customFormat="1" ht="16.899999999999999" x14ac:dyDescent="0.5">
      <c r="D41" s="741" t="s">
        <v>832</v>
      </c>
      <c r="E41" s="742"/>
      <c r="F41" s="742"/>
      <c r="G41" s="742"/>
      <c r="H41" s="742"/>
      <c r="I41" s="742"/>
      <c r="J41" s="742"/>
      <c r="K41" s="742"/>
      <c r="L41" s="514" t="s">
        <v>833</v>
      </c>
      <c r="M41" s="515" t="s">
        <v>5</v>
      </c>
      <c r="N41" s="507"/>
      <c r="O41" s="517" t="s">
        <v>13</v>
      </c>
      <c r="P41" s="507"/>
      <c r="Q41" s="517" t="s">
        <v>13</v>
      </c>
      <c r="S41" s="517" t="s">
        <v>13</v>
      </c>
    </row>
    <row r="42" spans="4:19" x14ac:dyDescent="0.45">
      <c r="D42" s="567"/>
      <c r="E42" s="567"/>
      <c r="F42" s="567"/>
      <c r="G42" s="567"/>
      <c r="H42" s="567"/>
      <c r="I42" s="567"/>
      <c r="J42" s="567"/>
      <c r="K42" s="567"/>
    </row>
    <row r="43" spans="4:19" x14ac:dyDescent="0.45">
      <c r="D43" s="569"/>
      <c r="E43" s="570"/>
      <c r="F43" s="570"/>
      <c r="G43" s="570"/>
      <c r="H43" s="570"/>
      <c r="I43" s="571"/>
      <c r="J43" s="567"/>
      <c r="K43" s="567"/>
    </row>
    <row r="44" spans="4:19" ht="15" customHeight="1" x14ac:dyDescent="0.45">
      <c r="D44" s="746" t="s">
        <v>751</v>
      </c>
      <c r="E44" s="747"/>
      <c r="F44" s="747"/>
      <c r="G44" s="747"/>
      <c r="H44" s="484"/>
      <c r="I44" s="520"/>
      <c r="J44" s="484"/>
      <c r="L44" s="572"/>
    </row>
    <row r="45" spans="4:19" x14ac:dyDescent="0.45">
      <c r="D45" s="746"/>
      <c r="E45" s="747"/>
      <c r="F45" s="747"/>
      <c r="G45" s="747"/>
      <c r="H45" s="484"/>
      <c r="I45" s="520"/>
      <c r="J45" s="484"/>
    </row>
    <row r="46" spans="4:19" x14ac:dyDescent="0.45">
      <c r="D46" s="521"/>
      <c r="E46" s="522"/>
      <c r="F46" s="522"/>
      <c r="G46" s="522"/>
      <c r="H46" s="522"/>
      <c r="I46" s="523"/>
      <c r="J46" s="484"/>
      <c r="K46" s="484"/>
    </row>
    <row r="47" spans="4:19" ht="5.25" customHeight="1" x14ac:dyDescent="0.45">
      <c r="D47" s="484"/>
      <c r="E47" s="484"/>
      <c r="F47" s="484"/>
      <c r="G47" s="484"/>
      <c r="H47" s="484"/>
      <c r="I47" s="484"/>
      <c r="J47" s="484"/>
      <c r="K47" s="484"/>
    </row>
    <row r="48" spans="4:19" ht="18.399999999999999" thickBot="1" x14ac:dyDescent="0.6">
      <c r="D48" s="524" t="s">
        <v>752</v>
      </c>
      <c r="E48" s="525"/>
      <c r="F48" s="525"/>
      <c r="G48" s="525"/>
      <c r="H48" s="525"/>
      <c r="I48" s="525"/>
      <c r="J48" s="525"/>
      <c r="K48" s="525"/>
      <c r="L48" s="438"/>
      <c r="M48" s="501"/>
      <c r="N48" s="501"/>
      <c r="O48" s="501"/>
      <c r="P48" s="501"/>
      <c r="Q48" s="501"/>
      <c r="S48" s="501"/>
    </row>
    <row r="49" spans="3:22" ht="8.25" customHeight="1" x14ac:dyDescent="0.5">
      <c r="C49" s="573"/>
      <c r="D49" s="526"/>
      <c r="E49" s="527"/>
      <c r="F49" s="527"/>
      <c r="G49" s="527"/>
      <c r="H49" s="527"/>
      <c r="I49" s="527"/>
      <c r="J49" s="527"/>
      <c r="K49" s="527"/>
      <c r="L49" s="528"/>
      <c r="M49" s="529"/>
      <c r="N49" s="529"/>
      <c r="O49" s="529"/>
      <c r="P49" s="529"/>
      <c r="Q49" s="529"/>
      <c r="R49" s="721"/>
      <c r="S49" s="529"/>
      <c r="T49" s="574"/>
    </row>
    <row r="50" spans="3:22" s="502" customFormat="1" ht="33.75" x14ac:dyDescent="0.5">
      <c r="C50" s="530"/>
      <c r="D50" s="739" t="s">
        <v>753</v>
      </c>
      <c r="E50" s="740"/>
      <c r="F50" s="740"/>
      <c r="G50" s="740"/>
      <c r="H50" s="740"/>
      <c r="I50" s="740"/>
      <c r="J50" s="740"/>
      <c r="K50" s="740"/>
      <c r="L50" s="511" t="s">
        <v>734</v>
      </c>
      <c r="M50" s="531" t="str">
        <f>M$6</f>
        <v>Issuer</v>
      </c>
      <c r="N50" s="532"/>
      <c r="O50" s="531" t="str">
        <f>O$6</f>
        <v>Director / Key Person / Guarantor- Individual</v>
      </c>
      <c r="P50" s="532"/>
      <c r="Q50" s="531" t="str">
        <f>Q$6</f>
        <v>Director / Guarantor
- Individual</v>
      </c>
      <c r="S50" s="531" t="str">
        <f>S$6</f>
        <v>Director / Guarantor
- Individual</v>
      </c>
      <c r="T50" s="533"/>
    </row>
    <row r="51" spans="3:22" ht="20.25" customHeight="1" x14ac:dyDescent="0.45">
      <c r="C51" s="575"/>
      <c r="D51" s="741" t="s">
        <v>817</v>
      </c>
      <c r="E51" s="742"/>
      <c r="F51" s="742"/>
      <c r="G51" s="742"/>
      <c r="H51" s="742"/>
      <c r="I51" s="742"/>
      <c r="J51" s="742"/>
      <c r="K51" s="742"/>
      <c r="L51" s="617" t="s">
        <v>810</v>
      </c>
      <c r="M51" s="723">
        <v>3</v>
      </c>
      <c r="N51" s="501"/>
      <c r="O51" s="534"/>
      <c r="P51" s="501"/>
      <c r="Q51" s="534"/>
      <c r="S51" s="534"/>
      <c r="T51" s="576"/>
    </row>
    <row r="52" spans="3:22" s="572" customFormat="1" ht="20.25" customHeight="1" x14ac:dyDescent="0.45">
      <c r="C52" s="577"/>
      <c r="D52" s="743"/>
      <c r="E52" s="744"/>
      <c r="F52" s="744"/>
      <c r="G52" s="744"/>
      <c r="H52" s="744"/>
      <c r="I52" s="744"/>
      <c r="J52" s="744"/>
      <c r="K52" s="745"/>
      <c r="L52" s="535"/>
      <c r="M52" s="536"/>
      <c r="N52" s="501"/>
      <c r="O52" s="534"/>
      <c r="P52" s="501"/>
      <c r="Q52" s="534"/>
      <c r="R52" s="566"/>
      <c r="S52" s="534"/>
      <c r="T52" s="576"/>
      <c r="U52" s="566"/>
      <c r="V52" s="566"/>
    </row>
    <row r="53" spans="3:22" s="572" customFormat="1" ht="20.25" customHeight="1" x14ac:dyDescent="0.45">
      <c r="C53" s="577"/>
      <c r="D53" s="743"/>
      <c r="E53" s="744"/>
      <c r="F53" s="744"/>
      <c r="G53" s="744"/>
      <c r="H53" s="744"/>
      <c r="I53" s="744"/>
      <c r="J53" s="744"/>
      <c r="K53" s="744"/>
      <c r="L53" s="535"/>
      <c r="M53" s="534"/>
      <c r="N53" s="501"/>
      <c r="O53" s="534"/>
      <c r="P53" s="501"/>
      <c r="Q53" s="534"/>
      <c r="R53" s="566"/>
      <c r="S53" s="534"/>
      <c r="T53" s="576"/>
      <c r="U53" s="566"/>
      <c r="V53" s="566"/>
    </row>
    <row r="54" spans="3:22" s="572" customFormat="1" ht="20.25" customHeight="1" x14ac:dyDescent="0.45">
      <c r="C54" s="577"/>
      <c r="D54" s="743"/>
      <c r="E54" s="744"/>
      <c r="F54" s="744"/>
      <c r="G54" s="744"/>
      <c r="H54" s="744"/>
      <c r="I54" s="744"/>
      <c r="J54" s="744"/>
      <c r="K54" s="744"/>
      <c r="L54" s="535"/>
      <c r="M54" s="534"/>
      <c r="N54" s="501"/>
      <c r="O54" s="534"/>
      <c r="P54" s="501"/>
      <c r="Q54" s="534"/>
      <c r="R54" s="566"/>
      <c r="S54" s="534"/>
      <c r="T54" s="576"/>
      <c r="U54" s="566"/>
      <c r="V54" s="566"/>
    </row>
    <row r="55" spans="3:22" s="572" customFormat="1" ht="5.25" customHeight="1" x14ac:dyDescent="0.45">
      <c r="C55" s="577"/>
      <c r="D55" s="475"/>
      <c r="E55" s="475"/>
      <c r="F55" s="475"/>
      <c r="G55" s="475"/>
      <c r="H55" s="475"/>
      <c r="I55" s="475"/>
      <c r="J55" s="475"/>
      <c r="K55" s="475"/>
      <c r="L55" s="438"/>
      <c r="M55" s="501"/>
      <c r="N55" s="501"/>
      <c r="O55" s="501"/>
      <c r="P55" s="501"/>
      <c r="Q55" s="501"/>
      <c r="R55" s="566"/>
      <c r="S55" s="501"/>
      <c r="T55" s="576"/>
      <c r="U55" s="566"/>
      <c r="V55" s="566"/>
    </row>
    <row r="56" spans="3:22" s="572" customFormat="1" ht="18" x14ac:dyDescent="0.55000000000000004">
      <c r="C56" s="577"/>
      <c r="D56" s="476" t="s">
        <v>754</v>
      </c>
      <c r="E56" s="475"/>
      <c r="F56" s="475"/>
      <c r="G56" s="475"/>
      <c r="H56" s="475"/>
      <c r="I56" s="475"/>
      <c r="J56" s="475"/>
      <c r="K56" s="475"/>
      <c r="L56" s="438"/>
      <c r="M56" s="501"/>
      <c r="N56" s="501"/>
      <c r="O56" s="501"/>
      <c r="P56" s="501"/>
      <c r="Q56" s="501"/>
      <c r="R56" s="566"/>
      <c r="S56" s="501"/>
      <c r="T56" s="576"/>
      <c r="U56" s="566"/>
      <c r="V56" s="566"/>
    </row>
    <row r="57" spans="3:22" s="572" customFormat="1" ht="5.25" customHeight="1" x14ac:dyDescent="0.45">
      <c r="C57" s="577"/>
      <c r="D57" s="475"/>
      <c r="E57" s="475"/>
      <c r="F57" s="475"/>
      <c r="G57" s="475"/>
      <c r="H57" s="475"/>
      <c r="I57" s="475"/>
      <c r="J57" s="475"/>
      <c r="K57" s="475"/>
      <c r="L57" s="438"/>
      <c r="M57" s="501"/>
      <c r="N57" s="501"/>
      <c r="O57" s="501"/>
      <c r="P57" s="501"/>
      <c r="Q57" s="501"/>
      <c r="R57" s="566"/>
      <c r="S57" s="501"/>
      <c r="T57" s="576"/>
      <c r="U57" s="566"/>
      <c r="V57" s="566"/>
    </row>
    <row r="58" spans="3:22" s="572" customFormat="1" ht="16.899999999999999" x14ac:dyDescent="0.45">
      <c r="C58" s="577"/>
      <c r="D58" s="735" t="s">
        <v>700</v>
      </c>
      <c r="E58" s="737"/>
      <c r="F58" s="735" t="s">
        <v>755</v>
      </c>
      <c r="G58" s="736"/>
      <c r="H58" s="736"/>
      <c r="I58" s="736"/>
      <c r="J58" s="736"/>
      <c r="K58" s="737"/>
      <c r="L58" s="537" t="s">
        <v>702</v>
      </c>
      <c r="M58" s="735" t="s">
        <v>755</v>
      </c>
      <c r="N58" s="736"/>
      <c r="O58" s="736"/>
      <c r="P58" s="736"/>
      <c r="Q58" s="737"/>
      <c r="R58" s="566"/>
      <c r="S58" s="566"/>
      <c r="T58" s="576"/>
      <c r="U58" s="566"/>
    </row>
    <row r="59" spans="3:22" s="572" customFormat="1" ht="5.25" customHeight="1" x14ac:dyDescent="0.45">
      <c r="C59" s="577"/>
      <c r="D59" s="493"/>
      <c r="E59" s="495"/>
      <c r="F59" s="490"/>
      <c r="G59" s="488"/>
      <c r="H59" s="488"/>
      <c r="I59" s="488"/>
      <c r="J59" s="488"/>
      <c r="K59" s="494"/>
      <c r="L59" s="538"/>
      <c r="M59" s="490"/>
      <c r="N59" s="488"/>
      <c r="O59" s="488"/>
      <c r="P59" s="488"/>
      <c r="Q59" s="494"/>
      <c r="R59" s="566"/>
      <c r="S59" s="488"/>
      <c r="T59" s="576"/>
      <c r="U59" s="566"/>
      <c r="V59" s="566"/>
    </row>
    <row r="60" spans="3:22" s="572" customFormat="1" ht="18" x14ac:dyDescent="0.45">
      <c r="C60" s="577"/>
      <c r="D60" s="493"/>
      <c r="E60" s="495"/>
      <c r="F60" s="490"/>
      <c r="G60" s="488"/>
      <c r="H60" s="488"/>
      <c r="I60" s="488"/>
      <c r="J60" s="488"/>
      <c r="K60" s="494"/>
      <c r="L60" s="538"/>
      <c r="M60" s="490"/>
      <c r="N60" s="488"/>
      <c r="O60" s="488"/>
      <c r="P60" s="488"/>
      <c r="Q60" s="494"/>
      <c r="R60" s="566"/>
      <c r="S60" s="488"/>
      <c r="T60" s="576"/>
      <c r="U60" s="566"/>
      <c r="V60" s="566"/>
    </row>
    <row r="61" spans="3:22" s="572" customFormat="1" x14ac:dyDescent="0.45">
      <c r="C61" s="577"/>
      <c r="D61" s="487"/>
      <c r="E61" s="494"/>
      <c r="F61" s="490"/>
      <c r="G61" s="488"/>
      <c r="H61" s="488"/>
      <c r="I61" s="488"/>
      <c r="J61" s="488"/>
      <c r="K61" s="494"/>
      <c r="L61" s="539"/>
      <c r="M61" s="490"/>
      <c r="N61" s="488"/>
      <c r="O61" s="488"/>
      <c r="P61" s="488"/>
      <c r="Q61" s="494"/>
      <c r="R61" s="566"/>
      <c r="S61" s="488"/>
      <c r="T61" s="576"/>
      <c r="U61" s="566"/>
      <c r="V61" s="566"/>
    </row>
    <row r="62" spans="3:22" s="572" customFormat="1" x14ac:dyDescent="0.45">
      <c r="C62" s="577"/>
      <c r="D62" s="487"/>
      <c r="E62" s="494"/>
      <c r="F62" s="490"/>
      <c r="G62" s="488"/>
      <c r="H62" s="488"/>
      <c r="I62" s="488"/>
      <c r="J62" s="488"/>
      <c r="K62" s="494"/>
      <c r="L62" s="539"/>
      <c r="M62" s="490"/>
      <c r="N62" s="488"/>
      <c r="O62" s="488"/>
      <c r="P62" s="488"/>
      <c r="Q62" s="494"/>
      <c r="R62" s="566"/>
      <c r="S62" s="488"/>
      <c r="T62" s="576"/>
      <c r="U62" s="566"/>
      <c r="V62" s="566"/>
    </row>
    <row r="63" spans="3:22" s="572" customFormat="1" ht="13.15" customHeight="1" x14ac:dyDescent="0.45">
      <c r="C63" s="577"/>
      <c r="D63" s="496"/>
      <c r="E63" s="499"/>
      <c r="F63" s="497"/>
      <c r="G63" s="498"/>
      <c r="H63" s="498"/>
      <c r="I63" s="498"/>
      <c r="J63" s="498"/>
      <c r="K63" s="499"/>
      <c r="L63" s="540"/>
      <c r="M63" s="497"/>
      <c r="N63" s="498"/>
      <c r="O63" s="498"/>
      <c r="P63" s="498"/>
      <c r="Q63" s="499"/>
      <c r="R63" s="566"/>
      <c r="S63" s="488"/>
      <c r="T63" s="576"/>
      <c r="U63" s="566"/>
      <c r="V63" s="566"/>
    </row>
    <row r="64" spans="3:22" s="572" customFormat="1" ht="5.25" customHeight="1" x14ac:dyDescent="0.45">
      <c r="C64" s="577"/>
      <c r="D64" s="475"/>
      <c r="E64" s="475"/>
      <c r="F64" s="475"/>
      <c r="G64" s="475"/>
      <c r="H64" s="475"/>
      <c r="I64" s="475"/>
      <c r="J64" s="475"/>
      <c r="K64" s="475"/>
      <c r="L64" s="438"/>
      <c r="M64" s="501"/>
      <c r="N64" s="501"/>
      <c r="O64" s="501"/>
      <c r="P64" s="501"/>
      <c r="Q64" s="501"/>
      <c r="R64" s="566"/>
      <c r="S64" s="501"/>
      <c r="T64" s="576"/>
      <c r="U64" s="566"/>
      <c r="V64" s="566"/>
    </row>
    <row r="65" spans="3:22" ht="16.899999999999999" x14ac:dyDescent="0.45">
      <c r="C65" s="575"/>
      <c r="D65" s="738" t="s">
        <v>756</v>
      </c>
      <c r="E65" s="738"/>
      <c r="F65" s="738"/>
      <c r="G65" s="738"/>
      <c r="H65" s="738"/>
      <c r="I65" s="738"/>
      <c r="J65" s="738"/>
      <c r="K65" s="738"/>
      <c r="L65" s="738"/>
      <c r="M65" s="738"/>
      <c r="N65" s="738"/>
      <c r="O65" s="738"/>
      <c r="P65" s="738"/>
      <c r="Q65" s="738"/>
      <c r="R65" s="508"/>
      <c r="S65" s="508"/>
      <c r="T65" s="541"/>
      <c r="U65" s="508"/>
    </row>
    <row r="66" spans="3:22" s="572" customFormat="1" ht="5.25" customHeight="1" x14ac:dyDescent="0.45">
      <c r="C66" s="577"/>
      <c r="D66" s="475"/>
      <c r="E66" s="475"/>
      <c r="F66" s="475"/>
      <c r="G66" s="475"/>
      <c r="H66" s="475"/>
      <c r="I66" s="475"/>
      <c r="J66" s="475"/>
      <c r="K66" s="475"/>
      <c r="L66" s="438"/>
      <c r="M66" s="501"/>
      <c r="N66" s="501"/>
      <c r="O66" s="501"/>
      <c r="P66" s="501"/>
      <c r="Q66" s="501"/>
      <c r="R66" s="566"/>
      <c r="S66" s="501"/>
      <c r="T66" s="576"/>
      <c r="U66" s="566"/>
      <c r="V66" s="566"/>
    </row>
    <row r="67" spans="3:22" s="572" customFormat="1" ht="14.25" customHeight="1" x14ac:dyDescent="0.45">
      <c r="C67" s="577"/>
      <c r="D67" s="735" t="s">
        <v>704</v>
      </c>
      <c r="E67" s="737"/>
      <c r="F67" s="735" t="s">
        <v>755</v>
      </c>
      <c r="G67" s="736"/>
      <c r="H67" s="736"/>
      <c r="I67" s="736"/>
      <c r="J67" s="736"/>
      <c r="K67" s="737"/>
      <c r="L67" s="542" t="s">
        <v>705</v>
      </c>
      <c r="M67" s="735" t="s">
        <v>755</v>
      </c>
      <c r="N67" s="736"/>
      <c r="O67" s="736"/>
      <c r="P67" s="736"/>
      <c r="Q67" s="737"/>
      <c r="R67" s="566"/>
      <c r="S67" s="566"/>
      <c r="T67" s="576"/>
      <c r="U67" s="566"/>
    </row>
    <row r="68" spans="3:22" s="572" customFormat="1" ht="5.25" customHeight="1" x14ac:dyDescent="0.45">
      <c r="C68" s="577"/>
      <c r="D68" s="485"/>
      <c r="E68" s="491"/>
      <c r="F68" s="490"/>
      <c r="G68" s="488"/>
      <c r="H68" s="488"/>
      <c r="I68" s="488"/>
      <c r="J68" s="488"/>
      <c r="K68" s="494"/>
      <c r="L68" s="543"/>
      <c r="M68" s="485"/>
      <c r="N68" s="486"/>
      <c r="O68" s="488"/>
      <c r="P68" s="488"/>
      <c r="Q68" s="494"/>
      <c r="R68" s="566"/>
      <c r="S68" s="488"/>
      <c r="T68" s="576"/>
      <c r="U68" s="566"/>
      <c r="V68" s="566"/>
    </row>
    <row r="69" spans="3:22" s="572" customFormat="1" ht="16.899999999999999" x14ac:dyDescent="0.45">
      <c r="C69" s="577"/>
      <c r="D69" s="485"/>
      <c r="E69" s="491"/>
      <c r="F69" s="490"/>
      <c r="G69" s="488"/>
      <c r="H69" s="488"/>
      <c r="I69" s="488"/>
      <c r="J69" s="488"/>
      <c r="K69" s="494"/>
      <c r="L69" s="543"/>
      <c r="M69" s="485"/>
      <c r="N69" s="486"/>
      <c r="O69" s="488"/>
      <c r="P69" s="488"/>
      <c r="Q69" s="494"/>
      <c r="R69" s="566"/>
      <c r="S69" s="488"/>
      <c r="T69" s="576"/>
      <c r="U69" s="566"/>
      <c r="V69" s="566"/>
    </row>
    <row r="70" spans="3:22" s="572" customFormat="1" ht="16.899999999999999" x14ac:dyDescent="0.45">
      <c r="C70" s="577"/>
      <c r="D70" s="485"/>
      <c r="E70" s="491"/>
      <c r="F70" s="490"/>
      <c r="G70" s="488"/>
      <c r="H70" s="488"/>
      <c r="I70" s="488"/>
      <c r="J70" s="488"/>
      <c r="K70" s="494"/>
      <c r="L70" s="543"/>
      <c r="M70" s="485"/>
      <c r="N70" s="486"/>
      <c r="O70" s="488"/>
      <c r="P70" s="488"/>
      <c r="Q70" s="494"/>
      <c r="R70" s="566"/>
      <c r="S70" s="488"/>
      <c r="T70" s="576"/>
      <c r="U70" s="566"/>
      <c r="V70" s="566"/>
    </row>
    <row r="71" spans="3:22" s="572" customFormat="1" ht="16.899999999999999" x14ac:dyDescent="0.45">
      <c r="C71" s="577"/>
      <c r="D71" s="485"/>
      <c r="E71" s="491"/>
      <c r="F71" s="490"/>
      <c r="G71" s="488"/>
      <c r="H71" s="488"/>
      <c r="I71" s="488"/>
      <c r="J71" s="488"/>
      <c r="K71" s="494"/>
      <c r="L71" s="543"/>
      <c r="M71" s="485"/>
      <c r="N71" s="486"/>
      <c r="O71" s="488"/>
      <c r="P71" s="488"/>
      <c r="Q71" s="494"/>
      <c r="R71" s="566"/>
      <c r="S71" s="488"/>
      <c r="T71" s="576"/>
      <c r="U71" s="566"/>
      <c r="V71" s="566"/>
    </row>
    <row r="72" spans="3:22" s="572" customFormat="1" ht="13.15" customHeight="1" x14ac:dyDescent="0.45">
      <c r="C72" s="577"/>
      <c r="D72" s="544"/>
      <c r="E72" s="545"/>
      <c r="F72" s="497"/>
      <c r="G72" s="498"/>
      <c r="H72" s="498"/>
      <c r="I72" s="498"/>
      <c r="J72" s="498"/>
      <c r="K72" s="499"/>
      <c r="L72" s="546"/>
      <c r="M72" s="544"/>
      <c r="N72" s="547"/>
      <c r="O72" s="498"/>
      <c r="P72" s="498"/>
      <c r="Q72" s="499"/>
      <c r="R72" s="566"/>
      <c r="S72" s="488"/>
      <c r="T72" s="576"/>
      <c r="U72" s="566"/>
      <c r="V72" s="566"/>
    </row>
    <row r="73" spans="3:22" s="503" customFormat="1" ht="15.75" x14ac:dyDescent="0.5">
      <c r="C73" s="548"/>
      <c r="D73" s="422" t="s">
        <v>706</v>
      </c>
      <c r="E73" s="549"/>
      <c r="F73" s="422" t="s">
        <v>707</v>
      </c>
      <c r="G73" s="550"/>
      <c r="H73" s="550"/>
      <c r="I73" s="351" t="s">
        <v>672</v>
      </c>
      <c r="J73" s="550"/>
      <c r="K73" s="551"/>
      <c r="L73" s="552" t="s">
        <v>706</v>
      </c>
      <c r="M73" s="553" t="s">
        <v>757</v>
      </c>
      <c r="N73" s="550"/>
      <c r="O73" s="554" t="s">
        <v>708</v>
      </c>
      <c r="P73" s="550"/>
      <c r="Q73" s="551"/>
      <c r="R73" s="556"/>
      <c r="S73" s="550"/>
      <c r="T73" s="555"/>
      <c r="U73" s="556"/>
      <c r="V73" s="556"/>
    </row>
    <row r="74" spans="3:22" s="503" customFormat="1" ht="15.75" x14ac:dyDescent="0.5">
      <c r="C74" s="548"/>
      <c r="D74" s="422"/>
      <c r="E74" s="549"/>
      <c r="F74" s="422"/>
      <c r="G74" s="550"/>
      <c r="H74" s="550"/>
      <c r="I74" s="351"/>
      <c r="J74" s="550"/>
      <c r="K74" s="551"/>
      <c r="L74" s="422"/>
      <c r="M74" s="553"/>
      <c r="N74" s="550"/>
      <c r="O74" s="557"/>
      <c r="P74" s="550"/>
      <c r="Q74" s="551"/>
      <c r="R74" s="556"/>
      <c r="S74" s="550"/>
      <c r="T74" s="555"/>
      <c r="U74" s="556"/>
      <c r="V74" s="556"/>
    </row>
    <row r="75" spans="3:22" s="572" customFormat="1" x14ac:dyDescent="0.45">
      <c r="C75" s="577"/>
      <c r="D75" s="558"/>
      <c r="E75" s="499"/>
      <c r="F75" s="558"/>
      <c r="G75" s="498"/>
      <c r="H75" s="498"/>
      <c r="I75" s="498"/>
      <c r="J75" s="498"/>
      <c r="K75" s="499"/>
      <c r="L75" s="558"/>
      <c r="M75" s="497"/>
      <c r="N75" s="498"/>
      <c r="O75" s="498"/>
      <c r="P75" s="498"/>
      <c r="Q75" s="499"/>
      <c r="R75" s="566"/>
      <c r="S75" s="488"/>
      <c r="T75" s="576"/>
      <c r="U75" s="566"/>
      <c r="V75" s="566"/>
    </row>
    <row r="76" spans="3:22" ht="5.25" customHeight="1" thickBot="1" x14ac:dyDescent="0.5">
      <c r="C76" s="578"/>
      <c r="D76" s="559"/>
      <c r="E76" s="559"/>
      <c r="F76" s="559"/>
      <c r="G76" s="559"/>
      <c r="H76" s="559"/>
      <c r="I76" s="559"/>
      <c r="J76" s="559"/>
      <c r="K76" s="559"/>
      <c r="L76" s="560"/>
      <c r="M76" s="561"/>
      <c r="N76" s="561"/>
      <c r="O76" s="561"/>
      <c r="P76" s="561"/>
      <c r="Q76" s="561"/>
      <c r="R76" s="722"/>
      <c r="S76" s="722"/>
      <c r="T76" s="579"/>
    </row>
    <row r="77" spans="3:22" x14ac:dyDescent="0.45">
      <c r="D77" s="410"/>
      <c r="E77" s="410"/>
      <c r="F77" s="410"/>
      <c r="G77" s="410"/>
      <c r="H77" s="410"/>
      <c r="I77" s="410"/>
      <c r="J77" s="410"/>
      <c r="K77" s="410"/>
      <c r="L77" s="438"/>
      <c r="M77" s="501"/>
      <c r="N77" s="501"/>
      <c r="O77" s="501"/>
      <c r="P77" s="501"/>
      <c r="Q77" s="501"/>
      <c r="S77" s="501"/>
    </row>
    <row r="78" spans="3:22" x14ac:dyDescent="0.45">
      <c r="D78" s="410"/>
      <c r="E78" s="410"/>
      <c r="F78" s="410"/>
      <c r="G78" s="410"/>
      <c r="H78" s="410"/>
      <c r="I78" s="410"/>
      <c r="J78" s="410"/>
      <c r="K78" s="410"/>
      <c r="L78" s="438"/>
      <c r="M78" s="501"/>
      <c r="N78" s="501"/>
      <c r="O78" s="501"/>
      <c r="P78" s="501"/>
      <c r="Q78" s="501"/>
      <c r="S78" s="501"/>
    </row>
    <row r="79" spans="3:22" x14ac:dyDescent="0.45">
      <c r="D79" s="410"/>
      <c r="E79" s="410"/>
      <c r="F79" s="410"/>
      <c r="G79" s="410"/>
      <c r="H79" s="410"/>
      <c r="I79" s="410"/>
      <c r="J79" s="410"/>
      <c r="K79" s="410"/>
      <c r="L79" s="438"/>
      <c r="M79" s="501"/>
      <c r="N79" s="501"/>
      <c r="O79" s="501"/>
      <c r="P79" s="501"/>
      <c r="Q79" s="501"/>
      <c r="S79" s="501"/>
    </row>
    <row r="80" spans="3:22" x14ac:dyDescent="0.45">
      <c r="D80" s="410"/>
      <c r="E80" s="410"/>
      <c r="F80" s="410"/>
      <c r="G80" s="410"/>
      <c r="H80" s="410"/>
      <c r="I80" s="410"/>
      <c r="J80" s="410"/>
      <c r="K80" s="410"/>
      <c r="L80" s="438"/>
      <c r="M80" s="501"/>
      <c r="N80" s="501"/>
      <c r="O80" s="501"/>
      <c r="P80" s="501"/>
      <c r="Q80" s="501"/>
      <c r="S80" s="501"/>
    </row>
    <row r="81" spans="4:24" s="568" customFormat="1" x14ac:dyDescent="0.45">
      <c r="D81" s="409"/>
      <c r="E81" s="409"/>
      <c r="F81" s="409"/>
      <c r="G81" s="409"/>
      <c r="H81" s="409"/>
      <c r="I81" s="409"/>
      <c r="J81" s="409"/>
      <c r="K81" s="409"/>
      <c r="L81" s="438"/>
      <c r="M81" s="501"/>
      <c r="N81" s="501"/>
      <c r="O81" s="501"/>
      <c r="P81" s="501"/>
      <c r="Q81" s="501"/>
      <c r="R81" s="566"/>
      <c r="S81" s="501"/>
      <c r="T81" s="566"/>
      <c r="U81" s="566"/>
      <c r="V81" s="566"/>
      <c r="W81" s="566"/>
      <c r="X81" s="566"/>
    </row>
    <row r="82" spans="4:24" x14ac:dyDescent="0.45">
      <c r="D82" s="410"/>
      <c r="E82" s="410"/>
      <c r="F82" s="410"/>
      <c r="G82" s="410"/>
      <c r="H82" s="410"/>
      <c r="I82" s="410"/>
      <c r="J82" s="410"/>
      <c r="K82" s="410"/>
      <c r="L82" s="438"/>
      <c r="M82" s="501"/>
      <c r="N82" s="501"/>
      <c r="O82" s="501"/>
      <c r="P82" s="501"/>
      <c r="Q82" s="501"/>
      <c r="S82" s="501"/>
    </row>
    <row r="83" spans="4:24" x14ac:dyDescent="0.45">
      <c r="D83" s="410"/>
      <c r="E83" s="410"/>
      <c r="F83" s="410"/>
      <c r="G83" s="410"/>
      <c r="H83" s="410"/>
      <c r="I83" s="410"/>
      <c r="J83" s="410"/>
      <c r="K83" s="410"/>
      <c r="L83" s="438"/>
      <c r="M83" s="501"/>
      <c r="N83" s="501"/>
      <c r="O83" s="501"/>
      <c r="P83" s="501"/>
      <c r="Q83" s="501"/>
      <c r="S83" s="501"/>
    </row>
  </sheetData>
  <mergeCells count="48">
    <mergeCell ref="D18:K18"/>
    <mergeCell ref="D3:Q3"/>
    <mergeCell ref="H6:I6"/>
    <mergeCell ref="H7:I7"/>
    <mergeCell ref="D10:K10"/>
    <mergeCell ref="D11:K11"/>
    <mergeCell ref="D12:K12"/>
    <mergeCell ref="D13:K13"/>
    <mergeCell ref="D14:K14"/>
    <mergeCell ref="D15:K15"/>
    <mergeCell ref="D16:K16"/>
    <mergeCell ref="D17:K17"/>
    <mergeCell ref="D30:K30"/>
    <mergeCell ref="D19:K19"/>
    <mergeCell ref="D20:K20"/>
    <mergeCell ref="D21:K21"/>
    <mergeCell ref="D22:K22"/>
    <mergeCell ref="D23:K23"/>
    <mergeCell ref="D24:K24"/>
    <mergeCell ref="D25:K25"/>
    <mergeCell ref="D26:K26"/>
    <mergeCell ref="D27:K27"/>
    <mergeCell ref="D28:K28"/>
    <mergeCell ref="D29:K29"/>
    <mergeCell ref="D44:G45"/>
    <mergeCell ref="D31:K31"/>
    <mergeCell ref="D32:K32"/>
    <mergeCell ref="D33:K33"/>
    <mergeCell ref="D34:K34"/>
    <mergeCell ref="D35:K35"/>
    <mergeCell ref="D36:K36"/>
    <mergeCell ref="D37:K37"/>
    <mergeCell ref="D38:K38"/>
    <mergeCell ref="D39:K39"/>
    <mergeCell ref="D40:K40"/>
    <mergeCell ref="D41:K41"/>
    <mergeCell ref="D50:K50"/>
    <mergeCell ref="D51:K51"/>
    <mergeCell ref="D52:K52"/>
    <mergeCell ref="D53:K53"/>
    <mergeCell ref="D54:K54"/>
    <mergeCell ref="M58:Q58"/>
    <mergeCell ref="D65:Q65"/>
    <mergeCell ref="D67:E67"/>
    <mergeCell ref="F67:K67"/>
    <mergeCell ref="M67:Q67"/>
    <mergeCell ref="D58:E58"/>
    <mergeCell ref="F58:K58"/>
  </mergeCells>
  <dataValidations count="1">
    <dataValidation type="list" allowBlank="1" showInputMessage="1" showErrorMessage="1" sqref="M6 S6 O6 Q6" xr:uid="{FDC09FF5-218F-486D-B509-06F56AFBB1DD}">
      <formula1>$X$11:$X$15</formula1>
    </dataValidation>
  </dataValidations>
  <printOptions horizontalCentered="1"/>
  <pageMargins left="0.23622047244094491" right="0.23622047244094491" top="0.19685039370078741" bottom="0" header="0.31496062992125984" footer="0.31496062992125984"/>
  <pageSetup paperSize="9" scale="3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topLeftCell="A21" zoomScale="85" zoomScaleNormal="100" zoomScaleSheetLayoutView="85" workbookViewId="0">
      <selection activeCell="L14" sqref="L14"/>
    </sheetView>
  </sheetViews>
  <sheetFormatPr defaultColWidth="9" defaultRowHeight="14.25" x14ac:dyDescent="0.45"/>
  <cols>
    <col min="1" max="1" width="9" style="453"/>
    <col min="2" max="2" width="2.1328125" style="453" customWidth="1"/>
    <col min="3" max="7" width="13.59765625" style="455" customWidth="1"/>
    <col min="8" max="10" width="13.59765625" style="454" customWidth="1"/>
    <col min="11" max="11" width="26.59765625" style="456" customWidth="1"/>
    <col min="12" max="13" width="13.59765625" style="457" customWidth="1"/>
    <col min="14" max="14" width="2.1328125" style="457" customWidth="1"/>
    <col min="15" max="15" width="9" style="566"/>
    <col min="16" max="16" width="13.1328125" style="453" bestFit="1" customWidth="1"/>
    <col min="17" max="17" width="11.265625" style="453" bestFit="1" customWidth="1"/>
    <col min="18" max="18" width="9" style="453"/>
    <col min="19" max="19" width="13.1328125" style="453" customWidth="1"/>
    <col min="20" max="20" width="11.265625" style="453" customWidth="1"/>
    <col min="21" max="21" width="11" style="453" customWidth="1"/>
    <col min="22" max="22" width="9.3984375" style="453" customWidth="1"/>
    <col min="23" max="23" width="9" style="453" customWidth="1"/>
    <col min="24" max="16384" width="9" style="453"/>
  </cols>
  <sheetData>
    <row r="3" spans="3:23" ht="23.25" x14ac:dyDescent="0.45">
      <c r="C3" s="771" t="s">
        <v>710</v>
      </c>
      <c r="D3" s="771"/>
      <c r="E3" s="771"/>
      <c r="F3" s="771"/>
      <c r="G3" s="771"/>
      <c r="H3" s="771"/>
      <c r="I3" s="771"/>
      <c r="J3" s="771"/>
      <c r="K3" s="771"/>
      <c r="L3" s="771"/>
      <c r="M3" s="458"/>
      <c r="N3" s="459"/>
    </row>
    <row r="4" spans="3:23" s="671" customFormat="1" ht="25.5" customHeight="1" x14ac:dyDescent="0.5">
      <c r="C4" s="504" t="s">
        <v>711</v>
      </c>
      <c r="D4" s="460" t="s">
        <v>941</v>
      </c>
      <c r="E4" s="505"/>
      <c r="F4" s="505"/>
      <c r="G4" s="505"/>
      <c r="H4" s="675"/>
      <c r="I4" s="675"/>
      <c r="J4" s="674"/>
      <c r="K4" s="673"/>
      <c r="L4" s="672"/>
      <c r="M4" s="672"/>
      <c r="N4" s="672"/>
      <c r="O4" s="502"/>
    </row>
    <row r="5" spans="3:23" s="671" customFormat="1" ht="25.5" customHeight="1" x14ac:dyDescent="0.5">
      <c r="C5" s="504" t="s">
        <v>712</v>
      </c>
      <c r="D5" s="460" t="s">
        <v>713</v>
      </c>
      <c r="E5" s="505"/>
      <c r="F5" s="505"/>
      <c r="G5" s="676" t="s">
        <v>708</v>
      </c>
      <c r="H5" s="460" t="s">
        <v>678</v>
      </c>
      <c r="I5" s="675"/>
      <c r="J5" s="674"/>
      <c r="K5" s="673"/>
      <c r="L5" s="672"/>
      <c r="M5" s="672"/>
      <c r="N5" s="672"/>
      <c r="O5" s="502"/>
    </row>
    <row r="6" spans="3:23" s="671" customFormat="1" ht="29.65" customHeight="1" x14ac:dyDescent="0.5">
      <c r="C6" s="504" t="s">
        <v>714</v>
      </c>
      <c r="D6" s="505"/>
      <c r="E6" s="505"/>
      <c r="F6" s="505"/>
      <c r="G6" s="505"/>
      <c r="H6" s="675"/>
      <c r="I6" s="675"/>
      <c r="J6" s="674"/>
      <c r="K6" s="673"/>
      <c r="L6" s="672"/>
      <c r="M6" s="672"/>
      <c r="N6" s="672"/>
      <c r="O6" s="502"/>
    </row>
    <row r="7" spans="3:23" s="628" customFormat="1" ht="31.5" x14ac:dyDescent="0.5">
      <c r="C7" s="657"/>
      <c r="D7" s="657"/>
      <c r="E7" s="657"/>
      <c r="F7" s="657"/>
      <c r="G7" s="657"/>
      <c r="H7" s="772" t="s">
        <v>68</v>
      </c>
      <c r="I7" s="773"/>
      <c r="J7" s="774"/>
      <c r="K7" s="670" t="s">
        <v>69</v>
      </c>
      <c r="L7" s="666" t="s">
        <v>715</v>
      </c>
      <c r="M7" s="666" t="s">
        <v>671</v>
      </c>
      <c r="N7" s="669"/>
      <c r="O7" s="347"/>
    </row>
    <row r="8" spans="3:23" s="663" customFormat="1" ht="47.25" x14ac:dyDescent="0.45">
      <c r="C8" s="775" t="s">
        <v>70</v>
      </c>
      <c r="D8" s="776"/>
      <c r="E8" s="776"/>
      <c r="F8" s="776"/>
      <c r="G8" s="777"/>
      <c r="H8" s="778" t="s">
        <v>71</v>
      </c>
      <c r="I8" s="778"/>
      <c r="J8" s="668" t="s">
        <v>716</v>
      </c>
      <c r="K8" s="667" t="str">
        <f>'Summary of Information'!F5</f>
        <v>Mgmt Acc-31/12/2025</v>
      </c>
      <c r="L8" s="666" t="s">
        <v>72</v>
      </c>
      <c r="M8" s="666" t="s">
        <v>72</v>
      </c>
      <c r="N8" s="665"/>
      <c r="P8" s="628"/>
      <c r="Q8" s="664"/>
      <c r="R8" s="664"/>
      <c r="S8" s="664"/>
    </row>
    <row r="9" spans="3:23" s="628" customFormat="1" ht="15.75" x14ac:dyDescent="0.5">
      <c r="C9" s="759" t="s">
        <v>717</v>
      </c>
      <c r="D9" s="760"/>
      <c r="E9" s="760"/>
      <c r="F9" s="760"/>
      <c r="G9" s="761"/>
      <c r="H9" s="779"/>
      <c r="I9" s="779"/>
      <c r="J9" s="635">
        <v>5.0000000000000001E-3</v>
      </c>
      <c r="K9" s="662">
        <f>'Debt Service - Company'!F4</f>
        <v>-1.9982218526910418</v>
      </c>
      <c r="L9" s="633">
        <v>5.0000000000000001E-3</v>
      </c>
      <c r="M9" s="633"/>
      <c r="N9" s="659"/>
      <c r="O9" s="347"/>
      <c r="P9" s="661" t="s">
        <v>718</v>
      </c>
      <c r="Q9" s="659"/>
      <c r="R9" s="660"/>
      <c r="S9" s="659"/>
    </row>
    <row r="10" spans="3:23" s="628" customFormat="1" ht="15.75" customHeight="1" x14ac:dyDescent="0.5">
      <c r="C10" s="768" t="s">
        <v>73</v>
      </c>
      <c r="D10" s="769"/>
      <c r="E10" s="769"/>
      <c r="F10" s="769"/>
      <c r="G10" s="770"/>
      <c r="H10" s="780">
        <v>5.0000000000000001E-3</v>
      </c>
      <c r="I10" s="780"/>
      <c r="J10" s="654"/>
      <c r="K10" s="656"/>
      <c r="L10" s="638"/>
      <c r="M10" s="638"/>
      <c r="N10" s="629"/>
      <c r="O10" s="347"/>
    </row>
    <row r="11" spans="3:23" s="628" customFormat="1" ht="15.75" customHeight="1" x14ac:dyDescent="0.5">
      <c r="C11" s="768" t="s">
        <v>845</v>
      </c>
      <c r="D11" s="769"/>
      <c r="E11" s="769"/>
      <c r="F11" s="769"/>
      <c r="G11" s="770"/>
      <c r="H11" s="780">
        <v>2.5000000000000001E-3</v>
      </c>
      <c r="I11" s="780"/>
      <c r="J11" s="654"/>
      <c r="K11" s="656"/>
      <c r="L11" s="638"/>
      <c r="M11" s="638"/>
      <c r="N11" s="629"/>
      <c r="O11" s="347"/>
    </row>
    <row r="12" spans="3:23" s="628" customFormat="1" ht="15.75" customHeight="1" x14ac:dyDescent="0.5">
      <c r="C12" s="768" t="s">
        <v>844</v>
      </c>
      <c r="D12" s="769"/>
      <c r="E12" s="769"/>
      <c r="F12" s="769"/>
      <c r="G12" s="770"/>
      <c r="H12" s="780">
        <v>0</v>
      </c>
      <c r="I12" s="780"/>
      <c r="J12" s="654"/>
      <c r="K12" s="656"/>
      <c r="L12" s="638"/>
      <c r="M12" s="638"/>
      <c r="N12" s="629"/>
      <c r="O12" s="347"/>
    </row>
    <row r="13" spans="3:23" s="628" customFormat="1" ht="55.15" customHeight="1" x14ac:dyDescent="0.5">
      <c r="C13" s="755" t="s">
        <v>843</v>
      </c>
      <c r="D13" s="756"/>
      <c r="E13" s="756"/>
      <c r="F13" s="756"/>
      <c r="G13" s="757"/>
      <c r="H13" s="779"/>
      <c r="I13" s="779"/>
      <c r="J13" s="635">
        <v>1.4999999999999999E-2</v>
      </c>
      <c r="K13" s="658"/>
      <c r="L13" s="633">
        <v>0</v>
      </c>
      <c r="M13" s="633"/>
      <c r="N13" s="629"/>
      <c r="O13" s="347"/>
      <c r="S13" s="713" t="s">
        <v>920</v>
      </c>
      <c r="T13" s="713" t="s">
        <v>921</v>
      </c>
      <c r="U13" s="713" t="s">
        <v>922</v>
      </c>
      <c r="V13" s="713" t="s">
        <v>923</v>
      </c>
      <c r="W13" s="713" t="s">
        <v>924</v>
      </c>
    </row>
    <row r="14" spans="3:23" s="628" customFormat="1" ht="15.75" x14ac:dyDescent="0.5">
      <c r="C14" s="765" t="s">
        <v>719</v>
      </c>
      <c r="D14" s="766"/>
      <c r="E14" s="766"/>
      <c r="F14" s="766"/>
      <c r="G14" s="767"/>
      <c r="H14" s="781">
        <v>1.4999999999999999E-2</v>
      </c>
      <c r="I14" s="781"/>
      <c r="J14" s="654"/>
      <c r="K14" s="656"/>
      <c r="L14" s="638"/>
      <c r="M14" s="638"/>
      <c r="N14" s="629"/>
      <c r="P14" s="347"/>
      <c r="S14" s="714" t="s">
        <v>720</v>
      </c>
      <c r="T14" s="714" t="s">
        <v>720</v>
      </c>
      <c r="U14" s="714" t="s">
        <v>720</v>
      </c>
      <c r="V14" s="714" t="s">
        <v>720</v>
      </c>
      <c r="W14" s="715">
        <v>0</v>
      </c>
    </row>
    <row r="15" spans="3:23" s="628" customFormat="1" ht="15.75" x14ac:dyDescent="0.5">
      <c r="C15" s="765" t="s">
        <v>74</v>
      </c>
      <c r="D15" s="766"/>
      <c r="E15" s="766"/>
      <c r="F15" s="766"/>
      <c r="G15" s="767"/>
      <c r="H15" s="780">
        <v>0.01</v>
      </c>
      <c r="I15" s="780"/>
      <c r="J15" s="654"/>
      <c r="K15" s="656"/>
      <c r="L15" s="638"/>
      <c r="M15" s="638"/>
      <c r="N15" s="629"/>
      <c r="O15" s="347"/>
      <c r="S15" s="714" t="s">
        <v>720</v>
      </c>
      <c r="T15" s="714" t="s">
        <v>720</v>
      </c>
      <c r="U15" s="714" t="s">
        <v>721</v>
      </c>
      <c r="V15" s="714" t="s">
        <v>720</v>
      </c>
      <c r="W15" s="715">
        <v>5.0000000000000001E-3</v>
      </c>
    </row>
    <row r="16" spans="3:23" s="628" customFormat="1" ht="15.75" x14ac:dyDescent="0.45">
      <c r="C16" s="765" t="s">
        <v>75</v>
      </c>
      <c r="D16" s="766"/>
      <c r="E16" s="766"/>
      <c r="F16" s="766"/>
      <c r="G16" s="767"/>
      <c r="H16" s="780">
        <v>5.0000000000000001E-3</v>
      </c>
      <c r="I16" s="780"/>
      <c r="J16" s="654"/>
      <c r="K16" s="656"/>
      <c r="L16" s="638"/>
      <c r="M16" s="638"/>
      <c r="N16" s="629"/>
      <c r="S16" s="714" t="s">
        <v>720</v>
      </c>
      <c r="T16" s="714" t="s">
        <v>721</v>
      </c>
      <c r="U16" s="714" t="s">
        <v>720</v>
      </c>
      <c r="V16" s="714" t="s">
        <v>720</v>
      </c>
      <c r="W16" s="715">
        <v>0</v>
      </c>
    </row>
    <row r="17" spans="3:23" s="628" customFormat="1" ht="55.15" customHeight="1" x14ac:dyDescent="0.45">
      <c r="C17" s="755" t="s">
        <v>842</v>
      </c>
      <c r="D17" s="756"/>
      <c r="E17" s="756"/>
      <c r="F17" s="756"/>
      <c r="G17" s="757"/>
      <c r="H17" s="758">
        <v>2.5000000000000001E-3</v>
      </c>
      <c r="I17" s="758"/>
      <c r="J17" s="635">
        <v>2.5000000000000001E-3</v>
      </c>
      <c r="K17" s="655">
        <f>'Summary of Information'!M9</f>
        <v>1.9798670521660937</v>
      </c>
      <c r="L17" s="633">
        <v>0</v>
      </c>
      <c r="M17" s="633"/>
      <c r="N17" s="629"/>
      <c r="S17" s="714" t="s">
        <v>720</v>
      </c>
      <c r="T17" s="714" t="s">
        <v>721</v>
      </c>
      <c r="U17" s="714" t="s">
        <v>721</v>
      </c>
      <c r="V17" s="714" t="s">
        <v>720</v>
      </c>
      <c r="W17" s="715">
        <v>0.01</v>
      </c>
    </row>
    <row r="18" spans="3:23" s="628" customFormat="1" ht="15.75" x14ac:dyDescent="0.45">
      <c r="C18" s="765" t="s">
        <v>76</v>
      </c>
      <c r="D18" s="766"/>
      <c r="E18" s="766"/>
      <c r="F18" s="766"/>
      <c r="G18" s="767"/>
      <c r="H18" s="783"/>
      <c r="I18" s="783"/>
      <c r="J18" s="654"/>
      <c r="K18" s="653"/>
      <c r="L18" s="638"/>
      <c r="M18" s="638"/>
      <c r="N18" s="629"/>
      <c r="S18" s="714" t="s">
        <v>721</v>
      </c>
      <c r="T18" s="714" t="s">
        <v>720</v>
      </c>
      <c r="U18" s="714" t="s">
        <v>720</v>
      </c>
      <c r="V18" s="714" t="s">
        <v>720</v>
      </c>
      <c r="W18" s="715">
        <v>0</v>
      </c>
    </row>
    <row r="19" spans="3:23" s="628" customFormat="1" ht="15.75" x14ac:dyDescent="0.45">
      <c r="C19" s="765" t="s">
        <v>77</v>
      </c>
      <c r="D19" s="766"/>
      <c r="E19" s="766"/>
      <c r="F19" s="766"/>
      <c r="G19" s="767"/>
      <c r="H19" s="783"/>
      <c r="I19" s="783"/>
      <c r="J19" s="654"/>
      <c r="K19" s="653"/>
      <c r="L19" s="638"/>
      <c r="M19" s="638"/>
      <c r="N19" s="629"/>
      <c r="S19" s="714" t="s">
        <v>721</v>
      </c>
      <c r="T19" s="714" t="s">
        <v>720</v>
      </c>
      <c r="U19" s="714" t="s">
        <v>721</v>
      </c>
      <c r="V19" s="714" t="s">
        <v>720</v>
      </c>
      <c r="W19" s="715">
        <v>5.0000000000000001E-3</v>
      </c>
    </row>
    <row r="20" spans="3:23" s="628" customFormat="1" ht="55.15" customHeight="1" x14ac:dyDescent="0.45">
      <c r="C20" s="755" t="s">
        <v>78</v>
      </c>
      <c r="D20" s="756"/>
      <c r="E20" s="756"/>
      <c r="F20" s="756"/>
      <c r="G20" s="757"/>
      <c r="H20" s="784">
        <v>2.5000000000000001E-3</v>
      </c>
      <c r="I20" s="784"/>
      <c r="J20" s="652">
        <v>2.5000000000000001E-3</v>
      </c>
      <c r="K20" s="651">
        <f>'Summary of Information'!M11</f>
        <v>0.30122983063546044</v>
      </c>
      <c r="L20" s="650"/>
      <c r="M20" s="649"/>
      <c r="N20" s="644"/>
      <c r="S20" s="714" t="s">
        <v>721</v>
      </c>
      <c r="T20" s="714" t="s">
        <v>721</v>
      </c>
      <c r="U20" s="714" t="s">
        <v>720</v>
      </c>
      <c r="V20" s="714" t="s">
        <v>720</v>
      </c>
      <c r="W20" s="715">
        <v>0</v>
      </c>
    </row>
    <row r="21" spans="3:23" s="628" customFormat="1" ht="15.75" x14ac:dyDescent="0.45">
      <c r="C21" s="768" t="s">
        <v>79</v>
      </c>
      <c r="D21" s="769"/>
      <c r="E21" s="769"/>
      <c r="F21" s="769"/>
      <c r="G21" s="770"/>
      <c r="H21" s="785" t="s">
        <v>80</v>
      </c>
      <c r="I21" s="785"/>
      <c r="J21" s="648"/>
      <c r="K21" s="647"/>
      <c r="L21" s="641"/>
      <c r="M21" s="641"/>
      <c r="N21" s="644"/>
      <c r="S21" s="714" t="s">
        <v>721</v>
      </c>
      <c r="T21" s="714" t="s">
        <v>721</v>
      </c>
      <c r="U21" s="714" t="s">
        <v>721</v>
      </c>
      <c r="V21" s="714" t="s">
        <v>720</v>
      </c>
      <c r="W21" s="715">
        <v>1.4999999999999999E-2</v>
      </c>
    </row>
    <row r="22" spans="3:23" s="628" customFormat="1" ht="15.75" x14ac:dyDescent="0.45">
      <c r="C22" s="765" t="s">
        <v>81</v>
      </c>
      <c r="D22" s="766"/>
      <c r="E22" s="766"/>
      <c r="F22" s="766"/>
      <c r="G22" s="767"/>
      <c r="H22" s="786">
        <v>3.5</v>
      </c>
      <c r="I22" s="786"/>
      <c r="J22" s="646"/>
      <c r="K22" s="645"/>
      <c r="L22" s="641"/>
      <c r="M22" s="641"/>
      <c r="N22" s="644"/>
      <c r="T22" s="643"/>
      <c r="W22" s="642"/>
    </row>
    <row r="23" spans="3:23" s="628" customFormat="1" ht="15.75" x14ac:dyDescent="0.45">
      <c r="C23" s="765" t="s">
        <v>841</v>
      </c>
      <c r="D23" s="766"/>
      <c r="E23" s="766"/>
      <c r="F23" s="766"/>
      <c r="G23" s="767"/>
      <c r="H23" s="786">
        <v>2.5</v>
      </c>
      <c r="I23" s="786"/>
      <c r="J23" s="646"/>
      <c r="K23" s="645"/>
      <c r="L23" s="641"/>
      <c r="M23" s="641"/>
      <c r="N23" s="644"/>
      <c r="T23" s="643"/>
      <c r="W23" s="642"/>
    </row>
    <row r="24" spans="3:23" s="628" customFormat="1" ht="15.75" x14ac:dyDescent="0.45">
      <c r="C24" s="765" t="s">
        <v>840</v>
      </c>
      <c r="D24" s="766"/>
      <c r="E24" s="766"/>
      <c r="F24" s="766"/>
      <c r="G24" s="767"/>
      <c r="H24" s="786">
        <v>2</v>
      </c>
      <c r="I24" s="786"/>
      <c r="J24" s="646"/>
      <c r="K24" s="645"/>
      <c r="L24" s="641"/>
      <c r="M24" s="641"/>
      <c r="N24" s="644"/>
      <c r="T24" s="643"/>
      <c r="W24" s="642"/>
    </row>
    <row r="25" spans="3:23" s="628" customFormat="1" ht="15.75" x14ac:dyDescent="0.5">
      <c r="C25" s="765" t="s">
        <v>482</v>
      </c>
      <c r="D25" s="766"/>
      <c r="E25" s="766"/>
      <c r="F25" s="766"/>
      <c r="G25" s="767"/>
      <c r="H25" s="786">
        <v>2</v>
      </c>
      <c r="I25" s="786"/>
      <c r="J25" s="640"/>
      <c r="K25" s="639"/>
      <c r="L25" s="641"/>
      <c r="M25" s="641"/>
      <c r="N25" s="629"/>
      <c r="O25" s="347"/>
    </row>
    <row r="26" spans="3:23" s="628" customFormat="1" ht="15.75" x14ac:dyDescent="0.5">
      <c r="C26" s="765" t="s">
        <v>839</v>
      </c>
      <c r="D26" s="766"/>
      <c r="E26" s="766"/>
      <c r="F26" s="766"/>
      <c r="G26" s="767"/>
      <c r="H26" s="782" t="s">
        <v>838</v>
      </c>
      <c r="I26" s="782"/>
      <c r="J26" s="640"/>
      <c r="K26" s="639"/>
      <c r="L26" s="638"/>
      <c r="M26" s="638"/>
      <c r="N26" s="629"/>
      <c r="O26" s="347"/>
    </row>
    <row r="27" spans="3:23" s="628" customFormat="1" ht="15.75" x14ac:dyDescent="0.5">
      <c r="C27" s="755" t="s">
        <v>837</v>
      </c>
      <c r="D27" s="756"/>
      <c r="E27" s="756"/>
      <c r="F27" s="756"/>
      <c r="G27" s="757"/>
      <c r="H27" s="758">
        <v>2.5000000000000001E-3</v>
      </c>
      <c r="I27" s="758"/>
      <c r="J27" s="635">
        <v>2.5000000000000001E-3</v>
      </c>
      <c r="K27" s="637"/>
      <c r="L27" s="633"/>
      <c r="M27" s="633"/>
      <c r="N27" s="629"/>
      <c r="O27" s="347"/>
    </row>
    <row r="28" spans="3:23" s="628" customFormat="1" ht="46.15" customHeight="1" x14ac:dyDescent="0.5">
      <c r="C28" s="755" t="s">
        <v>836</v>
      </c>
      <c r="D28" s="756"/>
      <c r="E28" s="756"/>
      <c r="F28" s="756"/>
      <c r="G28" s="757"/>
      <c r="H28" s="758">
        <v>2.5000000000000001E-3</v>
      </c>
      <c r="I28" s="758"/>
      <c r="J28" s="635">
        <v>2.5000000000000001E-3</v>
      </c>
      <c r="K28" s="636"/>
      <c r="L28" s="633"/>
      <c r="M28" s="633"/>
      <c r="N28" s="629"/>
      <c r="O28" s="347"/>
    </row>
    <row r="29" spans="3:23" s="628" customFormat="1" ht="15.75" x14ac:dyDescent="0.5">
      <c r="C29" s="755" t="s">
        <v>82</v>
      </c>
      <c r="D29" s="756"/>
      <c r="E29" s="756"/>
      <c r="F29" s="756"/>
      <c r="G29" s="757"/>
      <c r="H29" s="758">
        <v>2.5000000000000001E-3</v>
      </c>
      <c r="I29" s="758"/>
      <c r="J29" s="635">
        <v>2.5000000000000001E-3</v>
      </c>
      <c r="K29" s="634"/>
      <c r="L29" s="633"/>
      <c r="M29" s="633"/>
      <c r="N29" s="629"/>
      <c r="O29" s="347"/>
    </row>
    <row r="30" spans="3:23" s="628" customFormat="1" ht="33.75" customHeight="1" x14ac:dyDescent="0.5">
      <c r="C30" s="755" t="s">
        <v>835</v>
      </c>
      <c r="D30" s="756"/>
      <c r="E30" s="756"/>
      <c r="F30" s="756"/>
      <c r="G30" s="757"/>
      <c r="H30" s="758">
        <v>0.01</v>
      </c>
      <c r="I30" s="758"/>
      <c r="J30" s="635">
        <v>0.01</v>
      </c>
      <c r="K30" s="634"/>
      <c r="L30" s="633"/>
      <c r="M30" s="633"/>
      <c r="N30" s="629"/>
      <c r="O30" s="347"/>
    </row>
    <row r="31" spans="3:23" s="628" customFormat="1" ht="50.65" customHeight="1" x14ac:dyDescent="0.5">
      <c r="C31" s="759" t="s">
        <v>834</v>
      </c>
      <c r="D31" s="760"/>
      <c r="E31" s="760"/>
      <c r="F31" s="760"/>
      <c r="G31" s="761"/>
      <c r="H31" s="763">
        <v>-0.01</v>
      </c>
      <c r="I31" s="763"/>
      <c r="J31" s="632">
        <v>-0.01</v>
      </c>
      <c r="K31" s="631"/>
      <c r="L31" s="630"/>
      <c r="M31" s="630"/>
      <c r="N31" s="629"/>
      <c r="O31" s="347"/>
    </row>
    <row r="32" spans="3:23" ht="31.15" customHeight="1" x14ac:dyDescent="0.45">
      <c r="C32" s="764" t="s">
        <v>722</v>
      </c>
      <c r="D32" s="764"/>
      <c r="E32" s="764"/>
      <c r="F32" s="764"/>
      <c r="G32" s="764"/>
      <c r="H32" s="764"/>
      <c r="I32" s="764"/>
      <c r="J32" s="462"/>
      <c r="K32" s="463" t="s">
        <v>723</v>
      </c>
      <c r="L32" s="464">
        <f>SUM(L9:L31)</f>
        <v>5.0000000000000001E-3</v>
      </c>
      <c r="M32" s="464">
        <f>SUM(M9:M31)</f>
        <v>0</v>
      </c>
      <c r="N32" s="584"/>
      <c r="P32" s="581"/>
    </row>
    <row r="33" spans="3:21" s="581" customFormat="1" x14ac:dyDescent="0.45">
      <c r="C33" s="626"/>
      <c r="D33" s="626"/>
      <c r="E33" s="626"/>
      <c r="F33" s="626"/>
      <c r="G33" s="580"/>
      <c r="H33" s="627" t="s">
        <v>724</v>
      </c>
      <c r="I33" s="626"/>
      <c r="J33" s="626"/>
      <c r="K33" s="465"/>
      <c r="L33" s="585"/>
      <c r="M33" s="585"/>
      <c r="N33" s="583"/>
      <c r="O33" s="566"/>
    </row>
    <row r="34" spans="3:21" s="581" customFormat="1" ht="57" x14ac:dyDescent="0.45">
      <c r="C34" s="625"/>
      <c r="D34" s="624"/>
      <c r="E34" s="624"/>
      <c r="F34" s="620"/>
      <c r="G34" s="580"/>
      <c r="H34" s="467" t="s">
        <v>725</v>
      </c>
      <c r="I34" s="467" t="s">
        <v>726</v>
      </c>
      <c r="J34" s="620"/>
      <c r="K34" s="619"/>
      <c r="L34" s="618"/>
      <c r="M34" s="618"/>
      <c r="N34" s="582"/>
      <c r="O34" s="566"/>
    </row>
    <row r="35" spans="3:21" s="581" customFormat="1" x14ac:dyDescent="0.45">
      <c r="C35" s="625"/>
      <c r="D35" s="624"/>
      <c r="E35" s="624"/>
      <c r="F35" s="620"/>
      <c r="G35" s="580"/>
      <c r="H35" s="622" t="s">
        <v>62</v>
      </c>
      <c r="I35" s="621">
        <v>0.1225</v>
      </c>
      <c r="J35" s="620"/>
      <c r="K35" s="470" t="s">
        <v>725</v>
      </c>
      <c r="L35" s="471" t="s">
        <v>62</v>
      </c>
      <c r="M35" s="472"/>
      <c r="N35" s="582"/>
      <c r="O35" s="566"/>
    </row>
    <row r="36" spans="3:21" s="581" customFormat="1" x14ac:dyDescent="0.45">
      <c r="C36" s="625"/>
      <c r="D36" s="624"/>
      <c r="E36" s="624"/>
      <c r="F36" s="625"/>
      <c r="G36" s="580"/>
      <c r="H36" s="622" t="s">
        <v>63</v>
      </c>
      <c r="I36" s="621">
        <f>I35+0.25%</f>
        <v>0.125</v>
      </c>
      <c r="J36" s="620"/>
      <c r="K36" s="473" t="s">
        <v>727</v>
      </c>
      <c r="L36" s="474">
        <f>VLOOKUP(L35,H35:I40,2,0)</f>
        <v>0.1225</v>
      </c>
      <c r="M36" s="586"/>
      <c r="N36" s="461"/>
      <c r="O36" s="566"/>
    </row>
    <row r="37" spans="3:21" s="581" customFormat="1" x14ac:dyDescent="0.45">
      <c r="C37" s="624"/>
      <c r="D37" s="624"/>
      <c r="E37" s="624"/>
      <c r="F37" s="624"/>
      <c r="G37" s="580"/>
      <c r="H37" s="622" t="s">
        <v>64</v>
      </c>
      <c r="I37" s="621">
        <f>I36+0.25%</f>
        <v>0.1275</v>
      </c>
      <c r="J37" s="620"/>
      <c r="K37" s="473" t="s">
        <v>728</v>
      </c>
      <c r="L37" s="474">
        <f>L32</f>
        <v>5.0000000000000001E-3</v>
      </c>
      <c r="M37" s="586"/>
      <c r="N37" s="461"/>
      <c r="O37" s="566"/>
    </row>
    <row r="38" spans="3:21" s="581" customFormat="1" x14ac:dyDescent="0.45">
      <c r="C38" s="624"/>
      <c r="D38" s="624"/>
      <c r="E38" s="624"/>
      <c r="F38" s="623"/>
      <c r="G38" s="580"/>
      <c r="H38" s="622" t="s">
        <v>65</v>
      </c>
      <c r="I38" s="716">
        <v>0.14000000000000001</v>
      </c>
      <c r="J38" s="620"/>
      <c r="K38" s="473" t="s">
        <v>83</v>
      </c>
      <c r="L38" s="474">
        <f>L32+L36</f>
        <v>0.1275</v>
      </c>
      <c r="M38" s="586"/>
      <c r="N38" s="461"/>
      <c r="O38" s="566"/>
    </row>
    <row r="39" spans="3:21" s="581" customFormat="1" x14ac:dyDescent="0.45">
      <c r="C39" s="624"/>
      <c r="D39" s="624"/>
      <c r="E39" s="624"/>
      <c r="F39" s="623"/>
      <c r="G39" s="580"/>
      <c r="H39" s="622" t="s">
        <v>66</v>
      </c>
      <c r="I39" s="716">
        <v>0.15</v>
      </c>
      <c r="J39" s="620"/>
      <c r="K39" s="619"/>
      <c r="L39" s="618"/>
      <c r="M39" s="618"/>
      <c r="N39" s="461"/>
      <c r="O39" s="566"/>
    </row>
    <row r="40" spans="3:21" s="581" customFormat="1" x14ac:dyDescent="0.45">
      <c r="C40" s="624"/>
      <c r="D40" s="624"/>
      <c r="E40" s="624"/>
      <c r="F40" s="623"/>
      <c r="G40" s="580"/>
      <c r="H40" s="622" t="s">
        <v>67</v>
      </c>
      <c r="I40" s="716">
        <v>0.16</v>
      </c>
      <c r="J40" s="620"/>
      <c r="K40" s="619"/>
      <c r="L40" s="618"/>
      <c r="M40" s="618"/>
      <c r="N40" s="461"/>
      <c r="O40" s="566"/>
    </row>
    <row r="41" spans="3:21" s="572" customFormat="1" x14ac:dyDescent="0.45">
      <c r="C41" s="410"/>
      <c r="D41" s="410"/>
      <c r="E41" s="475"/>
      <c r="F41" s="475"/>
      <c r="G41" s="475"/>
      <c r="H41" s="475"/>
      <c r="I41" s="475"/>
      <c r="J41" s="475"/>
      <c r="K41" s="475"/>
      <c r="L41" s="438"/>
      <c r="M41" s="438"/>
      <c r="N41" s="568"/>
      <c r="O41" s="568"/>
      <c r="Q41" s="568"/>
      <c r="R41" s="568"/>
      <c r="S41" s="566"/>
      <c r="T41" s="566"/>
      <c r="U41" s="566"/>
    </row>
    <row r="42" spans="3:21" s="572" customFormat="1" ht="18" x14ac:dyDescent="0.55000000000000004">
      <c r="C42" s="476" t="s">
        <v>729</v>
      </c>
      <c r="D42" s="475"/>
      <c r="E42" s="475"/>
      <c r="F42" s="475"/>
      <c r="G42" s="475"/>
      <c r="H42" s="475"/>
      <c r="I42" s="475"/>
      <c r="J42" s="475"/>
      <c r="K42" s="475"/>
      <c r="L42" s="438"/>
      <c r="M42" s="438"/>
      <c r="N42" s="568"/>
      <c r="O42" s="568"/>
      <c r="P42" s="477"/>
      <c r="Q42" s="568"/>
      <c r="R42" s="568"/>
      <c r="S42" s="566"/>
      <c r="T42" s="566"/>
      <c r="U42" s="566"/>
    </row>
    <row r="43" spans="3:21" s="572" customFormat="1" ht="15" customHeight="1" x14ac:dyDescent="0.45">
      <c r="C43" s="735" t="s">
        <v>730</v>
      </c>
      <c r="D43" s="736"/>
      <c r="E43" s="478"/>
      <c r="F43" s="479"/>
      <c r="G43" s="479"/>
      <c r="H43" s="480"/>
      <c r="I43" s="735" t="s">
        <v>731</v>
      </c>
      <c r="J43" s="736"/>
      <c r="K43" s="481"/>
      <c r="L43" s="736"/>
      <c r="M43" s="482"/>
      <c r="N43" s="483"/>
      <c r="O43" s="483"/>
      <c r="P43" s="483"/>
      <c r="Q43" s="483"/>
      <c r="R43" s="484"/>
      <c r="S43" s="566"/>
      <c r="T43" s="566"/>
    </row>
    <row r="44" spans="3:21" s="572" customFormat="1" ht="15" customHeight="1" x14ac:dyDescent="0.45">
      <c r="C44" s="762"/>
      <c r="D44" s="738"/>
      <c r="E44" s="487"/>
      <c r="F44" s="488"/>
      <c r="G44" s="488"/>
      <c r="H44" s="489"/>
      <c r="I44" s="762"/>
      <c r="J44" s="738"/>
      <c r="K44" s="490"/>
      <c r="L44" s="738"/>
      <c r="M44" s="491"/>
      <c r="N44" s="483"/>
      <c r="O44" s="483"/>
      <c r="P44" s="483"/>
      <c r="Q44" s="483"/>
      <c r="R44" s="483"/>
      <c r="S44" s="566"/>
      <c r="T44" s="566"/>
      <c r="U44" s="566"/>
    </row>
    <row r="45" spans="3:21" s="572" customFormat="1" ht="18" x14ac:dyDescent="0.45">
      <c r="C45" s="487"/>
      <c r="D45" s="492"/>
      <c r="E45" s="493"/>
      <c r="F45" s="488"/>
      <c r="G45" s="488"/>
      <c r="H45" s="494"/>
      <c r="I45" s="490"/>
      <c r="J45" s="488"/>
      <c r="K45" s="490"/>
      <c r="L45" s="492"/>
      <c r="M45" s="495"/>
      <c r="N45" s="483"/>
      <c r="O45" s="483"/>
      <c r="P45" s="483"/>
      <c r="Q45" s="483"/>
      <c r="R45" s="483"/>
      <c r="S45" s="566"/>
      <c r="T45" s="566"/>
      <c r="U45" s="566"/>
    </row>
    <row r="46" spans="3:21" s="572" customFormat="1" ht="18" x14ac:dyDescent="0.45">
      <c r="C46" s="487"/>
      <c r="D46" s="492"/>
      <c r="E46" s="493"/>
      <c r="F46" s="488"/>
      <c r="G46" s="488"/>
      <c r="H46" s="494"/>
      <c r="I46" s="490"/>
      <c r="J46" s="488"/>
      <c r="K46" s="490"/>
      <c r="L46" s="492"/>
      <c r="M46" s="495"/>
      <c r="N46" s="483"/>
      <c r="O46" s="483"/>
      <c r="P46" s="483"/>
      <c r="Q46" s="483"/>
      <c r="R46" s="483"/>
      <c r="S46" s="566"/>
      <c r="T46" s="566"/>
      <c r="U46" s="566"/>
    </row>
    <row r="47" spans="3:21" s="572" customFormat="1" x14ac:dyDescent="0.45">
      <c r="C47" s="487"/>
      <c r="D47" s="410"/>
      <c r="E47" s="490"/>
      <c r="F47" s="488"/>
      <c r="G47" s="488"/>
      <c r="H47" s="494"/>
      <c r="I47" s="490"/>
      <c r="J47" s="488"/>
      <c r="K47" s="490"/>
      <c r="L47" s="488"/>
      <c r="M47" s="494"/>
      <c r="N47" s="483"/>
      <c r="O47" s="483"/>
      <c r="P47" s="483"/>
      <c r="Q47" s="483"/>
      <c r="R47" s="483"/>
      <c r="S47" s="566"/>
      <c r="T47" s="566"/>
      <c r="U47" s="566"/>
    </row>
    <row r="48" spans="3:21" s="572" customFormat="1" x14ac:dyDescent="0.45">
      <c r="C48" s="487"/>
      <c r="D48" s="410"/>
      <c r="E48" s="490"/>
      <c r="F48" s="488"/>
      <c r="G48" s="488"/>
      <c r="H48" s="494"/>
      <c r="I48" s="490"/>
      <c r="J48" s="488"/>
      <c r="K48" s="490"/>
      <c r="L48" s="488"/>
      <c r="M48" s="494"/>
      <c r="N48" s="483"/>
      <c r="O48" s="483"/>
      <c r="P48" s="483"/>
      <c r="Q48" s="483"/>
      <c r="R48" s="483"/>
      <c r="S48" s="566"/>
      <c r="T48" s="566"/>
      <c r="U48" s="566"/>
    </row>
    <row r="49" spans="3:36" s="572" customFormat="1" x14ac:dyDescent="0.45">
      <c r="C49" s="487"/>
      <c r="D49" s="410"/>
      <c r="E49" s="490"/>
      <c r="F49" s="488"/>
      <c r="G49" s="488"/>
      <c r="H49" s="494"/>
      <c r="I49" s="490"/>
      <c r="J49" s="488"/>
      <c r="K49" s="490"/>
      <c r="L49" s="488"/>
      <c r="M49" s="494"/>
      <c r="N49" s="483"/>
      <c r="O49" s="483"/>
      <c r="P49" s="483"/>
      <c r="Q49" s="483"/>
      <c r="R49" s="483"/>
      <c r="S49" s="566"/>
      <c r="T49" s="566"/>
      <c r="U49" s="566"/>
    </row>
    <row r="50" spans="3:36" s="572" customFormat="1" x14ac:dyDescent="0.45">
      <c r="C50" s="496"/>
      <c r="D50" s="412"/>
      <c r="E50" s="497"/>
      <c r="F50" s="498"/>
      <c r="G50" s="498"/>
      <c r="H50" s="499"/>
      <c r="I50" s="497"/>
      <c r="J50" s="498"/>
      <c r="K50" s="497"/>
      <c r="L50" s="498"/>
      <c r="M50" s="499"/>
      <c r="N50" s="483"/>
      <c r="O50" s="483"/>
      <c r="P50" s="483"/>
      <c r="Q50" s="483"/>
      <c r="R50" s="483"/>
      <c r="S50" s="566"/>
      <c r="T50" s="566"/>
      <c r="U50" s="566"/>
    </row>
    <row r="51" spans="3:36" x14ac:dyDescent="0.45">
      <c r="C51" s="466"/>
      <c r="D51" s="466"/>
      <c r="E51" s="466"/>
      <c r="F51" s="466"/>
      <c r="G51" s="466"/>
      <c r="H51" s="462"/>
      <c r="I51" s="462"/>
      <c r="J51" s="462"/>
      <c r="K51" s="468"/>
      <c r="L51" s="469"/>
      <c r="M51" s="469"/>
    </row>
    <row r="52" spans="3:36" s="566" customFormat="1" ht="15.75" x14ac:dyDescent="0.5">
      <c r="C52" s="500"/>
      <c r="D52" s="500"/>
      <c r="E52" s="500"/>
      <c r="F52" s="500"/>
      <c r="G52" s="500"/>
      <c r="H52" s="488"/>
      <c r="I52" s="501"/>
      <c r="J52" s="501"/>
      <c r="K52" s="501"/>
      <c r="L52" s="438"/>
      <c r="M52" s="438"/>
      <c r="N52" s="567"/>
      <c r="O52" s="567"/>
      <c r="P52" s="567"/>
      <c r="Q52" s="568"/>
      <c r="R52" s="587"/>
      <c r="S52" s="587"/>
      <c r="T52" s="567"/>
      <c r="U52" s="587"/>
      <c r="V52" s="568"/>
      <c r="W52" s="567"/>
      <c r="X52" s="567"/>
      <c r="Y52" s="567"/>
      <c r="Z52" s="567"/>
      <c r="AA52" s="568"/>
      <c r="AB52" s="587"/>
      <c r="AC52" s="587"/>
      <c r="AD52" s="587"/>
      <c r="AE52" s="587"/>
      <c r="AF52" s="572"/>
      <c r="AG52" s="572"/>
      <c r="AH52" s="572"/>
      <c r="AI52" s="572"/>
      <c r="AJ52" s="568"/>
    </row>
    <row r="53" spans="3:36" s="566" customFormat="1" ht="15.75" x14ac:dyDescent="0.5">
      <c r="C53" s="500"/>
      <c r="D53" s="500"/>
      <c r="E53" s="500"/>
      <c r="F53" s="500"/>
      <c r="G53" s="500"/>
      <c r="H53" s="488"/>
      <c r="I53" s="501"/>
      <c r="J53" s="501"/>
      <c r="K53" s="501"/>
      <c r="L53" s="438"/>
      <c r="M53" s="438"/>
      <c r="N53" s="567"/>
      <c r="O53" s="567"/>
      <c r="P53" s="567"/>
      <c r="Q53" s="568"/>
      <c r="R53" s="587"/>
      <c r="S53" s="587"/>
      <c r="T53" s="567"/>
      <c r="U53" s="587"/>
      <c r="V53" s="568"/>
      <c r="W53" s="567"/>
      <c r="X53" s="567"/>
      <c r="Y53" s="567"/>
      <c r="Z53" s="567"/>
      <c r="AA53" s="568"/>
      <c r="AB53" s="587"/>
      <c r="AC53" s="587"/>
      <c r="AD53" s="587"/>
      <c r="AE53" s="587"/>
      <c r="AF53" s="572"/>
      <c r="AG53" s="572"/>
      <c r="AH53" s="572"/>
      <c r="AI53" s="572"/>
      <c r="AJ53" s="568"/>
    </row>
    <row r="54" spans="3:36" s="566" customFormat="1" x14ac:dyDescent="0.45">
      <c r="C54" s="410"/>
      <c r="D54" s="410"/>
      <c r="E54" s="410"/>
      <c r="F54" s="410"/>
      <c r="G54" s="410"/>
      <c r="H54" s="438"/>
      <c r="I54" s="501"/>
      <c r="J54" s="501"/>
      <c r="K54" s="501"/>
      <c r="L54" s="438"/>
      <c r="M54" s="438"/>
      <c r="N54" s="567"/>
      <c r="O54" s="567"/>
      <c r="P54" s="567"/>
      <c r="Q54" s="568"/>
      <c r="R54" s="587"/>
      <c r="S54" s="587"/>
      <c r="T54" s="567"/>
      <c r="U54" s="587"/>
      <c r="V54" s="568"/>
      <c r="W54" s="567"/>
      <c r="X54" s="567"/>
      <c r="Y54" s="567"/>
      <c r="Z54" s="567"/>
      <c r="AA54" s="568"/>
      <c r="AB54" s="587"/>
      <c r="AC54" s="587"/>
      <c r="AD54" s="587"/>
      <c r="AE54" s="587"/>
      <c r="AF54" s="572"/>
      <c r="AG54" s="572"/>
      <c r="AH54" s="572"/>
      <c r="AI54" s="572"/>
      <c r="AJ54" s="568"/>
    </row>
    <row r="55" spans="3:36" s="566" customFormat="1" x14ac:dyDescent="0.45">
      <c r="C55" s="410"/>
      <c r="D55" s="410"/>
      <c r="E55" s="410"/>
      <c r="F55" s="410"/>
      <c r="G55" s="410"/>
      <c r="H55" s="438"/>
      <c r="I55" s="501"/>
      <c r="J55" s="501"/>
      <c r="K55" s="501"/>
      <c r="L55" s="438"/>
      <c r="M55" s="438"/>
      <c r="N55" s="567"/>
      <c r="O55" s="567"/>
      <c r="P55" s="567"/>
      <c r="Q55" s="568"/>
      <c r="R55" s="587"/>
      <c r="S55" s="587"/>
      <c r="T55" s="567"/>
      <c r="U55" s="587"/>
      <c r="V55" s="568"/>
      <c r="W55" s="567"/>
      <c r="X55" s="567"/>
      <c r="Y55" s="567"/>
      <c r="Z55" s="567"/>
      <c r="AA55" s="568"/>
      <c r="AB55" s="587"/>
      <c r="AC55" s="587"/>
      <c r="AD55" s="587"/>
      <c r="AE55" s="587"/>
      <c r="AF55" s="572"/>
      <c r="AG55" s="572"/>
      <c r="AH55" s="572"/>
      <c r="AI55" s="572"/>
      <c r="AJ55" s="568"/>
    </row>
    <row r="56" spans="3:36" s="566" customFormat="1" x14ac:dyDescent="0.45">
      <c r="C56" s="410"/>
      <c r="D56" s="410"/>
      <c r="E56" s="410"/>
      <c r="F56" s="410"/>
      <c r="G56" s="410"/>
      <c r="H56" s="438"/>
      <c r="I56" s="501"/>
      <c r="J56" s="501"/>
      <c r="K56" s="501"/>
      <c r="L56" s="438"/>
      <c r="M56" s="438"/>
      <c r="N56" s="567"/>
      <c r="O56" s="567"/>
      <c r="P56" s="567"/>
      <c r="Q56" s="568"/>
      <c r="R56" s="587"/>
      <c r="S56" s="587"/>
      <c r="T56" s="567"/>
      <c r="U56" s="587"/>
      <c r="V56" s="568"/>
      <c r="W56" s="567"/>
      <c r="X56" s="567"/>
      <c r="Y56" s="567"/>
      <c r="Z56" s="567"/>
      <c r="AA56" s="568"/>
      <c r="AB56" s="587"/>
      <c r="AC56" s="587"/>
      <c r="AD56" s="587"/>
      <c r="AE56" s="587"/>
      <c r="AF56" s="572"/>
      <c r="AG56" s="572"/>
      <c r="AH56" s="572"/>
      <c r="AI56" s="572"/>
      <c r="AJ56" s="568"/>
    </row>
    <row r="57" spans="3:36" s="566" customFormat="1" x14ac:dyDescent="0.45">
      <c r="C57" s="410"/>
      <c r="D57" s="410"/>
      <c r="E57" s="410"/>
      <c r="F57" s="410"/>
      <c r="G57" s="410"/>
      <c r="H57" s="438"/>
      <c r="I57" s="501"/>
      <c r="J57" s="501"/>
      <c r="K57" s="501"/>
      <c r="L57" s="438"/>
      <c r="M57" s="438"/>
      <c r="N57" s="567"/>
      <c r="O57" s="567"/>
      <c r="P57" s="567"/>
      <c r="Q57" s="568"/>
      <c r="R57" s="587"/>
      <c r="S57" s="587"/>
      <c r="T57" s="567"/>
      <c r="U57" s="587"/>
      <c r="V57" s="568"/>
      <c r="W57" s="567"/>
      <c r="X57" s="567"/>
      <c r="Y57" s="567"/>
      <c r="Z57" s="567"/>
      <c r="AA57" s="568"/>
      <c r="AB57" s="587"/>
      <c r="AC57" s="587"/>
      <c r="AD57" s="587"/>
      <c r="AE57" s="587"/>
      <c r="AF57" s="572"/>
      <c r="AG57" s="572"/>
      <c r="AH57" s="572"/>
      <c r="AI57" s="572"/>
      <c r="AJ57" s="568"/>
    </row>
    <row r="58" spans="3:36" s="566" customFormat="1" x14ac:dyDescent="0.45">
      <c r="C58" s="572"/>
      <c r="D58" s="572"/>
      <c r="E58" s="572"/>
      <c r="F58" s="572"/>
      <c r="G58" s="572"/>
      <c r="H58" s="567"/>
      <c r="I58" s="568"/>
      <c r="J58" s="568"/>
      <c r="K58" s="568"/>
      <c r="L58" s="567"/>
      <c r="M58" s="567"/>
      <c r="N58" s="567"/>
      <c r="O58" s="567"/>
      <c r="P58" s="567"/>
      <c r="Q58" s="568"/>
      <c r="R58" s="587"/>
      <c r="S58" s="587"/>
      <c r="T58" s="567"/>
      <c r="U58" s="587"/>
      <c r="V58" s="568"/>
      <c r="W58" s="567"/>
      <c r="X58" s="567"/>
      <c r="Y58" s="567"/>
      <c r="Z58" s="567"/>
      <c r="AA58" s="568"/>
      <c r="AB58" s="587"/>
      <c r="AC58" s="587"/>
      <c r="AD58" s="587"/>
      <c r="AE58" s="587"/>
      <c r="AF58" s="572"/>
      <c r="AG58" s="572"/>
      <c r="AH58" s="572"/>
      <c r="AI58" s="572"/>
      <c r="AJ58" s="568"/>
    </row>
    <row r="62" spans="3:36" x14ac:dyDescent="0.45">
      <c r="H62" s="455"/>
      <c r="I62" s="455"/>
    </row>
    <row r="63" spans="3:36" x14ac:dyDescent="0.45">
      <c r="H63" s="455"/>
      <c r="I63" s="455"/>
    </row>
    <row r="64" spans="3:36" x14ac:dyDescent="0.45">
      <c r="H64" s="455"/>
      <c r="I64" s="455"/>
    </row>
    <row r="65" spans="8:9" x14ac:dyDescent="0.45">
      <c r="H65" s="455"/>
      <c r="I65" s="455"/>
    </row>
    <row r="66" spans="8:9" x14ac:dyDescent="0.45">
      <c r="H66" s="455"/>
      <c r="I66" s="455"/>
    </row>
    <row r="67" spans="8:9" x14ac:dyDescent="0.45">
      <c r="H67" s="455"/>
      <c r="I67" s="455"/>
    </row>
    <row r="68" spans="8:9" x14ac:dyDescent="0.45">
      <c r="H68" s="455"/>
      <c r="I68" s="455"/>
    </row>
    <row r="69" spans="8:9" x14ac:dyDescent="0.45">
      <c r="H69" s="455"/>
      <c r="I69" s="455"/>
    </row>
    <row r="70" spans="8:9" x14ac:dyDescent="0.45">
      <c r="H70" s="455"/>
      <c r="I70" s="455"/>
    </row>
  </sheetData>
  <mergeCells count="54">
    <mergeCell ref="H26:I26"/>
    <mergeCell ref="H16:I16"/>
    <mergeCell ref="H17:I17"/>
    <mergeCell ref="H18:I18"/>
    <mergeCell ref="H19:I19"/>
    <mergeCell ref="H20:I20"/>
    <mergeCell ref="H21:I21"/>
    <mergeCell ref="H22:I22"/>
    <mergeCell ref="H23:I23"/>
    <mergeCell ref="H24:I24"/>
    <mergeCell ref="H25:I25"/>
    <mergeCell ref="H13:I13"/>
    <mergeCell ref="H14:I14"/>
    <mergeCell ref="H15:I15"/>
    <mergeCell ref="C11:G11"/>
    <mergeCell ref="C12:G12"/>
    <mergeCell ref="H11:I11"/>
    <mergeCell ref="H12:I12"/>
    <mergeCell ref="C17:G17"/>
    <mergeCell ref="C13:G13"/>
    <mergeCell ref="C14:G14"/>
    <mergeCell ref="C15:G15"/>
    <mergeCell ref="C16:G16"/>
    <mergeCell ref="C3:L3"/>
    <mergeCell ref="H7:J7"/>
    <mergeCell ref="C8:G8"/>
    <mergeCell ref="C9:G9"/>
    <mergeCell ref="C10:G10"/>
    <mergeCell ref="H8:I8"/>
    <mergeCell ref="H9:I9"/>
    <mergeCell ref="H10:I10"/>
    <mergeCell ref="C26:G26"/>
    <mergeCell ref="C18:G18"/>
    <mergeCell ref="C19:G19"/>
    <mergeCell ref="C20:G20"/>
    <mergeCell ref="C21:G21"/>
    <mergeCell ref="C22:G22"/>
    <mergeCell ref="C23:G23"/>
    <mergeCell ref="C24:G24"/>
    <mergeCell ref="C25:G25"/>
    <mergeCell ref="L43:L44"/>
    <mergeCell ref="C29:G29"/>
    <mergeCell ref="C30:G30"/>
    <mergeCell ref="C31:G31"/>
    <mergeCell ref="C43:D44"/>
    <mergeCell ref="I43:J44"/>
    <mergeCell ref="H31:I31"/>
    <mergeCell ref="C32:I32"/>
    <mergeCell ref="C28:G28"/>
    <mergeCell ref="H27:I27"/>
    <mergeCell ref="H28:I28"/>
    <mergeCell ref="H29:I29"/>
    <mergeCell ref="H30:I30"/>
    <mergeCell ref="C27:G27"/>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9" scale="5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zoomScale="70" zoomScaleNormal="70" zoomScaleSheetLayoutView="85" workbookViewId="0">
      <selection activeCell="C5" sqref="C5"/>
    </sheetView>
  </sheetViews>
  <sheetFormatPr defaultColWidth="9" defaultRowHeight="14.25" x14ac:dyDescent="0.45"/>
  <cols>
    <col min="1" max="1" width="1.59765625" style="566" customWidth="1"/>
    <col min="2" max="2" width="7.3984375" style="566" customWidth="1"/>
    <col min="3" max="4" width="49.3984375" style="566" customWidth="1"/>
    <col min="5" max="7" width="9" style="566"/>
    <col min="8" max="8" width="53.73046875" style="566" customWidth="1"/>
    <col min="9" max="9" width="1.59765625" style="566" customWidth="1"/>
    <col min="10" max="16384" width="9" style="566"/>
  </cols>
  <sheetData>
    <row r="3" spans="2:11" ht="23.25" x14ac:dyDescent="0.7">
      <c r="B3" s="814" t="s">
        <v>688</v>
      </c>
      <c r="C3" s="814"/>
      <c r="D3" s="814"/>
      <c r="E3" s="814"/>
      <c r="F3" s="814"/>
      <c r="G3" s="814"/>
      <c r="H3" s="814"/>
    </row>
    <row r="4" spans="2:11" ht="15" customHeight="1" x14ac:dyDescent="0.7">
      <c r="B4" s="562"/>
      <c r="C4" s="562"/>
      <c r="D4" s="562"/>
      <c r="E4" s="562"/>
      <c r="F4" s="562"/>
      <c r="G4" s="562"/>
      <c r="H4" s="562"/>
    </row>
    <row r="5" spans="2:11" ht="18" x14ac:dyDescent="0.45">
      <c r="B5" s="563" t="s">
        <v>942</v>
      </c>
      <c r="C5" s="388"/>
      <c r="D5" s="388"/>
      <c r="E5" s="504" t="s">
        <v>708</v>
      </c>
      <c r="F5" s="460" t="s">
        <v>678</v>
      </c>
    </row>
    <row r="6" spans="2:11" x14ac:dyDescent="0.45">
      <c r="E6" s="564"/>
      <c r="F6" s="564"/>
      <c r="G6" s="564"/>
    </row>
    <row r="7" spans="2:11" s="352" customFormat="1" ht="31.9" customHeight="1" x14ac:dyDescent="0.5">
      <c r="B7" s="697" t="s">
        <v>59</v>
      </c>
      <c r="C7" s="698" t="s">
        <v>871</v>
      </c>
      <c r="D7" s="698" t="s">
        <v>872</v>
      </c>
      <c r="E7" s="697" t="s">
        <v>51</v>
      </c>
      <c r="F7" s="697" t="s">
        <v>5</v>
      </c>
      <c r="G7" s="697" t="s">
        <v>758</v>
      </c>
      <c r="H7" s="697" t="s">
        <v>61</v>
      </c>
      <c r="K7" s="347"/>
    </row>
    <row r="8" spans="2:11" s="347" customFormat="1" ht="16.899999999999999" x14ac:dyDescent="0.5">
      <c r="B8" s="699" t="s">
        <v>62</v>
      </c>
      <c r="C8" s="811" t="s">
        <v>759</v>
      </c>
      <c r="D8" s="812"/>
      <c r="E8" s="812"/>
      <c r="F8" s="812"/>
      <c r="G8" s="812"/>
      <c r="H8" s="813"/>
    </row>
    <row r="9" spans="2:11" s="347" customFormat="1" ht="124.9" customHeight="1" x14ac:dyDescent="0.5">
      <c r="B9" s="700">
        <v>1</v>
      </c>
      <c r="C9" s="701" t="s">
        <v>873</v>
      </c>
      <c r="D9" s="708" t="s">
        <v>893</v>
      </c>
      <c r="E9" s="702" t="b">
        <v>0</v>
      </c>
      <c r="F9" s="702" t="b">
        <v>0</v>
      </c>
      <c r="G9" s="702" t="b">
        <v>0</v>
      </c>
      <c r="H9" s="700"/>
    </row>
    <row r="10" spans="2:11" s="347" customFormat="1" ht="81.400000000000006" customHeight="1" x14ac:dyDescent="0.5">
      <c r="B10" s="700">
        <v>2</v>
      </c>
      <c r="C10" s="701" t="s">
        <v>760</v>
      </c>
      <c r="D10" s="708" t="s">
        <v>894</v>
      </c>
      <c r="E10" s="702" t="b">
        <v>0</v>
      </c>
      <c r="F10" s="702" t="b">
        <v>0</v>
      </c>
      <c r="G10" s="703" t="b">
        <v>0</v>
      </c>
      <c r="H10" s="700"/>
    </row>
    <row r="11" spans="2:11" s="347" customFormat="1" ht="16.899999999999999" x14ac:dyDescent="0.5">
      <c r="B11" s="700">
        <v>3</v>
      </c>
      <c r="C11" s="741" t="s">
        <v>761</v>
      </c>
      <c r="D11" s="748"/>
      <c r="E11" s="702" t="b">
        <v>0</v>
      </c>
      <c r="F11" s="702" t="b">
        <v>0</v>
      </c>
      <c r="G11" s="702" t="b">
        <v>0</v>
      </c>
      <c r="H11" s="700"/>
    </row>
    <row r="12" spans="2:11" s="347" customFormat="1" ht="16.899999999999999" x14ac:dyDescent="0.5">
      <c r="B12" s="700"/>
      <c r="C12" s="701"/>
      <c r="D12" s="701"/>
      <c r="E12" s="700"/>
      <c r="F12" s="700"/>
      <c r="G12" s="700"/>
      <c r="H12" s="700"/>
    </row>
    <row r="13" spans="2:11" s="347" customFormat="1" ht="18" customHeight="1" x14ac:dyDescent="0.5">
      <c r="B13" s="699" t="s">
        <v>63</v>
      </c>
      <c r="C13" s="811" t="s">
        <v>762</v>
      </c>
      <c r="D13" s="812"/>
      <c r="E13" s="812"/>
      <c r="F13" s="812"/>
      <c r="G13" s="812"/>
      <c r="H13" s="813"/>
    </row>
    <row r="14" spans="2:11" s="347" customFormat="1" ht="148.15" customHeight="1" x14ac:dyDescent="0.5">
      <c r="B14" s="700">
        <v>1</v>
      </c>
      <c r="C14" s="787" t="s">
        <v>895</v>
      </c>
      <c r="D14" s="788"/>
      <c r="E14" s="702" t="b">
        <v>0</v>
      </c>
      <c r="F14" s="702" t="b">
        <v>0</v>
      </c>
      <c r="G14" s="702" t="b">
        <v>0</v>
      </c>
      <c r="H14" s="700"/>
    </row>
    <row r="15" spans="2:11" s="347" customFormat="1" ht="50.25" customHeight="1" x14ac:dyDescent="0.5">
      <c r="B15" s="700">
        <v>2</v>
      </c>
      <c r="C15" s="787" t="s">
        <v>896</v>
      </c>
      <c r="D15" s="788"/>
      <c r="E15" s="702" t="b">
        <v>0</v>
      </c>
      <c r="F15" s="702" t="b">
        <v>0</v>
      </c>
      <c r="G15" s="702" t="b">
        <v>0</v>
      </c>
      <c r="H15" s="700"/>
      <c r="K15" s="565"/>
    </row>
    <row r="16" spans="2:11" s="347" customFormat="1" ht="50.25" customHeight="1" x14ac:dyDescent="0.5">
      <c r="B16" s="700">
        <v>3</v>
      </c>
      <c r="C16" s="787" t="s">
        <v>897</v>
      </c>
      <c r="D16" s="788"/>
      <c r="E16" s="702" t="b">
        <v>0</v>
      </c>
      <c r="F16" s="702" t="b">
        <v>0</v>
      </c>
      <c r="G16" s="702" t="b">
        <v>0</v>
      </c>
      <c r="H16" s="700"/>
      <c r="K16" s="565"/>
    </row>
    <row r="17" spans="2:11" s="347" customFormat="1" ht="50.65" customHeight="1" x14ac:dyDescent="0.5">
      <c r="B17" s="700">
        <v>4</v>
      </c>
      <c r="C17" s="787" t="s">
        <v>898</v>
      </c>
      <c r="D17" s="788"/>
      <c r="E17" s="702" t="b">
        <v>0</v>
      </c>
      <c r="F17" s="702" t="b">
        <v>0</v>
      </c>
      <c r="G17" s="702" t="b">
        <v>0</v>
      </c>
      <c r="H17" s="700"/>
      <c r="K17" s="565"/>
    </row>
    <row r="18" spans="2:11" s="347" customFormat="1" ht="18" customHeight="1" x14ac:dyDescent="0.5">
      <c r="B18" s="700">
        <v>5</v>
      </c>
      <c r="C18" s="807" t="s">
        <v>874</v>
      </c>
      <c r="D18" s="808"/>
      <c r="E18" s="702" t="b">
        <v>0</v>
      </c>
      <c r="F18" s="702" t="b">
        <v>0</v>
      </c>
      <c r="G18" s="702" t="b">
        <v>0</v>
      </c>
      <c r="H18" s="700"/>
    </row>
    <row r="19" spans="2:11" s="347" customFormat="1" ht="18" customHeight="1" x14ac:dyDescent="0.5">
      <c r="B19" s="700">
        <v>6</v>
      </c>
      <c r="C19" s="752" t="s">
        <v>763</v>
      </c>
      <c r="D19" s="754"/>
      <c r="E19" s="702" t="b">
        <v>0</v>
      </c>
      <c r="F19" s="702" t="b">
        <v>0</v>
      </c>
      <c r="G19" s="702" t="b">
        <v>0</v>
      </c>
      <c r="H19" s="700"/>
    </row>
    <row r="20" spans="2:11" s="347" customFormat="1" ht="64.900000000000006" customHeight="1" x14ac:dyDescent="0.5">
      <c r="B20" s="700">
        <v>7</v>
      </c>
      <c r="C20" s="787" t="s">
        <v>899</v>
      </c>
      <c r="D20" s="788"/>
      <c r="E20" s="702" t="b">
        <v>0</v>
      </c>
      <c r="F20" s="702" t="b">
        <v>0</v>
      </c>
      <c r="G20" s="702" t="b">
        <v>0</v>
      </c>
      <c r="H20" s="700"/>
    </row>
    <row r="21" spans="2:11" s="347" customFormat="1" ht="112.9" customHeight="1" x14ac:dyDescent="0.5">
      <c r="B21" s="700">
        <v>8</v>
      </c>
      <c r="C21" s="787" t="s">
        <v>875</v>
      </c>
      <c r="D21" s="788"/>
      <c r="E21" s="702" t="b">
        <v>0</v>
      </c>
      <c r="F21" s="702" t="b">
        <v>0</v>
      </c>
      <c r="G21" s="702" t="b">
        <v>0</v>
      </c>
      <c r="H21" s="700"/>
    </row>
    <row r="22" spans="2:11" s="347" customFormat="1" ht="16.899999999999999" x14ac:dyDescent="0.5">
      <c r="B22" s="700">
        <v>9</v>
      </c>
      <c r="C22" s="787" t="s">
        <v>876</v>
      </c>
      <c r="D22" s="788"/>
      <c r="E22" s="702" t="b">
        <v>0</v>
      </c>
      <c r="F22" s="702" t="b">
        <v>0</v>
      </c>
      <c r="G22" s="702" t="b">
        <v>0</v>
      </c>
      <c r="H22" s="700"/>
    </row>
    <row r="23" spans="2:11" s="347" customFormat="1" ht="110.25" customHeight="1" x14ac:dyDescent="0.5">
      <c r="B23" s="700">
        <v>10</v>
      </c>
      <c r="C23" s="787" t="s">
        <v>877</v>
      </c>
      <c r="D23" s="788"/>
      <c r="E23" s="702" t="b">
        <v>0</v>
      </c>
      <c r="F23" s="702" t="b">
        <v>0</v>
      </c>
      <c r="G23" s="702" t="b">
        <v>0</v>
      </c>
      <c r="H23" s="700"/>
    </row>
    <row r="24" spans="2:11" s="347" customFormat="1" ht="50.25" customHeight="1" x14ac:dyDescent="0.5">
      <c r="B24" s="700">
        <v>11</v>
      </c>
      <c r="C24" s="787" t="s">
        <v>878</v>
      </c>
      <c r="D24" s="788"/>
      <c r="E24" s="702" t="b">
        <v>0</v>
      </c>
      <c r="F24" s="702" t="b">
        <v>0</v>
      </c>
      <c r="G24" s="702" t="b">
        <v>0</v>
      </c>
      <c r="H24" s="700"/>
    </row>
    <row r="25" spans="2:11" s="347" customFormat="1" ht="50.25" customHeight="1" x14ac:dyDescent="0.5">
      <c r="B25" s="700">
        <v>12</v>
      </c>
      <c r="C25" s="787" t="s">
        <v>879</v>
      </c>
      <c r="D25" s="788"/>
      <c r="E25" s="702" t="b">
        <v>0</v>
      </c>
      <c r="F25" s="702" t="b">
        <v>0</v>
      </c>
      <c r="G25" s="702" t="b">
        <v>0</v>
      </c>
      <c r="H25" s="700"/>
    </row>
    <row r="26" spans="2:11" s="347" customFormat="1" ht="18" customHeight="1" x14ac:dyDescent="0.5">
      <c r="B26" s="700"/>
      <c r="C26" s="700"/>
      <c r="D26" s="700"/>
      <c r="E26" s="700"/>
      <c r="F26" s="704"/>
      <c r="G26" s="700"/>
      <c r="H26" s="700"/>
    </row>
    <row r="27" spans="2:11" s="347" customFormat="1" ht="18" customHeight="1" x14ac:dyDescent="0.5">
      <c r="B27" s="699" t="s">
        <v>64</v>
      </c>
      <c r="C27" s="811" t="s">
        <v>764</v>
      </c>
      <c r="D27" s="812"/>
      <c r="E27" s="812"/>
      <c r="F27" s="812"/>
      <c r="G27" s="812"/>
      <c r="H27" s="813"/>
    </row>
    <row r="28" spans="2:11" s="347" customFormat="1" ht="18" customHeight="1" x14ac:dyDescent="0.5">
      <c r="B28" s="700">
        <v>1</v>
      </c>
      <c r="C28" s="752" t="s">
        <v>880</v>
      </c>
      <c r="D28" s="754"/>
      <c r="E28" s="702" t="b">
        <v>0</v>
      </c>
      <c r="F28" s="702" t="b">
        <v>0</v>
      </c>
      <c r="G28" s="702" t="b">
        <v>0</v>
      </c>
      <c r="H28" s="700"/>
      <c r="K28" s="565"/>
    </row>
    <row r="29" spans="2:11" s="347" customFormat="1" ht="18" customHeight="1" x14ac:dyDescent="0.5">
      <c r="B29" s="700">
        <v>2</v>
      </c>
      <c r="C29" s="752" t="s">
        <v>765</v>
      </c>
      <c r="D29" s="754"/>
      <c r="E29" s="702" t="b">
        <v>0</v>
      </c>
      <c r="F29" s="702" t="b">
        <v>0</v>
      </c>
      <c r="G29" s="702" t="b">
        <v>0</v>
      </c>
      <c r="H29" s="700"/>
      <c r="K29" s="565"/>
    </row>
    <row r="30" spans="2:11" s="347" customFormat="1" ht="18" customHeight="1" x14ac:dyDescent="0.5">
      <c r="B30" s="705" t="s">
        <v>766</v>
      </c>
      <c r="C30" s="752"/>
      <c r="D30" s="754"/>
      <c r="E30" s="704"/>
      <c r="F30" s="704"/>
      <c r="G30" s="700"/>
      <c r="H30" s="700"/>
      <c r="K30" s="565"/>
    </row>
    <row r="31" spans="2:11" s="347" customFormat="1" ht="18" customHeight="1" x14ac:dyDescent="0.5">
      <c r="B31" s="705" t="s">
        <v>767</v>
      </c>
      <c r="C31" s="752"/>
      <c r="D31" s="754"/>
      <c r="E31" s="704"/>
      <c r="F31" s="704"/>
      <c r="G31" s="700"/>
      <c r="H31" s="700"/>
      <c r="K31" s="565"/>
    </row>
    <row r="32" spans="2:11" s="347" customFormat="1" ht="18" customHeight="1" x14ac:dyDescent="0.5">
      <c r="B32" s="700"/>
      <c r="C32" s="700"/>
      <c r="D32" s="700"/>
      <c r="E32" s="700"/>
      <c r="F32" s="700"/>
      <c r="G32" s="700"/>
      <c r="H32" s="700"/>
    </row>
    <row r="33" spans="2:8" s="347" customFormat="1" ht="18" customHeight="1" x14ac:dyDescent="0.5">
      <c r="B33" s="699" t="s">
        <v>65</v>
      </c>
      <c r="C33" s="811" t="s">
        <v>768</v>
      </c>
      <c r="D33" s="812"/>
      <c r="E33" s="812"/>
      <c r="F33" s="812"/>
      <c r="G33" s="812"/>
      <c r="H33" s="813"/>
    </row>
    <row r="34" spans="2:8" s="347" customFormat="1" ht="47.65" customHeight="1" x14ac:dyDescent="0.5">
      <c r="B34" s="700">
        <v>1</v>
      </c>
      <c r="C34" s="787" t="s">
        <v>900</v>
      </c>
      <c r="D34" s="808"/>
      <c r="E34" s="704"/>
      <c r="F34" s="700"/>
      <c r="G34" s="700"/>
      <c r="H34" s="700"/>
    </row>
    <row r="35" spans="2:8" s="347" customFormat="1" ht="18" customHeight="1" x14ac:dyDescent="0.5">
      <c r="B35" s="700">
        <v>1.1000000000000001</v>
      </c>
      <c r="C35" s="809" t="s">
        <v>784</v>
      </c>
      <c r="D35" s="810"/>
      <c r="E35" s="704"/>
      <c r="F35" s="700"/>
      <c r="G35" s="700"/>
      <c r="H35" s="700"/>
    </row>
    <row r="36" spans="2:8" s="347" customFormat="1" ht="18" customHeight="1" x14ac:dyDescent="0.5">
      <c r="B36" s="705" t="s">
        <v>785</v>
      </c>
      <c r="C36" s="803" t="s">
        <v>786</v>
      </c>
      <c r="D36" s="804"/>
      <c r="E36" s="702" t="b">
        <v>0</v>
      </c>
      <c r="F36" s="702" t="b">
        <v>0</v>
      </c>
      <c r="G36" s="702" t="b">
        <v>0</v>
      </c>
      <c r="H36" s="700"/>
    </row>
    <row r="37" spans="2:8" s="347" customFormat="1" ht="36.4" customHeight="1" x14ac:dyDescent="0.5">
      <c r="B37" s="705" t="s">
        <v>787</v>
      </c>
      <c r="C37" s="803" t="s">
        <v>788</v>
      </c>
      <c r="D37" s="804"/>
      <c r="E37" s="702" t="b">
        <v>0</v>
      </c>
      <c r="F37" s="702" t="b">
        <v>0</v>
      </c>
      <c r="G37" s="702" t="b">
        <v>0</v>
      </c>
      <c r="H37" s="700"/>
    </row>
    <row r="38" spans="2:8" s="347" customFormat="1" ht="18" customHeight="1" x14ac:dyDescent="0.5">
      <c r="B38" s="705" t="s">
        <v>789</v>
      </c>
      <c r="C38" s="803" t="s">
        <v>881</v>
      </c>
      <c r="D38" s="804"/>
      <c r="E38" s="702" t="b">
        <v>0</v>
      </c>
      <c r="F38" s="702" t="b">
        <v>0</v>
      </c>
      <c r="G38" s="702" t="b">
        <v>0</v>
      </c>
      <c r="H38" s="700"/>
    </row>
    <row r="39" spans="2:8" s="347" customFormat="1" ht="18" customHeight="1" x14ac:dyDescent="0.5">
      <c r="B39" s="705"/>
      <c r="C39" s="706"/>
      <c r="D39" s="706"/>
      <c r="E39" s="704"/>
      <c r="F39" s="700"/>
      <c r="G39" s="700"/>
      <c r="H39" s="700"/>
    </row>
    <row r="40" spans="2:8" s="347" customFormat="1" ht="18" customHeight="1" x14ac:dyDescent="0.5">
      <c r="B40" s="700">
        <v>1.2</v>
      </c>
      <c r="C40" s="805" t="s">
        <v>790</v>
      </c>
      <c r="D40" s="806"/>
      <c r="E40" s="704"/>
      <c r="F40" s="700"/>
      <c r="G40" s="700"/>
      <c r="H40" s="700"/>
    </row>
    <row r="41" spans="2:8" s="347" customFormat="1" ht="56.25" customHeight="1" x14ac:dyDescent="0.5">
      <c r="B41" s="705" t="s">
        <v>791</v>
      </c>
      <c r="C41" s="793" t="s">
        <v>882</v>
      </c>
      <c r="D41" s="794"/>
      <c r="E41" s="709" t="b">
        <v>0</v>
      </c>
      <c r="F41" s="709" t="b">
        <v>0</v>
      </c>
      <c r="G41" s="709" t="b">
        <v>0</v>
      </c>
      <c r="H41" s="710"/>
    </row>
    <row r="42" spans="2:8" s="347" customFormat="1" ht="33" customHeight="1" x14ac:dyDescent="0.5">
      <c r="B42" s="705" t="s">
        <v>792</v>
      </c>
      <c r="C42" s="793" t="s">
        <v>901</v>
      </c>
      <c r="D42" s="794"/>
      <c r="E42" s="709" t="b">
        <v>0</v>
      </c>
      <c r="F42" s="709" t="b">
        <v>0</v>
      </c>
      <c r="G42" s="709" t="b">
        <v>0</v>
      </c>
      <c r="H42" s="710"/>
    </row>
    <row r="43" spans="2:8" s="347" customFormat="1" ht="33" customHeight="1" x14ac:dyDescent="0.5">
      <c r="B43" s="705" t="s">
        <v>793</v>
      </c>
      <c r="C43" s="793" t="s">
        <v>902</v>
      </c>
      <c r="D43" s="794"/>
      <c r="E43" s="709" t="b">
        <v>0</v>
      </c>
      <c r="F43" s="709" t="b">
        <v>0</v>
      </c>
      <c r="G43" s="709" t="b">
        <v>0</v>
      </c>
      <c r="H43" s="710"/>
    </row>
    <row r="44" spans="2:8" s="347" customFormat="1" ht="33" customHeight="1" x14ac:dyDescent="0.5">
      <c r="B44" s="705" t="s">
        <v>883</v>
      </c>
      <c r="C44" s="787" t="s">
        <v>903</v>
      </c>
      <c r="D44" s="788"/>
      <c r="E44" s="709" t="b">
        <v>0</v>
      </c>
      <c r="F44" s="709" t="b">
        <v>0</v>
      </c>
      <c r="G44" s="709" t="b">
        <v>0</v>
      </c>
      <c r="H44" s="710"/>
    </row>
    <row r="45" spans="2:8" s="347" customFormat="1" ht="18" customHeight="1" x14ac:dyDescent="0.5">
      <c r="B45" s="705" t="s">
        <v>884</v>
      </c>
      <c r="C45" s="807" t="s">
        <v>769</v>
      </c>
      <c r="D45" s="808"/>
      <c r="E45" s="709" t="b">
        <v>0</v>
      </c>
      <c r="F45" s="709" t="b">
        <v>0</v>
      </c>
      <c r="G45" s="709" t="b">
        <v>0</v>
      </c>
      <c r="H45" s="710"/>
    </row>
    <row r="46" spans="2:8" s="347" customFormat="1" ht="50.25" customHeight="1" x14ac:dyDescent="0.5">
      <c r="B46" s="705" t="s">
        <v>885</v>
      </c>
      <c r="C46" s="787" t="s">
        <v>886</v>
      </c>
      <c r="D46" s="788"/>
      <c r="E46" s="709" t="b">
        <v>0</v>
      </c>
      <c r="F46" s="709" t="b">
        <v>0</v>
      </c>
      <c r="G46" s="709" t="b">
        <v>0</v>
      </c>
      <c r="H46" s="710"/>
    </row>
    <row r="47" spans="2:8" s="347" customFormat="1" ht="18" customHeight="1" x14ac:dyDescent="0.5">
      <c r="B47" s="700"/>
      <c r="C47" s="710"/>
      <c r="D47" s="710"/>
      <c r="E47" s="710"/>
      <c r="F47" s="710"/>
      <c r="G47" s="710"/>
      <c r="H47" s="710"/>
    </row>
    <row r="48" spans="2:8" s="347" customFormat="1" ht="18" customHeight="1" x14ac:dyDescent="0.5">
      <c r="B48" s="699" t="s">
        <v>66</v>
      </c>
      <c r="C48" s="790" t="s">
        <v>770</v>
      </c>
      <c r="D48" s="791"/>
      <c r="E48" s="791"/>
      <c r="F48" s="791"/>
      <c r="G48" s="791"/>
      <c r="H48" s="792"/>
    </row>
    <row r="49" spans="2:11" s="347" customFormat="1" ht="16.899999999999999" x14ac:dyDescent="0.5">
      <c r="B49" s="700">
        <v>1</v>
      </c>
      <c r="C49" s="801" t="s">
        <v>887</v>
      </c>
      <c r="D49" s="802"/>
      <c r="E49" s="709" t="b">
        <v>0</v>
      </c>
      <c r="F49" s="709" t="b">
        <v>0</v>
      </c>
      <c r="G49" s="709" t="b">
        <v>0</v>
      </c>
      <c r="H49" s="710"/>
    </row>
    <row r="50" spans="2:11" s="347" customFormat="1" ht="88.15" customHeight="1" x14ac:dyDescent="0.5">
      <c r="B50" s="700">
        <v>2</v>
      </c>
      <c r="C50" s="793" t="s">
        <v>888</v>
      </c>
      <c r="D50" s="794"/>
      <c r="E50" s="709" t="b">
        <v>0</v>
      </c>
      <c r="F50" s="709" t="b">
        <v>0</v>
      </c>
      <c r="G50" s="709" t="b">
        <v>0</v>
      </c>
      <c r="H50" s="710"/>
    </row>
    <row r="51" spans="2:11" s="347" customFormat="1" ht="18" customHeight="1" x14ac:dyDescent="0.5">
      <c r="B51" s="700"/>
      <c r="C51" s="710"/>
      <c r="D51" s="710"/>
      <c r="E51" s="515"/>
      <c r="F51" s="515"/>
      <c r="G51" s="710"/>
      <c r="H51" s="710"/>
    </row>
    <row r="52" spans="2:11" s="347" customFormat="1" ht="16.899999999999999" x14ac:dyDescent="0.5">
      <c r="B52" s="699" t="s">
        <v>67</v>
      </c>
      <c r="C52" s="795" t="s">
        <v>772</v>
      </c>
      <c r="D52" s="796"/>
      <c r="E52" s="796"/>
      <c r="F52" s="796"/>
      <c r="G52" s="796"/>
      <c r="H52" s="797"/>
      <c r="K52" s="565"/>
    </row>
    <row r="53" spans="2:11" s="347" customFormat="1" ht="16.899999999999999" x14ac:dyDescent="0.5">
      <c r="B53" s="700">
        <v>1</v>
      </c>
      <c r="C53" s="798" t="s">
        <v>773</v>
      </c>
      <c r="D53" s="799"/>
      <c r="E53" s="709" t="b">
        <v>0</v>
      </c>
      <c r="F53" s="709" t="b">
        <v>0</v>
      </c>
      <c r="G53" s="709" t="b">
        <v>0</v>
      </c>
      <c r="H53" s="710"/>
    </row>
    <row r="54" spans="2:11" s="347" customFormat="1" ht="16.899999999999999" x14ac:dyDescent="0.5">
      <c r="B54" s="700">
        <v>2</v>
      </c>
      <c r="C54" s="798" t="s">
        <v>889</v>
      </c>
      <c r="D54" s="800"/>
      <c r="E54" s="709" t="b">
        <v>0</v>
      </c>
      <c r="F54" s="709" t="b">
        <v>0</v>
      </c>
      <c r="G54" s="709" t="b">
        <v>0</v>
      </c>
      <c r="H54" s="710"/>
    </row>
    <row r="55" spans="2:11" s="347" customFormat="1" ht="38.25" customHeight="1" x14ac:dyDescent="0.5">
      <c r="B55" s="700">
        <v>3</v>
      </c>
      <c r="C55" s="787" t="s">
        <v>890</v>
      </c>
      <c r="D55" s="788"/>
      <c r="E55" s="709" t="b">
        <v>0</v>
      </c>
      <c r="F55" s="709" t="b">
        <v>0</v>
      </c>
      <c r="G55" s="709" t="b">
        <v>0</v>
      </c>
      <c r="H55" s="710"/>
    </row>
    <row r="56" spans="2:11" s="347" customFormat="1" ht="38.25" customHeight="1" x14ac:dyDescent="0.5">
      <c r="B56" s="700">
        <v>4</v>
      </c>
      <c r="C56" s="787" t="s">
        <v>891</v>
      </c>
      <c r="D56" s="788"/>
      <c r="E56" s="709" t="b">
        <v>0</v>
      </c>
      <c r="F56" s="709" t="b">
        <v>0</v>
      </c>
      <c r="G56" s="709" t="b">
        <v>0</v>
      </c>
      <c r="H56" s="710"/>
      <c r="K56" s="565"/>
    </row>
    <row r="57" spans="2:11" s="347" customFormat="1" ht="18" customHeight="1" x14ac:dyDescent="0.5">
      <c r="B57" s="700"/>
      <c r="C57" s="710"/>
      <c r="D57" s="710"/>
      <c r="E57" s="710"/>
      <c r="F57" s="710"/>
      <c r="G57" s="710"/>
      <c r="H57" s="710"/>
    </row>
    <row r="58" spans="2:11" s="347" customFormat="1" ht="18" customHeight="1" x14ac:dyDescent="0.5">
      <c r="B58" s="699" t="s">
        <v>771</v>
      </c>
      <c r="C58" s="790" t="s">
        <v>775</v>
      </c>
      <c r="D58" s="791"/>
      <c r="E58" s="791"/>
      <c r="F58" s="791"/>
      <c r="G58" s="791"/>
      <c r="H58" s="792"/>
    </row>
    <row r="59" spans="2:11" s="347" customFormat="1" ht="33" customHeight="1" x14ac:dyDescent="0.5">
      <c r="B59" s="700">
        <v>1</v>
      </c>
      <c r="C59" s="787" t="s">
        <v>776</v>
      </c>
      <c r="D59" s="788"/>
      <c r="E59" s="709" t="b">
        <v>0</v>
      </c>
      <c r="F59" s="709" t="b">
        <v>0</v>
      </c>
      <c r="G59" s="709" t="b">
        <v>0</v>
      </c>
      <c r="H59" s="710"/>
    </row>
    <row r="60" spans="2:11" s="347" customFormat="1" ht="16.899999999999999" x14ac:dyDescent="0.5">
      <c r="B60" s="700">
        <v>2</v>
      </c>
      <c r="C60" s="787" t="s">
        <v>777</v>
      </c>
      <c r="D60" s="788"/>
      <c r="E60" s="709" t="b">
        <v>0</v>
      </c>
      <c r="F60" s="709" t="b">
        <v>0</v>
      </c>
      <c r="G60" s="709" t="b">
        <v>0</v>
      </c>
      <c r="H60" s="710"/>
    </row>
    <row r="61" spans="2:11" s="347" customFormat="1" ht="33" customHeight="1" x14ac:dyDescent="0.5">
      <c r="B61" s="700">
        <v>3</v>
      </c>
      <c r="C61" s="787" t="s">
        <v>778</v>
      </c>
      <c r="D61" s="788"/>
      <c r="E61" s="709" t="b">
        <v>0</v>
      </c>
      <c r="F61" s="709" t="b">
        <v>0</v>
      </c>
      <c r="G61" s="709" t="b">
        <v>0</v>
      </c>
      <c r="H61" s="710"/>
    </row>
    <row r="62" spans="2:11" s="347" customFormat="1" ht="18" customHeight="1" x14ac:dyDescent="0.5">
      <c r="B62" s="700">
        <v>4</v>
      </c>
      <c r="C62" s="801" t="s">
        <v>892</v>
      </c>
      <c r="D62" s="802"/>
      <c r="E62" s="709" t="b">
        <v>0</v>
      </c>
      <c r="F62" s="709" t="b">
        <v>0</v>
      </c>
      <c r="G62" s="709" t="b">
        <v>0</v>
      </c>
      <c r="H62" s="710"/>
    </row>
    <row r="63" spans="2:11" s="347" customFormat="1" ht="18" customHeight="1" x14ac:dyDescent="0.5">
      <c r="B63" s="700"/>
      <c r="C63" s="710"/>
      <c r="D63" s="710"/>
      <c r="E63" s="710"/>
      <c r="F63" s="710"/>
      <c r="G63" s="710"/>
      <c r="H63" s="710"/>
    </row>
    <row r="64" spans="2:11" s="347" customFormat="1" ht="18" customHeight="1" x14ac:dyDescent="0.5">
      <c r="B64" s="699" t="s">
        <v>774</v>
      </c>
      <c r="C64" s="790" t="s">
        <v>779</v>
      </c>
      <c r="D64" s="791"/>
      <c r="E64" s="791"/>
      <c r="F64" s="791"/>
      <c r="G64" s="791"/>
      <c r="H64" s="792"/>
    </row>
    <row r="65" spans="2:8" s="347" customFormat="1" ht="16.899999999999999" x14ac:dyDescent="0.5">
      <c r="B65" s="700">
        <v>1</v>
      </c>
      <c r="C65" s="787" t="s">
        <v>780</v>
      </c>
      <c r="D65" s="788"/>
      <c r="E65" s="709" t="b">
        <v>0</v>
      </c>
      <c r="F65" s="709" t="b">
        <v>0</v>
      </c>
      <c r="G65" s="709" t="b">
        <v>0</v>
      </c>
      <c r="H65" s="710"/>
    </row>
    <row r="66" spans="2:8" s="347" customFormat="1" ht="16.899999999999999" x14ac:dyDescent="0.5">
      <c r="B66" s="700">
        <v>2</v>
      </c>
      <c r="C66" s="787" t="s">
        <v>781</v>
      </c>
      <c r="D66" s="788"/>
      <c r="E66" s="709" t="b">
        <v>0</v>
      </c>
      <c r="F66" s="709" t="b">
        <v>0</v>
      </c>
      <c r="G66" s="709" t="b">
        <v>0</v>
      </c>
      <c r="H66" s="710"/>
    </row>
    <row r="67" spans="2:8" s="347" customFormat="1" ht="16.899999999999999" x14ac:dyDescent="0.5">
      <c r="B67" s="700">
        <v>3</v>
      </c>
      <c r="C67" s="787" t="s">
        <v>782</v>
      </c>
      <c r="D67" s="789"/>
      <c r="E67" s="709" t="b">
        <v>0</v>
      </c>
      <c r="F67" s="709" t="b">
        <v>0</v>
      </c>
      <c r="G67" s="709" t="b">
        <v>0</v>
      </c>
      <c r="H67" s="710"/>
    </row>
    <row r="68" spans="2:8" s="347" customFormat="1" ht="18" customHeight="1" x14ac:dyDescent="0.5">
      <c r="B68" s="707"/>
      <c r="C68" s="711"/>
      <c r="D68" s="711"/>
      <c r="E68" s="515"/>
      <c r="F68" s="515"/>
      <c r="G68" s="710"/>
      <c r="H68" s="708"/>
    </row>
    <row r="69" spans="2:8" s="347" customFormat="1" ht="16.899999999999999" x14ac:dyDescent="0.5">
      <c r="B69" s="699" t="s">
        <v>146</v>
      </c>
      <c r="C69" s="790" t="s">
        <v>224</v>
      </c>
      <c r="D69" s="791"/>
      <c r="E69" s="791"/>
      <c r="F69" s="791"/>
      <c r="G69" s="791"/>
      <c r="H69" s="792"/>
    </row>
    <row r="70" spans="2:8" s="347" customFormat="1" ht="39" customHeight="1" x14ac:dyDescent="0.5">
      <c r="B70" s="701">
        <v>1</v>
      </c>
      <c r="C70" s="793" t="s">
        <v>904</v>
      </c>
      <c r="D70" s="794"/>
      <c r="E70" s="709" t="b">
        <v>0</v>
      </c>
      <c r="F70" s="709" t="b">
        <v>0</v>
      </c>
      <c r="G70" s="709" t="b">
        <v>0</v>
      </c>
      <c r="H70" s="710"/>
    </row>
  </sheetData>
  <mergeCells count="53">
    <mergeCell ref="C21:D21"/>
    <mergeCell ref="B3:H3"/>
    <mergeCell ref="C8:H8"/>
    <mergeCell ref="C11:D11"/>
    <mergeCell ref="C13:H13"/>
    <mergeCell ref="C14:D14"/>
    <mergeCell ref="C15:D15"/>
    <mergeCell ref="C16:D16"/>
    <mergeCell ref="C17:D17"/>
    <mergeCell ref="C18:D18"/>
    <mergeCell ref="C19:D19"/>
    <mergeCell ref="C20:D20"/>
    <mergeCell ref="C35:D35"/>
    <mergeCell ref="C22:D22"/>
    <mergeCell ref="C23:D23"/>
    <mergeCell ref="C24:D24"/>
    <mergeCell ref="C25:D25"/>
    <mergeCell ref="C27:H27"/>
    <mergeCell ref="C28:D28"/>
    <mergeCell ref="C29:D29"/>
    <mergeCell ref="C30:D30"/>
    <mergeCell ref="C31:D31"/>
    <mergeCell ref="C33:H33"/>
    <mergeCell ref="C34:D34"/>
    <mergeCell ref="C49:D49"/>
    <mergeCell ref="C36:D36"/>
    <mergeCell ref="C37:D37"/>
    <mergeCell ref="C38:D38"/>
    <mergeCell ref="C40:D40"/>
    <mergeCell ref="C41:D41"/>
    <mergeCell ref="C42:D42"/>
    <mergeCell ref="C43:D43"/>
    <mergeCell ref="C44:D44"/>
    <mergeCell ref="C45:D45"/>
    <mergeCell ref="C46:D46"/>
    <mergeCell ref="C48:H48"/>
    <mergeCell ref="C64:H64"/>
    <mergeCell ref="C50:D50"/>
    <mergeCell ref="C52:H52"/>
    <mergeCell ref="C53:D53"/>
    <mergeCell ref="C54:D54"/>
    <mergeCell ref="C55:D55"/>
    <mergeCell ref="C56:D56"/>
    <mergeCell ref="C58:H58"/>
    <mergeCell ref="C59:D59"/>
    <mergeCell ref="C60:D60"/>
    <mergeCell ref="C61:D61"/>
    <mergeCell ref="C62:D62"/>
    <mergeCell ref="C65:D65"/>
    <mergeCell ref="C66:D66"/>
    <mergeCell ref="C67:D67"/>
    <mergeCell ref="C69:H69"/>
    <mergeCell ref="C70:D70"/>
  </mergeCells>
  <printOptions horizontalCentered="1"/>
  <pageMargins left="0" right="0.23622047244094491" top="0" bottom="0" header="0" footer="0"/>
  <pageSetup paperSize="9" scale="5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89"/>
  <sheetViews>
    <sheetView showGridLines="0" view="pageBreakPreview" topLeftCell="A7" zoomScale="70" zoomScaleNormal="70" zoomScaleSheetLayoutView="70" workbookViewId="0">
      <selection activeCell="S10" sqref="S10"/>
    </sheetView>
  </sheetViews>
  <sheetFormatPr defaultColWidth="9" defaultRowHeight="14.25" x14ac:dyDescent="0.45"/>
  <cols>
    <col min="1" max="2" width="1.59765625" style="566" customWidth="1"/>
    <col min="3" max="3" width="11.73046875" style="588" customWidth="1"/>
    <col min="4" max="11" width="15.59765625" style="588" customWidth="1"/>
    <col min="12" max="12" width="45.59765625" style="572" customWidth="1"/>
    <col min="13" max="14" width="1.59765625" style="588" customWidth="1"/>
    <col min="15" max="15" width="3.86328125" style="588" customWidth="1"/>
    <col min="16" max="25" width="9" style="588"/>
    <col min="26" max="26" width="38.86328125" style="566" bestFit="1" customWidth="1"/>
    <col min="27" max="16384" width="9" style="566"/>
  </cols>
  <sheetData>
    <row r="2" spans="3:26" ht="23.25" x14ac:dyDescent="0.45">
      <c r="C2" s="749" t="s">
        <v>674</v>
      </c>
      <c r="D2" s="749"/>
      <c r="E2" s="749"/>
      <c r="F2" s="749"/>
      <c r="G2" s="749"/>
      <c r="H2" s="749"/>
      <c r="I2" s="749"/>
      <c r="J2" s="749"/>
      <c r="K2" s="749"/>
      <c r="L2" s="749"/>
    </row>
    <row r="3" spans="3:26" s="347" customFormat="1" ht="15.75" x14ac:dyDescent="0.5">
      <c r="C3" s="351" t="s">
        <v>675</v>
      </c>
      <c r="D3" s="352"/>
      <c r="E3" s="353" t="s">
        <v>941</v>
      </c>
      <c r="F3" s="352"/>
      <c r="G3" s="352"/>
      <c r="H3" s="352"/>
      <c r="I3" s="354"/>
      <c r="J3" s="352"/>
      <c r="K3" s="355"/>
      <c r="M3" s="352"/>
      <c r="N3" s="352"/>
      <c r="O3" s="352"/>
      <c r="P3" s="356"/>
      <c r="Q3" s="352"/>
      <c r="R3" s="352"/>
      <c r="S3" s="352"/>
      <c r="T3" s="352"/>
      <c r="U3" s="352"/>
      <c r="V3" s="352"/>
      <c r="W3" s="352"/>
      <c r="X3" s="352"/>
      <c r="Y3" s="352"/>
    </row>
    <row r="4" spans="3:26" s="347" customFormat="1" ht="15.75" x14ac:dyDescent="0.5">
      <c r="C4" s="351" t="s">
        <v>676</v>
      </c>
      <c r="D4" s="352"/>
      <c r="E4" s="357"/>
      <c r="F4" s="352"/>
      <c r="G4" s="352"/>
      <c r="H4" s="352"/>
      <c r="I4" s="354"/>
      <c r="J4" s="352"/>
      <c r="K4" s="355"/>
      <c r="M4" s="352"/>
      <c r="N4" s="352"/>
      <c r="O4" s="352"/>
      <c r="P4" s="356"/>
      <c r="Q4" s="352"/>
      <c r="R4" s="352"/>
      <c r="S4" s="352"/>
      <c r="T4" s="352"/>
      <c r="U4" s="352"/>
      <c r="V4" s="352"/>
      <c r="W4" s="352"/>
      <c r="X4" s="352"/>
      <c r="Y4" s="352"/>
    </row>
    <row r="5" spans="3:26" s="347" customFormat="1" ht="3" customHeight="1" x14ac:dyDescent="0.5">
      <c r="C5" s="351"/>
      <c r="D5" s="352"/>
      <c r="E5" s="357"/>
      <c r="F5" s="352"/>
      <c r="G5" s="352"/>
      <c r="H5" s="352"/>
      <c r="I5" s="352"/>
      <c r="J5" s="352"/>
      <c r="K5" s="352"/>
      <c r="L5" s="352"/>
      <c r="M5" s="352"/>
      <c r="N5" s="352"/>
      <c r="O5" s="352"/>
      <c r="P5" s="356"/>
      <c r="Q5" s="352"/>
      <c r="R5" s="352"/>
      <c r="S5" s="352"/>
      <c r="T5" s="352"/>
      <c r="U5" s="352"/>
      <c r="V5" s="352"/>
      <c r="W5" s="352"/>
      <c r="X5" s="352"/>
      <c r="Y5" s="352"/>
    </row>
    <row r="6" spans="3:26" s="347" customFormat="1" ht="15.75" customHeight="1" x14ac:dyDescent="0.5">
      <c r="C6" s="358"/>
      <c r="D6" s="359"/>
      <c r="E6" s="360"/>
      <c r="F6" s="361"/>
      <c r="G6" s="352"/>
      <c r="H6" s="352"/>
      <c r="I6" s="352"/>
      <c r="J6" s="352"/>
      <c r="K6" s="352"/>
      <c r="L6" s="352"/>
      <c r="M6" s="352"/>
      <c r="N6" s="352"/>
      <c r="O6" s="352"/>
      <c r="P6" s="356"/>
      <c r="Q6" s="352"/>
      <c r="R6" s="352"/>
      <c r="S6" s="352"/>
      <c r="T6" s="352"/>
      <c r="U6" s="352"/>
      <c r="V6" s="352"/>
      <c r="W6" s="352"/>
      <c r="X6" s="352"/>
      <c r="Y6" s="352"/>
    </row>
    <row r="7" spans="3:26" s="347" customFormat="1" ht="15.75" customHeight="1" x14ac:dyDescent="0.5">
      <c r="C7" s="363" t="s">
        <v>672</v>
      </c>
      <c r="D7" s="364"/>
      <c r="E7" s="365" t="s">
        <v>678</v>
      </c>
      <c r="F7" s="366"/>
      <c r="G7" s="352"/>
      <c r="H7" s="352"/>
      <c r="I7" s="352"/>
      <c r="J7" s="352"/>
      <c r="K7" s="352"/>
      <c r="L7" s="352"/>
      <c r="M7" s="352"/>
      <c r="N7" s="352"/>
      <c r="O7" s="352"/>
      <c r="P7" s="352"/>
      <c r="Q7" s="352"/>
      <c r="R7" s="352"/>
      <c r="S7" s="352"/>
      <c r="T7" s="352"/>
      <c r="U7" s="352"/>
      <c r="V7" s="352"/>
      <c r="W7" s="352"/>
      <c r="X7" s="352"/>
      <c r="Y7" s="352"/>
    </row>
    <row r="8" spans="3:26" ht="3" customHeight="1" x14ac:dyDescent="0.45">
      <c r="C8" s="368"/>
      <c r="D8" s="369"/>
      <c r="E8" s="369"/>
      <c r="F8" s="369"/>
      <c r="G8" s="369"/>
      <c r="H8" s="369"/>
      <c r="I8" s="370"/>
      <c r="J8" s="371"/>
    </row>
    <row r="9" spans="3:26" s="588" customFormat="1" ht="33.75" x14ac:dyDescent="0.45">
      <c r="C9" s="513" t="s">
        <v>59</v>
      </c>
      <c r="D9" s="750" t="s">
        <v>60</v>
      </c>
      <c r="E9" s="751"/>
      <c r="F9" s="751"/>
      <c r="G9" s="751"/>
      <c r="H9" s="837"/>
      <c r="I9" s="513" t="s">
        <v>680</v>
      </c>
      <c r="J9" s="513" t="s">
        <v>681</v>
      </c>
      <c r="K9" s="513" t="s">
        <v>682</v>
      </c>
      <c r="L9" s="513" t="s">
        <v>683</v>
      </c>
      <c r="M9" s="372"/>
      <c r="N9" s="372"/>
      <c r="O9" s="356"/>
      <c r="Z9" s="566"/>
    </row>
    <row r="10" spans="3:26" s="588" customFormat="1" ht="360.4" customHeight="1" x14ac:dyDescent="0.45">
      <c r="C10" s="677">
        <v>1</v>
      </c>
      <c r="D10" s="834" t="s">
        <v>905</v>
      </c>
      <c r="E10" s="835"/>
      <c r="F10" s="835"/>
      <c r="G10" s="835"/>
      <c r="H10" s="836"/>
      <c r="I10" s="517"/>
      <c r="J10" s="678"/>
      <c r="K10" s="678"/>
      <c r="L10" s="679"/>
      <c r="M10" s="572"/>
      <c r="N10" s="572"/>
      <c r="O10" s="356"/>
      <c r="Z10" s="566"/>
    </row>
    <row r="11" spans="3:26" s="588" customFormat="1" ht="30" customHeight="1" x14ac:dyDescent="0.45">
      <c r="C11" s="677">
        <v>2</v>
      </c>
      <c r="D11" s="787" t="s">
        <v>846</v>
      </c>
      <c r="E11" s="789"/>
      <c r="F11" s="789"/>
      <c r="G11" s="789"/>
      <c r="H11" s="788"/>
      <c r="I11" s="517"/>
      <c r="J11" s="678"/>
      <c r="K11" s="678"/>
      <c r="L11" s="681" t="s">
        <v>684</v>
      </c>
      <c r="M11" s="572"/>
      <c r="N11" s="572"/>
      <c r="O11" s="356"/>
      <c r="Z11" s="566"/>
    </row>
    <row r="12" spans="3:26" s="588" customFormat="1" ht="30" customHeight="1" x14ac:dyDescent="0.45">
      <c r="C12" s="677">
        <v>3</v>
      </c>
      <c r="D12" s="787" t="s">
        <v>847</v>
      </c>
      <c r="E12" s="789"/>
      <c r="F12" s="789"/>
      <c r="G12" s="789"/>
      <c r="H12" s="788"/>
      <c r="I12" s="517"/>
      <c r="J12" s="678"/>
      <c r="K12" s="678"/>
      <c r="L12" s="681" t="s">
        <v>684</v>
      </c>
      <c r="M12" s="572"/>
      <c r="N12" s="572"/>
      <c r="O12" s="356"/>
      <c r="Z12" s="566"/>
    </row>
    <row r="13" spans="3:26" s="588" customFormat="1" ht="30" customHeight="1" x14ac:dyDescent="0.45">
      <c r="C13" s="677">
        <v>4</v>
      </c>
      <c r="D13" s="787" t="s">
        <v>848</v>
      </c>
      <c r="E13" s="789"/>
      <c r="F13" s="789"/>
      <c r="G13" s="789"/>
      <c r="H13" s="788"/>
      <c r="I13" s="517"/>
      <c r="J13" s="678"/>
      <c r="K13" s="678"/>
      <c r="L13" s="681" t="s">
        <v>685</v>
      </c>
      <c r="M13" s="572"/>
      <c r="N13" s="572"/>
      <c r="O13" s="356"/>
      <c r="Z13" s="566"/>
    </row>
    <row r="14" spans="3:26" s="588" customFormat="1" ht="30" customHeight="1" x14ac:dyDescent="0.45">
      <c r="C14" s="677">
        <v>5</v>
      </c>
      <c r="D14" s="741" t="s">
        <v>849</v>
      </c>
      <c r="E14" s="742"/>
      <c r="F14" s="742"/>
      <c r="G14" s="742"/>
      <c r="H14" s="748"/>
      <c r="I14" s="682" t="s">
        <v>686</v>
      </c>
      <c r="J14" s="678"/>
      <c r="K14" s="678"/>
      <c r="L14" s="681"/>
      <c r="O14" s="356"/>
      <c r="Q14" s="588" t="s">
        <v>850</v>
      </c>
      <c r="R14" s="373"/>
      <c r="Z14" s="566"/>
    </row>
    <row r="15" spans="3:26" s="588" customFormat="1" ht="30" customHeight="1" x14ac:dyDescent="0.45">
      <c r="C15" s="677">
        <v>6</v>
      </c>
      <c r="D15" s="741" t="s">
        <v>851</v>
      </c>
      <c r="E15" s="742"/>
      <c r="F15" s="742"/>
      <c r="G15" s="742"/>
      <c r="H15" s="748"/>
      <c r="I15" s="682" t="s">
        <v>686</v>
      </c>
      <c r="J15" s="678"/>
      <c r="K15" s="678"/>
      <c r="L15" s="683"/>
      <c r="O15" s="356"/>
      <c r="R15" s="373"/>
      <c r="Z15" s="566"/>
    </row>
    <row r="16" spans="3:26" s="588" customFormat="1" ht="16.899999999999999" x14ac:dyDescent="0.45">
      <c r="C16" s="677">
        <v>7</v>
      </c>
      <c r="D16" s="741" t="s">
        <v>687</v>
      </c>
      <c r="E16" s="742"/>
      <c r="F16" s="742"/>
      <c r="G16" s="742"/>
      <c r="H16" s="748"/>
      <c r="I16" s="684"/>
      <c r="J16" s="678"/>
      <c r="K16" s="678"/>
      <c r="L16" s="683"/>
      <c r="O16" s="356"/>
      <c r="R16" s="373"/>
      <c r="Z16" s="566"/>
    </row>
    <row r="17" spans="2:26" s="588" customFormat="1" ht="30" customHeight="1" x14ac:dyDescent="0.45">
      <c r="C17" s="677">
        <v>8</v>
      </c>
      <c r="D17" s="741" t="s">
        <v>852</v>
      </c>
      <c r="E17" s="742"/>
      <c r="F17" s="742"/>
      <c r="G17" s="742"/>
      <c r="H17" s="748"/>
      <c r="I17" s="682" t="s">
        <v>686</v>
      </c>
      <c r="J17" s="678"/>
      <c r="K17" s="678"/>
      <c r="L17" s="681"/>
      <c r="O17" s="356"/>
      <c r="R17" s="373"/>
      <c r="Z17" s="566"/>
    </row>
    <row r="18" spans="2:26" s="588" customFormat="1" ht="30" customHeight="1" x14ac:dyDescent="0.45">
      <c r="C18" s="677">
        <v>9</v>
      </c>
      <c r="D18" s="741" t="s">
        <v>853</v>
      </c>
      <c r="E18" s="742"/>
      <c r="F18" s="742"/>
      <c r="G18" s="742"/>
      <c r="H18" s="748"/>
      <c r="I18" s="682" t="s">
        <v>686</v>
      </c>
      <c r="J18" s="678"/>
      <c r="K18" s="678"/>
      <c r="L18" s="681"/>
      <c r="O18" s="356"/>
      <c r="R18" s="373"/>
      <c r="Z18" s="566"/>
    </row>
    <row r="19" spans="2:26" s="588" customFormat="1" ht="16.899999999999999" x14ac:dyDescent="0.45">
      <c r="C19" s="677">
        <v>10</v>
      </c>
      <c r="D19" s="741" t="s">
        <v>689</v>
      </c>
      <c r="E19" s="742"/>
      <c r="F19" s="742"/>
      <c r="G19" s="742"/>
      <c r="H19" s="748"/>
      <c r="I19" s="685"/>
      <c r="J19" s="678"/>
      <c r="K19" s="678"/>
      <c r="L19" s="681"/>
      <c r="O19" s="356"/>
      <c r="Z19" s="566"/>
    </row>
    <row r="20" spans="2:26" s="588" customFormat="1" ht="16.899999999999999" x14ac:dyDescent="0.45">
      <c r="C20" s="838">
        <v>11</v>
      </c>
      <c r="D20" s="787" t="s">
        <v>854</v>
      </c>
      <c r="E20" s="789"/>
      <c r="F20" s="789"/>
      <c r="G20" s="789"/>
      <c r="H20" s="788"/>
      <c r="I20" s="685"/>
      <c r="J20" s="678"/>
      <c r="K20" s="678"/>
      <c r="L20" s="681"/>
      <c r="O20" s="356"/>
      <c r="Z20" s="566"/>
    </row>
    <row r="21" spans="2:26" s="588" customFormat="1" ht="16.899999999999999" x14ac:dyDescent="0.45">
      <c r="C21" s="839"/>
      <c r="D21" s="834"/>
      <c r="E21" s="835"/>
      <c r="F21" s="835"/>
      <c r="G21" s="835"/>
      <c r="H21" s="836"/>
      <c r="I21" s="685"/>
      <c r="J21" s="678"/>
      <c r="K21" s="678"/>
      <c r="L21" s="681"/>
      <c r="O21" s="356"/>
      <c r="Z21" s="566"/>
    </row>
    <row r="22" spans="2:26" s="588" customFormat="1" ht="16.899999999999999" x14ac:dyDescent="0.45">
      <c r="C22" s="840"/>
      <c r="D22" s="834"/>
      <c r="E22" s="835"/>
      <c r="F22" s="835"/>
      <c r="G22" s="835"/>
      <c r="H22" s="836"/>
      <c r="I22" s="685"/>
      <c r="J22" s="678"/>
      <c r="K22" s="678"/>
      <c r="L22" s="681"/>
      <c r="O22" s="356"/>
      <c r="Z22" s="566"/>
    </row>
    <row r="24" spans="2:26" ht="16.899999999999999" x14ac:dyDescent="0.45">
      <c r="C24" s="505" t="s">
        <v>690</v>
      </c>
      <c r="D24" s="505"/>
      <c r="E24" s="505"/>
      <c r="F24" s="505"/>
      <c r="G24" s="505"/>
      <c r="H24" s="505"/>
      <c r="I24" s="686"/>
      <c r="J24" s="686"/>
      <c r="K24" s="686"/>
      <c r="L24" s="687"/>
      <c r="O24" s="356"/>
    </row>
    <row r="25" spans="2:26" ht="33.75" x14ac:dyDescent="0.45">
      <c r="C25" s="513" t="s">
        <v>691</v>
      </c>
      <c r="D25" s="750" t="s">
        <v>692</v>
      </c>
      <c r="E25" s="751"/>
      <c r="F25" s="751"/>
      <c r="G25" s="751"/>
      <c r="H25" s="837"/>
      <c r="I25" s="513" t="s">
        <v>680</v>
      </c>
      <c r="J25" s="513" t="s">
        <v>681</v>
      </c>
      <c r="K25" s="513" t="s">
        <v>682</v>
      </c>
      <c r="L25" s="513" t="s">
        <v>61</v>
      </c>
      <c r="O25" s="356"/>
      <c r="Q25" s="373"/>
    </row>
    <row r="26" spans="2:26" ht="23.25" customHeight="1" x14ac:dyDescent="0.45">
      <c r="C26" s="680" t="s">
        <v>693</v>
      </c>
      <c r="D26" s="834"/>
      <c r="E26" s="835"/>
      <c r="F26" s="835"/>
      <c r="G26" s="835"/>
      <c r="H26" s="836"/>
      <c r="I26" s="688"/>
      <c r="J26" s="678"/>
      <c r="K26" s="678"/>
      <c r="L26" s="689"/>
      <c r="O26" s="356"/>
    </row>
    <row r="27" spans="2:26" s="589" customFormat="1" ht="23.25" customHeight="1" x14ac:dyDescent="0.45">
      <c r="C27" s="680" t="s">
        <v>694</v>
      </c>
      <c r="D27" s="834"/>
      <c r="E27" s="835"/>
      <c r="F27" s="835"/>
      <c r="G27" s="835"/>
      <c r="H27" s="836"/>
      <c r="I27" s="688"/>
      <c r="J27" s="678"/>
      <c r="K27" s="678"/>
      <c r="L27" s="689"/>
      <c r="M27" s="588"/>
      <c r="N27" s="588"/>
      <c r="O27" s="356"/>
      <c r="P27" s="588"/>
      <c r="Q27" s="588"/>
      <c r="R27" s="588"/>
      <c r="S27" s="588"/>
      <c r="T27" s="588"/>
      <c r="U27" s="588"/>
      <c r="V27" s="588"/>
      <c r="W27" s="588"/>
      <c r="X27" s="588"/>
      <c r="Y27" s="588"/>
    </row>
    <row r="28" spans="2:26" s="589" customFormat="1" ht="23.25" customHeight="1" x14ac:dyDescent="0.45">
      <c r="C28" s="680" t="s">
        <v>695</v>
      </c>
      <c r="D28" s="834"/>
      <c r="E28" s="835"/>
      <c r="F28" s="835"/>
      <c r="G28" s="835"/>
      <c r="H28" s="836"/>
      <c r="I28" s="688"/>
      <c r="J28" s="678"/>
      <c r="K28" s="678"/>
      <c r="L28" s="689"/>
      <c r="M28" s="588"/>
      <c r="N28" s="588"/>
      <c r="O28" s="356"/>
      <c r="P28" s="588"/>
      <c r="Q28" s="588"/>
      <c r="R28" s="588"/>
      <c r="S28" s="588"/>
      <c r="T28" s="588"/>
      <c r="U28" s="588"/>
      <c r="V28" s="588"/>
      <c r="W28" s="588"/>
      <c r="X28" s="588"/>
      <c r="Y28" s="588"/>
    </row>
    <row r="29" spans="2:26" s="589" customFormat="1" ht="23.25" customHeight="1" x14ac:dyDescent="0.45">
      <c r="C29" s="680" t="s">
        <v>696</v>
      </c>
      <c r="D29" s="834"/>
      <c r="E29" s="835"/>
      <c r="F29" s="835"/>
      <c r="G29" s="835"/>
      <c r="H29" s="836"/>
      <c r="I29" s="688"/>
      <c r="J29" s="678"/>
      <c r="K29" s="678"/>
      <c r="L29" s="689"/>
      <c r="M29" s="588"/>
      <c r="N29" s="588"/>
      <c r="O29" s="356"/>
      <c r="P29" s="588"/>
      <c r="Q29" s="588"/>
      <c r="R29" s="588"/>
      <c r="S29" s="588"/>
      <c r="T29" s="588"/>
      <c r="U29" s="588"/>
      <c r="V29" s="588"/>
      <c r="W29" s="588"/>
      <c r="X29" s="588"/>
      <c r="Y29" s="588"/>
    </row>
    <row r="30" spans="2:26" s="589" customFormat="1" ht="23.25" customHeight="1" x14ac:dyDescent="0.45">
      <c r="C30" s="680" t="s">
        <v>697</v>
      </c>
      <c r="D30" s="834"/>
      <c r="E30" s="835"/>
      <c r="F30" s="835"/>
      <c r="G30" s="835"/>
      <c r="H30" s="836"/>
      <c r="I30" s="688"/>
      <c r="J30" s="678"/>
      <c r="K30" s="678"/>
      <c r="L30" s="689"/>
      <c r="M30" s="588"/>
      <c r="N30" s="588"/>
      <c r="O30" s="356"/>
      <c r="P30" s="588"/>
      <c r="Q30" s="588"/>
      <c r="R30" s="588"/>
      <c r="S30" s="588"/>
      <c r="T30" s="588"/>
      <c r="U30" s="588"/>
      <c r="V30" s="588"/>
      <c r="W30" s="588"/>
      <c r="X30" s="588"/>
      <c r="Y30" s="588"/>
    </row>
    <row r="31" spans="2:26" ht="15.75" x14ac:dyDescent="0.45">
      <c r="O31" s="356"/>
      <c r="P31" s="374" t="s">
        <v>698</v>
      </c>
    </row>
    <row r="32" spans="2:26" s="589" customFormat="1" ht="18" x14ac:dyDescent="0.55000000000000004">
      <c r="B32" s="590"/>
      <c r="C32" s="375" t="s">
        <v>699</v>
      </c>
      <c r="D32" s="376"/>
      <c r="E32" s="376"/>
      <c r="F32" s="376"/>
      <c r="G32" s="376"/>
      <c r="H32" s="376"/>
      <c r="I32" s="377"/>
      <c r="J32" s="377"/>
      <c r="K32" s="378"/>
      <c r="L32" s="379"/>
      <c r="M32" s="591"/>
      <c r="N32" s="588"/>
      <c r="O32" s="356"/>
      <c r="P32" s="588"/>
      <c r="Q32" s="588"/>
      <c r="R32" s="588"/>
      <c r="S32" s="588"/>
      <c r="T32" s="588"/>
      <c r="U32" s="588"/>
      <c r="V32" s="588"/>
      <c r="W32" s="588"/>
      <c r="X32" s="588"/>
      <c r="Y32" s="588"/>
    </row>
    <row r="33" spans="2:25" s="348" customFormat="1" ht="15.75" x14ac:dyDescent="0.45">
      <c r="B33" s="380"/>
      <c r="C33" s="381" t="s">
        <v>700</v>
      </c>
      <c r="D33" s="382"/>
      <c r="E33" s="383" t="s">
        <v>701</v>
      </c>
      <c r="F33" s="384"/>
      <c r="G33" s="384"/>
      <c r="H33" s="384"/>
      <c r="I33" s="381" t="s">
        <v>702</v>
      </c>
      <c r="J33" s="385"/>
      <c r="K33" s="383" t="s">
        <v>701</v>
      </c>
      <c r="L33" s="386"/>
      <c r="M33" s="387"/>
      <c r="N33" s="388"/>
      <c r="O33" s="356"/>
      <c r="P33" s="388"/>
      <c r="Q33" s="388"/>
      <c r="R33" s="388"/>
      <c r="S33" s="388"/>
      <c r="T33" s="388"/>
      <c r="U33" s="388"/>
      <c r="V33" s="388"/>
      <c r="W33" s="388"/>
      <c r="X33" s="388"/>
      <c r="Y33" s="388"/>
    </row>
    <row r="34" spans="2:25" s="589" customFormat="1" ht="15" customHeight="1" x14ac:dyDescent="0.45">
      <c r="B34" s="592"/>
      <c r="C34" s="389"/>
      <c r="D34" s="390"/>
      <c r="E34" s="391"/>
      <c r="F34" s="392"/>
      <c r="G34" s="392"/>
      <c r="H34" s="392"/>
      <c r="I34" s="393"/>
      <c r="J34" s="394"/>
      <c r="K34" s="395"/>
      <c r="L34" s="396"/>
      <c r="M34" s="593"/>
      <c r="N34" s="588"/>
      <c r="O34" s="356"/>
      <c r="P34" s="588"/>
      <c r="Q34" s="588"/>
      <c r="R34" s="588"/>
      <c r="S34" s="588"/>
      <c r="T34" s="588"/>
      <c r="U34" s="588"/>
      <c r="V34" s="588"/>
      <c r="W34" s="588"/>
      <c r="X34" s="588"/>
      <c r="Y34" s="588"/>
    </row>
    <row r="35" spans="2:25" s="589" customFormat="1" ht="15" customHeight="1" x14ac:dyDescent="0.45">
      <c r="B35" s="592"/>
      <c r="C35" s="397"/>
      <c r="D35" s="390"/>
      <c r="E35" s="391"/>
      <c r="F35" s="392"/>
      <c r="G35" s="392"/>
      <c r="H35" s="392"/>
      <c r="I35" s="393"/>
      <c r="J35" s="394"/>
      <c r="K35" s="395"/>
      <c r="L35" s="396"/>
      <c r="M35" s="593"/>
      <c r="N35" s="588"/>
      <c r="O35" s="356"/>
      <c r="P35" s="588"/>
      <c r="Q35" s="588"/>
      <c r="R35" s="588"/>
      <c r="S35" s="588"/>
      <c r="T35" s="588"/>
      <c r="U35" s="588"/>
      <c r="V35" s="588"/>
      <c r="W35" s="588"/>
      <c r="X35" s="588"/>
      <c r="Y35" s="588"/>
    </row>
    <row r="36" spans="2:25" s="589" customFormat="1" ht="15" customHeight="1" x14ac:dyDescent="0.45">
      <c r="B36" s="592"/>
      <c r="C36" s="398"/>
      <c r="D36" s="390"/>
      <c r="E36" s="391"/>
      <c r="F36" s="392"/>
      <c r="G36" s="392"/>
      <c r="H36" s="392"/>
      <c r="I36" s="398"/>
      <c r="J36" s="394"/>
      <c r="K36" s="395"/>
      <c r="L36" s="396"/>
      <c r="M36" s="593"/>
      <c r="N36" s="588"/>
      <c r="O36" s="356"/>
      <c r="P36" s="588"/>
      <c r="Q36" s="588"/>
      <c r="R36" s="588"/>
      <c r="S36" s="588"/>
      <c r="T36" s="588"/>
      <c r="U36" s="588"/>
      <c r="V36" s="588"/>
      <c r="W36" s="588"/>
      <c r="X36" s="588"/>
      <c r="Y36" s="588"/>
    </row>
    <row r="37" spans="2:25" s="589" customFormat="1" ht="15.75" x14ac:dyDescent="0.45">
      <c r="B37" s="592"/>
      <c r="C37" s="399"/>
      <c r="D37" s="390"/>
      <c r="E37" s="391"/>
      <c r="F37" s="392"/>
      <c r="G37" s="392"/>
      <c r="H37" s="392"/>
      <c r="I37" s="400"/>
      <c r="J37" s="394"/>
      <c r="K37" s="395"/>
      <c r="L37" s="396"/>
      <c r="M37" s="593"/>
      <c r="N37" s="588"/>
      <c r="O37" s="356"/>
      <c r="P37" s="588"/>
      <c r="Q37" s="588"/>
      <c r="R37" s="588"/>
      <c r="S37" s="588"/>
      <c r="T37" s="588"/>
      <c r="U37" s="588"/>
      <c r="V37" s="588"/>
      <c r="W37" s="588"/>
      <c r="X37" s="588"/>
      <c r="Y37" s="588"/>
    </row>
    <row r="38" spans="2:25" s="589" customFormat="1" ht="15.75" x14ac:dyDescent="0.45">
      <c r="B38" s="592"/>
      <c r="C38" s="401"/>
      <c r="D38" s="402"/>
      <c r="E38" s="403"/>
      <c r="F38" s="404"/>
      <c r="G38" s="404"/>
      <c r="H38" s="404"/>
      <c r="I38" s="405"/>
      <c r="J38" s="406"/>
      <c r="K38" s="407"/>
      <c r="L38" s="408"/>
      <c r="M38" s="593"/>
      <c r="N38" s="588"/>
      <c r="O38" s="356"/>
      <c r="P38" s="588"/>
      <c r="Q38" s="588"/>
      <c r="R38" s="588"/>
      <c r="S38" s="588"/>
      <c r="T38" s="588"/>
      <c r="U38" s="588"/>
      <c r="V38" s="588"/>
      <c r="W38" s="588"/>
      <c r="X38" s="588"/>
      <c r="Y38" s="588"/>
    </row>
    <row r="39" spans="2:25" x14ac:dyDescent="0.45">
      <c r="B39" s="594"/>
      <c r="C39" s="409"/>
      <c r="D39" s="409"/>
      <c r="E39" s="409"/>
      <c r="F39" s="409"/>
      <c r="G39" s="409"/>
      <c r="H39" s="409"/>
      <c r="I39" s="409"/>
      <c r="J39" s="409"/>
      <c r="K39" s="409"/>
      <c r="L39" s="410"/>
      <c r="M39" s="593"/>
    </row>
    <row r="40" spans="2:25" ht="15.75" x14ac:dyDescent="0.45">
      <c r="B40" s="594"/>
      <c r="C40" s="409"/>
      <c r="D40" s="409"/>
      <c r="E40" s="409"/>
      <c r="F40" s="409"/>
      <c r="G40" s="409"/>
      <c r="H40" s="409"/>
      <c r="I40" s="409"/>
      <c r="J40" s="409"/>
      <c r="K40" s="409"/>
      <c r="L40" s="410"/>
      <c r="M40" s="593"/>
      <c r="O40" s="356"/>
    </row>
    <row r="41" spans="2:25" ht="15.75" x14ac:dyDescent="0.45">
      <c r="B41" s="594"/>
      <c r="C41" s="409"/>
      <c r="D41" s="409"/>
      <c r="E41" s="409"/>
      <c r="F41" s="409"/>
      <c r="G41" s="409"/>
      <c r="H41" s="409"/>
      <c r="I41" s="409"/>
      <c r="J41" s="409"/>
      <c r="K41" s="409"/>
      <c r="L41" s="410"/>
      <c r="M41" s="593"/>
      <c r="O41" s="356"/>
    </row>
    <row r="42" spans="2:25" ht="15.75" x14ac:dyDescent="0.45">
      <c r="B42" s="594"/>
      <c r="C42" s="409"/>
      <c r="D42" s="409"/>
      <c r="E42" s="409"/>
      <c r="F42" s="409"/>
      <c r="G42" s="409"/>
      <c r="H42" s="409"/>
      <c r="I42" s="409"/>
      <c r="J42" s="409"/>
      <c r="K42" s="409"/>
      <c r="L42" s="410"/>
      <c r="M42" s="593"/>
      <c r="O42" s="356"/>
    </row>
    <row r="43" spans="2:25" x14ac:dyDescent="0.45">
      <c r="B43" s="594"/>
      <c r="C43" s="409"/>
      <c r="D43" s="409"/>
      <c r="E43" s="409"/>
      <c r="F43" s="409"/>
      <c r="G43" s="409"/>
      <c r="H43" s="409"/>
      <c r="I43" s="409"/>
      <c r="J43" s="409"/>
      <c r="K43" s="409"/>
      <c r="L43" s="410"/>
      <c r="M43" s="593"/>
    </row>
    <row r="44" spans="2:25" x14ac:dyDescent="0.45">
      <c r="B44" s="594"/>
      <c r="C44" s="409"/>
      <c r="D44" s="409"/>
      <c r="E44" s="409"/>
      <c r="F44" s="409"/>
      <c r="G44" s="409"/>
      <c r="H44" s="409"/>
      <c r="I44" s="409"/>
      <c r="J44" s="409"/>
      <c r="K44" s="409"/>
      <c r="L44" s="410"/>
      <c r="M44" s="593"/>
    </row>
    <row r="45" spans="2:25" x14ac:dyDescent="0.45">
      <c r="B45" s="595"/>
      <c r="C45" s="411"/>
      <c r="D45" s="411"/>
      <c r="E45" s="411"/>
      <c r="F45" s="411"/>
      <c r="G45" s="411"/>
      <c r="H45" s="411"/>
      <c r="I45" s="411"/>
      <c r="J45" s="411"/>
      <c r="K45" s="411"/>
      <c r="L45" s="412"/>
      <c r="M45" s="596"/>
    </row>
    <row r="46" spans="2:25" s="349" customFormat="1" ht="4.1500000000000004" x14ac:dyDescent="0.15">
      <c r="C46" s="413"/>
      <c r="D46" s="413"/>
      <c r="E46" s="413"/>
      <c r="F46" s="413"/>
      <c r="G46" s="413"/>
      <c r="H46" s="413"/>
      <c r="I46" s="413"/>
      <c r="J46" s="413"/>
      <c r="K46" s="413"/>
      <c r="L46" s="414"/>
      <c r="M46" s="415"/>
      <c r="N46" s="415"/>
      <c r="O46" s="415"/>
      <c r="P46" s="415"/>
      <c r="Q46" s="415"/>
      <c r="R46" s="415"/>
      <c r="S46" s="415"/>
      <c r="T46" s="415"/>
      <c r="U46" s="415"/>
      <c r="V46" s="415"/>
      <c r="W46" s="415"/>
      <c r="X46" s="415"/>
      <c r="Y46" s="415"/>
    </row>
    <row r="47" spans="2:25" s="589" customFormat="1" ht="15.75" x14ac:dyDescent="0.5">
      <c r="B47" s="590"/>
      <c r="C47" s="416" t="s">
        <v>703</v>
      </c>
      <c r="D47" s="417"/>
      <c r="E47" s="417"/>
      <c r="F47" s="417"/>
      <c r="G47" s="417"/>
      <c r="H47" s="417"/>
      <c r="I47" s="378"/>
      <c r="J47" s="377"/>
      <c r="K47" s="378"/>
      <c r="L47" s="379"/>
      <c r="M47" s="591"/>
      <c r="N47" s="588"/>
      <c r="O47" s="356"/>
      <c r="P47" s="588"/>
      <c r="Q47" s="588"/>
      <c r="R47" s="588"/>
      <c r="S47" s="588"/>
      <c r="T47" s="588"/>
      <c r="U47" s="588"/>
      <c r="V47" s="588"/>
      <c r="W47" s="588"/>
      <c r="X47" s="588"/>
      <c r="Y47" s="588"/>
    </row>
    <row r="48" spans="2:25" s="348" customFormat="1" ht="15.75" x14ac:dyDescent="0.45">
      <c r="B48" s="380"/>
      <c r="C48" s="381" t="s">
        <v>704</v>
      </c>
      <c r="D48" s="382"/>
      <c r="E48" s="383" t="s">
        <v>701</v>
      </c>
      <c r="F48" s="384"/>
      <c r="G48" s="384"/>
      <c r="H48" s="384"/>
      <c r="I48" s="381" t="s">
        <v>705</v>
      </c>
      <c r="J48" s="385"/>
      <c r="K48" s="383" t="s">
        <v>701</v>
      </c>
      <c r="L48" s="386"/>
      <c r="M48" s="387"/>
      <c r="N48" s="388"/>
      <c r="O48" s="356"/>
      <c r="P48" s="388"/>
      <c r="Q48" s="388"/>
      <c r="R48" s="388"/>
      <c r="S48" s="388"/>
      <c r="T48" s="388"/>
      <c r="U48" s="388"/>
      <c r="V48" s="388"/>
      <c r="W48" s="388"/>
      <c r="X48" s="388"/>
      <c r="Y48" s="388"/>
    </row>
    <row r="49" spans="2:25" s="589" customFormat="1" ht="15" customHeight="1" x14ac:dyDescent="0.45">
      <c r="B49" s="592"/>
      <c r="C49" s="389"/>
      <c r="D49" s="390"/>
      <c r="E49" s="391"/>
      <c r="F49" s="392"/>
      <c r="G49" s="392"/>
      <c r="H49" s="392"/>
      <c r="I49" s="393"/>
      <c r="J49" s="394"/>
      <c r="K49" s="395"/>
      <c r="L49" s="396"/>
      <c r="M49" s="593"/>
      <c r="N49" s="588"/>
      <c r="O49" s="356"/>
      <c r="P49" s="588"/>
      <c r="Q49" s="588"/>
      <c r="R49" s="588"/>
      <c r="S49" s="588"/>
      <c r="T49" s="588"/>
      <c r="U49" s="588"/>
      <c r="V49" s="588"/>
      <c r="W49" s="588"/>
      <c r="X49" s="588"/>
      <c r="Y49" s="588"/>
    </row>
    <row r="50" spans="2:25" s="589" customFormat="1" ht="15" customHeight="1" x14ac:dyDescent="0.45">
      <c r="B50" s="592"/>
      <c r="C50" s="397"/>
      <c r="D50" s="390"/>
      <c r="E50" s="391"/>
      <c r="F50" s="392"/>
      <c r="G50" s="392"/>
      <c r="H50" s="392"/>
      <c r="I50" s="393"/>
      <c r="J50" s="394"/>
      <c r="K50" s="395"/>
      <c r="L50" s="396"/>
      <c r="M50" s="593"/>
      <c r="N50" s="588"/>
      <c r="O50" s="356"/>
      <c r="P50" s="588"/>
      <c r="Q50" s="588"/>
      <c r="R50" s="588"/>
      <c r="S50" s="588"/>
      <c r="T50" s="588"/>
      <c r="U50" s="588"/>
      <c r="V50" s="588"/>
      <c r="W50" s="588"/>
      <c r="X50" s="588"/>
      <c r="Y50" s="588"/>
    </row>
    <row r="51" spans="2:25" s="589" customFormat="1" ht="15" customHeight="1" x14ac:dyDescent="0.45">
      <c r="B51" s="592"/>
      <c r="C51" s="398"/>
      <c r="D51" s="390"/>
      <c r="E51" s="391"/>
      <c r="F51" s="392"/>
      <c r="G51" s="392"/>
      <c r="H51" s="392"/>
      <c r="I51" s="398"/>
      <c r="J51" s="394"/>
      <c r="K51" s="395"/>
      <c r="L51" s="396"/>
      <c r="M51" s="593"/>
      <c r="N51" s="588"/>
      <c r="O51" s="356"/>
      <c r="P51" s="588"/>
      <c r="Q51" s="588"/>
      <c r="R51" s="588"/>
      <c r="S51" s="588"/>
      <c r="T51" s="588"/>
      <c r="U51" s="588"/>
      <c r="V51" s="588"/>
      <c r="W51" s="588"/>
      <c r="X51" s="588"/>
      <c r="Y51" s="588"/>
    </row>
    <row r="52" spans="2:25" s="589" customFormat="1" ht="15.75" x14ac:dyDescent="0.45">
      <c r="B52" s="592"/>
      <c r="C52" s="399"/>
      <c r="D52" s="390"/>
      <c r="E52" s="391"/>
      <c r="F52" s="392"/>
      <c r="G52" s="392"/>
      <c r="H52" s="392"/>
      <c r="I52" s="400"/>
      <c r="J52" s="394"/>
      <c r="K52" s="395"/>
      <c r="L52" s="396"/>
      <c r="M52" s="593"/>
      <c r="N52" s="588"/>
      <c r="O52" s="356"/>
      <c r="P52" s="588"/>
      <c r="Q52" s="588"/>
      <c r="R52" s="588"/>
      <c r="S52" s="588"/>
      <c r="T52" s="588"/>
      <c r="U52" s="588"/>
      <c r="V52" s="588"/>
      <c r="W52" s="588"/>
      <c r="X52" s="588"/>
      <c r="Y52" s="588"/>
    </row>
    <row r="53" spans="2:25" s="589" customFormat="1" ht="15.75" x14ac:dyDescent="0.45">
      <c r="B53" s="592"/>
      <c r="C53" s="401"/>
      <c r="D53" s="402"/>
      <c r="E53" s="403"/>
      <c r="F53" s="404"/>
      <c r="G53" s="404"/>
      <c r="H53" s="404"/>
      <c r="I53" s="405"/>
      <c r="J53" s="406"/>
      <c r="K53" s="407"/>
      <c r="L53" s="408"/>
      <c r="M53" s="593"/>
      <c r="N53" s="588"/>
      <c r="O53" s="356"/>
      <c r="P53" s="588"/>
      <c r="Q53" s="588"/>
      <c r="R53" s="588"/>
      <c r="S53" s="588"/>
      <c r="T53" s="588"/>
      <c r="U53" s="588"/>
      <c r="V53" s="588"/>
      <c r="W53" s="588"/>
      <c r="X53" s="588"/>
      <c r="Y53" s="588"/>
    </row>
    <row r="54" spans="2:25" s="589" customFormat="1" ht="15.75" x14ac:dyDescent="0.45">
      <c r="B54" s="592"/>
      <c r="C54" s="362" t="s">
        <v>706</v>
      </c>
      <c r="D54" s="418"/>
      <c r="E54" s="383" t="s">
        <v>707</v>
      </c>
      <c r="F54" s="376"/>
      <c r="G54" s="384" t="s">
        <v>708</v>
      </c>
      <c r="H54" s="418"/>
      <c r="I54" s="362" t="s">
        <v>706</v>
      </c>
      <c r="J54" s="419"/>
      <c r="K54" s="420" t="s">
        <v>707</v>
      </c>
      <c r="L54" s="421" t="s">
        <v>708</v>
      </c>
      <c r="M54" s="593"/>
      <c r="N54" s="588"/>
      <c r="O54" s="356"/>
      <c r="P54" s="588"/>
      <c r="Q54" s="588"/>
      <c r="R54" s="588"/>
      <c r="S54" s="588"/>
      <c r="T54" s="588"/>
      <c r="U54" s="588"/>
      <c r="V54" s="588"/>
      <c r="W54" s="588"/>
      <c r="X54" s="588"/>
      <c r="Y54" s="588"/>
    </row>
    <row r="55" spans="2:25" s="589" customFormat="1" ht="15.75" x14ac:dyDescent="0.45">
      <c r="B55" s="592"/>
      <c r="C55" s="422"/>
      <c r="D55" s="390"/>
      <c r="E55" s="423"/>
      <c r="F55" s="392"/>
      <c r="G55" s="392"/>
      <c r="H55" s="390"/>
      <c r="I55" s="400"/>
      <c r="J55" s="394"/>
      <c r="K55" s="391"/>
      <c r="L55" s="390"/>
      <c r="M55" s="593"/>
      <c r="N55" s="588"/>
      <c r="O55" s="356"/>
      <c r="P55" s="588"/>
      <c r="Q55" s="588"/>
      <c r="R55" s="588"/>
      <c r="S55" s="588"/>
      <c r="T55" s="588"/>
      <c r="U55" s="588"/>
      <c r="V55" s="588"/>
      <c r="W55" s="588"/>
      <c r="X55" s="588"/>
      <c r="Y55" s="588"/>
    </row>
    <row r="56" spans="2:25" s="589" customFormat="1" ht="15.75" x14ac:dyDescent="0.45">
      <c r="B56" s="592"/>
      <c r="C56" s="367"/>
      <c r="D56" s="402"/>
      <c r="E56" s="424"/>
      <c r="F56" s="404"/>
      <c r="G56" s="404"/>
      <c r="H56" s="402"/>
      <c r="I56" s="405"/>
      <c r="J56" s="406"/>
      <c r="K56" s="403"/>
      <c r="L56" s="402"/>
      <c r="M56" s="593"/>
      <c r="N56" s="588"/>
      <c r="O56" s="356"/>
      <c r="P56" s="588"/>
      <c r="Q56" s="588"/>
      <c r="R56" s="588"/>
      <c r="S56" s="588"/>
      <c r="T56" s="588"/>
      <c r="U56" s="588"/>
      <c r="V56" s="588"/>
      <c r="W56" s="588"/>
      <c r="X56" s="588"/>
      <c r="Y56" s="588"/>
    </row>
    <row r="57" spans="2:25" s="350" customFormat="1" ht="4.1500000000000004" x14ac:dyDescent="0.15">
      <c r="B57" s="425"/>
      <c r="C57" s="426"/>
      <c r="D57" s="427"/>
      <c r="E57" s="426"/>
      <c r="F57" s="427"/>
      <c r="G57" s="427"/>
      <c r="H57" s="427"/>
      <c r="I57" s="428"/>
      <c r="J57" s="429"/>
      <c r="K57" s="427"/>
      <c r="L57" s="427"/>
      <c r="M57" s="430"/>
      <c r="N57" s="415"/>
      <c r="O57" s="431"/>
      <c r="P57" s="415"/>
      <c r="Q57" s="415"/>
      <c r="R57" s="415"/>
      <c r="S57" s="415"/>
      <c r="T57" s="415"/>
      <c r="U57" s="415"/>
      <c r="V57" s="415"/>
      <c r="W57" s="415"/>
      <c r="X57" s="415"/>
      <c r="Y57" s="415"/>
    </row>
    <row r="58" spans="2:25" s="348" customFormat="1" ht="15.75" x14ac:dyDescent="0.45">
      <c r="B58" s="380"/>
      <c r="C58" s="381" t="s">
        <v>709</v>
      </c>
      <c r="D58" s="382"/>
      <c r="E58" s="383" t="s">
        <v>701</v>
      </c>
      <c r="F58" s="384"/>
      <c r="G58" s="384"/>
      <c r="H58" s="382"/>
      <c r="I58" s="432"/>
      <c r="J58" s="433"/>
      <c r="K58" s="434"/>
      <c r="L58" s="435"/>
      <c r="M58" s="387"/>
      <c r="N58" s="388"/>
      <c r="O58" s="356"/>
      <c r="P58" s="388"/>
      <c r="Q58" s="388"/>
      <c r="R58" s="388"/>
      <c r="S58" s="388"/>
      <c r="T58" s="388"/>
      <c r="U58" s="388"/>
      <c r="V58" s="388"/>
      <c r="W58" s="388"/>
      <c r="X58" s="388"/>
      <c r="Y58" s="388"/>
    </row>
    <row r="59" spans="2:25" s="589" customFormat="1" ht="15" customHeight="1" x14ac:dyDescent="0.45">
      <c r="B59" s="592"/>
      <c r="C59" s="389"/>
      <c r="D59" s="390"/>
      <c r="E59" s="391"/>
      <c r="F59" s="392"/>
      <c r="G59" s="392"/>
      <c r="H59" s="390"/>
      <c r="I59" s="436"/>
      <c r="J59" s="436"/>
      <c r="K59" s="395"/>
      <c r="L59" s="410"/>
      <c r="M59" s="593"/>
      <c r="N59" s="588"/>
      <c r="O59" s="356"/>
      <c r="P59" s="588"/>
      <c r="Q59" s="588"/>
      <c r="R59" s="588"/>
      <c r="S59" s="588"/>
      <c r="T59" s="588"/>
      <c r="U59" s="588"/>
      <c r="V59" s="588"/>
      <c r="W59" s="588"/>
      <c r="X59" s="588"/>
      <c r="Y59" s="588"/>
    </row>
    <row r="60" spans="2:25" s="589" customFormat="1" ht="15" customHeight="1" x14ac:dyDescent="0.45">
      <c r="B60" s="592"/>
      <c r="C60" s="397"/>
      <c r="D60" s="390"/>
      <c r="E60" s="391"/>
      <c r="F60" s="392"/>
      <c r="G60" s="392"/>
      <c r="H60" s="390"/>
      <c r="I60" s="436"/>
      <c r="J60" s="436"/>
      <c r="K60" s="395"/>
      <c r="L60" s="410"/>
      <c r="M60" s="593"/>
      <c r="N60" s="588"/>
      <c r="O60" s="356"/>
      <c r="P60" s="588"/>
      <c r="Q60" s="588"/>
      <c r="R60" s="588"/>
      <c r="S60" s="588"/>
      <c r="T60" s="588"/>
      <c r="U60" s="588"/>
      <c r="V60" s="588"/>
      <c r="W60" s="588"/>
      <c r="X60" s="588"/>
      <c r="Y60" s="588"/>
    </row>
    <row r="61" spans="2:25" s="589" customFormat="1" ht="15" customHeight="1" x14ac:dyDescent="0.45">
      <c r="B61" s="592"/>
      <c r="C61" s="398"/>
      <c r="D61" s="390"/>
      <c r="E61" s="391"/>
      <c r="F61" s="392"/>
      <c r="G61" s="392"/>
      <c r="H61" s="390"/>
      <c r="I61" s="437"/>
      <c r="J61" s="436"/>
      <c r="K61" s="395"/>
      <c r="L61" s="410"/>
      <c r="M61" s="593"/>
      <c r="N61" s="588"/>
      <c r="O61" s="356"/>
      <c r="P61" s="588"/>
      <c r="Q61" s="588"/>
      <c r="R61" s="588"/>
      <c r="S61" s="588"/>
      <c r="T61" s="588"/>
      <c r="U61" s="588"/>
      <c r="V61" s="588"/>
      <c r="W61" s="588"/>
      <c r="X61" s="588"/>
      <c r="Y61" s="588"/>
    </row>
    <row r="62" spans="2:25" s="589" customFormat="1" ht="15.75" x14ac:dyDescent="0.45">
      <c r="B62" s="592"/>
      <c r="C62" s="399"/>
      <c r="D62" s="390"/>
      <c r="E62" s="391"/>
      <c r="F62" s="392"/>
      <c r="G62" s="392"/>
      <c r="H62" s="390"/>
      <c r="I62" s="395"/>
      <c r="J62" s="436"/>
      <c r="K62" s="395"/>
      <c r="L62" s="410"/>
      <c r="M62" s="593"/>
      <c r="N62" s="588"/>
      <c r="O62" s="356"/>
      <c r="P62" s="588"/>
      <c r="Q62" s="588"/>
      <c r="R62" s="588"/>
      <c r="S62" s="588"/>
      <c r="T62" s="588"/>
      <c r="U62" s="588"/>
      <c r="V62" s="588"/>
      <c r="W62" s="588"/>
      <c r="X62" s="588"/>
      <c r="Y62" s="588"/>
    </row>
    <row r="63" spans="2:25" s="589" customFormat="1" ht="15.75" x14ac:dyDescent="0.45">
      <c r="B63" s="592"/>
      <c r="C63" s="401"/>
      <c r="D63" s="402"/>
      <c r="E63" s="403"/>
      <c r="F63" s="404"/>
      <c r="G63" s="404"/>
      <c r="H63" s="402"/>
      <c r="I63" s="395"/>
      <c r="J63" s="436"/>
      <c r="K63" s="395"/>
      <c r="L63" s="410"/>
      <c r="M63" s="593"/>
      <c r="N63" s="588"/>
      <c r="O63" s="356"/>
      <c r="P63" s="588"/>
      <c r="Q63" s="588"/>
      <c r="R63" s="588"/>
      <c r="S63" s="588"/>
      <c r="T63" s="588"/>
      <c r="U63" s="588"/>
      <c r="V63" s="588"/>
      <c r="W63" s="588"/>
      <c r="X63" s="588"/>
      <c r="Y63" s="588"/>
    </row>
    <row r="64" spans="2:25" s="589" customFormat="1" ht="15.75" x14ac:dyDescent="0.45">
      <c r="B64" s="592"/>
      <c r="C64" s="362" t="s">
        <v>706</v>
      </c>
      <c r="D64" s="418"/>
      <c r="E64" s="383" t="s">
        <v>707</v>
      </c>
      <c r="F64" s="376"/>
      <c r="G64" s="376" t="s">
        <v>708</v>
      </c>
      <c r="H64" s="418"/>
      <c r="I64" s="395"/>
      <c r="J64" s="436"/>
      <c r="K64" s="392"/>
      <c r="L64" s="438"/>
      <c r="M64" s="593"/>
      <c r="N64" s="588"/>
      <c r="O64" s="356"/>
      <c r="P64" s="588"/>
      <c r="Q64" s="588"/>
      <c r="R64" s="588"/>
      <c r="S64" s="588"/>
      <c r="T64" s="588"/>
      <c r="U64" s="588"/>
      <c r="V64" s="588"/>
      <c r="W64" s="588"/>
      <c r="X64" s="588"/>
      <c r="Y64" s="588"/>
    </row>
    <row r="65" spans="2:26" s="589" customFormat="1" ht="15.75" x14ac:dyDescent="0.45">
      <c r="B65" s="592"/>
      <c r="C65" s="439"/>
      <c r="D65" s="440"/>
      <c r="E65" s="441"/>
      <c r="F65" s="442"/>
      <c r="G65" s="442"/>
      <c r="H65" s="440"/>
      <c r="I65" s="443"/>
      <c r="J65" s="444"/>
      <c r="K65" s="442"/>
      <c r="L65" s="442"/>
      <c r="M65" s="593"/>
      <c r="N65" s="588"/>
      <c r="O65" s="356"/>
      <c r="P65" s="588"/>
      <c r="Q65" s="588"/>
      <c r="R65" s="588"/>
      <c r="S65" s="588"/>
      <c r="T65" s="588"/>
      <c r="U65" s="588"/>
      <c r="V65" s="588"/>
      <c r="W65" s="588"/>
      <c r="X65" s="588"/>
      <c r="Y65" s="588"/>
    </row>
    <row r="66" spans="2:26" s="589" customFormat="1" ht="15.75" x14ac:dyDescent="0.45">
      <c r="B66" s="592"/>
      <c r="C66" s="445"/>
      <c r="D66" s="446"/>
      <c r="E66" s="447"/>
      <c r="F66" s="448"/>
      <c r="G66" s="448"/>
      <c r="H66" s="446"/>
      <c r="I66" s="443"/>
      <c r="J66" s="444"/>
      <c r="K66" s="442"/>
      <c r="L66" s="442"/>
      <c r="M66" s="593"/>
      <c r="N66" s="588"/>
      <c r="O66" s="356"/>
      <c r="P66" s="588"/>
      <c r="Q66" s="588"/>
      <c r="R66" s="588"/>
      <c r="S66" s="588"/>
      <c r="T66" s="588"/>
      <c r="U66" s="588"/>
      <c r="V66" s="588"/>
      <c r="W66" s="588"/>
      <c r="X66" s="588"/>
      <c r="Y66" s="588"/>
    </row>
    <row r="67" spans="2:26" s="349" customFormat="1" ht="4.1500000000000004" x14ac:dyDescent="0.15">
      <c r="B67" s="449"/>
      <c r="C67" s="450"/>
      <c r="D67" s="450" t="s">
        <v>399</v>
      </c>
      <c r="E67" s="450"/>
      <c r="F67" s="450"/>
      <c r="G67" s="450"/>
      <c r="H67" s="450"/>
      <c r="I67" s="450"/>
      <c r="J67" s="450"/>
      <c r="K67" s="450"/>
      <c r="L67" s="451"/>
      <c r="M67" s="452"/>
      <c r="N67" s="415"/>
      <c r="O67" s="431"/>
      <c r="P67" s="415"/>
      <c r="Q67" s="415"/>
      <c r="R67" s="415"/>
      <c r="S67" s="415"/>
      <c r="T67" s="415"/>
      <c r="U67" s="415"/>
      <c r="V67" s="415"/>
      <c r="W67" s="415"/>
      <c r="X67" s="415"/>
      <c r="Y67" s="415"/>
    </row>
    <row r="69" spans="2:26" ht="18" x14ac:dyDescent="0.45">
      <c r="C69" s="388"/>
      <c r="L69" s="690" t="s">
        <v>855</v>
      </c>
    </row>
    <row r="71" spans="2:26" s="588" customFormat="1" ht="33.75" x14ac:dyDescent="0.45">
      <c r="C71" s="513" t="s">
        <v>59</v>
      </c>
      <c r="D71" s="750" t="s">
        <v>856</v>
      </c>
      <c r="E71" s="751"/>
      <c r="F71" s="751"/>
      <c r="G71" s="751"/>
      <c r="H71" s="837"/>
      <c r="I71" s="513" t="s">
        <v>680</v>
      </c>
      <c r="J71" s="513" t="s">
        <v>681</v>
      </c>
      <c r="K71" s="513" t="s">
        <v>682</v>
      </c>
      <c r="L71" s="513" t="s">
        <v>683</v>
      </c>
      <c r="M71" s="372"/>
      <c r="N71" s="372"/>
      <c r="O71" s="356"/>
      <c r="Z71" s="566"/>
    </row>
    <row r="72" spans="2:26" s="347" customFormat="1" ht="16.899999999999999" x14ac:dyDescent="0.5">
      <c r="C72" s="691"/>
      <c r="D72" s="830" t="s">
        <v>857</v>
      </c>
      <c r="E72" s="831"/>
      <c r="F72" s="831"/>
      <c r="G72" s="831"/>
      <c r="H72" s="831"/>
      <c r="I72" s="826"/>
      <c r="J72" s="827"/>
      <c r="K72" s="827"/>
      <c r="L72" s="828"/>
      <c r="M72" s="352"/>
      <c r="N72" s="352"/>
      <c r="O72" s="356"/>
      <c r="P72" s="692"/>
      <c r="Q72" s="352"/>
      <c r="R72" s="352"/>
      <c r="S72" s="352"/>
      <c r="T72" s="352"/>
      <c r="U72" s="352"/>
      <c r="V72" s="352"/>
      <c r="W72" s="352"/>
      <c r="X72" s="352"/>
      <c r="Y72" s="352"/>
    </row>
    <row r="73" spans="2:26" s="347" customFormat="1" ht="60" customHeight="1" x14ac:dyDescent="0.5">
      <c r="C73" s="677">
        <v>1</v>
      </c>
      <c r="D73" s="815" t="s">
        <v>858</v>
      </c>
      <c r="E73" s="816"/>
      <c r="F73" s="816"/>
      <c r="G73" s="693">
        <v>4.0000000000000001E-3</v>
      </c>
      <c r="H73" s="668" t="s">
        <v>51</v>
      </c>
      <c r="I73" s="826"/>
      <c r="J73" s="827"/>
      <c r="K73" s="827"/>
      <c r="L73" s="828"/>
      <c r="M73" s="352"/>
      <c r="N73" s="352"/>
      <c r="O73" s="356"/>
      <c r="P73" s="692"/>
      <c r="Q73" s="352"/>
      <c r="R73" s="352"/>
      <c r="S73" s="352"/>
      <c r="T73" s="352"/>
      <c r="U73" s="352"/>
      <c r="V73" s="352"/>
      <c r="W73" s="352"/>
      <c r="X73" s="352"/>
      <c r="Y73" s="352"/>
    </row>
    <row r="74" spans="2:26" s="347" customFormat="1" ht="60" customHeight="1" x14ac:dyDescent="0.5">
      <c r="C74" s="677">
        <v>2</v>
      </c>
      <c r="D74" s="815" t="s">
        <v>859</v>
      </c>
      <c r="E74" s="816"/>
      <c r="F74" s="829"/>
      <c r="G74" s="693">
        <v>2E-3</v>
      </c>
      <c r="H74" s="668" t="s">
        <v>5</v>
      </c>
      <c r="I74" s="826"/>
      <c r="J74" s="827"/>
      <c r="K74" s="827"/>
      <c r="L74" s="828"/>
      <c r="M74" s="352"/>
      <c r="N74" s="352"/>
      <c r="O74" s="356"/>
      <c r="P74" s="692"/>
      <c r="Q74" s="352"/>
      <c r="R74" s="352"/>
      <c r="S74" s="352"/>
      <c r="T74" s="352"/>
      <c r="U74" s="352"/>
      <c r="V74" s="352"/>
      <c r="W74" s="352"/>
      <c r="X74" s="352"/>
      <c r="Y74" s="352"/>
    </row>
    <row r="75" spans="2:26" s="347" customFormat="1" ht="60" customHeight="1" x14ac:dyDescent="0.5">
      <c r="C75" s="677">
        <v>3</v>
      </c>
      <c r="D75" s="815" t="s">
        <v>860</v>
      </c>
      <c r="E75" s="816"/>
      <c r="F75" s="829"/>
      <c r="G75" s="693">
        <v>1E-3</v>
      </c>
      <c r="H75" s="668" t="s">
        <v>5</v>
      </c>
      <c r="I75" s="826"/>
      <c r="J75" s="827"/>
      <c r="K75" s="827"/>
      <c r="L75" s="828"/>
      <c r="M75" s="352"/>
      <c r="N75" s="352"/>
      <c r="O75" s="356"/>
      <c r="P75" s="692"/>
      <c r="Q75" s="352"/>
      <c r="R75" s="352"/>
      <c r="S75" s="352"/>
      <c r="T75" s="352"/>
      <c r="U75" s="352"/>
      <c r="V75" s="352"/>
      <c r="W75" s="352"/>
      <c r="X75" s="352"/>
      <c r="Y75" s="352"/>
    </row>
    <row r="76" spans="2:26" s="347" customFormat="1" ht="16.899999999999999" x14ac:dyDescent="0.5">
      <c r="C76" s="691"/>
      <c r="D76" s="823" t="s">
        <v>861</v>
      </c>
      <c r="E76" s="824"/>
      <c r="F76" s="824"/>
      <c r="G76" s="824"/>
      <c r="H76" s="825"/>
      <c r="I76" s="826"/>
      <c r="J76" s="827"/>
      <c r="K76" s="827"/>
      <c r="L76" s="828"/>
      <c r="M76" s="352"/>
      <c r="N76" s="352"/>
      <c r="O76" s="356"/>
      <c r="P76" s="692"/>
      <c r="Q76" s="352"/>
      <c r="R76" s="352"/>
      <c r="S76" s="352"/>
      <c r="T76" s="352"/>
      <c r="U76" s="352"/>
      <c r="V76" s="352"/>
      <c r="W76" s="352"/>
      <c r="X76" s="352"/>
      <c r="Y76" s="352"/>
    </row>
    <row r="77" spans="2:26" s="347" customFormat="1" ht="97.9" customHeight="1" x14ac:dyDescent="0.5">
      <c r="C77" s="677">
        <v>4</v>
      </c>
      <c r="D77" s="815" t="s">
        <v>862</v>
      </c>
      <c r="E77" s="816"/>
      <c r="F77" s="829"/>
      <c r="G77" s="693">
        <v>4.0000000000000001E-3</v>
      </c>
      <c r="H77" s="668" t="s">
        <v>5</v>
      </c>
      <c r="I77" s="826"/>
      <c r="J77" s="827"/>
      <c r="K77" s="827"/>
      <c r="L77" s="828"/>
      <c r="M77" s="352"/>
      <c r="N77" s="352"/>
      <c r="O77" s="356"/>
      <c r="P77" s="692"/>
      <c r="Q77" s="352"/>
      <c r="R77" s="352"/>
      <c r="S77" s="352"/>
      <c r="T77" s="352"/>
      <c r="U77" s="352"/>
      <c r="V77" s="352"/>
      <c r="W77" s="352"/>
      <c r="X77" s="352"/>
      <c r="Y77" s="352"/>
    </row>
    <row r="78" spans="2:26" s="347" customFormat="1" ht="97.9" customHeight="1" x14ac:dyDescent="0.5">
      <c r="C78" s="677">
        <v>5</v>
      </c>
      <c r="D78" s="815" t="s">
        <v>863</v>
      </c>
      <c r="E78" s="816"/>
      <c r="F78" s="829"/>
      <c r="G78" s="693">
        <v>2E-3</v>
      </c>
      <c r="H78" s="668" t="s">
        <v>5</v>
      </c>
      <c r="I78" s="826"/>
      <c r="J78" s="827"/>
      <c r="K78" s="827"/>
      <c r="L78" s="828"/>
      <c r="M78" s="352"/>
      <c r="N78" s="352"/>
      <c r="O78" s="356"/>
      <c r="P78" s="692"/>
      <c r="Q78" s="352"/>
      <c r="R78" s="352"/>
      <c r="S78" s="352"/>
      <c r="T78" s="352"/>
      <c r="U78" s="352"/>
      <c r="V78" s="352"/>
      <c r="W78" s="352"/>
      <c r="X78" s="352"/>
      <c r="Y78" s="352"/>
    </row>
    <row r="79" spans="2:26" s="347" customFormat="1" ht="97.9" customHeight="1" x14ac:dyDescent="0.5">
      <c r="C79" s="677">
        <v>6</v>
      </c>
      <c r="D79" s="815" t="s">
        <v>864</v>
      </c>
      <c r="E79" s="816"/>
      <c r="F79" s="829"/>
      <c r="G79" s="693">
        <v>1E-3</v>
      </c>
      <c r="H79" s="668" t="s">
        <v>5</v>
      </c>
      <c r="I79" s="826"/>
      <c r="J79" s="827"/>
      <c r="K79" s="827"/>
      <c r="L79" s="828"/>
      <c r="M79" s="352"/>
      <c r="N79" s="352"/>
      <c r="O79" s="356"/>
      <c r="P79" s="692"/>
      <c r="Q79" s="352"/>
      <c r="R79" s="352"/>
      <c r="S79" s="352"/>
      <c r="T79" s="352"/>
      <c r="U79" s="352"/>
      <c r="V79" s="352"/>
      <c r="W79" s="352"/>
      <c r="X79" s="352"/>
      <c r="Y79" s="352"/>
    </row>
    <row r="80" spans="2:26" s="347" customFormat="1" ht="16.899999999999999" x14ac:dyDescent="0.5">
      <c r="C80" s="694"/>
      <c r="D80" s="823" t="s">
        <v>865</v>
      </c>
      <c r="E80" s="824"/>
      <c r="F80" s="824"/>
      <c r="G80" s="824"/>
      <c r="H80" s="825"/>
      <c r="I80" s="826"/>
      <c r="J80" s="827"/>
      <c r="K80" s="827"/>
      <c r="L80" s="828"/>
      <c r="M80" s="352"/>
      <c r="N80" s="352"/>
      <c r="O80" s="356"/>
      <c r="P80" s="692"/>
      <c r="Q80" s="352"/>
      <c r="R80" s="352"/>
      <c r="S80" s="352"/>
      <c r="T80" s="352"/>
      <c r="U80" s="352"/>
      <c r="V80" s="352"/>
      <c r="W80" s="352"/>
      <c r="X80" s="352"/>
      <c r="Y80" s="352"/>
    </row>
    <row r="81" spans="3:25" s="347" customFormat="1" ht="112.5" customHeight="1" x14ac:dyDescent="0.5">
      <c r="C81" s="677">
        <v>7</v>
      </c>
      <c r="D81" s="815" t="s">
        <v>866</v>
      </c>
      <c r="E81" s="816"/>
      <c r="F81" s="816"/>
      <c r="G81" s="693">
        <v>4.0000000000000001E-3</v>
      </c>
      <c r="H81" s="668" t="s">
        <v>5</v>
      </c>
      <c r="I81" s="826"/>
      <c r="J81" s="827"/>
      <c r="K81" s="827"/>
      <c r="L81" s="828"/>
      <c r="M81" s="352"/>
      <c r="N81" s="352"/>
      <c r="O81" s="356"/>
      <c r="P81" s="692"/>
      <c r="Q81" s="352"/>
      <c r="R81" s="352"/>
      <c r="S81" s="352"/>
      <c r="T81" s="352"/>
      <c r="U81" s="352"/>
      <c r="V81" s="352"/>
      <c r="W81" s="352"/>
      <c r="X81" s="352"/>
      <c r="Y81" s="352"/>
    </row>
    <row r="82" spans="3:25" s="347" customFormat="1" ht="134.1" customHeight="1" x14ac:dyDescent="0.5">
      <c r="C82" s="677">
        <v>8</v>
      </c>
      <c r="D82" s="832" t="s">
        <v>867</v>
      </c>
      <c r="E82" s="833"/>
      <c r="F82" s="833"/>
      <c r="G82" s="693">
        <v>2E-3</v>
      </c>
      <c r="H82" s="668" t="s">
        <v>5</v>
      </c>
      <c r="I82" s="826"/>
      <c r="J82" s="827"/>
      <c r="K82" s="827"/>
      <c r="L82" s="828"/>
      <c r="M82" s="352"/>
      <c r="N82" s="352"/>
      <c r="O82" s="356"/>
      <c r="P82" s="692"/>
      <c r="Q82" s="352"/>
      <c r="R82" s="352"/>
      <c r="S82" s="352"/>
      <c r="T82" s="352"/>
      <c r="U82" s="352"/>
      <c r="V82" s="352"/>
      <c r="W82" s="352"/>
      <c r="X82" s="352"/>
      <c r="Y82" s="352"/>
    </row>
    <row r="83" spans="3:25" s="347" customFormat="1" ht="127.15" customHeight="1" x14ac:dyDescent="0.5">
      <c r="C83" s="677">
        <v>9</v>
      </c>
      <c r="D83" s="815" t="s">
        <v>868</v>
      </c>
      <c r="E83" s="816"/>
      <c r="F83" s="816"/>
      <c r="G83" s="693">
        <v>1E-3</v>
      </c>
      <c r="H83" s="668" t="s">
        <v>5</v>
      </c>
      <c r="I83" s="826"/>
      <c r="J83" s="827"/>
      <c r="K83" s="827"/>
      <c r="L83" s="828"/>
      <c r="M83" s="352"/>
      <c r="N83" s="352"/>
      <c r="O83" s="356"/>
      <c r="P83" s="692"/>
      <c r="Q83" s="352"/>
      <c r="R83" s="352"/>
      <c r="S83" s="352"/>
      <c r="T83" s="352"/>
      <c r="U83" s="352"/>
      <c r="V83" s="352"/>
      <c r="W83" s="352"/>
      <c r="X83" s="352"/>
      <c r="Y83" s="352"/>
    </row>
    <row r="84" spans="3:25" ht="16.899999999999999" x14ac:dyDescent="0.45">
      <c r="C84" s="694"/>
      <c r="D84" s="823" t="s">
        <v>801</v>
      </c>
      <c r="E84" s="824"/>
      <c r="F84" s="824"/>
      <c r="G84" s="824"/>
      <c r="H84" s="825"/>
      <c r="I84" s="826"/>
      <c r="J84" s="827"/>
      <c r="K84" s="827"/>
      <c r="L84" s="828"/>
      <c r="O84" s="356"/>
      <c r="P84" s="374"/>
    </row>
    <row r="85" spans="3:25" ht="16.899999999999999" x14ac:dyDescent="0.45">
      <c r="C85" s="677">
        <v>10</v>
      </c>
      <c r="D85" s="817" t="s">
        <v>783</v>
      </c>
      <c r="E85" s="818"/>
      <c r="F85" s="819"/>
      <c r="G85" s="695">
        <v>2E-3</v>
      </c>
      <c r="H85" s="696" t="s">
        <v>5</v>
      </c>
      <c r="I85" s="826"/>
      <c r="J85" s="827"/>
      <c r="K85" s="827"/>
      <c r="L85" s="828"/>
      <c r="O85" s="356"/>
      <c r="P85" s="374"/>
    </row>
    <row r="86" spans="3:25" ht="94.15" customHeight="1" x14ac:dyDescent="0.45">
      <c r="C86" s="677">
        <v>11</v>
      </c>
      <c r="D86" s="820" t="s">
        <v>925</v>
      </c>
      <c r="E86" s="821"/>
      <c r="F86" s="822"/>
      <c r="G86" s="695">
        <v>5.0000000000000001E-3</v>
      </c>
      <c r="H86" s="696" t="s">
        <v>5</v>
      </c>
      <c r="I86" s="826"/>
      <c r="J86" s="827"/>
      <c r="K86" s="827"/>
      <c r="L86" s="828"/>
      <c r="O86" s="356"/>
      <c r="P86" s="374"/>
    </row>
    <row r="87" spans="3:25" ht="30" customHeight="1" x14ac:dyDescent="0.45">
      <c r="C87" s="677">
        <v>12</v>
      </c>
      <c r="D87" s="820" t="s">
        <v>869</v>
      </c>
      <c r="E87" s="821"/>
      <c r="F87" s="822"/>
      <c r="G87" s="695">
        <v>4.0000000000000001E-3</v>
      </c>
      <c r="H87" s="696" t="s">
        <v>5</v>
      </c>
      <c r="I87" s="826"/>
      <c r="J87" s="827"/>
      <c r="K87" s="827"/>
      <c r="L87" s="828"/>
      <c r="O87" s="356"/>
      <c r="P87" s="374"/>
    </row>
    <row r="88" spans="3:25" ht="16.899999999999999" x14ac:dyDescent="0.45">
      <c r="C88" s="677">
        <v>13</v>
      </c>
      <c r="D88" s="817" t="s">
        <v>802</v>
      </c>
      <c r="E88" s="818"/>
      <c r="F88" s="819"/>
      <c r="G88" s="695">
        <v>0.01</v>
      </c>
      <c r="H88" s="696" t="s">
        <v>5</v>
      </c>
      <c r="I88" s="826"/>
      <c r="J88" s="827"/>
      <c r="K88" s="827"/>
      <c r="L88" s="828"/>
      <c r="O88" s="356"/>
      <c r="P88" s="374"/>
    </row>
    <row r="89" spans="3:25" ht="16.899999999999999" x14ac:dyDescent="0.45">
      <c r="C89" s="677">
        <v>14</v>
      </c>
      <c r="D89" s="820" t="s">
        <v>870</v>
      </c>
      <c r="E89" s="821"/>
      <c r="F89" s="822"/>
      <c r="G89" s="695">
        <v>0.01</v>
      </c>
      <c r="H89" s="696" t="s">
        <v>5</v>
      </c>
      <c r="I89" s="826"/>
      <c r="J89" s="827"/>
      <c r="K89" s="827"/>
      <c r="L89" s="828"/>
      <c r="O89" s="356"/>
      <c r="P89" s="374"/>
    </row>
  </sheetData>
  <mergeCells count="45">
    <mergeCell ref="D13:H13"/>
    <mergeCell ref="C2:L2"/>
    <mergeCell ref="D9:H9"/>
    <mergeCell ref="D10:H10"/>
    <mergeCell ref="D11:H11"/>
    <mergeCell ref="D12:H12"/>
    <mergeCell ref="D26:H26"/>
    <mergeCell ref="D14:H14"/>
    <mergeCell ref="D15:H15"/>
    <mergeCell ref="D16:H16"/>
    <mergeCell ref="D17:H17"/>
    <mergeCell ref="D18:H18"/>
    <mergeCell ref="D19:H19"/>
    <mergeCell ref="C20:C22"/>
    <mergeCell ref="D20:H20"/>
    <mergeCell ref="D21:H21"/>
    <mergeCell ref="D22:H22"/>
    <mergeCell ref="D25:H25"/>
    <mergeCell ref="D27:H27"/>
    <mergeCell ref="D28:H28"/>
    <mergeCell ref="D29:H29"/>
    <mergeCell ref="D30:H30"/>
    <mergeCell ref="D71:H71"/>
    <mergeCell ref="I72:I89"/>
    <mergeCell ref="J72:J89"/>
    <mergeCell ref="K72:K89"/>
    <mergeCell ref="L72:L89"/>
    <mergeCell ref="D73:F73"/>
    <mergeCell ref="D74:F74"/>
    <mergeCell ref="D75:F75"/>
    <mergeCell ref="D76:H76"/>
    <mergeCell ref="D77:F77"/>
    <mergeCell ref="D78:F78"/>
    <mergeCell ref="D72:H72"/>
    <mergeCell ref="D79:F79"/>
    <mergeCell ref="D80:H80"/>
    <mergeCell ref="D81:F81"/>
    <mergeCell ref="D82:F82"/>
    <mergeCell ref="D89:F89"/>
    <mergeCell ref="D83:F83"/>
    <mergeCell ref="D85:F85"/>
    <mergeCell ref="D86:F86"/>
    <mergeCell ref="D87:F87"/>
    <mergeCell ref="D88:F88"/>
    <mergeCell ref="D84:H84"/>
  </mergeCells>
  <dataValidations count="2">
    <dataValidation type="list" allowBlank="1" showInputMessage="1" showErrorMessage="1" sqref="H81:H83 H73:H75 H77:H79 H85:H89" xr:uid="{8D724780-50D5-4B0F-8CD6-17B857E57C40}">
      <formula1>$X$9:$X$10</formula1>
    </dataValidation>
    <dataValidation type="list" allowBlank="1" showInputMessage="1" showErrorMessage="1" sqref="I26:I30 L26:L30 I10:I13 I19:I22" xr:uid="{3F82B797-6162-4409-8416-D122223CDEF8}">
      <formula1>#REF!</formula1>
    </dataValidation>
  </dataValidations>
  <printOptions horizontalCentered="1"/>
  <pageMargins left="0" right="0" top="0" bottom="0" header="0" footer="0"/>
  <pageSetup paperSize="9" scale="5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37"/>
  <sheetViews>
    <sheetView zoomScaleNormal="100" workbookViewId="0">
      <selection activeCell="D14" sqref="D14:F19"/>
    </sheetView>
  </sheetViews>
  <sheetFormatPr defaultColWidth="9" defaultRowHeight="13.15" x14ac:dyDescent="0.45"/>
  <cols>
    <col min="1" max="1" width="9" style="2"/>
    <col min="2" max="2" width="12.73046875" style="2" customWidth="1"/>
    <col min="3" max="3" width="10.73046875" style="2" customWidth="1"/>
    <col min="4" max="9" width="11" style="2" customWidth="1"/>
    <col min="10" max="10" width="2" style="2" customWidth="1"/>
    <col min="11" max="11" width="8.265625" style="233" bestFit="1" customWidth="1"/>
    <col min="12" max="12" width="2" style="2" customWidth="1"/>
    <col min="13" max="13" width="12.73046875" style="2" customWidth="1"/>
    <col min="14" max="15" width="13.3984375" style="2" customWidth="1"/>
    <col min="16" max="19" width="11" style="2" customWidth="1"/>
    <col min="20" max="16384" width="9" style="2"/>
  </cols>
  <sheetData>
    <row r="2" spans="2:19" x14ac:dyDescent="0.45">
      <c r="M2" s="841" t="s">
        <v>96</v>
      </c>
      <c r="N2" s="842"/>
      <c r="O2" s="842"/>
      <c r="P2" s="842"/>
      <c r="Q2" s="842"/>
      <c r="R2" s="842"/>
      <c r="S2" s="843"/>
    </row>
    <row r="3" spans="2:19" x14ac:dyDescent="0.45">
      <c r="H3" s="2" t="s">
        <v>97</v>
      </c>
      <c r="K3" s="231" t="s">
        <v>98</v>
      </c>
      <c r="R3" s="2" t="s">
        <v>97</v>
      </c>
    </row>
    <row r="4" spans="2:19" s="229" customFormat="1" ht="39.4" x14ac:dyDescent="0.45">
      <c r="B4" s="228" t="s">
        <v>948</v>
      </c>
      <c r="C4" s="3" t="s">
        <v>98</v>
      </c>
      <c r="D4" s="3" t="s">
        <v>99</v>
      </c>
      <c r="E4" s="3" t="s">
        <v>100</v>
      </c>
      <c r="F4" s="3" t="s">
        <v>101</v>
      </c>
      <c r="G4" s="3" t="s">
        <v>102</v>
      </c>
      <c r="H4" s="3" t="s">
        <v>103</v>
      </c>
      <c r="I4" s="3" t="s">
        <v>104</v>
      </c>
      <c r="K4" s="230"/>
      <c r="M4" s="228" t="str">
        <f t="shared" ref="M4:M10" si="0">$B4</f>
        <v>Bank Muamalat - 9719</v>
      </c>
      <c r="N4" s="3" t="s">
        <v>99</v>
      </c>
      <c r="O4" s="3" t="s">
        <v>100</v>
      </c>
      <c r="P4" s="3" t="s">
        <v>105</v>
      </c>
      <c r="Q4" s="3" t="s">
        <v>102</v>
      </c>
      <c r="R4" s="3" t="s">
        <v>106</v>
      </c>
      <c r="S4" s="3" t="s">
        <v>104</v>
      </c>
    </row>
    <row r="5" spans="2:19" x14ac:dyDescent="0.45">
      <c r="B5" s="731" t="s">
        <v>943</v>
      </c>
      <c r="C5" s="245" t="s">
        <v>96</v>
      </c>
      <c r="D5" s="729">
        <v>996166.1</v>
      </c>
      <c r="E5" s="729">
        <v>522872.21</v>
      </c>
      <c r="F5" s="730">
        <v>1548222</v>
      </c>
      <c r="G5" s="232"/>
      <c r="H5" s="6"/>
      <c r="I5" s="232"/>
      <c r="J5" s="240"/>
      <c r="K5" s="233">
        <v>1</v>
      </c>
      <c r="L5" s="240"/>
      <c r="M5" s="5" t="str">
        <f t="shared" si="0"/>
        <v>2025-01</v>
      </c>
      <c r="N5" s="6">
        <f t="shared" ref="N5:P10" si="1">D5*$K5</f>
        <v>996166.1</v>
      </c>
      <c r="O5" s="6">
        <f t="shared" si="1"/>
        <v>522872.21</v>
      </c>
      <c r="P5" s="246">
        <f t="shared" si="1"/>
        <v>1548222</v>
      </c>
      <c r="Q5" s="232"/>
      <c r="R5" s="6">
        <f t="shared" ref="R5:R10" si="2">H5*$K5</f>
        <v>0</v>
      </c>
      <c r="S5" s="232"/>
    </row>
    <row r="6" spans="2:19" x14ac:dyDescent="0.45">
      <c r="B6" s="731" t="s">
        <v>944</v>
      </c>
      <c r="C6" s="245" t="s">
        <v>96</v>
      </c>
      <c r="D6" s="729">
        <v>1185978.99</v>
      </c>
      <c r="E6" s="729">
        <v>391783.64</v>
      </c>
      <c r="F6" s="730">
        <v>2342417.35</v>
      </c>
      <c r="G6" s="232"/>
      <c r="H6" s="6"/>
      <c r="I6" s="232"/>
      <c r="J6" s="240"/>
      <c r="K6" s="233">
        <v>1</v>
      </c>
      <c r="L6" s="240"/>
      <c r="M6" s="5" t="str">
        <f t="shared" si="0"/>
        <v>2025-02</v>
      </c>
      <c r="N6" s="6">
        <f t="shared" si="1"/>
        <v>1185978.99</v>
      </c>
      <c r="O6" s="6">
        <f t="shared" si="1"/>
        <v>391783.64</v>
      </c>
      <c r="P6" s="246">
        <f t="shared" si="1"/>
        <v>2342417.35</v>
      </c>
      <c r="Q6" s="232"/>
      <c r="R6" s="6">
        <f t="shared" si="2"/>
        <v>0</v>
      </c>
      <c r="S6" s="232"/>
    </row>
    <row r="7" spans="2:19" x14ac:dyDescent="0.45">
      <c r="B7" s="731" t="s">
        <v>945</v>
      </c>
      <c r="C7" s="245" t="s">
        <v>96</v>
      </c>
      <c r="D7" s="729">
        <v>120514.97</v>
      </c>
      <c r="E7" s="729">
        <v>546807.71</v>
      </c>
      <c r="F7" s="730">
        <v>1916124.61</v>
      </c>
      <c r="G7" s="232"/>
      <c r="H7" s="6"/>
      <c r="I7" s="232"/>
      <c r="J7" s="240"/>
      <c r="K7" s="233">
        <v>1</v>
      </c>
      <c r="L7" s="240"/>
      <c r="M7" s="5" t="str">
        <f t="shared" si="0"/>
        <v>2025-03</v>
      </c>
      <c r="N7" s="6">
        <f t="shared" si="1"/>
        <v>120514.97</v>
      </c>
      <c r="O7" s="6">
        <f t="shared" si="1"/>
        <v>546807.71</v>
      </c>
      <c r="P7" s="246">
        <f t="shared" si="1"/>
        <v>1916124.61</v>
      </c>
      <c r="Q7" s="232"/>
      <c r="R7" s="6">
        <f t="shared" si="2"/>
        <v>0</v>
      </c>
      <c r="S7" s="232"/>
    </row>
    <row r="8" spans="2:19" x14ac:dyDescent="0.45">
      <c r="B8" s="731" t="s">
        <v>946</v>
      </c>
      <c r="C8" s="245" t="s">
        <v>96</v>
      </c>
      <c r="D8" s="729">
        <v>30686.94</v>
      </c>
      <c r="E8" s="729">
        <v>391899.66</v>
      </c>
      <c r="F8" s="730">
        <v>1584911.89</v>
      </c>
      <c r="G8" s="232"/>
      <c r="H8" s="6"/>
      <c r="I8" s="232"/>
      <c r="J8" s="240"/>
      <c r="K8" s="233">
        <v>1</v>
      </c>
      <c r="L8" s="240"/>
      <c r="M8" s="5" t="str">
        <f t="shared" si="0"/>
        <v>2025-04</v>
      </c>
      <c r="N8" s="6">
        <f t="shared" si="1"/>
        <v>30686.94</v>
      </c>
      <c r="O8" s="6">
        <f t="shared" si="1"/>
        <v>391899.66</v>
      </c>
      <c r="P8" s="246">
        <f t="shared" si="1"/>
        <v>1584911.89</v>
      </c>
      <c r="Q8" s="232"/>
      <c r="R8" s="6">
        <f t="shared" si="2"/>
        <v>0</v>
      </c>
      <c r="S8" s="232"/>
    </row>
    <row r="9" spans="2:19" x14ac:dyDescent="0.45">
      <c r="B9" s="731" t="s">
        <v>947</v>
      </c>
      <c r="C9" s="245" t="s">
        <v>96</v>
      </c>
      <c r="D9" s="729">
        <v>1441218.55</v>
      </c>
      <c r="E9" s="729">
        <v>843867.44</v>
      </c>
      <c r="F9" s="730">
        <v>2182263</v>
      </c>
      <c r="G9" s="232"/>
      <c r="H9" s="6"/>
      <c r="I9" s="232"/>
      <c r="J9" s="240"/>
      <c r="K9" s="233">
        <v>1</v>
      </c>
      <c r="L9" s="240"/>
      <c r="M9" s="5" t="str">
        <f t="shared" si="0"/>
        <v>2025-05</v>
      </c>
      <c r="N9" s="6">
        <f t="shared" si="1"/>
        <v>1441218.55</v>
      </c>
      <c r="O9" s="6">
        <f t="shared" si="1"/>
        <v>843867.44</v>
      </c>
      <c r="P9" s="246">
        <f t="shared" si="1"/>
        <v>2182263</v>
      </c>
      <c r="Q9" s="232"/>
      <c r="R9" s="6">
        <f t="shared" si="2"/>
        <v>0</v>
      </c>
      <c r="S9" s="232"/>
    </row>
    <row r="10" spans="2:19" x14ac:dyDescent="0.45">
      <c r="B10" s="731" t="s">
        <v>929</v>
      </c>
      <c r="C10" s="245" t="s">
        <v>96</v>
      </c>
      <c r="D10" s="729">
        <v>389701.91</v>
      </c>
      <c r="E10" s="729">
        <v>869962.88</v>
      </c>
      <c r="F10" s="730">
        <v>1702002.03</v>
      </c>
      <c r="G10" s="232"/>
      <c r="H10" s="6"/>
      <c r="I10" s="232"/>
      <c r="J10" s="240"/>
      <c r="K10" s="233">
        <v>1</v>
      </c>
      <c r="L10" s="240"/>
      <c r="M10" s="5" t="str">
        <f t="shared" si="0"/>
        <v>2025-06</v>
      </c>
      <c r="N10" s="6">
        <f t="shared" si="1"/>
        <v>389701.91</v>
      </c>
      <c r="O10" s="6">
        <f t="shared" si="1"/>
        <v>869962.88</v>
      </c>
      <c r="P10" s="246">
        <f t="shared" si="1"/>
        <v>1702002.03</v>
      </c>
      <c r="Q10" s="232"/>
      <c r="R10" s="6">
        <f t="shared" si="2"/>
        <v>0</v>
      </c>
      <c r="S10" s="232"/>
    </row>
    <row r="11" spans="2:19" x14ac:dyDescent="0.45">
      <c r="B11" s="39" t="s">
        <v>107</v>
      </c>
      <c r="C11" s="39"/>
      <c r="D11" s="234">
        <f>SUM(D5:D10)</f>
        <v>4164267.46</v>
      </c>
      <c r="E11" s="234">
        <f>SUM(E5:E10)</f>
        <v>3567193.54</v>
      </c>
      <c r="F11" s="234">
        <f>AVERAGE(F5:F10)</f>
        <v>1879323.4799999997</v>
      </c>
      <c r="G11" s="65" t="s">
        <v>13</v>
      </c>
      <c r="H11" s="234">
        <f>F11</f>
        <v>1879323.4799999997</v>
      </c>
      <c r="I11" s="235">
        <f>H5</f>
        <v>0</v>
      </c>
      <c r="M11" s="39" t="str">
        <f t="shared" ref="M11" si="3">$B11</f>
        <v>Total</v>
      </c>
      <c r="N11" s="234">
        <f>SUM(N5:N10)</f>
        <v>4164267.46</v>
      </c>
      <c r="O11" s="234">
        <f>SUM(O5:O10)</f>
        <v>3567193.54</v>
      </c>
      <c r="P11" s="234">
        <f>AVERAGE(P5:P10)</f>
        <v>1879323.4799999997</v>
      </c>
      <c r="Q11" s="234"/>
      <c r="R11" s="234">
        <f>AVERAGE(R5:R10)</f>
        <v>0</v>
      </c>
      <c r="S11" s="235">
        <f>R5</f>
        <v>0</v>
      </c>
    </row>
    <row r="13" spans="2:19" s="4" customFormat="1" ht="39.4" x14ac:dyDescent="0.45">
      <c r="B13" s="228"/>
      <c r="C13" s="3" t="s">
        <v>98</v>
      </c>
      <c r="D13" s="3" t="s">
        <v>99</v>
      </c>
      <c r="E13" s="3" t="s">
        <v>100</v>
      </c>
      <c r="F13" s="3" t="str">
        <f>F4</f>
        <v>Month End Balance</v>
      </c>
      <c r="G13" s="3" t="s">
        <v>102</v>
      </c>
      <c r="H13" s="3" t="s">
        <v>106</v>
      </c>
      <c r="I13" s="3" t="s">
        <v>108</v>
      </c>
      <c r="K13" s="236"/>
      <c r="M13" s="228">
        <f t="shared" ref="M13:M20" si="4">$B13</f>
        <v>0</v>
      </c>
      <c r="N13" s="3" t="s">
        <v>99</v>
      </c>
      <c r="O13" s="3" t="s">
        <v>100</v>
      </c>
      <c r="P13" s="3" t="str">
        <f>P4</f>
        <v>Average Balance</v>
      </c>
      <c r="Q13" s="3" t="s">
        <v>102</v>
      </c>
      <c r="R13" s="3" t="s">
        <v>106</v>
      </c>
      <c r="S13" s="3" t="s">
        <v>104</v>
      </c>
    </row>
    <row r="14" spans="2:19" x14ac:dyDescent="0.45">
      <c r="B14" s="245" t="s">
        <v>930</v>
      </c>
      <c r="C14" s="245" t="s">
        <v>96</v>
      </c>
      <c r="D14" s="237"/>
      <c r="E14" s="6"/>
      <c r="F14" s="241"/>
      <c r="G14" s="725"/>
      <c r="H14" s="6">
        <f t="shared" ref="H14:H19" si="5">IF(F14&lt;0,F14+G14,G14)</f>
        <v>0</v>
      </c>
      <c r="I14" s="232"/>
      <c r="K14" s="233">
        <v>1</v>
      </c>
      <c r="M14" s="5" t="str">
        <f t="shared" si="4"/>
        <v>2025-07</v>
      </c>
      <c r="N14" s="6">
        <f t="shared" ref="N14:O19" si="6">D14*$K14</f>
        <v>0</v>
      </c>
      <c r="O14" s="6">
        <f t="shared" si="6"/>
        <v>0</v>
      </c>
      <c r="P14" s="6">
        <f>F14</f>
        <v>0</v>
      </c>
      <c r="Q14" s="5"/>
      <c r="R14" s="6">
        <f t="shared" ref="R14:R19" si="7">H14*$K14</f>
        <v>0</v>
      </c>
      <c r="S14" s="5"/>
    </row>
    <row r="15" spans="2:19" x14ac:dyDescent="0.45">
      <c r="B15" s="245" t="s">
        <v>931</v>
      </c>
      <c r="C15" s="245" t="s">
        <v>96</v>
      </c>
      <c r="D15" s="237"/>
      <c r="E15" s="6"/>
      <c r="F15" s="241"/>
      <c r="G15" s="725"/>
      <c r="H15" s="6">
        <f t="shared" si="5"/>
        <v>0</v>
      </c>
      <c r="I15" s="232"/>
      <c r="K15" s="233">
        <v>1</v>
      </c>
      <c r="M15" s="5" t="str">
        <f t="shared" si="4"/>
        <v>2025-08</v>
      </c>
      <c r="N15" s="6">
        <f t="shared" si="6"/>
        <v>0</v>
      </c>
      <c r="O15" s="6">
        <f t="shared" si="6"/>
        <v>0</v>
      </c>
      <c r="P15" s="6">
        <f t="shared" ref="P15:P19" si="8">F15</f>
        <v>0</v>
      </c>
      <c r="Q15" s="5"/>
      <c r="R15" s="6">
        <f t="shared" si="7"/>
        <v>0</v>
      </c>
      <c r="S15" s="5"/>
    </row>
    <row r="16" spans="2:19" x14ac:dyDescent="0.45">
      <c r="B16" s="245" t="s">
        <v>932</v>
      </c>
      <c r="C16" s="245" t="s">
        <v>96</v>
      </c>
      <c r="D16" s="237"/>
      <c r="E16" s="237"/>
      <c r="F16" s="241"/>
      <c r="G16" s="725"/>
      <c r="H16" s="6">
        <f t="shared" si="5"/>
        <v>0</v>
      </c>
      <c r="I16" s="232"/>
      <c r="K16" s="233">
        <v>1</v>
      </c>
      <c r="M16" s="5" t="str">
        <f t="shared" si="4"/>
        <v>2025-09</v>
      </c>
      <c r="N16" s="6">
        <f t="shared" si="6"/>
        <v>0</v>
      </c>
      <c r="O16" s="6">
        <f t="shared" si="6"/>
        <v>0</v>
      </c>
      <c r="P16" s="6">
        <f t="shared" si="8"/>
        <v>0</v>
      </c>
      <c r="Q16" s="5"/>
      <c r="R16" s="6">
        <f t="shared" si="7"/>
        <v>0</v>
      </c>
      <c r="S16" s="5"/>
    </row>
    <row r="17" spans="2:19" x14ac:dyDescent="0.45">
      <c r="B17" s="245" t="s">
        <v>933</v>
      </c>
      <c r="C17" s="245" t="s">
        <v>96</v>
      </c>
      <c r="D17" s="237"/>
      <c r="E17" s="237"/>
      <c r="F17" s="241"/>
      <c r="G17" s="725"/>
      <c r="H17" s="6">
        <f t="shared" si="5"/>
        <v>0</v>
      </c>
      <c r="I17" s="232"/>
      <c r="K17" s="233">
        <v>1</v>
      </c>
      <c r="M17" s="5" t="str">
        <f t="shared" si="4"/>
        <v>2025-10</v>
      </c>
      <c r="N17" s="6">
        <f t="shared" si="6"/>
        <v>0</v>
      </c>
      <c r="O17" s="6">
        <f t="shared" si="6"/>
        <v>0</v>
      </c>
      <c r="P17" s="6">
        <f t="shared" si="8"/>
        <v>0</v>
      </c>
      <c r="Q17" s="5"/>
      <c r="R17" s="6">
        <f t="shared" si="7"/>
        <v>0</v>
      </c>
      <c r="S17" s="5"/>
    </row>
    <row r="18" spans="2:19" x14ac:dyDescent="0.45">
      <c r="B18" s="245" t="s">
        <v>934</v>
      </c>
      <c r="C18" s="245" t="s">
        <v>96</v>
      </c>
      <c r="D18" s="237"/>
      <c r="E18" s="237"/>
      <c r="F18" s="241"/>
      <c r="G18" s="725"/>
      <c r="H18" s="6">
        <f t="shared" si="5"/>
        <v>0</v>
      </c>
      <c r="I18" s="232"/>
      <c r="K18" s="233">
        <v>1</v>
      </c>
      <c r="M18" s="5" t="str">
        <f t="shared" si="4"/>
        <v>2025-11</v>
      </c>
      <c r="N18" s="6">
        <f t="shared" si="6"/>
        <v>0</v>
      </c>
      <c r="O18" s="6">
        <f t="shared" si="6"/>
        <v>0</v>
      </c>
      <c r="P18" s="6">
        <f t="shared" si="8"/>
        <v>0</v>
      </c>
      <c r="Q18" s="5"/>
      <c r="R18" s="6">
        <f t="shared" si="7"/>
        <v>0</v>
      </c>
      <c r="S18" s="5"/>
    </row>
    <row r="19" spans="2:19" x14ac:dyDescent="0.45">
      <c r="B19" s="245" t="s">
        <v>939</v>
      </c>
      <c r="C19" s="245" t="s">
        <v>96</v>
      </c>
      <c r="D19" s="237"/>
      <c r="E19" s="237"/>
      <c r="F19" s="241"/>
      <c r="G19" s="725"/>
      <c r="H19" s="6">
        <f t="shared" si="5"/>
        <v>0</v>
      </c>
      <c r="I19" s="232"/>
      <c r="K19" s="233">
        <v>1</v>
      </c>
      <c r="M19" s="5" t="str">
        <f t="shared" si="4"/>
        <v>2025-12</v>
      </c>
      <c r="N19" s="6">
        <f t="shared" si="6"/>
        <v>0</v>
      </c>
      <c r="O19" s="6">
        <f t="shared" si="6"/>
        <v>0</v>
      </c>
      <c r="P19" s="6">
        <f t="shared" si="8"/>
        <v>0</v>
      </c>
      <c r="Q19" s="5"/>
      <c r="R19" s="6">
        <f t="shared" si="7"/>
        <v>0</v>
      </c>
      <c r="S19" s="5"/>
    </row>
    <row r="20" spans="2:19" x14ac:dyDescent="0.45">
      <c r="B20" s="39" t="s">
        <v>107</v>
      </c>
      <c r="C20" s="39"/>
      <c r="D20" s="234">
        <f>SUM(D14:D19)</f>
        <v>0</v>
      </c>
      <c r="E20" s="234">
        <f>SUM(E14:E19)</f>
        <v>0</v>
      </c>
      <c r="F20" s="234" t="e">
        <f>AVERAGE(F14:F19)</f>
        <v>#DIV/0!</v>
      </c>
      <c r="G20" s="65" t="s">
        <v>13</v>
      </c>
      <c r="H20" s="234">
        <f>AVERAGE(H14:H19)</f>
        <v>0</v>
      </c>
      <c r="I20" s="235" t="e">
        <f>F20</f>
        <v>#DIV/0!</v>
      </c>
      <c r="M20" s="39" t="str">
        <f t="shared" si="4"/>
        <v>Total</v>
      </c>
      <c r="N20" s="234">
        <f>SUM(N14:N19)</f>
        <v>0</v>
      </c>
      <c r="O20" s="234">
        <f>SUM(O14:O19)</f>
        <v>0</v>
      </c>
      <c r="P20" s="234">
        <f>SUM(P14:P19)</f>
        <v>0</v>
      </c>
      <c r="Q20" s="65" t="s">
        <v>13</v>
      </c>
      <c r="R20" s="234">
        <f>AVERAGE(R14:R19)</f>
        <v>0</v>
      </c>
      <c r="S20" s="235">
        <f>R14</f>
        <v>0</v>
      </c>
    </row>
    <row r="22" spans="2:19" s="4" customFormat="1" ht="39.4" x14ac:dyDescent="0.45">
      <c r="B22" s="228"/>
      <c r="C22" s="3" t="s">
        <v>98</v>
      </c>
      <c r="D22" s="3" t="s">
        <v>99</v>
      </c>
      <c r="E22" s="3" t="s">
        <v>100</v>
      </c>
      <c r="F22" s="3" t="str">
        <f>F13</f>
        <v>Month End Balance</v>
      </c>
      <c r="G22" s="3" t="s">
        <v>102</v>
      </c>
      <c r="H22" s="3" t="str">
        <f>H13</f>
        <v>Available Balance</v>
      </c>
      <c r="I22" s="3" t="str">
        <f>I13</f>
        <v>Average Balance With OD</v>
      </c>
      <c r="K22" s="236"/>
      <c r="M22" s="228" t="s">
        <v>109</v>
      </c>
      <c r="N22" s="3" t="s">
        <v>99</v>
      </c>
      <c r="O22" s="3" t="s">
        <v>100</v>
      </c>
      <c r="P22" s="3" t="str">
        <f>P13</f>
        <v>Average Balance</v>
      </c>
      <c r="Q22" s="3" t="s">
        <v>102</v>
      </c>
      <c r="R22" s="3" t="s">
        <v>106</v>
      </c>
      <c r="S22" s="3" t="s">
        <v>104</v>
      </c>
    </row>
    <row r="23" spans="2:19" x14ac:dyDescent="0.45">
      <c r="B23" s="245" t="s">
        <v>929</v>
      </c>
      <c r="C23" s="245" t="s">
        <v>96</v>
      </c>
      <c r="D23" s="237"/>
      <c r="E23" s="237"/>
      <c r="F23" s="241"/>
      <c r="G23" s="6"/>
      <c r="H23" s="6">
        <f t="shared" ref="H23:H28" si="9">IF(F23&lt;0,F23+G23,G23)</f>
        <v>0</v>
      </c>
      <c r="I23" s="6"/>
      <c r="K23" s="233">
        <v>1</v>
      </c>
      <c r="M23" s="5" t="str">
        <f t="shared" ref="M23:M29" si="10">$B23</f>
        <v>2025-06</v>
      </c>
      <c r="N23" s="6">
        <f t="shared" ref="N23:O28" si="11">D23*$K23</f>
        <v>0</v>
      </c>
      <c r="O23" s="6">
        <f t="shared" si="11"/>
        <v>0</v>
      </c>
      <c r="P23" s="6">
        <f>F23</f>
        <v>0</v>
      </c>
      <c r="Q23" s="5"/>
      <c r="R23" s="6">
        <f t="shared" ref="R23:R28" si="12">H23*$K23</f>
        <v>0</v>
      </c>
      <c r="S23" s="6"/>
    </row>
    <row r="24" spans="2:19" x14ac:dyDescent="0.45">
      <c r="B24" s="245" t="s">
        <v>930</v>
      </c>
      <c r="C24" s="245" t="s">
        <v>96</v>
      </c>
      <c r="D24" s="237"/>
      <c r="E24" s="237"/>
      <c r="F24" s="241"/>
      <c r="G24" s="6"/>
      <c r="H24" s="6">
        <f t="shared" si="9"/>
        <v>0</v>
      </c>
      <c r="I24" s="6"/>
      <c r="K24" s="233">
        <v>1</v>
      </c>
      <c r="M24" s="5" t="str">
        <f t="shared" si="10"/>
        <v>2025-07</v>
      </c>
      <c r="N24" s="6">
        <f t="shared" si="11"/>
        <v>0</v>
      </c>
      <c r="O24" s="6">
        <f t="shared" si="11"/>
        <v>0</v>
      </c>
      <c r="P24" s="6">
        <f t="shared" ref="P24:P28" si="13">F24</f>
        <v>0</v>
      </c>
      <c r="Q24" s="5"/>
      <c r="R24" s="6">
        <f t="shared" si="12"/>
        <v>0</v>
      </c>
      <c r="S24" s="6"/>
    </row>
    <row r="25" spans="2:19" x14ac:dyDescent="0.45">
      <c r="B25" s="245" t="s">
        <v>931</v>
      </c>
      <c r="C25" s="245" t="s">
        <v>96</v>
      </c>
      <c r="D25" s="237"/>
      <c r="E25" s="237"/>
      <c r="F25" s="241"/>
      <c r="G25" s="6"/>
      <c r="H25" s="6">
        <f t="shared" si="9"/>
        <v>0</v>
      </c>
      <c r="I25" s="6"/>
      <c r="K25" s="233">
        <v>1</v>
      </c>
      <c r="M25" s="5" t="str">
        <f t="shared" si="10"/>
        <v>2025-08</v>
      </c>
      <c r="N25" s="6">
        <f t="shared" si="11"/>
        <v>0</v>
      </c>
      <c r="O25" s="6">
        <f t="shared" si="11"/>
        <v>0</v>
      </c>
      <c r="P25" s="6">
        <f t="shared" si="13"/>
        <v>0</v>
      </c>
      <c r="Q25" s="5"/>
      <c r="R25" s="6">
        <f t="shared" si="12"/>
        <v>0</v>
      </c>
      <c r="S25" s="6"/>
    </row>
    <row r="26" spans="2:19" x14ac:dyDescent="0.45">
      <c r="B26" s="245" t="s">
        <v>932</v>
      </c>
      <c r="C26" s="245" t="s">
        <v>96</v>
      </c>
      <c r="D26" s="237"/>
      <c r="E26" s="237"/>
      <c r="F26" s="241"/>
      <c r="G26" s="6"/>
      <c r="H26" s="6">
        <f t="shared" si="9"/>
        <v>0</v>
      </c>
      <c r="I26" s="6"/>
      <c r="K26" s="233">
        <v>1</v>
      </c>
      <c r="M26" s="5" t="str">
        <f t="shared" si="10"/>
        <v>2025-09</v>
      </c>
      <c r="N26" s="6">
        <f t="shared" si="11"/>
        <v>0</v>
      </c>
      <c r="O26" s="6">
        <f t="shared" si="11"/>
        <v>0</v>
      </c>
      <c r="P26" s="6">
        <f t="shared" si="13"/>
        <v>0</v>
      </c>
      <c r="Q26" s="5"/>
      <c r="R26" s="6">
        <f t="shared" si="12"/>
        <v>0</v>
      </c>
      <c r="S26" s="6"/>
    </row>
    <row r="27" spans="2:19" x14ac:dyDescent="0.45">
      <c r="B27" s="245" t="s">
        <v>933</v>
      </c>
      <c r="C27" s="245" t="s">
        <v>96</v>
      </c>
      <c r="D27" s="237"/>
      <c r="E27" s="237"/>
      <c r="F27" s="241"/>
      <c r="G27" s="6"/>
      <c r="H27" s="6">
        <f t="shared" si="9"/>
        <v>0</v>
      </c>
      <c r="I27" s="6"/>
      <c r="K27" s="233">
        <v>1</v>
      </c>
      <c r="M27" s="5" t="str">
        <f t="shared" si="10"/>
        <v>2025-10</v>
      </c>
      <c r="N27" s="6">
        <f t="shared" si="11"/>
        <v>0</v>
      </c>
      <c r="O27" s="6">
        <f t="shared" si="11"/>
        <v>0</v>
      </c>
      <c r="P27" s="6">
        <f t="shared" si="13"/>
        <v>0</v>
      </c>
      <c r="Q27" s="5"/>
      <c r="R27" s="6">
        <f t="shared" si="12"/>
        <v>0</v>
      </c>
      <c r="S27" s="6"/>
    </row>
    <row r="28" spans="2:19" x14ac:dyDescent="0.45">
      <c r="B28" s="245" t="s">
        <v>934</v>
      </c>
      <c r="C28" s="245" t="s">
        <v>96</v>
      </c>
      <c r="D28" s="237"/>
      <c r="E28" s="237"/>
      <c r="F28" s="241"/>
      <c r="G28" s="6"/>
      <c r="H28" s="6">
        <f t="shared" si="9"/>
        <v>0</v>
      </c>
      <c r="I28" s="6"/>
      <c r="K28" s="233">
        <v>1</v>
      </c>
      <c r="M28" s="5" t="str">
        <f t="shared" si="10"/>
        <v>2025-11</v>
      </c>
      <c r="N28" s="6">
        <f t="shared" si="11"/>
        <v>0</v>
      </c>
      <c r="O28" s="6">
        <f t="shared" si="11"/>
        <v>0</v>
      </c>
      <c r="P28" s="6">
        <f t="shared" si="13"/>
        <v>0</v>
      </c>
      <c r="Q28" s="5"/>
      <c r="R28" s="6">
        <f t="shared" si="12"/>
        <v>0</v>
      </c>
      <c r="S28" s="6"/>
    </row>
    <row r="29" spans="2:19" x14ac:dyDescent="0.45">
      <c r="B29" s="39" t="s">
        <v>107</v>
      </c>
      <c r="C29" s="39"/>
      <c r="D29" s="234">
        <f>SUM(D23:D28)</f>
        <v>0</v>
      </c>
      <c r="E29" s="234">
        <f>SUM(E23:E28)</f>
        <v>0</v>
      </c>
      <c r="F29" s="234" t="e">
        <f>AVERAGE(F23:F28)</f>
        <v>#DIV/0!</v>
      </c>
      <c r="G29" s="65" t="s">
        <v>13</v>
      </c>
      <c r="H29" s="234">
        <f>AVERAGE(H23:H28)</f>
        <v>0</v>
      </c>
      <c r="I29" s="235" t="e">
        <f>F29</f>
        <v>#DIV/0!</v>
      </c>
      <c r="M29" s="39" t="str">
        <f t="shared" si="10"/>
        <v>Total</v>
      </c>
      <c r="N29" s="234">
        <f>SUM(N23:N28)</f>
        <v>0</v>
      </c>
      <c r="O29" s="234">
        <f>SUM(O23:O28)</f>
        <v>0</v>
      </c>
      <c r="P29" s="234">
        <f>AVERAGE(P23:P28)</f>
        <v>0</v>
      </c>
      <c r="Q29" s="39"/>
      <c r="R29" s="234">
        <f>AVERAGE(R23:R28)</f>
        <v>0</v>
      </c>
      <c r="S29" s="235">
        <f>R23</f>
        <v>0</v>
      </c>
    </row>
    <row r="32" spans="2:19" s="229" customFormat="1" ht="39.4" x14ac:dyDescent="0.45">
      <c r="B32" s="228" t="s">
        <v>94</v>
      </c>
      <c r="C32" s="3" t="s">
        <v>110</v>
      </c>
      <c r="D32" s="3" t="s">
        <v>111</v>
      </c>
      <c r="E32" s="3" t="s">
        <v>112</v>
      </c>
      <c r="F32" s="3" t="s">
        <v>105</v>
      </c>
      <c r="G32" s="3" t="s">
        <v>113</v>
      </c>
      <c r="H32" s="3" t="s">
        <v>114</v>
      </c>
      <c r="I32" s="3" t="s">
        <v>935</v>
      </c>
      <c r="K32" s="230"/>
      <c r="M32" s="230"/>
      <c r="N32" s="230"/>
      <c r="O32" s="230"/>
      <c r="P32" s="230"/>
      <c r="Q32" s="230"/>
      <c r="R32" s="230"/>
      <c r="S32" s="230"/>
    </row>
    <row r="33" spans="2:19" ht="26.25" x14ac:dyDescent="0.45">
      <c r="B33" s="5" t="str">
        <f>B4</f>
        <v>Bank Muamalat - 9719</v>
      </c>
      <c r="C33" s="7" t="str">
        <f>CONCATENATE(B5," ","to"," ",B10)</f>
        <v>2025-01 to 2025-06</v>
      </c>
      <c r="D33" s="6">
        <f>AVERAGE(D5:D10)</f>
        <v>694044.57666666666</v>
      </c>
      <c r="E33" s="6">
        <f>AVERAGE(E5:E10)</f>
        <v>594532.25666666671</v>
      </c>
      <c r="F33" s="6">
        <f>AVERAGE(F5:F10)</f>
        <v>1879323.4799999997</v>
      </c>
      <c r="G33" s="6" t="str">
        <f>G11</f>
        <v>N/A</v>
      </c>
      <c r="H33" s="6">
        <f>H11</f>
        <v>1879323.4799999997</v>
      </c>
      <c r="I33" s="6">
        <f>F10</f>
        <v>1702002.03</v>
      </c>
      <c r="K33" s="230"/>
      <c r="M33" s="230"/>
      <c r="N33" s="230"/>
      <c r="O33" s="230"/>
      <c r="P33" s="230"/>
      <c r="Q33" s="230"/>
      <c r="R33" s="230"/>
      <c r="S33" s="230"/>
    </row>
    <row r="34" spans="2:19" ht="26.25" x14ac:dyDescent="0.45">
      <c r="B34" s="5">
        <f>B13</f>
        <v>0</v>
      </c>
      <c r="C34" s="7" t="str">
        <f>CONCATENATE(B14," ","to"," ",B19)</f>
        <v>2025-07 to 2025-12</v>
      </c>
      <c r="D34" s="6" t="e">
        <f>AVERAGE(D14:D19)</f>
        <v>#DIV/0!</v>
      </c>
      <c r="E34" s="6" t="e">
        <f>AVERAGE(E14:E19)</f>
        <v>#DIV/0!</v>
      </c>
      <c r="F34" s="6" t="e">
        <f>AVERAGE(F14:F19)</f>
        <v>#DIV/0!</v>
      </c>
      <c r="G34" s="6" t="str">
        <f>G20</f>
        <v>N/A</v>
      </c>
      <c r="H34" s="6">
        <f>H20</f>
        <v>0</v>
      </c>
      <c r="I34" s="6">
        <f>F19</f>
        <v>0</v>
      </c>
      <c r="K34" s="230"/>
      <c r="M34" s="230"/>
      <c r="N34" s="230"/>
      <c r="O34" s="230"/>
      <c r="P34" s="230"/>
      <c r="Q34" s="230"/>
      <c r="R34" s="230"/>
      <c r="S34" s="230"/>
    </row>
    <row r="35" spans="2:19" ht="26.25" x14ac:dyDescent="0.45">
      <c r="B35" s="5">
        <f>B22</f>
        <v>0</v>
      </c>
      <c r="C35" s="7" t="str">
        <f>CONCATENATE(B23," ","to"," ",B28)</f>
        <v>2025-06 to 2025-11</v>
      </c>
      <c r="D35" s="6" t="e">
        <f>AVERAGE(D23:D28)</f>
        <v>#DIV/0!</v>
      </c>
      <c r="E35" s="6" t="e">
        <f>AVERAGE(E23:E28)</f>
        <v>#DIV/0!</v>
      </c>
      <c r="F35" s="6" t="e">
        <f>AVERAGE(F23:F28)</f>
        <v>#DIV/0!</v>
      </c>
      <c r="G35" s="6" t="str">
        <f>G29</f>
        <v>N/A</v>
      </c>
      <c r="H35" s="6">
        <f>H29</f>
        <v>0</v>
      </c>
      <c r="I35" s="6">
        <f>F28</f>
        <v>0</v>
      </c>
      <c r="K35" s="230"/>
      <c r="M35" s="230"/>
      <c r="N35" s="230"/>
      <c r="O35" s="230"/>
      <c r="P35" s="230"/>
      <c r="Q35" s="230"/>
      <c r="R35" s="230"/>
      <c r="S35" s="230"/>
    </row>
    <row r="36" spans="2:19" x14ac:dyDescent="0.45">
      <c r="B36" s="39" t="s">
        <v>107</v>
      </c>
      <c r="C36" s="39"/>
      <c r="D36" s="234" t="e">
        <f>SUM(D33:D35)</f>
        <v>#DIV/0!</v>
      </c>
      <c r="E36" s="234" t="e">
        <f>SUM(E33:E35)</f>
        <v>#DIV/0!</v>
      </c>
      <c r="F36" s="234" t="e">
        <f>SUM(F33:F35)</f>
        <v>#DIV/0!</v>
      </c>
      <c r="G36" s="234">
        <f>SUM(G33:G35)</f>
        <v>0</v>
      </c>
      <c r="H36" s="234">
        <f>SUM(H33:H35)</f>
        <v>1879323.4799999997</v>
      </c>
      <c r="I36" s="238"/>
      <c r="K36" s="230"/>
      <c r="M36" s="230"/>
      <c r="N36" s="230"/>
      <c r="O36" s="230"/>
      <c r="P36" s="230"/>
      <c r="Q36" s="230"/>
      <c r="R36" s="230"/>
      <c r="S36" s="230"/>
    </row>
    <row r="37" spans="2:19" x14ac:dyDescent="0.45">
      <c r="N37" s="239"/>
      <c r="O37" s="239"/>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25" x14ac:dyDescent="0.45"/>
  <cols>
    <col min="1" max="1" width="3.73046875" style="143" customWidth="1"/>
    <col min="2" max="2" width="24.265625" style="142" bestFit="1" customWidth="1"/>
    <col min="3" max="3" width="4.73046875" style="142" customWidth="1"/>
    <col min="4" max="4" width="8" style="142" customWidth="1"/>
    <col min="5" max="5" width="34.265625" style="143" customWidth="1"/>
    <col min="6" max="7" width="15" style="143" customWidth="1"/>
    <col min="8" max="8" width="47.59765625" style="143" customWidth="1"/>
    <col min="9" max="9" width="3.59765625" style="143" customWidth="1"/>
    <col min="10" max="10" width="5.265625" style="143" customWidth="1"/>
    <col min="11" max="11" width="11.3984375" style="143" bestFit="1" customWidth="1"/>
    <col min="12" max="12" width="20.1328125" style="143" bestFit="1" customWidth="1"/>
    <col min="13" max="14" width="10.59765625" style="143" bestFit="1" customWidth="1"/>
    <col min="15" max="259" width="9.1328125" style="143"/>
    <col min="260" max="260" width="3.73046875" style="143" customWidth="1"/>
    <col min="261" max="261" width="3.86328125" style="143" customWidth="1"/>
    <col min="262" max="262" width="9.1328125" style="143"/>
    <col min="263" max="263" width="34" style="143" customWidth="1"/>
    <col min="264" max="264" width="15" style="143" customWidth="1"/>
    <col min="265" max="265" width="9.1328125" style="143"/>
    <col min="266" max="266" width="5.265625" style="143" customWidth="1"/>
    <col min="267" max="267" width="9.1328125" style="143"/>
    <col min="268" max="268" width="32.265625" style="143" customWidth="1"/>
    <col min="269" max="269" width="16.73046875" style="143" customWidth="1"/>
    <col min="270" max="515" width="9.1328125" style="143"/>
    <col min="516" max="516" width="3.73046875" style="143" customWidth="1"/>
    <col min="517" max="517" width="3.86328125" style="143" customWidth="1"/>
    <col min="518" max="518" width="9.1328125" style="143"/>
    <col min="519" max="519" width="34" style="143" customWidth="1"/>
    <col min="520" max="520" width="15" style="143" customWidth="1"/>
    <col min="521" max="521" width="9.1328125" style="143"/>
    <col min="522" max="522" width="5.265625" style="143" customWidth="1"/>
    <col min="523" max="523" width="9.1328125" style="143"/>
    <col min="524" max="524" width="32.265625" style="143" customWidth="1"/>
    <col min="525" max="525" width="16.73046875" style="143" customWidth="1"/>
    <col min="526" max="771" width="9.1328125" style="143"/>
    <col min="772" max="772" width="3.73046875" style="143" customWidth="1"/>
    <col min="773" max="773" width="3.86328125" style="143" customWidth="1"/>
    <col min="774" max="774" width="9.1328125" style="143"/>
    <col min="775" max="775" width="34" style="143" customWidth="1"/>
    <col min="776" max="776" width="15" style="143" customWidth="1"/>
    <col min="777" max="777" width="9.1328125" style="143"/>
    <col min="778" max="778" width="5.265625" style="143" customWidth="1"/>
    <col min="779" max="779" width="9.1328125" style="143"/>
    <col min="780" max="780" width="32.265625" style="143" customWidth="1"/>
    <col min="781" max="781" width="16.73046875" style="143" customWidth="1"/>
    <col min="782" max="1027" width="9.1328125" style="143"/>
    <col min="1028" max="1028" width="3.73046875" style="143" customWidth="1"/>
    <col min="1029" max="1029" width="3.86328125" style="143" customWidth="1"/>
    <col min="1030" max="1030" width="9.1328125" style="143"/>
    <col min="1031" max="1031" width="34" style="143" customWidth="1"/>
    <col min="1032" max="1032" width="15" style="143" customWidth="1"/>
    <col min="1033" max="1033" width="9.1328125" style="143"/>
    <col min="1034" max="1034" width="5.265625" style="143" customWidth="1"/>
    <col min="1035" max="1035" width="9.1328125" style="143"/>
    <col min="1036" max="1036" width="32.265625" style="143" customWidth="1"/>
    <col min="1037" max="1037" width="16.73046875" style="143" customWidth="1"/>
    <col min="1038" max="1283" width="9.1328125" style="143"/>
    <col min="1284" max="1284" width="3.73046875" style="143" customWidth="1"/>
    <col min="1285" max="1285" width="3.86328125" style="143" customWidth="1"/>
    <col min="1286" max="1286" width="9.1328125" style="143"/>
    <col min="1287" max="1287" width="34" style="143" customWidth="1"/>
    <col min="1288" max="1288" width="15" style="143" customWidth="1"/>
    <col min="1289" max="1289" width="9.1328125" style="143"/>
    <col min="1290" max="1290" width="5.265625" style="143" customWidth="1"/>
    <col min="1291" max="1291" width="9.1328125" style="143"/>
    <col min="1292" max="1292" width="32.265625" style="143" customWidth="1"/>
    <col min="1293" max="1293" width="16.73046875" style="143" customWidth="1"/>
    <col min="1294" max="1539" width="9.1328125" style="143"/>
    <col min="1540" max="1540" width="3.73046875" style="143" customWidth="1"/>
    <col min="1541" max="1541" width="3.86328125" style="143" customWidth="1"/>
    <col min="1542" max="1542" width="9.1328125" style="143"/>
    <col min="1543" max="1543" width="34" style="143" customWidth="1"/>
    <col min="1544" max="1544" width="15" style="143" customWidth="1"/>
    <col min="1545" max="1545" width="9.1328125" style="143"/>
    <col min="1546" max="1546" width="5.265625" style="143" customWidth="1"/>
    <col min="1547" max="1547" width="9.1328125" style="143"/>
    <col min="1548" max="1548" width="32.265625" style="143" customWidth="1"/>
    <col min="1549" max="1549" width="16.73046875" style="143" customWidth="1"/>
    <col min="1550" max="1795" width="9.1328125" style="143"/>
    <col min="1796" max="1796" width="3.73046875" style="143" customWidth="1"/>
    <col min="1797" max="1797" width="3.86328125" style="143" customWidth="1"/>
    <col min="1798" max="1798" width="9.1328125" style="143"/>
    <col min="1799" max="1799" width="34" style="143" customWidth="1"/>
    <col min="1800" max="1800" width="15" style="143" customWidth="1"/>
    <col min="1801" max="1801" width="9.1328125" style="143"/>
    <col min="1802" max="1802" width="5.265625" style="143" customWidth="1"/>
    <col min="1803" max="1803" width="9.1328125" style="143"/>
    <col min="1804" max="1804" width="32.265625" style="143" customWidth="1"/>
    <col min="1805" max="1805" width="16.73046875" style="143" customWidth="1"/>
    <col min="1806" max="2051" width="9.1328125" style="143"/>
    <col min="2052" max="2052" width="3.73046875" style="143" customWidth="1"/>
    <col min="2053" max="2053" width="3.86328125" style="143" customWidth="1"/>
    <col min="2054" max="2054" width="9.1328125" style="143"/>
    <col min="2055" max="2055" width="34" style="143" customWidth="1"/>
    <col min="2056" max="2056" width="15" style="143" customWidth="1"/>
    <col min="2057" max="2057" width="9.1328125" style="143"/>
    <col min="2058" max="2058" width="5.265625" style="143" customWidth="1"/>
    <col min="2059" max="2059" width="9.1328125" style="143"/>
    <col min="2060" max="2060" width="32.265625" style="143" customWidth="1"/>
    <col min="2061" max="2061" width="16.73046875" style="143" customWidth="1"/>
    <col min="2062" max="2307" width="9.1328125" style="143"/>
    <col min="2308" max="2308" width="3.73046875" style="143" customWidth="1"/>
    <col min="2309" max="2309" width="3.86328125" style="143" customWidth="1"/>
    <col min="2310" max="2310" width="9.1328125" style="143"/>
    <col min="2311" max="2311" width="34" style="143" customWidth="1"/>
    <col min="2312" max="2312" width="15" style="143" customWidth="1"/>
    <col min="2313" max="2313" width="9.1328125" style="143"/>
    <col min="2314" max="2314" width="5.265625" style="143" customWidth="1"/>
    <col min="2315" max="2315" width="9.1328125" style="143"/>
    <col min="2316" max="2316" width="32.265625" style="143" customWidth="1"/>
    <col min="2317" max="2317" width="16.73046875" style="143" customWidth="1"/>
    <col min="2318" max="2563" width="9.1328125" style="143"/>
    <col min="2564" max="2564" width="3.73046875" style="143" customWidth="1"/>
    <col min="2565" max="2565" width="3.86328125" style="143" customWidth="1"/>
    <col min="2566" max="2566" width="9.1328125" style="143"/>
    <col min="2567" max="2567" width="34" style="143" customWidth="1"/>
    <col min="2568" max="2568" width="15" style="143" customWidth="1"/>
    <col min="2569" max="2569" width="9.1328125" style="143"/>
    <col min="2570" max="2570" width="5.265625" style="143" customWidth="1"/>
    <col min="2571" max="2571" width="9.1328125" style="143"/>
    <col min="2572" max="2572" width="32.265625" style="143" customWidth="1"/>
    <col min="2573" max="2573" width="16.73046875" style="143" customWidth="1"/>
    <col min="2574" max="2819" width="9.1328125" style="143"/>
    <col min="2820" max="2820" width="3.73046875" style="143" customWidth="1"/>
    <col min="2821" max="2821" width="3.86328125" style="143" customWidth="1"/>
    <col min="2822" max="2822" width="9.1328125" style="143"/>
    <col min="2823" max="2823" width="34" style="143" customWidth="1"/>
    <col min="2824" max="2824" width="15" style="143" customWidth="1"/>
    <col min="2825" max="2825" width="9.1328125" style="143"/>
    <col min="2826" max="2826" width="5.265625" style="143" customWidth="1"/>
    <col min="2827" max="2827" width="9.1328125" style="143"/>
    <col min="2828" max="2828" width="32.265625" style="143" customWidth="1"/>
    <col min="2829" max="2829" width="16.73046875" style="143" customWidth="1"/>
    <col min="2830" max="3075" width="9.1328125" style="143"/>
    <col min="3076" max="3076" width="3.73046875" style="143" customWidth="1"/>
    <col min="3077" max="3077" width="3.86328125" style="143" customWidth="1"/>
    <col min="3078" max="3078" width="9.1328125" style="143"/>
    <col min="3079" max="3079" width="34" style="143" customWidth="1"/>
    <col min="3080" max="3080" width="15" style="143" customWidth="1"/>
    <col min="3081" max="3081" width="9.1328125" style="143"/>
    <col min="3082" max="3082" width="5.265625" style="143" customWidth="1"/>
    <col min="3083" max="3083" width="9.1328125" style="143"/>
    <col min="3084" max="3084" width="32.265625" style="143" customWidth="1"/>
    <col min="3085" max="3085" width="16.73046875" style="143" customWidth="1"/>
    <col min="3086" max="3331" width="9.1328125" style="143"/>
    <col min="3332" max="3332" width="3.73046875" style="143" customWidth="1"/>
    <col min="3333" max="3333" width="3.86328125" style="143" customWidth="1"/>
    <col min="3334" max="3334" width="9.1328125" style="143"/>
    <col min="3335" max="3335" width="34" style="143" customWidth="1"/>
    <col min="3336" max="3336" width="15" style="143" customWidth="1"/>
    <col min="3337" max="3337" width="9.1328125" style="143"/>
    <col min="3338" max="3338" width="5.265625" style="143" customWidth="1"/>
    <col min="3339" max="3339" width="9.1328125" style="143"/>
    <col min="3340" max="3340" width="32.265625" style="143" customWidth="1"/>
    <col min="3341" max="3341" width="16.73046875" style="143" customWidth="1"/>
    <col min="3342" max="3587" width="9.1328125" style="143"/>
    <col min="3588" max="3588" width="3.73046875" style="143" customWidth="1"/>
    <col min="3589" max="3589" width="3.86328125" style="143" customWidth="1"/>
    <col min="3590" max="3590" width="9.1328125" style="143"/>
    <col min="3591" max="3591" width="34" style="143" customWidth="1"/>
    <col min="3592" max="3592" width="15" style="143" customWidth="1"/>
    <col min="3593" max="3593" width="9.1328125" style="143"/>
    <col min="3594" max="3594" width="5.265625" style="143" customWidth="1"/>
    <col min="3595" max="3595" width="9.1328125" style="143"/>
    <col min="3596" max="3596" width="32.265625" style="143" customWidth="1"/>
    <col min="3597" max="3597" width="16.73046875" style="143" customWidth="1"/>
    <col min="3598" max="3843" width="9.1328125" style="143"/>
    <col min="3844" max="3844" width="3.73046875" style="143" customWidth="1"/>
    <col min="3845" max="3845" width="3.86328125" style="143" customWidth="1"/>
    <col min="3846" max="3846" width="9.1328125" style="143"/>
    <col min="3847" max="3847" width="34" style="143" customWidth="1"/>
    <col min="3848" max="3848" width="15" style="143" customWidth="1"/>
    <col min="3849" max="3849" width="9.1328125" style="143"/>
    <col min="3850" max="3850" width="5.265625" style="143" customWidth="1"/>
    <col min="3851" max="3851" width="9.1328125" style="143"/>
    <col min="3852" max="3852" width="32.265625" style="143" customWidth="1"/>
    <col min="3853" max="3853" width="16.73046875" style="143" customWidth="1"/>
    <col min="3854" max="4099" width="9.1328125" style="143"/>
    <col min="4100" max="4100" width="3.73046875" style="143" customWidth="1"/>
    <col min="4101" max="4101" width="3.86328125" style="143" customWidth="1"/>
    <col min="4102" max="4102" width="9.1328125" style="143"/>
    <col min="4103" max="4103" width="34" style="143" customWidth="1"/>
    <col min="4104" max="4104" width="15" style="143" customWidth="1"/>
    <col min="4105" max="4105" width="9.1328125" style="143"/>
    <col min="4106" max="4106" width="5.265625" style="143" customWidth="1"/>
    <col min="4107" max="4107" width="9.1328125" style="143"/>
    <col min="4108" max="4108" width="32.265625" style="143" customWidth="1"/>
    <col min="4109" max="4109" width="16.73046875" style="143" customWidth="1"/>
    <col min="4110" max="4355" width="9.1328125" style="143"/>
    <col min="4356" max="4356" width="3.73046875" style="143" customWidth="1"/>
    <col min="4357" max="4357" width="3.86328125" style="143" customWidth="1"/>
    <col min="4358" max="4358" width="9.1328125" style="143"/>
    <col min="4359" max="4359" width="34" style="143" customWidth="1"/>
    <col min="4360" max="4360" width="15" style="143" customWidth="1"/>
    <col min="4361" max="4361" width="9.1328125" style="143"/>
    <col min="4362" max="4362" width="5.265625" style="143" customWidth="1"/>
    <col min="4363" max="4363" width="9.1328125" style="143"/>
    <col min="4364" max="4364" width="32.265625" style="143" customWidth="1"/>
    <col min="4365" max="4365" width="16.73046875" style="143" customWidth="1"/>
    <col min="4366" max="4611" width="9.1328125" style="143"/>
    <col min="4612" max="4612" width="3.73046875" style="143" customWidth="1"/>
    <col min="4613" max="4613" width="3.86328125" style="143" customWidth="1"/>
    <col min="4614" max="4614" width="9.1328125" style="143"/>
    <col min="4615" max="4615" width="34" style="143" customWidth="1"/>
    <col min="4616" max="4616" width="15" style="143" customWidth="1"/>
    <col min="4617" max="4617" width="9.1328125" style="143"/>
    <col min="4618" max="4618" width="5.265625" style="143" customWidth="1"/>
    <col min="4619" max="4619" width="9.1328125" style="143"/>
    <col min="4620" max="4620" width="32.265625" style="143" customWidth="1"/>
    <col min="4621" max="4621" width="16.73046875" style="143" customWidth="1"/>
    <col min="4622" max="4867" width="9.1328125" style="143"/>
    <col min="4868" max="4868" width="3.73046875" style="143" customWidth="1"/>
    <col min="4869" max="4869" width="3.86328125" style="143" customWidth="1"/>
    <col min="4870" max="4870" width="9.1328125" style="143"/>
    <col min="4871" max="4871" width="34" style="143" customWidth="1"/>
    <col min="4872" max="4872" width="15" style="143" customWidth="1"/>
    <col min="4873" max="4873" width="9.1328125" style="143"/>
    <col min="4874" max="4874" width="5.265625" style="143" customWidth="1"/>
    <col min="4875" max="4875" width="9.1328125" style="143"/>
    <col min="4876" max="4876" width="32.265625" style="143" customWidth="1"/>
    <col min="4877" max="4877" width="16.73046875" style="143" customWidth="1"/>
    <col min="4878" max="5123" width="9.1328125" style="143"/>
    <col min="5124" max="5124" width="3.73046875" style="143" customWidth="1"/>
    <col min="5125" max="5125" width="3.86328125" style="143" customWidth="1"/>
    <col min="5126" max="5126" width="9.1328125" style="143"/>
    <col min="5127" max="5127" width="34" style="143" customWidth="1"/>
    <col min="5128" max="5128" width="15" style="143" customWidth="1"/>
    <col min="5129" max="5129" width="9.1328125" style="143"/>
    <col min="5130" max="5130" width="5.265625" style="143" customWidth="1"/>
    <col min="5131" max="5131" width="9.1328125" style="143"/>
    <col min="5132" max="5132" width="32.265625" style="143" customWidth="1"/>
    <col min="5133" max="5133" width="16.73046875" style="143" customWidth="1"/>
    <col min="5134" max="5379" width="9.1328125" style="143"/>
    <col min="5380" max="5380" width="3.73046875" style="143" customWidth="1"/>
    <col min="5381" max="5381" width="3.86328125" style="143" customWidth="1"/>
    <col min="5382" max="5382" width="9.1328125" style="143"/>
    <col min="5383" max="5383" width="34" style="143" customWidth="1"/>
    <col min="5384" max="5384" width="15" style="143" customWidth="1"/>
    <col min="5385" max="5385" width="9.1328125" style="143"/>
    <col min="5386" max="5386" width="5.265625" style="143" customWidth="1"/>
    <col min="5387" max="5387" width="9.1328125" style="143"/>
    <col min="5388" max="5388" width="32.265625" style="143" customWidth="1"/>
    <col min="5389" max="5389" width="16.73046875" style="143" customWidth="1"/>
    <col min="5390" max="5635" width="9.1328125" style="143"/>
    <col min="5636" max="5636" width="3.73046875" style="143" customWidth="1"/>
    <col min="5637" max="5637" width="3.86328125" style="143" customWidth="1"/>
    <col min="5638" max="5638" width="9.1328125" style="143"/>
    <col min="5639" max="5639" width="34" style="143" customWidth="1"/>
    <col min="5640" max="5640" width="15" style="143" customWidth="1"/>
    <col min="5641" max="5641" width="9.1328125" style="143"/>
    <col min="5642" max="5642" width="5.265625" style="143" customWidth="1"/>
    <col min="5643" max="5643" width="9.1328125" style="143"/>
    <col min="5644" max="5644" width="32.265625" style="143" customWidth="1"/>
    <col min="5645" max="5645" width="16.73046875" style="143" customWidth="1"/>
    <col min="5646" max="5891" width="9.1328125" style="143"/>
    <col min="5892" max="5892" width="3.73046875" style="143" customWidth="1"/>
    <col min="5893" max="5893" width="3.86328125" style="143" customWidth="1"/>
    <col min="5894" max="5894" width="9.1328125" style="143"/>
    <col min="5895" max="5895" width="34" style="143" customWidth="1"/>
    <col min="5896" max="5896" width="15" style="143" customWidth="1"/>
    <col min="5897" max="5897" width="9.1328125" style="143"/>
    <col min="5898" max="5898" width="5.265625" style="143" customWidth="1"/>
    <col min="5899" max="5899" width="9.1328125" style="143"/>
    <col min="5900" max="5900" width="32.265625" style="143" customWidth="1"/>
    <col min="5901" max="5901" width="16.73046875" style="143" customWidth="1"/>
    <col min="5902" max="6147" width="9.1328125" style="143"/>
    <col min="6148" max="6148" width="3.73046875" style="143" customWidth="1"/>
    <col min="6149" max="6149" width="3.86328125" style="143" customWidth="1"/>
    <col min="6150" max="6150" width="9.1328125" style="143"/>
    <col min="6151" max="6151" width="34" style="143" customWidth="1"/>
    <col min="6152" max="6152" width="15" style="143" customWidth="1"/>
    <col min="6153" max="6153" width="9.1328125" style="143"/>
    <col min="6154" max="6154" width="5.265625" style="143" customWidth="1"/>
    <col min="6155" max="6155" width="9.1328125" style="143"/>
    <col min="6156" max="6156" width="32.265625" style="143" customWidth="1"/>
    <col min="6157" max="6157" width="16.73046875" style="143" customWidth="1"/>
    <col min="6158" max="6403" width="9.1328125" style="143"/>
    <col min="6404" max="6404" width="3.73046875" style="143" customWidth="1"/>
    <col min="6405" max="6405" width="3.86328125" style="143" customWidth="1"/>
    <col min="6406" max="6406" width="9.1328125" style="143"/>
    <col min="6407" max="6407" width="34" style="143" customWidth="1"/>
    <col min="6408" max="6408" width="15" style="143" customWidth="1"/>
    <col min="6409" max="6409" width="9.1328125" style="143"/>
    <col min="6410" max="6410" width="5.265625" style="143" customWidth="1"/>
    <col min="6411" max="6411" width="9.1328125" style="143"/>
    <col min="6412" max="6412" width="32.265625" style="143" customWidth="1"/>
    <col min="6413" max="6413" width="16.73046875" style="143" customWidth="1"/>
    <col min="6414" max="6659" width="9.1328125" style="143"/>
    <col min="6660" max="6660" width="3.73046875" style="143" customWidth="1"/>
    <col min="6661" max="6661" width="3.86328125" style="143" customWidth="1"/>
    <col min="6662" max="6662" width="9.1328125" style="143"/>
    <col min="6663" max="6663" width="34" style="143" customWidth="1"/>
    <col min="6664" max="6664" width="15" style="143" customWidth="1"/>
    <col min="6665" max="6665" width="9.1328125" style="143"/>
    <col min="6666" max="6666" width="5.265625" style="143" customWidth="1"/>
    <col min="6667" max="6667" width="9.1328125" style="143"/>
    <col min="6668" max="6668" width="32.265625" style="143" customWidth="1"/>
    <col min="6669" max="6669" width="16.73046875" style="143" customWidth="1"/>
    <col min="6670" max="6915" width="9.1328125" style="143"/>
    <col min="6916" max="6916" width="3.73046875" style="143" customWidth="1"/>
    <col min="6917" max="6917" width="3.86328125" style="143" customWidth="1"/>
    <col min="6918" max="6918" width="9.1328125" style="143"/>
    <col min="6919" max="6919" width="34" style="143" customWidth="1"/>
    <col min="6920" max="6920" width="15" style="143" customWidth="1"/>
    <col min="6921" max="6921" width="9.1328125" style="143"/>
    <col min="6922" max="6922" width="5.265625" style="143" customWidth="1"/>
    <col min="6923" max="6923" width="9.1328125" style="143"/>
    <col min="6924" max="6924" width="32.265625" style="143" customWidth="1"/>
    <col min="6925" max="6925" width="16.73046875" style="143" customWidth="1"/>
    <col min="6926" max="7171" width="9.1328125" style="143"/>
    <col min="7172" max="7172" width="3.73046875" style="143" customWidth="1"/>
    <col min="7173" max="7173" width="3.86328125" style="143" customWidth="1"/>
    <col min="7174" max="7174" width="9.1328125" style="143"/>
    <col min="7175" max="7175" width="34" style="143" customWidth="1"/>
    <col min="7176" max="7176" width="15" style="143" customWidth="1"/>
    <col min="7177" max="7177" width="9.1328125" style="143"/>
    <col min="7178" max="7178" width="5.265625" style="143" customWidth="1"/>
    <col min="7179" max="7179" width="9.1328125" style="143"/>
    <col min="7180" max="7180" width="32.265625" style="143" customWidth="1"/>
    <col min="7181" max="7181" width="16.73046875" style="143" customWidth="1"/>
    <col min="7182" max="7427" width="9.1328125" style="143"/>
    <col min="7428" max="7428" width="3.73046875" style="143" customWidth="1"/>
    <col min="7429" max="7429" width="3.86328125" style="143" customWidth="1"/>
    <col min="7430" max="7430" width="9.1328125" style="143"/>
    <col min="7431" max="7431" width="34" style="143" customWidth="1"/>
    <col min="7432" max="7432" width="15" style="143" customWidth="1"/>
    <col min="7433" max="7433" width="9.1328125" style="143"/>
    <col min="7434" max="7434" width="5.265625" style="143" customWidth="1"/>
    <col min="7435" max="7435" width="9.1328125" style="143"/>
    <col min="7436" max="7436" width="32.265625" style="143" customWidth="1"/>
    <col min="7437" max="7437" width="16.73046875" style="143" customWidth="1"/>
    <col min="7438" max="7683" width="9.1328125" style="143"/>
    <col min="7684" max="7684" width="3.73046875" style="143" customWidth="1"/>
    <col min="7685" max="7685" width="3.86328125" style="143" customWidth="1"/>
    <col min="7686" max="7686" width="9.1328125" style="143"/>
    <col min="7687" max="7687" width="34" style="143" customWidth="1"/>
    <col min="7688" max="7688" width="15" style="143" customWidth="1"/>
    <col min="7689" max="7689" width="9.1328125" style="143"/>
    <col min="7690" max="7690" width="5.265625" style="143" customWidth="1"/>
    <col min="7691" max="7691" width="9.1328125" style="143"/>
    <col min="7692" max="7692" width="32.265625" style="143" customWidth="1"/>
    <col min="7693" max="7693" width="16.73046875" style="143" customWidth="1"/>
    <col min="7694" max="7939" width="9.1328125" style="143"/>
    <col min="7940" max="7940" width="3.73046875" style="143" customWidth="1"/>
    <col min="7941" max="7941" width="3.86328125" style="143" customWidth="1"/>
    <col min="7942" max="7942" width="9.1328125" style="143"/>
    <col min="7943" max="7943" width="34" style="143" customWidth="1"/>
    <col min="7944" max="7944" width="15" style="143" customWidth="1"/>
    <col min="7945" max="7945" width="9.1328125" style="143"/>
    <col min="7946" max="7946" width="5.265625" style="143" customWidth="1"/>
    <col min="7947" max="7947" width="9.1328125" style="143"/>
    <col min="7948" max="7948" width="32.265625" style="143" customWidth="1"/>
    <col min="7949" max="7949" width="16.73046875" style="143" customWidth="1"/>
    <col min="7950" max="8195" width="9.1328125" style="143"/>
    <col min="8196" max="8196" width="3.73046875" style="143" customWidth="1"/>
    <col min="8197" max="8197" width="3.86328125" style="143" customWidth="1"/>
    <col min="8198" max="8198" width="9.1328125" style="143"/>
    <col min="8199" max="8199" width="34" style="143" customWidth="1"/>
    <col min="8200" max="8200" width="15" style="143" customWidth="1"/>
    <col min="8201" max="8201" width="9.1328125" style="143"/>
    <col min="8202" max="8202" width="5.265625" style="143" customWidth="1"/>
    <col min="8203" max="8203" width="9.1328125" style="143"/>
    <col min="8204" max="8204" width="32.265625" style="143" customWidth="1"/>
    <col min="8205" max="8205" width="16.73046875" style="143" customWidth="1"/>
    <col min="8206" max="8451" width="9.1328125" style="143"/>
    <col min="8452" max="8452" width="3.73046875" style="143" customWidth="1"/>
    <col min="8453" max="8453" width="3.86328125" style="143" customWidth="1"/>
    <col min="8454" max="8454" width="9.1328125" style="143"/>
    <col min="8455" max="8455" width="34" style="143" customWidth="1"/>
    <col min="8456" max="8456" width="15" style="143" customWidth="1"/>
    <col min="8457" max="8457" width="9.1328125" style="143"/>
    <col min="8458" max="8458" width="5.265625" style="143" customWidth="1"/>
    <col min="8459" max="8459" width="9.1328125" style="143"/>
    <col min="8460" max="8460" width="32.265625" style="143" customWidth="1"/>
    <col min="8461" max="8461" width="16.73046875" style="143" customWidth="1"/>
    <col min="8462" max="8707" width="9.1328125" style="143"/>
    <col min="8708" max="8708" width="3.73046875" style="143" customWidth="1"/>
    <col min="8709" max="8709" width="3.86328125" style="143" customWidth="1"/>
    <col min="8710" max="8710" width="9.1328125" style="143"/>
    <col min="8711" max="8711" width="34" style="143" customWidth="1"/>
    <col min="8712" max="8712" width="15" style="143" customWidth="1"/>
    <col min="8713" max="8713" width="9.1328125" style="143"/>
    <col min="8714" max="8714" width="5.265625" style="143" customWidth="1"/>
    <col min="8715" max="8715" width="9.1328125" style="143"/>
    <col min="8716" max="8716" width="32.265625" style="143" customWidth="1"/>
    <col min="8717" max="8717" width="16.73046875" style="143" customWidth="1"/>
    <col min="8718" max="8963" width="9.1328125" style="143"/>
    <col min="8964" max="8964" width="3.73046875" style="143" customWidth="1"/>
    <col min="8965" max="8965" width="3.86328125" style="143" customWidth="1"/>
    <col min="8966" max="8966" width="9.1328125" style="143"/>
    <col min="8967" max="8967" width="34" style="143" customWidth="1"/>
    <col min="8968" max="8968" width="15" style="143" customWidth="1"/>
    <col min="8969" max="8969" width="9.1328125" style="143"/>
    <col min="8970" max="8970" width="5.265625" style="143" customWidth="1"/>
    <col min="8971" max="8971" width="9.1328125" style="143"/>
    <col min="8972" max="8972" width="32.265625" style="143" customWidth="1"/>
    <col min="8973" max="8973" width="16.73046875" style="143" customWidth="1"/>
    <col min="8974" max="9219" width="9.1328125" style="143"/>
    <col min="9220" max="9220" width="3.73046875" style="143" customWidth="1"/>
    <col min="9221" max="9221" width="3.86328125" style="143" customWidth="1"/>
    <col min="9222" max="9222" width="9.1328125" style="143"/>
    <col min="9223" max="9223" width="34" style="143" customWidth="1"/>
    <col min="9224" max="9224" width="15" style="143" customWidth="1"/>
    <col min="9225" max="9225" width="9.1328125" style="143"/>
    <col min="9226" max="9226" width="5.265625" style="143" customWidth="1"/>
    <col min="9227" max="9227" width="9.1328125" style="143"/>
    <col min="9228" max="9228" width="32.265625" style="143" customWidth="1"/>
    <col min="9229" max="9229" width="16.73046875" style="143" customWidth="1"/>
    <col min="9230" max="9475" width="9.1328125" style="143"/>
    <col min="9476" max="9476" width="3.73046875" style="143" customWidth="1"/>
    <col min="9477" max="9477" width="3.86328125" style="143" customWidth="1"/>
    <col min="9478" max="9478" width="9.1328125" style="143"/>
    <col min="9479" max="9479" width="34" style="143" customWidth="1"/>
    <col min="9480" max="9480" width="15" style="143" customWidth="1"/>
    <col min="9481" max="9481" width="9.1328125" style="143"/>
    <col min="9482" max="9482" width="5.265625" style="143" customWidth="1"/>
    <col min="9483" max="9483" width="9.1328125" style="143"/>
    <col min="9484" max="9484" width="32.265625" style="143" customWidth="1"/>
    <col min="9485" max="9485" width="16.73046875" style="143" customWidth="1"/>
    <col min="9486" max="9731" width="9.1328125" style="143"/>
    <col min="9732" max="9732" width="3.73046875" style="143" customWidth="1"/>
    <col min="9733" max="9733" width="3.86328125" style="143" customWidth="1"/>
    <col min="9734" max="9734" width="9.1328125" style="143"/>
    <col min="9735" max="9735" width="34" style="143" customWidth="1"/>
    <col min="9736" max="9736" width="15" style="143" customWidth="1"/>
    <col min="9737" max="9737" width="9.1328125" style="143"/>
    <col min="9738" max="9738" width="5.265625" style="143" customWidth="1"/>
    <col min="9739" max="9739" width="9.1328125" style="143"/>
    <col min="9740" max="9740" width="32.265625" style="143" customWidth="1"/>
    <col min="9741" max="9741" width="16.73046875" style="143" customWidth="1"/>
    <col min="9742" max="9987" width="9.1328125" style="143"/>
    <col min="9988" max="9988" width="3.73046875" style="143" customWidth="1"/>
    <col min="9989" max="9989" width="3.86328125" style="143" customWidth="1"/>
    <col min="9990" max="9990" width="9.1328125" style="143"/>
    <col min="9991" max="9991" width="34" style="143" customWidth="1"/>
    <col min="9992" max="9992" width="15" style="143" customWidth="1"/>
    <col min="9993" max="9993" width="9.1328125" style="143"/>
    <col min="9994" max="9994" width="5.265625" style="143" customWidth="1"/>
    <col min="9995" max="9995" width="9.1328125" style="143"/>
    <col min="9996" max="9996" width="32.265625" style="143" customWidth="1"/>
    <col min="9997" max="9997" width="16.73046875" style="143" customWidth="1"/>
    <col min="9998" max="10243" width="9.1328125" style="143"/>
    <col min="10244" max="10244" width="3.73046875" style="143" customWidth="1"/>
    <col min="10245" max="10245" width="3.86328125" style="143" customWidth="1"/>
    <col min="10246" max="10246" width="9.1328125" style="143"/>
    <col min="10247" max="10247" width="34" style="143" customWidth="1"/>
    <col min="10248" max="10248" width="15" style="143" customWidth="1"/>
    <col min="10249" max="10249" width="9.1328125" style="143"/>
    <col min="10250" max="10250" width="5.265625" style="143" customWidth="1"/>
    <col min="10251" max="10251" width="9.1328125" style="143"/>
    <col min="10252" max="10252" width="32.265625" style="143" customWidth="1"/>
    <col min="10253" max="10253" width="16.73046875" style="143" customWidth="1"/>
    <col min="10254" max="10499" width="9.1328125" style="143"/>
    <col min="10500" max="10500" width="3.73046875" style="143" customWidth="1"/>
    <col min="10501" max="10501" width="3.86328125" style="143" customWidth="1"/>
    <col min="10502" max="10502" width="9.1328125" style="143"/>
    <col min="10503" max="10503" width="34" style="143" customWidth="1"/>
    <col min="10504" max="10504" width="15" style="143" customWidth="1"/>
    <col min="10505" max="10505" width="9.1328125" style="143"/>
    <col min="10506" max="10506" width="5.265625" style="143" customWidth="1"/>
    <col min="10507" max="10507" width="9.1328125" style="143"/>
    <col min="10508" max="10508" width="32.265625" style="143" customWidth="1"/>
    <col min="10509" max="10509" width="16.73046875" style="143" customWidth="1"/>
    <col min="10510" max="10755" width="9.1328125" style="143"/>
    <col min="10756" max="10756" width="3.73046875" style="143" customWidth="1"/>
    <col min="10757" max="10757" width="3.86328125" style="143" customWidth="1"/>
    <col min="10758" max="10758" width="9.1328125" style="143"/>
    <col min="10759" max="10759" width="34" style="143" customWidth="1"/>
    <col min="10760" max="10760" width="15" style="143" customWidth="1"/>
    <col min="10761" max="10761" width="9.1328125" style="143"/>
    <col min="10762" max="10762" width="5.265625" style="143" customWidth="1"/>
    <col min="10763" max="10763" width="9.1328125" style="143"/>
    <col min="10764" max="10764" width="32.265625" style="143" customWidth="1"/>
    <col min="10765" max="10765" width="16.73046875" style="143" customWidth="1"/>
    <col min="10766" max="11011" width="9.1328125" style="143"/>
    <col min="11012" max="11012" width="3.73046875" style="143" customWidth="1"/>
    <col min="11013" max="11013" width="3.86328125" style="143" customWidth="1"/>
    <col min="11014" max="11014" width="9.1328125" style="143"/>
    <col min="11015" max="11015" width="34" style="143" customWidth="1"/>
    <col min="11016" max="11016" width="15" style="143" customWidth="1"/>
    <col min="11017" max="11017" width="9.1328125" style="143"/>
    <col min="11018" max="11018" width="5.265625" style="143" customWidth="1"/>
    <col min="11019" max="11019" width="9.1328125" style="143"/>
    <col min="11020" max="11020" width="32.265625" style="143" customWidth="1"/>
    <col min="11021" max="11021" width="16.73046875" style="143" customWidth="1"/>
    <col min="11022" max="11267" width="9.1328125" style="143"/>
    <col min="11268" max="11268" width="3.73046875" style="143" customWidth="1"/>
    <col min="11269" max="11269" width="3.86328125" style="143" customWidth="1"/>
    <col min="11270" max="11270" width="9.1328125" style="143"/>
    <col min="11271" max="11271" width="34" style="143" customWidth="1"/>
    <col min="11272" max="11272" width="15" style="143" customWidth="1"/>
    <col min="11273" max="11273" width="9.1328125" style="143"/>
    <col min="11274" max="11274" width="5.265625" style="143" customWidth="1"/>
    <col min="11275" max="11275" width="9.1328125" style="143"/>
    <col min="11276" max="11276" width="32.265625" style="143" customWidth="1"/>
    <col min="11277" max="11277" width="16.73046875" style="143" customWidth="1"/>
    <col min="11278" max="11523" width="9.1328125" style="143"/>
    <col min="11524" max="11524" width="3.73046875" style="143" customWidth="1"/>
    <col min="11525" max="11525" width="3.86328125" style="143" customWidth="1"/>
    <col min="11526" max="11526" width="9.1328125" style="143"/>
    <col min="11527" max="11527" width="34" style="143" customWidth="1"/>
    <col min="11528" max="11528" width="15" style="143" customWidth="1"/>
    <col min="11529" max="11529" width="9.1328125" style="143"/>
    <col min="11530" max="11530" width="5.265625" style="143" customWidth="1"/>
    <col min="11531" max="11531" width="9.1328125" style="143"/>
    <col min="11532" max="11532" width="32.265625" style="143" customWidth="1"/>
    <col min="11533" max="11533" width="16.73046875" style="143" customWidth="1"/>
    <col min="11534" max="11779" width="9.1328125" style="143"/>
    <col min="11780" max="11780" width="3.73046875" style="143" customWidth="1"/>
    <col min="11781" max="11781" width="3.86328125" style="143" customWidth="1"/>
    <col min="11782" max="11782" width="9.1328125" style="143"/>
    <col min="11783" max="11783" width="34" style="143" customWidth="1"/>
    <col min="11784" max="11784" width="15" style="143" customWidth="1"/>
    <col min="11785" max="11785" width="9.1328125" style="143"/>
    <col min="11786" max="11786" width="5.265625" style="143" customWidth="1"/>
    <col min="11787" max="11787" width="9.1328125" style="143"/>
    <col min="11788" max="11788" width="32.265625" style="143" customWidth="1"/>
    <col min="11789" max="11789" width="16.73046875" style="143" customWidth="1"/>
    <col min="11790" max="12035" width="9.1328125" style="143"/>
    <col min="12036" max="12036" width="3.73046875" style="143" customWidth="1"/>
    <col min="12037" max="12037" width="3.86328125" style="143" customWidth="1"/>
    <col min="12038" max="12038" width="9.1328125" style="143"/>
    <col min="12039" max="12039" width="34" style="143" customWidth="1"/>
    <col min="12040" max="12040" width="15" style="143" customWidth="1"/>
    <col min="12041" max="12041" width="9.1328125" style="143"/>
    <col min="12042" max="12042" width="5.265625" style="143" customWidth="1"/>
    <col min="12043" max="12043" width="9.1328125" style="143"/>
    <col min="12044" max="12044" width="32.265625" style="143" customWidth="1"/>
    <col min="12045" max="12045" width="16.73046875" style="143" customWidth="1"/>
    <col min="12046" max="12291" width="9.1328125" style="143"/>
    <col min="12292" max="12292" width="3.73046875" style="143" customWidth="1"/>
    <col min="12293" max="12293" width="3.86328125" style="143" customWidth="1"/>
    <col min="12294" max="12294" width="9.1328125" style="143"/>
    <col min="12295" max="12295" width="34" style="143" customWidth="1"/>
    <col min="12296" max="12296" width="15" style="143" customWidth="1"/>
    <col min="12297" max="12297" width="9.1328125" style="143"/>
    <col min="12298" max="12298" width="5.265625" style="143" customWidth="1"/>
    <col min="12299" max="12299" width="9.1328125" style="143"/>
    <col min="12300" max="12300" width="32.265625" style="143" customWidth="1"/>
    <col min="12301" max="12301" width="16.73046875" style="143" customWidth="1"/>
    <col min="12302" max="12547" width="9.1328125" style="143"/>
    <col min="12548" max="12548" width="3.73046875" style="143" customWidth="1"/>
    <col min="12549" max="12549" width="3.86328125" style="143" customWidth="1"/>
    <col min="12550" max="12550" width="9.1328125" style="143"/>
    <col min="12551" max="12551" width="34" style="143" customWidth="1"/>
    <col min="12552" max="12552" width="15" style="143" customWidth="1"/>
    <col min="12553" max="12553" width="9.1328125" style="143"/>
    <col min="12554" max="12554" width="5.265625" style="143" customWidth="1"/>
    <col min="12555" max="12555" width="9.1328125" style="143"/>
    <col min="12556" max="12556" width="32.265625" style="143" customWidth="1"/>
    <col min="12557" max="12557" width="16.73046875" style="143" customWidth="1"/>
    <col min="12558" max="12803" width="9.1328125" style="143"/>
    <col min="12804" max="12804" width="3.73046875" style="143" customWidth="1"/>
    <col min="12805" max="12805" width="3.86328125" style="143" customWidth="1"/>
    <col min="12806" max="12806" width="9.1328125" style="143"/>
    <col min="12807" max="12807" width="34" style="143" customWidth="1"/>
    <col min="12808" max="12808" width="15" style="143" customWidth="1"/>
    <col min="12809" max="12809" width="9.1328125" style="143"/>
    <col min="12810" max="12810" width="5.265625" style="143" customWidth="1"/>
    <col min="12811" max="12811" width="9.1328125" style="143"/>
    <col min="12812" max="12812" width="32.265625" style="143" customWidth="1"/>
    <col min="12813" max="12813" width="16.73046875" style="143" customWidth="1"/>
    <col min="12814" max="13059" width="9.1328125" style="143"/>
    <col min="13060" max="13060" width="3.73046875" style="143" customWidth="1"/>
    <col min="13061" max="13061" width="3.86328125" style="143" customWidth="1"/>
    <col min="13062" max="13062" width="9.1328125" style="143"/>
    <col min="13063" max="13063" width="34" style="143" customWidth="1"/>
    <col min="13064" max="13064" width="15" style="143" customWidth="1"/>
    <col min="13065" max="13065" width="9.1328125" style="143"/>
    <col min="13066" max="13066" width="5.265625" style="143" customWidth="1"/>
    <col min="13067" max="13067" width="9.1328125" style="143"/>
    <col min="13068" max="13068" width="32.265625" style="143" customWidth="1"/>
    <col min="13069" max="13069" width="16.73046875" style="143" customWidth="1"/>
    <col min="13070" max="13315" width="9.1328125" style="143"/>
    <col min="13316" max="13316" width="3.73046875" style="143" customWidth="1"/>
    <col min="13317" max="13317" width="3.86328125" style="143" customWidth="1"/>
    <col min="13318" max="13318" width="9.1328125" style="143"/>
    <col min="13319" max="13319" width="34" style="143" customWidth="1"/>
    <col min="13320" max="13320" width="15" style="143" customWidth="1"/>
    <col min="13321" max="13321" width="9.1328125" style="143"/>
    <col min="13322" max="13322" width="5.265625" style="143" customWidth="1"/>
    <col min="13323" max="13323" width="9.1328125" style="143"/>
    <col min="13324" max="13324" width="32.265625" style="143" customWidth="1"/>
    <col min="13325" max="13325" width="16.73046875" style="143" customWidth="1"/>
    <col min="13326" max="13571" width="9.1328125" style="143"/>
    <col min="13572" max="13572" width="3.73046875" style="143" customWidth="1"/>
    <col min="13573" max="13573" width="3.86328125" style="143" customWidth="1"/>
    <col min="13574" max="13574" width="9.1328125" style="143"/>
    <col min="13575" max="13575" width="34" style="143" customWidth="1"/>
    <col min="13576" max="13576" width="15" style="143" customWidth="1"/>
    <col min="13577" max="13577" width="9.1328125" style="143"/>
    <col min="13578" max="13578" width="5.265625" style="143" customWidth="1"/>
    <col min="13579" max="13579" width="9.1328125" style="143"/>
    <col min="13580" max="13580" width="32.265625" style="143" customWidth="1"/>
    <col min="13581" max="13581" width="16.73046875" style="143" customWidth="1"/>
    <col min="13582" max="13827" width="9.1328125" style="143"/>
    <col min="13828" max="13828" width="3.73046875" style="143" customWidth="1"/>
    <col min="13829" max="13829" width="3.86328125" style="143" customWidth="1"/>
    <col min="13830" max="13830" width="9.1328125" style="143"/>
    <col min="13831" max="13831" width="34" style="143" customWidth="1"/>
    <col min="13832" max="13832" width="15" style="143" customWidth="1"/>
    <col min="13833" max="13833" width="9.1328125" style="143"/>
    <col min="13834" max="13834" width="5.265625" style="143" customWidth="1"/>
    <col min="13835" max="13835" width="9.1328125" style="143"/>
    <col min="13836" max="13836" width="32.265625" style="143" customWidth="1"/>
    <col min="13837" max="13837" width="16.73046875" style="143" customWidth="1"/>
    <col min="13838" max="14083" width="9.1328125" style="143"/>
    <col min="14084" max="14084" width="3.73046875" style="143" customWidth="1"/>
    <col min="14085" max="14085" width="3.86328125" style="143" customWidth="1"/>
    <col min="14086" max="14086" width="9.1328125" style="143"/>
    <col min="14087" max="14087" width="34" style="143" customWidth="1"/>
    <col min="14088" max="14088" width="15" style="143" customWidth="1"/>
    <col min="14089" max="14089" width="9.1328125" style="143"/>
    <col min="14090" max="14090" width="5.265625" style="143" customWidth="1"/>
    <col min="14091" max="14091" width="9.1328125" style="143"/>
    <col min="14092" max="14092" width="32.265625" style="143" customWidth="1"/>
    <col min="14093" max="14093" width="16.73046875" style="143" customWidth="1"/>
    <col min="14094" max="14339" width="9.1328125" style="143"/>
    <col min="14340" max="14340" width="3.73046875" style="143" customWidth="1"/>
    <col min="14341" max="14341" width="3.86328125" style="143" customWidth="1"/>
    <col min="14342" max="14342" width="9.1328125" style="143"/>
    <col min="14343" max="14343" width="34" style="143" customWidth="1"/>
    <col min="14344" max="14344" width="15" style="143" customWidth="1"/>
    <col min="14345" max="14345" width="9.1328125" style="143"/>
    <col min="14346" max="14346" width="5.265625" style="143" customWidth="1"/>
    <col min="14347" max="14347" width="9.1328125" style="143"/>
    <col min="14348" max="14348" width="32.265625" style="143" customWidth="1"/>
    <col min="14349" max="14349" width="16.73046875" style="143" customWidth="1"/>
    <col min="14350" max="14595" width="9.1328125" style="143"/>
    <col min="14596" max="14596" width="3.73046875" style="143" customWidth="1"/>
    <col min="14597" max="14597" width="3.86328125" style="143" customWidth="1"/>
    <col min="14598" max="14598" width="9.1328125" style="143"/>
    <col min="14599" max="14599" width="34" style="143" customWidth="1"/>
    <col min="14600" max="14600" width="15" style="143" customWidth="1"/>
    <col min="14601" max="14601" width="9.1328125" style="143"/>
    <col min="14602" max="14602" width="5.265625" style="143" customWidth="1"/>
    <col min="14603" max="14603" width="9.1328125" style="143"/>
    <col min="14604" max="14604" width="32.265625" style="143" customWidth="1"/>
    <col min="14605" max="14605" width="16.73046875" style="143" customWidth="1"/>
    <col min="14606" max="14851" width="9.1328125" style="143"/>
    <col min="14852" max="14852" width="3.73046875" style="143" customWidth="1"/>
    <col min="14853" max="14853" width="3.86328125" style="143" customWidth="1"/>
    <col min="14854" max="14854" width="9.1328125" style="143"/>
    <col min="14855" max="14855" width="34" style="143" customWidth="1"/>
    <col min="14856" max="14856" width="15" style="143" customWidth="1"/>
    <col min="14857" max="14857" width="9.1328125" style="143"/>
    <col min="14858" max="14858" width="5.265625" style="143" customWidth="1"/>
    <col min="14859" max="14859" width="9.1328125" style="143"/>
    <col min="14860" max="14860" width="32.265625" style="143" customWidth="1"/>
    <col min="14861" max="14861" width="16.73046875" style="143" customWidth="1"/>
    <col min="14862" max="15107" width="9.1328125" style="143"/>
    <col min="15108" max="15108" width="3.73046875" style="143" customWidth="1"/>
    <col min="15109" max="15109" width="3.86328125" style="143" customWidth="1"/>
    <col min="15110" max="15110" width="9.1328125" style="143"/>
    <col min="15111" max="15111" width="34" style="143" customWidth="1"/>
    <col min="15112" max="15112" width="15" style="143" customWidth="1"/>
    <col min="15113" max="15113" width="9.1328125" style="143"/>
    <col min="15114" max="15114" width="5.265625" style="143" customWidth="1"/>
    <col min="15115" max="15115" width="9.1328125" style="143"/>
    <col min="15116" max="15116" width="32.265625" style="143" customWidth="1"/>
    <col min="15117" max="15117" width="16.73046875" style="143" customWidth="1"/>
    <col min="15118" max="15363" width="9.1328125" style="143"/>
    <col min="15364" max="15364" width="3.73046875" style="143" customWidth="1"/>
    <col min="15365" max="15365" width="3.86328125" style="143" customWidth="1"/>
    <col min="15366" max="15366" width="9.1328125" style="143"/>
    <col min="15367" max="15367" width="34" style="143" customWidth="1"/>
    <col min="15368" max="15368" width="15" style="143" customWidth="1"/>
    <col min="15369" max="15369" width="9.1328125" style="143"/>
    <col min="15370" max="15370" width="5.265625" style="143" customWidth="1"/>
    <col min="15371" max="15371" width="9.1328125" style="143"/>
    <col min="15372" max="15372" width="32.265625" style="143" customWidth="1"/>
    <col min="15373" max="15373" width="16.73046875" style="143" customWidth="1"/>
    <col min="15374" max="15619" width="9.1328125" style="143"/>
    <col min="15620" max="15620" width="3.73046875" style="143" customWidth="1"/>
    <col min="15621" max="15621" width="3.86328125" style="143" customWidth="1"/>
    <col min="15622" max="15622" width="9.1328125" style="143"/>
    <col min="15623" max="15623" width="34" style="143" customWidth="1"/>
    <col min="15624" max="15624" width="15" style="143" customWidth="1"/>
    <col min="15625" max="15625" width="9.1328125" style="143"/>
    <col min="15626" max="15626" width="5.265625" style="143" customWidth="1"/>
    <col min="15627" max="15627" width="9.1328125" style="143"/>
    <col min="15628" max="15628" width="32.265625" style="143" customWidth="1"/>
    <col min="15629" max="15629" width="16.73046875" style="143" customWidth="1"/>
    <col min="15630" max="15875" width="9.1328125" style="143"/>
    <col min="15876" max="15876" width="3.73046875" style="143" customWidth="1"/>
    <col min="15877" max="15877" width="3.86328125" style="143" customWidth="1"/>
    <col min="15878" max="15878" width="9.1328125" style="143"/>
    <col min="15879" max="15879" width="34" style="143" customWidth="1"/>
    <col min="15880" max="15880" width="15" style="143" customWidth="1"/>
    <col min="15881" max="15881" width="9.1328125" style="143"/>
    <col min="15882" max="15882" width="5.265625" style="143" customWidth="1"/>
    <col min="15883" max="15883" width="9.1328125" style="143"/>
    <col min="15884" max="15884" width="32.265625" style="143" customWidth="1"/>
    <col min="15885" max="15885" width="16.73046875" style="143" customWidth="1"/>
    <col min="15886" max="16131" width="9.1328125" style="143"/>
    <col min="16132" max="16132" width="3.73046875" style="143" customWidth="1"/>
    <col min="16133" max="16133" width="3.86328125" style="143" customWidth="1"/>
    <col min="16134" max="16134" width="9.1328125" style="143"/>
    <col min="16135" max="16135" width="34" style="143" customWidth="1"/>
    <col min="16136" max="16136" width="15" style="143" customWidth="1"/>
    <col min="16137" max="16137" width="9.1328125" style="143"/>
    <col min="16138" max="16138" width="5.265625" style="143" customWidth="1"/>
    <col min="16139" max="16139" width="9.1328125" style="143"/>
    <col min="16140" max="16140" width="32.265625" style="143" customWidth="1"/>
    <col min="16141" max="16141" width="16.73046875" style="143" customWidth="1"/>
    <col min="16142" max="16384" width="9.1328125" style="143"/>
  </cols>
  <sheetData>
    <row r="1" spans="2:14" ht="14.65" thickBot="1" x14ac:dyDescent="0.5"/>
    <row r="2" spans="2:14" x14ac:dyDescent="0.45">
      <c r="B2" s="144"/>
      <c r="D2" s="145"/>
      <c r="E2" s="146"/>
      <c r="F2" s="146"/>
      <c r="G2" s="146"/>
      <c r="H2" s="146"/>
      <c r="I2" s="147"/>
    </row>
    <row r="3" spans="2:14" x14ac:dyDescent="0.45">
      <c r="B3" s="148" t="s">
        <v>48</v>
      </c>
      <c r="D3" s="149"/>
      <c r="E3" s="215" t="s">
        <v>115</v>
      </c>
      <c r="I3" s="151"/>
    </row>
    <row r="4" spans="2:14" x14ac:dyDescent="0.45">
      <c r="B4" s="148"/>
      <c r="D4" s="149"/>
      <c r="E4" s="88" t="s">
        <v>116</v>
      </c>
      <c r="F4" s="88" t="s">
        <v>117</v>
      </c>
      <c r="G4" s="88" t="s">
        <v>118</v>
      </c>
      <c r="I4" s="151"/>
      <c r="L4" s="87"/>
    </row>
    <row r="5" spans="2:14" x14ac:dyDescent="0.45">
      <c r="B5" s="148"/>
      <c r="D5" s="149"/>
      <c r="E5" s="89" t="s">
        <v>119</v>
      </c>
      <c r="F5" s="89" t="s">
        <v>87</v>
      </c>
      <c r="G5" s="89" t="s">
        <v>24</v>
      </c>
      <c r="I5" s="151"/>
    </row>
    <row r="6" spans="2:14" x14ac:dyDescent="0.45">
      <c r="B6" s="148"/>
      <c r="D6" s="149"/>
      <c r="E6" s="89" t="s">
        <v>120</v>
      </c>
      <c r="F6" s="89" t="s">
        <v>88</v>
      </c>
      <c r="G6" s="89" t="s">
        <v>121</v>
      </c>
      <c r="I6" s="151"/>
    </row>
    <row r="7" spans="2:14" x14ac:dyDescent="0.45">
      <c r="B7" s="148"/>
      <c r="D7" s="149"/>
      <c r="E7" s="89" t="s">
        <v>122</v>
      </c>
      <c r="F7" s="89" t="s">
        <v>89</v>
      </c>
      <c r="G7" s="89" t="s">
        <v>30</v>
      </c>
      <c r="I7" s="151"/>
    </row>
    <row r="8" spans="2:14" x14ac:dyDescent="0.45">
      <c r="B8" s="148"/>
      <c r="D8" s="149"/>
      <c r="I8" s="151"/>
    </row>
    <row r="9" spans="2:14" ht="18" x14ac:dyDescent="0.55000000000000004">
      <c r="B9" s="148"/>
      <c r="D9" s="149"/>
      <c r="E9" s="150" t="s">
        <v>123</v>
      </c>
      <c r="H9" s="214" t="s">
        <v>124</v>
      </c>
      <c r="I9" s="151"/>
    </row>
    <row r="10" spans="2:14" ht="28.5" x14ac:dyDescent="0.45">
      <c r="B10" s="148" t="s">
        <v>125</v>
      </c>
      <c r="D10" s="149"/>
      <c r="E10" s="217" t="s">
        <v>126</v>
      </c>
      <c r="F10" s="219">
        <f>IFERROR(F25/F28,"N/A")</f>
        <v>-1.9982218526910418</v>
      </c>
      <c r="H10" s="216" t="s">
        <v>127</v>
      </c>
      <c r="I10" s="151"/>
    </row>
    <row r="11" spans="2:14" ht="31.9" customHeight="1" x14ac:dyDescent="0.45">
      <c r="B11" s="148" t="s">
        <v>128</v>
      </c>
      <c r="D11" s="149"/>
      <c r="E11" s="218" t="s">
        <v>129</v>
      </c>
      <c r="F11" s="219" t="str">
        <f>IFERROR(F17/F18,"N/A")</f>
        <v>N/A</v>
      </c>
      <c r="H11" s="216" t="s">
        <v>130</v>
      </c>
      <c r="I11" s="151"/>
    </row>
    <row r="12" spans="2:14" ht="28.5" x14ac:dyDescent="0.45">
      <c r="B12" s="148" t="s">
        <v>131</v>
      </c>
      <c r="D12" s="149"/>
      <c r="E12" s="218" t="s">
        <v>132</v>
      </c>
      <c r="F12" s="219">
        <f>IFERROR(F31/F32,"N/A")</f>
        <v>-1.9982218526910418</v>
      </c>
      <c r="H12" s="216"/>
      <c r="I12" s="151"/>
    </row>
    <row r="13" spans="2:14" ht="28.5" x14ac:dyDescent="0.45">
      <c r="B13" s="148"/>
      <c r="D13" s="149"/>
      <c r="E13" s="218" t="s">
        <v>133</v>
      </c>
      <c r="F13" s="219" t="s">
        <v>134</v>
      </c>
      <c r="H13" s="216" t="s">
        <v>135</v>
      </c>
      <c r="I13" s="152"/>
      <c r="L13" s="112"/>
      <c r="M13" s="112"/>
      <c r="N13" s="112"/>
    </row>
    <row r="14" spans="2:14" x14ac:dyDescent="0.45">
      <c r="B14" s="148"/>
      <c r="D14" s="149"/>
      <c r="I14" s="151"/>
    </row>
    <row r="15" spans="2:14" x14ac:dyDescent="0.45">
      <c r="B15" s="148"/>
      <c r="D15" s="149"/>
      <c r="I15" s="151"/>
    </row>
    <row r="16" spans="2:14" x14ac:dyDescent="0.45">
      <c r="B16" s="148"/>
      <c r="D16" s="149"/>
      <c r="E16" s="159" t="s">
        <v>136</v>
      </c>
      <c r="I16" s="151"/>
    </row>
    <row r="17" spans="2:11" x14ac:dyDescent="0.45">
      <c r="B17" s="148" t="s">
        <v>62</v>
      </c>
      <c r="D17" s="149"/>
      <c r="E17" s="166" t="s">
        <v>137</v>
      </c>
      <c r="F17" s="163">
        <f>'Debt Service - Individual 1'!J5</f>
        <v>0</v>
      </c>
      <c r="I17" s="151"/>
      <c r="K17" s="153"/>
    </row>
    <row r="18" spans="2:11" x14ac:dyDescent="0.45">
      <c r="B18" s="148" t="s">
        <v>63</v>
      </c>
      <c r="D18" s="149"/>
      <c r="E18" s="167" t="s">
        <v>138</v>
      </c>
      <c r="F18" s="165">
        <f>'Debt Service - Individual 1'!J6</f>
        <v>0</v>
      </c>
      <c r="I18" s="151"/>
      <c r="K18" s="153"/>
    </row>
    <row r="19" spans="2:11" x14ac:dyDescent="0.45">
      <c r="B19" s="148"/>
      <c r="D19" s="149"/>
      <c r="I19" s="151"/>
    </row>
    <row r="20" spans="2:11" x14ac:dyDescent="0.45">
      <c r="B20" s="148"/>
      <c r="D20" s="149"/>
      <c r="E20" s="160" t="s">
        <v>139</v>
      </c>
      <c r="I20" s="151"/>
    </row>
    <row r="21" spans="2:11" x14ac:dyDescent="0.45">
      <c r="B21" s="148" t="s">
        <v>64</v>
      </c>
      <c r="D21" s="149"/>
      <c r="E21" s="154" t="s">
        <v>140</v>
      </c>
      <c r="F21" s="111">
        <f>'Debt Service - Company'!F9</f>
        <v>-2085165.0772222227</v>
      </c>
      <c r="I21" s="151"/>
    </row>
    <row r="22" spans="2:11" x14ac:dyDescent="0.45">
      <c r="B22" s="148" t="s">
        <v>65</v>
      </c>
      <c r="D22" s="149"/>
      <c r="E22" s="154" t="s">
        <v>141</v>
      </c>
      <c r="F22" s="111">
        <f>'Debt Service - Company'!F10</f>
        <v>162622.89083333334</v>
      </c>
      <c r="I22" s="151"/>
    </row>
    <row r="23" spans="2:11" x14ac:dyDescent="0.45">
      <c r="B23" s="148" t="s">
        <v>66</v>
      </c>
      <c r="D23" s="149"/>
      <c r="E23" s="154" t="s">
        <v>142</v>
      </c>
      <c r="F23" s="111">
        <f>'Debt Service - Company'!F11</f>
        <v>27631.067777777778</v>
      </c>
      <c r="I23" s="151"/>
    </row>
    <row r="24" spans="2:11" x14ac:dyDescent="0.45">
      <c r="B24" s="148" t="s">
        <v>67</v>
      </c>
      <c r="D24" s="149"/>
      <c r="E24" s="154" t="s">
        <v>143</v>
      </c>
      <c r="F24" s="111">
        <f>'Debt Service - Company'!F12</f>
        <v>0</v>
      </c>
      <c r="I24" s="151"/>
    </row>
    <row r="25" spans="2:11" x14ac:dyDescent="0.45">
      <c r="B25" s="148" t="s">
        <v>144</v>
      </c>
      <c r="D25" s="149"/>
      <c r="E25" s="162" t="s">
        <v>145</v>
      </c>
      <c r="F25" s="163">
        <f>SUM(F21:F24)</f>
        <v>-1894911.1186111115</v>
      </c>
      <c r="I25" s="151"/>
    </row>
    <row r="26" spans="2:11" x14ac:dyDescent="0.45">
      <c r="B26" s="148" t="s">
        <v>146</v>
      </c>
      <c r="D26" s="149"/>
      <c r="E26" s="154" t="s">
        <v>147</v>
      </c>
      <c r="F26" s="111">
        <f>SUM('Debt Service - Company'!F24,'Debt Service - Company'!F29)</f>
        <v>948298.66666666674</v>
      </c>
      <c r="I26" s="151"/>
    </row>
    <row r="27" spans="2:11" x14ac:dyDescent="0.45">
      <c r="B27" s="148" t="s">
        <v>148</v>
      </c>
      <c r="D27" s="149"/>
      <c r="E27" s="161" t="s">
        <v>149</v>
      </c>
      <c r="F27" s="111">
        <f>SUM('Debt Service - Company'!F25,'Debt Service - Company'!F30)</f>
        <v>0</v>
      </c>
      <c r="I27" s="151"/>
    </row>
    <row r="28" spans="2:11" x14ac:dyDescent="0.45">
      <c r="B28" s="148" t="s">
        <v>150</v>
      </c>
      <c r="D28" s="149"/>
      <c r="E28" s="164" t="s">
        <v>138</v>
      </c>
      <c r="F28" s="165">
        <f>SUM(F26:F27)</f>
        <v>948298.66666666674</v>
      </c>
      <c r="I28" s="151"/>
    </row>
    <row r="29" spans="2:11" x14ac:dyDescent="0.45">
      <c r="B29" s="148"/>
      <c r="D29" s="149"/>
      <c r="E29" s="154"/>
      <c r="F29" s="111"/>
      <c r="I29" s="151"/>
    </row>
    <row r="30" spans="2:11" x14ac:dyDescent="0.45">
      <c r="B30" s="148"/>
      <c r="D30" s="149"/>
      <c r="E30" s="160" t="s">
        <v>151</v>
      </c>
      <c r="I30" s="151"/>
    </row>
    <row r="31" spans="2:11" x14ac:dyDescent="0.45">
      <c r="B31" s="148" t="s">
        <v>152</v>
      </c>
      <c r="D31" s="149"/>
      <c r="E31" s="162" t="s">
        <v>153</v>
      </c>
      <c r="F31" s="163">
        <f>F17+F25</f>
        <v>-1894911.1186111115</v>
      </c>
      <c r="I31" s="151"/>
    </row>
    <row r="32" spans="2:11" x14ac:dyDescent="0.45">
      <c r="B32" s="148" t="s">
        <v>154</v>
      </c>
      <c r="D32" s="149"/>
      <c r="E32" s="167" t="s">
        <v>155</v>
      </c>
      <c r="F32" s="165">
        <f>SUM(F18,F28)</f>
        <v>948298.66666666674</v>
      </c>
      <c r="I32" s="151"/>
    </row>
    <row r="33" spans="2:9" ht="14.65" thickBot="1" x14ac:dyDescent="0.5">
      <c r="B33" s="155"/>
      <c r="D33" s="156"/>
      <c r="E33" s="157"/>
      <c r="F33" s="157"/>
      <c r="G33" s="157"/>
      <c r="H33" s="157"/>
      <c r="I33" s="158"/>
    </row>
    <row r="35" spans="2:9" x14ac:dyDescent="0.45">
      <c r="F35" s="153"/>
      <c r="G35" s="153"/>
      <c r="H35" s="153"/>
    </row>
    <row r="36" spans="2:9" x14ac:dyDescent="0.45">
      <c r="F36" s="153"/>
      <c r="G36" s="153"/>
      <c r="H36" s="153"/>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tabSelected="1" zoomScale="85" zoomScaleNormal="85" workbookViewId="0">
      <selection activeCell="H6" sqref="H6"/>
    </sheetView>
  </sheetViews>
  <sheetFormatPr defaultColWidth="9.1328125" defaultRowHeight="13.15" x14ac:dyDescent="0.45"/>
  <cols>
    <col min="1" max="1" width="9.1328125" style="265"/>
    <col min="2" max="2" width="35.1328125" style="4" customWidth="1"/>
    <col min="3" max="7" width="13.1328125" style="4" customWidth="1"/>
    <col min="8" max="8" width="26.86328125" style="4" customWidth="1"/>
    <col min="9" max="12" width="13.1328125" style="4" customWidth="1"/>
    <col min="13" max="14" width="9.1328125" style="4"/>
    <col min="15" max="15" width="15" style="4" customWidth="1"/>
    <col min="16" max="16384" width="9.1328125" style="4"/>
  </cols>
  <sheetData>
    <row r="2" spans="1:15" x14ac:dyDescent="0.45">
      <c r="D2" s="20"/>
      <c r="E2" s="20"/>
      <c r="F2" s="20"/>
      <c r="G2" s="20"/>
      <c r="L2" s="20"/>
    </row>
    <row r="3" spans="1:15" ht="26.25" x14ac:dyDescent="0.45">
      <c r="B3" s="101" t="s">
        <v>156</v>
      </c>
      <c r="C3" s="264" t="s">
        <v>961</v>
      </c>
      <c r="D3" s="264" t="s">
        <v>962</v>
      </c>
      <c r="E3" s="264" t="s">
        <v>964</v>
      </c>
      <c r="F3" s="264" t="s">
        <v>963</v>
      </c>
      <c r="O3" s="183"/>
    </row>
    <row r="4" spans="1:15" x14ac:dyDescent="0.45">
      <c r="B4" s="221" t="s">
        <v>157</v>
      </c>
      <c r="C4" s="179" t="s">
        <v>159</v>
      </c>
      <c r="D4" s="179" t="s">
        <v>159</v>
      </c>
      <c r="E4" s="179" t="s">
        <v>159</v>
      </c>
      <c r="F4" s="179" t="s">
        <v>160</v>
      </c>
      <c r="O4" s="326" t="s">
        <v>159</v>
      </c>
    </row>
    <row r="5" spans="1:15" x14ac:dyDescent="0.45">
      <c r="B5" s="101" t="s">
        <v>162</v>
      </c>
      <c r="C5" s="264" t="s">
        <v>952</v>
      </c>
      <c r="D5" s="264" t="s">
        <v>953</v>
      </c>
      <c r="E5" s="264" t="s">
        <v>960</v>
      </c>
      <c r="F5" s="264" t="s">
        <v>954</v>
      </c>
      <c r="O5" s="326" t="s">
        <v>160</v>
      </c>
    </row>
    <row r="6" spans="1:15" x14ac:dyDescent="0.45">
      <c r="A6" s="265">
        <v>2</v>
      </c>
      <c r="B6" s="7" t="s">
        <v>164</v>
      </c>
      <c r="C6" s="286">
        <f>HLOOKUP(C$3,'Summary of Information'!$C$91:$G$96,$A6,FALSE)</f>
        <v>2316457</v>
      </c>
      <c r="D6" s="286">
        <f>HLOOKUP(D$3,'Summary of Information'!$C$91:$G$96,$A6,FALSE)</f>
        <v>6107073</v>
      </c>
      <c r="E6" s="286">
        <f>HLOOKUP(E$3,'Summary of Information'!$C$91:$G$96,$A6,FALSE)</f>
        <v>10100052.84</v>
      </c>
      <c r="F6" s="286">
        <f>HLOOKUP(F$3,'Summary of Information'!$C$91:$G$96,$A6,FALSE)</f>
        <v>1723755.14</v>
      </c>
      <c r="O6" s="326" t="s">
        <v>166</v>
      </c>
    </row>
    <row r="7" spans="1:15" x14ac:dyDescent="0.45">
      <c r="A7" s="265">
        <f>A6+1</f>
        <v>3</v>
      </c>
      <c r="B7" s="7" t="s">
        <v>666</v>
      </c>
      <c r="C7" s="286">
        <f>HLOOKUP(C$3,'Summary of Information'!$C$91:$G$96,$A7,FALSE)</f>
        <v>51116</v>
      </c>
      <c r="D7" s="286">
        <f>HLOOKUP(D$3,'Summary of Information'!$C$91:$G$96,$A7,FALSE)</f>
        <v>655880</v>
      </c>
      <c r="E7" s="286">
        <f>HLOOKUP(E$3,'Summary of Information'!$C$91:$G$96,$A7,FALSE)</f>
        <v>911597.45999999985</v>
      </c>
      <c r="F7" s="286">
        <f>HLOOKUP(F$3,'Summary of Information'!$C$91:$G$96,$A7,FALSE)</f>
        <v>-1012485.23</v>
      </c>
      <c r="O7" s="326" t="s">
        <v>158</v>
      </c>
    </row>
    <row r="8" spans="1:15" x14ac:dyDescent="0.45">
      <c r="A8" s="265">
        <f t="shared" ref="A8:A10" si="0">A7+1</f>
        <v>4</v>
      </c>
      <c r="B8" s="7" t="s">
        <v>667</v>
      </c>
      <c r="C8" s="286">
        <f>HLOOKUP(C$3,'Summary of Information'!$C$91:$G$96,$A8,FALSE)</f>
        <v>29622</v>
      </c>
      <c r="D8" s="286">
        <f>HLOOKUP(D$3,'Summary of Information'!$C$91:$G$96,$A8,FALSE)</f>
        <v>502708</v>
      </c>
      <c r="E8" s="286">
        <f>HLOOKUP(E$3,'Summary of Information'!$C$91:$G$96,$A8,FALSE)</f>
        <v>911597.45999999985</v>
      </c>
      <c r="F8" s="286">
        <f>HLOOKUP(F$3,'Summary of Information'!$C$91:$G$96,$A8,FALSE)</f>
        <v>-1012485.23</v>
      </c>
      <c r="O8" s="326" t="s">
        <v>161</v>
      </c>
    </row>
    <row r="9" spans="1:15" x14ac:dyDescent="0.45">
      <c r="A9" s="265">
        <f t="shared" si="0"/>
        <v>5</v>
      </c>
      <c r="B9" s="7" t="s">
        <v>668</v>
      </c>
      <c r="C9" s="286">
        <f>HLOOKUP(C$3,'Summary of Information'!$C$91:$G$96,$A9,FALSE)</f>
        <v>0</v>
      </c>
      <c r="D9" s="286">
        <f>HLOOKUP(D$3,'Summary of Information'!$C$91:$G$96,$A9,FALSE)</f>
        <v>0</v>
      </c>
      <c r="E9" s="286">
        <f>HLOOKUP(E$3,'Summary of Information'!$C$91:$G$96,$A9,FALSE)</f>
        <v>0</v>
      </c>
      <c r="F9" s="286">
        <f>HLOOKUP(F$3,'Summary of Information'!$C$91:$G$96,$A9,FALSE)</f>
        <v>0</v>
      </c>
    </row>
    <row r="10" spans="1:15" x14ac:dyDescent="0.45">
      <c r="A10" s="265">
        <f t="shared" si="0"/>
        <v>6</v>
      </c>
      <c r="B10" s="7" t="s">
        <v>669</v>
      </c>
      <c r="C10" s="286">
        <f>HLOOKUP(C$3,'Summary of Information'!$C$91:$G$96,$A10,FALSE)</f>
        <v>0</v>
      </c>
      <c r="D10" s="286">
        <f>HLOOKUP(D$3,'Summary of Information'!$C$91:$G$96,$A10,FALSE)</f>
        <v>0</v>
      </c>
      <c r="E10" s="286">
        <f>HLOOKUP(E$3,'Summary of Information'!$C$91:$G$96,$A10,FALSE)</f>
        <v>0</v>
      </c>
      <c r="F10" s="286">
        <f>HLOOKUP(F$3,'Summary of Information'!$C$91:$G$96,$A10,FALSE)</f>
        <v>0</v>
      </c>
    </row>
    <row r="12" spans="1:15" ht="27.75" customHeight="1" thickBot="1" x14ac:dyDescent="0.5">
      <c r="B12" s="328" t="s">
        <v>187</v>
      </c>
      <c r="C12" s="300" t="str">
        <f>C3</f>
        <v>Audited-30/06/2023</v>
      </c>
      <c r="D12" s="269" t="str">
        <f>D3</f>
        <v>Audited-30/06/2024</v>
      </c>
      <c r="E12" s="269" t="str">
        <f>E3</f>
        <v>Audited-30062025</v>
      </c>
      <c r="F12" s="269" t="str">
        <f>F3</f>
        <v>Mgmt Acc-31/12/2025</v>
      </c>
    </row>
    <row r="13" spans="1:15" ht="27.75" customHeight="1" x14ac:dyDescent="0.45">
      <c r="B13" s="329" t="s">
        <v>189</v>
      </c>
      <c r="C13" s="301" t="str">
        <f>C5</f>
        <v>30/06/2023</v>
      </c>
      <c r="D13" s="267" t="str">
        <f>D5</f>
        <v>30/06/2024</v>
      </c>
      <c r="E13" s="267" t="str">
        <f>E5</f>
        <v>30/06/2025</v>
      </c>
      <c r="F13" s="267" t="str">
        <f>F5</f>
        <v>31/12/2025</v>
      </c>
    </row>
    <row r="14" spans="1:15" ht="13.5" thickBot="1" x14ac:dyDescent="0.5">
      <c r="A14" s="265">
        <v>2</v>
      </c>
      <c r="B14" s="330" t="s">
        <v>191</v>
      </c>
      <c r="C14" s="299" t="str">
        <f>HLOOKUP(C$3,'Summary of Information'!$C$70:$G$83,$A14,FALSE)</f>
        <v>Yes</v>
      </c>
      <c r="D14" s="299" t="str">
        <f>HLOOKUP(D$3,'Summary of Information'!$C$70:$G$83,$A14,FALSE)</f>
        <v>Yes</v>
      </c>
      <c r="E14" s="299" t="str">
        <f>HLOOKUP(E$3,'Summary of Information'!$C$70:$G$83,$A14,FALSE)</f>
        <v>N/A</v>
      </c>
      <c r="F14" s="299" t="str">
        <f>HLOOKUP(F$3,'Summary of Information'!$C$70:$G$83,$A14,FALSE)</f>
        <v>N/A</v>
      </c>
    </row>
    <row r="15" spans="1:15" x14ac:dyDescent="0.45">
      <c r="A15" s="265">
        <f>A14+1</f>
        <v>3</v>
      </c>
      <c r="B15" s="336" t="s">
        <v>193</v>
      </c>
      <c r="C15" s="337">
        <f>HLOOKUP(C$3,'Summary of Information'!$C$70:$G$83,$A15,FALSE)</f>
        <v>574287</v>
      </c>
      <c r="D15" s="337">
        <f>HLOOKUP(D$3,'Summary of Information'!$C$70:$G$83,$A15,FALSE)</f>
        <v>420235</v>
      </c>
      <c r="E15" s="337">
        <f>HLOOKUP(E$3,'Summary of Information'!$C$70:$G$83,$A15,FALSE)</f>
        <v>1101856.79</v>
      </c>
      <c r="F15" s="337">
        <f>HLOOKUP(F$3,'Summary of Information'!$C$70:$G$83,$A15,FALSE)</f>
        <v>1088769.2</v>
      </c>
    </row>
    <row r="16" spans="1:15" ht="13.5" thickBot="1" x14ac:dyDescent="0.5">
      <c r="A16" s="265">
        <f t="shared" ref="A16:A26" si="1">A15+1</f>
        <v>4</v>
      </c>
      <c r="B16" s="338" t="s">
        <v>195</v>
      </c>
      <c r="C16" s="339">
        <f>HLOOKUP(C$3,'Summary of Information'!$C$70:$G$83,$A16,FALSE)</f>
        <v>2600552</v>
      </c>
      <c r="D16" s="339">
        <f>HLOOKUP(D$3,'Summary of Information'!$C$70:$G$83,$A16,FALSE)</f>
        <v>4328089</v>
      </c>
      <c r="E16" s="339">
        <f>HLOOKUP(E$3,'Summary of Information'!$C$70:$G$83,$A16,FALSE)</f>
        <v>6088633.96</v>
      </c>
      <c r="F16" s="339">
        <f>HLOOKUP(F$3,'Summary of Information'!$C$70:$G$83,$A16,FALSE)</f>
        <v>5375878.6000000006</v>
      </c>
    </row>
    <row r="17" spans="1:12" ht="13.5" thickBot="1" x14ac:dyDescent="0.5">
      <c r="A17" s="265">
        <f t="shared" si="1"/>
        <v>5</v>
      </c>
      <c r="B17" s="340" t="s">
        <v>201</v>
      </c>
      <c r="C17" s="341">
        <f>HLOOKUP(C$3,'Summary of Information'!$C$70:$G$83,$A17,FALSE)</f>
        <v>3174839</v>
      </c>
      <c r="D17" s="341">
        <f>HLOOKUP(D$3,'Summary of Information'!$C$70:$G$83,$A17,FALSE)</f>
        <v>4748324</v>
      </c>
      <c r="E17" s="341">
        <f>HLOOKUP(E$3,'Summary of Information'!$C$70:$G$83,$A17,FALSE)</f>
        <v>7190490.75</v>
      </c>
      <c r="F17" s="341">
        <f>HLOOKUP(F$3,'Summary of Information'!$C$70:$G$83,$A17,FALSE)</f>
        <v>6464647.8000000007</v>
      </c>
    </row>
    <row r="18" spans="1:12" x14ac:dyDescent="0.45">
      <c r="A18" s="265">
        <f t="shared" si="1"/>
        <v>6</v>
      </c>
      <c r="B18" s="342" t="s">
        <v>202</v>
      </c>
      <c r="C18" s="337">
        <f>HLOOKUP(C$3,'Summary of Information'!$C$70:$G$83,$A18,FALSE)</f>
        <v>290042</v>
      </c>
      <c r="D18" s="337">
        <f>HLOOKUP(D$3,'Summary of Information'!$C$70:$G$83,$A18,FALSE)</f>
        <v>419528</v>
      </c>
      <c r="E18" s="337">
        <f>HLOOKUP(E$3,'Summary of Information'!$C$70:$G$83,$A18,FALSE)</f>
        <v>864574.3</v>
      </c>
      <c r="F18" s="337">
        <f>HLOOKUP(F$3,'Summary of Information'!$C$70:$G$83,$A18,FALSE)</f>
        <v>867966.33</v>
      </c>
      <c r="J18" s="181"/>
      <c r="K18" s="181"/>
      <c r="L18" s="181"/>
    </row>
    <row r="19" spans="1:12" ht="13.5" thickBot="1" x14ac:dyDescent="0.5">
      <c r="A19" s="265">
        <f t="shared" si="1"/>
        <v>7</v>
      </c>
      <c r="B19" s="338" t="s">
        <v>206</v>
      </c>
      <c r="C19" s="339">
        <f>HLOOKUP(C$3,'Summary of Information'!$C$70:$G$83,$A19,FALSE)</f>
        <v>1800177</v>
      </c>
      <c r="D19" s="339">
        <f>HLOOKUP(D$3,'Summary of Information'!$C$70:$G$83,$A19,FALSE)</f>
        <v>2741468</v>
      </c>
      <c r="E19" s="339">
        <f>HLOOKUP(E$3,'Summary of Information'!$C$70:$G$83,$A19,FALSE)</f>
        <v>2456990.4700000002</v>
      </c>
      <c r="F19" s="339">
        <f>HLOOKUP(F$3,'Summary of Information'!$C$70:$G$83,$A19,FALSE)</f>
        <v>2715272.52</v>
      </c>
    </row>
    <row r="20" spans="1:12" ht="13.5" thickBot="1" x14ac:dyDescent="0.5">
      <c r="A20" s="265">
        <f t="shared" si="1"/>
        <v>8</v>
      </c>
      <c r="B20" s="340" t="s">
        <v>209</v>
      </c>
      <c r="C20" s="341">
        <f>HLOOKUP(C$3,'Summary of Information'!$C$70:$G$83,$A20,FALSE)</f>
        <v>2090219</v>
      </c>
      <c r="D20" s="341">
        <f>HLOOKUP(D$3,'Summary of Information'!$C$70:$G$83,$A20,FALSE)</f>
        <v>3160996</v>
      </c>
      <c r="E20" s="341">
        <f>HLOOKUP(E$3,'Summary of Information'!$C$70:$G$83,$A20,FALSE)</f>
        <v>3321564.7700000005</v>
      </c>
      <c r="F20" s="341">
        <f>HLOOKUP(F$3,'Summary of Information'!$C$70:$G$83,$A20,FALSE)</f>
        <v>3583238.85</v>
      </c>
    </row>
    <row r="21" spans="1:12" x14ac:dyDescent="0.45">
      <c r="A21" s="265">
        <f t="shared" si="1"/>
        <v>9</v>
      </c>
      <c r="B21" s="343" t="s">
        <v>211</v>
      </c>
      <c r="C21" s="344">
        <f>HLOOKUP(C$3,'Summary of Information'!$C$70:$G$83,$A21,FALSE)</f>
        <v>1010000</v>
      </c>
      <c r="D21" s="344">
        <f>HLOOKUP(D$3,'Summary of Information'!$C$70:$G$83,$A21,FALSE)</f>
        <v>1010000</v>
      </c>
      <c r="E21" s="344">
        <f>HLOOKUP(E$3,'Summary of Information'!$C$70:$G$83,$A21,FALSE)</f>
        <v>2380000</v>
      </c>
      <c r="F21" s="344">
        <f>HLOOKUP(F$3,'Summary of Information'!$C$70:$G$83,$A21,FALSE)</f>
        <v>2380000</v>
      </c>
    </row>
    <row r="22" spans="1:12" x14ac:dyDescent="0.45">
      <c r="A22" s="265">
        <f t="shared" si="1"/>
        <v>10</v>
      </c>
      <c r="B22" s="343" t="s">
        <v>670</v>
      </c>
      <c r="C22" s="339">
        <f>HLOOKUP(C$3,'Summary of Information'!$C$70:$G$83,$A22,FALSE)</f>
        <v>0</v>
      </c>
      <c r="D22" s="339">
        <f>HLOOKUP(D$3,'Summary of Information'!$C$70:$G$83,$A22,FALSE)</f>
        <v>0</v>
      </c>
      <c r="E22" s="344">
        <f>HLOOKUP(E$3,'Summary of Information'!$C$70:$G$83,$A22,FALSE)</f>
        <v>0</v>
      </c>
      <c r="F22" s="344">
        <f>HLOOKUP(F$3,'Summary of Information'!$C$70:$G$83,$A22,FALSE)</f>
        <v>0</v>
      </c>
      <c r="H22" s="134"/>
    </row>
    <row r="23" spans="1:12" x14ac:dyDescent="0.45">
      <c r="A23" s="265">
        <f t="shared" si="1"/>
        <v>11</v>
      </c>
      <c r="B23" s="338" t="s">
        <v>664</v>
      </c>
      <c r="C23" s="339">
        <f>HLOOKUP(C$3,'Summary of Information'!$C$70:$G$83,$A23,FALSE)</f>
        <v>74620</v>
      </c>
      <c r="D23" s="339">
        <f>HLOOKUP(D$3,'Summary of Information'!$C$70:$G$83,$A23,FALSE)</f>
        <v>577328</v>
      </c>
      <c r="E23" s="339">
        <f>HLOOKUP(E$3,'Summary of Information'!$C$70:$G$83,$A23,FALSE)</f>
        <v>1488925.98</v>
      </c>
      <c r="F23" s="339">
        <f>HLOOKUP(F$3,'Summary of Information'!$C$70:$G$83,$A23,FALSE)</f>
        <v>501408.95</v>
      </c>
    </row>
    <row r="24" spans="1:12" ht="13.5" thickBot="1" x14ac:dyDescent="0.5">
      <c r="A24" s="265">
        <f t="shared" si="1"/>
        <v>12</v>
      </c>
      <c r="B24" s="343" t="s">
        <v>665</v>
      </c>
      <c r="C24" s="344">
        <f>HLOOKUP(C$3,'Summary of Information'!$C$70:$G$83,$A24,FALSE)</f>
        <v>0</v>
      </c>
      <c r="D24" s="344">
        <f>HLOOKUP(D$3,'Summary of Information'!$C$70:$G$83,$A24,FALSE)</f>
        <v>0</v>
      </c>
      <c r="E24" s="344">
        <f>HLOOKUP(E$3,'Summary of Information'!$C$70:$G$83,$A24,FALSE)</f>
        <v>0</v>
      </c>
      <c r="F24" s="344">
        <f>HLOOKUP(F$3,'Summary of Information'!$C$70:$G$83,$A24,FALSE)</f>
        <v>0</v>
      </c>
    </row>
    <row r="25" spans="1:12" ht="13.5" thickBot="1" x14ac:dyDescent="0.5">
      <c r="A25" s="265">
        <f t="shared" si="1"/>
        <v>13</v>
      </c>
      <c r="B25" s="340" t="s">
        <v>210</v>
      </c>
      <c r="C25" s="341">
        <f>HLOOKUP(C$3,'Summary of Information'!$C$70:$G$83,$A25,FALSE)</f>
        <v>1084620</v>
      </c>
      <c r="D25" s="341">
        <f>HLOOKUP(D$3,'Summary of Information'!$C$70:$G$83,$A25,FALSE)</f>
        <v>1587328</v>
      </c>
      <c r="E25" s="341">
        <f>HLOOKUP(E$3,'Summary of Information'!$C$70:$G$83,$A25,FALSE)</f>
        <v>3868925.98</v>
      </c>
      <c r="F25" s="345">
        <f>HLOOKUP(F$3,'Summary of Information'!$C$70:$G$83,$A25,FALSE)</f>
        <v>2881408.95</v>
      </c>
    </row>
    <row r="26" spans="1:12" ht="13.5" thickBot="1" x14ac:dyDescent="0.5">
      <c r="A26" s="265">
        <f t="shared" si="1"/>
        <v>14</v>
      </c>
      <c r="B26" s="340" t="s">
        <v>214</v>
      </c>
      <c r="C26" s="341">
        <f>HLOOKUP(C$3,'Summary of Information'!$C$70:$G$83,$A26,FALSE)</f>
        <v>3174839</v>
      </c>
      <c r="D26" s="341">
        <f>HLOOKUP(D$3,'Summary of Information'!$C$70:$G$83,$A26,FALSE)</f>
        <v>4748324</v>
      </c>
      <c r="E26" s="341">
        <f>HLOOKUP(E$3,'Summary of Information'!$C$70:$G$83,$A26,FALSE)</f>
        <v>7190490.75</v>
      </c>
      <c r="F26" s="341">
        <f>HLOOKUP(F$3,'Summary of Information'!$C$70:$G$83,$A26,FALSE)</f>
        <v>6464647.8000000007</v>
      </c>
    </row>
    <row r="27" spans="1:12" x14ac:dyDescent="0.45">
      <c r="D27" s="227"/>
      <c r="E27" s="227"/>
      <c r="F27" s="227"/>
    </row>
    <row r="28" spans="1:12" x14ac:dyDescent="0.45">
      <c r="D28" s="227"/>
      <c r="E28" s="227"/>
      <c r="F28" s="227"/>
    </row>
    <row r="29" spans="1:12" x14ac:dyDescent="0.45">
      <c r="D29" s="227"/>
      <c r="E29" s="227"/>
      <c r="F29" s="227"/>
    </row>
    <row r="30" spans="1:12" x14ac:dyDescent="0.45">
      <c r="D30" s="227"/>
      <c r="E30" s="227"/>
      <c r="F30" s="227"/>
    </row>
    <row r="31" spans="1:12" x14ac:dyDescent="0.45">
      <c r="D31" s="227"/>
      <c r="E31" s="227"/>
      <c r="F31" s="227"/>
    </row>
    <row r="32" spans="1:12" x14ac:dyDescent="0.45">
      <c r="D32" s="227"/>
      <c r="E32" s="227"/>
      <c r="F32" s="227"/>
    </row>
    <row r="33" spans="4:6" x14ac:dyDescent="0.45">
      <c r="D33" s="227"/>
      <c r="E33" s="227"/>
      <c r="F33" s="227"/>
    </row>
    <row r="34" spans="4:6" x14ac:dyDescent="0.45">
      <c r="D34" s="227"/>
      <c r="E34" s="227"/>
      <c r="F34" s="227"/>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Information'!$C$91:$G$91</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6"/>
  <sheetViews>
    <sheetView showGridLines="0" zoomScaleNormal="100" workbookViewId="0">
      <selection activeCell="E5" sqref="E5"/>
    </sheetView>
  </sheetViews>
  <sheetFormatPr defaultColWidth="9.1328125" defaultRowHeight="13.15" outlineLevelRow="1" x14ac:dyDescent="0.45"/>
  <cols>
    <col min="1" max="1" width="9.1328125" style="4"/>
    <col min="2" max="2" width="35.265625" style="4" customWidth="1"/>
    <col min="3" max="6" width="13.265625" style="4" customWidth="1"/>
    <col min="7" max="7" width="13.265625" style="227" customWidth="1"/>
    <col min="8" max="14" width="13.265625" style="4" customWidth="1"/>
    <col min="15" max="26" width="9.1328125" style="4"/>
    <col min="27" max="27" width="9.1328125" style="4" customWidth="1"/>
    <col min="28" max="16384" width="9.1328125" style="4"/>
  </cols>
  <sheetData>
    <row r="2" spans="2:24" x14ac:dyDescent="0.45">
      <c r="C2" s="20" t="s">
        <v>936</v>
      </c>
      <c r="D2" s="20" t="s">
        <v>936</v>
      </c>
      <c r="E2" s="20" t="s">
        <v>936</v>
      </c>
      <c r="F2" s="20" t="s">
        <v>955</v>
      </c>
      <c r="G2" s="102">
        <v>180</v>
      </c>
      <c r="H2" s="20" t="s">
        <v>215</v>
      </c>
    </row>
    <row r="3" spans="2:24" x14ac:dyDescent="0.45">
      <c r="B3" s="221" t="s">
        <v>157</v>
      </c>
      <c r="C3" s="179" t="s">
        <v>159</v>
      </c>
      <c r="D3" s="179" t="s">
        <v>159</v>
      </c>
      <c r="E3" s="179" t="s">
        <v>159</v>
      </c>
      <c r="F3" s="179" t="s">
        <v>673</v>
      </c>
      <c r="G3" s="258" t="s">
        <v>216</v>
      </c>
      <c r="H3" s="20"/>
      <c r="J3" s="179" t="str">
        <f>C3</f>
        <v>Audited</v>
      </c>
      <c r="K3" s="179" t="str">
        <f t="shared" ref="K3:N3" si="0">D3</f>
        <v>Audited</v>
      </c>
      <c r="L3" s="179" t="str">
        <f t="shared" si="0"/>
        <v>Audited</v>
      </c>
      <c r="M3" s="179" t="str">
        <f t="shared" si="0"/>
        <v>Mgmt Acc</v>
      </c>
      <c r="N3" s="179" t="str">
        <f t="shared" si="0"/>
        <v>Annualised</v>
      </c>
      <c r="X3" s="4" t="s">
        <v>51</v>
      </c>
    </row>
    <row r="4" spans="2:24" ht="12.75" customHeight="1" x14ac:dyDescent="0.45">
      <c r="B4" s="101" t="s">
        <v>162</v>
      </c>
      <c r="C4" s="264" t="s">
        <v>952</v>
      </c>
      <c r="D4" s="264" t="s">
        <v>953</v>
      </c>
      <c r="E4" s="264" t="s">
        <v>960</v>
      </c>
      <c r="F4" s="264" t="s">
        <v>954</v>
      </c>
      <c r="G4" s="264" t="str">
        <f>F4</f>
        <v>31/12/2025</v>
      </c>
      <c r="I4" s="101" t="s">
        <v>163</v>
      </c>
      <c r="J4" s="264" t="str">
        <f>C4</f>
        <v>30/06/2023</v>
      </c>
      <c r="K4" s="264" t="str">
        <f t="shared" ref="K4:M5" si="1">D4</f>
        <v>30/06/2024</v>
      </c>
      <c r="L4" s="264" t="str">
        <f t="shared" si="1"/>
        <v>30/06/2025</v>
      </c>
      <c r="M4" s="264" t="str">
        <f t="shared" si="1"/>
        <v>31/12/2025</v>
      </c>
      <c r="N4" s="264" t="str">
        <f t="shared" ref="N4" si="2">G4</f>
        <v>31/12/2025</v>
      </c>
      <c r="X4" s="4" t="s">
        <v>5</v>
      </c>
    </row>
    <row r="5" spans="2:24" ht="39" customHeight="1" outlineLevel="1" x14ac:dyDescent="0.45">
      <c r="B5" s="101" t="s">
        <v>217</v>
      </c>
      <c r="C5" s="264" t="str">
        <f>C3&amp;"-"&amp;(TEXT(C4,"DDMMYYYY"))</f>
        <v>Audited-30/06/2023</v>
      </c>
      <c r="D5" s="264" t="str">
        <f t="shared" ref="D5:E5" si="3">D3&amp;"-"&amp;(TEXT(D4,"DDMMYYYY"))</f>
        <v>Audited-30/06/2024</v>
      </c>
      <c r="E5" s="264" t="str">
        <f t="shared" si="3"/>
        <v>Audited-30062025</v>
      </c>
      <c r="F5" s="264" t="str">
        <f t="shared" ref="F5:G5" si="4">F3&amp;"-"&amp;(TEXT(F4,"DDMMYYYY"))</f>
        <v>Mgmt Acc-31/12/2025</v>
      </c>
      <c r="G5" s="264" t="str">
        <f t="shared" si="4"/>
        <v>Annualised-31/12/2025</v>
      </c>
      <c r="I5" s="101" t="s">
        <v>218</v>
      </c>
      <c r="J5" s="264" t="str">
        <f>C5</f>
        <v>Audited-30/06/2023</v>
      </c>
      <c r="K5" s="264" t="str">
        <f t="shared" si="1"/>
        <v>Audited-30/06/2024</v>
      </c>
      <c r="L5" s="264" t="str">
        <f t="shared" si="1"/>
        <v>Audited-30062025</v>
      </c>
      <c r="M5" s="264" t="str">
        <f t="shared" si="1"/>
        <v>Mgmt Acc-31/12/2025</v>
      </c>
      <c r="N5" s="264" t="str">
        <f t="shared" ref="N5" si="5">G5</f>
        <v>Annualised-31/12/2025</v>
      </c>
      <c r="X5" s="4" t="s">
        <v>13</v>
      </c>
    </row>
    <row r="6" spans="2:24" ht="25.5" customHeight="1" x14ac:dyDescent="0.45">
      <c r="B6" s="7" t="s">
        <v>164</v>
      </c>
      <c r="C6" s="313">
        <v>2316457</v>
      </c>
      <c r="D6" s="313">
        <v>6107073</v>
      </c>
      <c r="E6" s="313">
        <v>10100052.84</v>
      </c>
      <c r="F6" s="313">
        <v>1723755.14</v>
      </c>
      <c r="G6" s="288">
        <f>IF($G$2&lt;365,$F6*365/$G$2,$F6)</f>
        <v>3495392.3672222216</v>
      </c>
      <c r="I6" s="7" t="s">
        <v>165</v>
      </c>
      <c r="J6" s="242" t="s">
        <v>13</v>
      </c>
      <c r="K6" s="242">
        <f>(D6-C6)/C6</f>
        <v>1.6363852210509411</v>
      </c>
      <c r="L6" s="242">
        <f t="shared" ref="L6" si="6">(E6-D6)/D6</f>
        <v>0.65382873923399965</v>
      </c>
      <c r="M6" s="242">
        <f>(F6-E6)/E6</f>
        <v>-0.82933206713797747</v>
      </c>
      <c r="N6" s="242">
        <f>(G6-E6)/E6</f>
        <v>-0.65392335836312099</v>
      </c>
    </row>
    <row r="7" spans="2:24" x14ac:dyDescent="0.45">
      <c r="B7" s="7" t="s">
        <v>167</v>
      </c>
      <c r="C7" s="313">
        <v>1456026</v>
      </c>
      <c r="D7" s="313">
        <v>4419584</v>
      </c>
      <c r="E7" s="313">
        <v>7068134.7000000002</v>
      </c>
      <c r="F7" s="313">
        <v>1603334.15</v>
      </c>
      <c r="G7" s="288">
        <f>IF($G$2&lt;365,$F7*365/$G$2,$F7)</f>
        <v>3251205.3597222222</v>
      </c>
      <c r="I7" s="7" t="s">
        <v>168</v>
      </c>
      <c r="J7" s="242">
        <f>C8/C6</f>
        <v>0.37144268164701527</v>
      </c>
      <c r="K7" s="242">
        <f>D8/D6</f>
        <v>0.27631714898446441</v>
      </c>
      <c r="L7" s="242">
        <f t="shared" ref="L7:N7" si="7">E8/E6</f>
        <v>0.30018834436117658</v>
      </c>
      <c r="M7" s="242">
        <f t="shared" si="7"/>
        <v>6.9859684363290722E-2</v>
      </c>
      <c r="N7" s="242">
        <f t="shared" si="7"/>
        <v>6.9859684363290542E-2</v>
      </c>
    </row>
    <row r="8" spans="2:24" ht="12.75" customHeight="1" x14ac:dyDescent="0.45">
      <c r="B8" s="289" t="s">
        <v>169</v>
      </c>
      <c r="C8" s="290">
        <f t="shared" ref="C8" si="8">C6-C7</f>
        <v>860431</v>
      </c>
      <c r="D8" s="290">
        <f t="shared" ref="D8:F8" si="9">D6-D7</f>
        <v>1687489</v>
      </c>
      <c r="E8" s="290">
        <f t="shared" si="9"/>
        <v>3031918.1399999997</v>
      </c>
      <c r="F8" s="290">
        <f t="shared" si="9"/>
        <v>120420.98999999999</v>
      </c>
      <c r="G8" s="290">
        <f t="shared" ref="G8" si="10">G6-G7</f>
        <v>244187.00749999937</v>
      </c>
      <c r="I8" s="7" t="s">
        <v>170</v>
      </c>
      <c r="J8" s="242">
        <f>C17/C6</f>
        <v>1.2787632146851852E-2</v>
      </c>
      <c r="K8" s="242">
        <f>D17/D6</f>
        <v>8.2315701810016031E-2</v>
      </c>
      <c r="L8" s="346">
        <f>E17/E6</f>
        <v>9.0256702062956717E-2</v>
      </c>
      <c r="M8" s="242">
        <f>F17/F6</f>
        <v>-0.58737184099129069</v>
      </c>
      <c r="N8" s="242">
        <f>G17/G6</f>
        <v>-0.59654678449712861</v>
      </c>
    </row>
    <row r="9" spans="2:24" x14ac:dyDescent="0.45">
      <c r="B9" s="7" t="s">
        <v>141</v>
      </c>
      <c r="C9" s="313">
        <v>174903</v>
      </c>
      <c r="D9" s="313">
        <v>173810</v>
      </c>
      <c r="E9" s="313">
        <v>385488.7</v>
      </c>
      <c r="F9" s="313">
        <v>80197.59</v>
      </c>
      <c r="G9" s="288">
        <f>IF((AND(G2&lt;365, F9=0)), E9, F9/G2*365)</f>
        <v>162622.89083333334</v>
      </c>
      <c r="I9" s="7" t="s">
        <v>171</v>
      </c>
      <c r="J9" s="243">
        <f>C25/C39</f>
        <v>1.4446090578870856</v>
      </c>
      <c r="K9" s="243">
        <f>D25/D39</f>
        <v>1.5787486850110963</v>
      </c>
      <c r="L9" s="243">
        <f>E25/E39</f>
        <v>2.4780861115834933</v>
      </c>
      <c r="M9" s="243">
        <f>F25/F39</f>
        <v>1.9798670521660937</v>
      </c>
      <c r="N9" s="243">
        <f>G25/G39</f>
        <v>1.9798670521660937</v>
      </c>
    </row>
    <row r="10" spans="2:24" ht="12.75" customHeight="1" x14ac:dyDescent="0.45">
      <c r="B10" s="7" t="s">
        <v>172</v>
      </c>
      <c r="C10" s="313">
        <f>173000+14870+11787+1732+100561+4490+2500+7500</f>
        <v>316440</v>
      </c>
      <c r="D10" s="313">
        <f>201500+21994+25268+240+245429+422+869</f>
        <v>495722</v>
      </c>
      <c r="E10" s="313">
        <f>1262388.67</f>
        <v>1262388.67</v>
      </c>
      <c r="F10" s="313">
        <f>807481</f>
        <v>807481</v>
      </c>
      <c r="G10" s="288">
        <f>IF($G$2&lt;365,$F10*365/$G$2,$F10)</f>
        <v>1637392.0277777778</v>
      </c>
      <c r="H10" s="236">
        <f>E10/12</f>
        <v>105199.05583333333</v>
      </c>
      <c r="I10" s="7" t="s">
        <v>173</v>
      </c>
      <c r="J10" s="243">
        <f>(C25-C32)/C39</f>
        <v>1.4446090578870856</v>
      </c>
      <c r="K10" s="243">
        <f>(D25-D32)/D39</f>
        <v>1.5787486850110963</v>
      </c>
      <c r="L10" s="243">
        <f>(E25-E32)/E39</f>
        <v>2.4039032882370108</v>
      </c>
      <c r="M10" s="243">
        <f>(F25-F32)/F39</f>
        <v>1.9798670521660937</v>
      </c>
      <c r="N10" s="243">
        <f>(G25-G32)/G39</f>
        <v>1.9798670521660937</v>
      </c>
    </row>
    <row r="11" spans="2:24" x14ac:dyDescent="0.45">
      <c r="B11" s="7" t="s">
        <v>174</v>
      </c>
      <c r="C11" s="313">
        <f>790887-C9-C10</f>
        <v>299544</v>
      </c>
      <c r="D11" s="313">
        <f>1037443-D9-D10</f>
        <v>367911</v>
      </c>
      <c r="E11" s="313">
        <f>2129969.82-E10-E9-E15-E16</f>
        <v>455804.98999999987</v>
      </c>
      <c r="F11" s="313">
        <f>1164109.49-F9-F10-F15-F16</f>
        <v>262804.61999999988</v>
      </c>
      <c r="G11" s="288">
        <f>IF($G$2&lt;365,$F11*365/$G$2,$F11)</f>
        <v>532909.36833333306</v>
      </c>
      <c r="H11" s="236">
        <f>E11/12</f>
        <v>37983.749166666654</v>
      </c>
      <c r="I11" s="7" t="s">
        <v>78</v>
      </c>
      <c r="J11" s="243">
        <f>(C36+C37+C46+C47)/(C49-C56)</f>
        <v>0.36741531596319449</v>
      </c>
      <c r="K11" s="243">
        <f>(D36+D37+D46+D47)/(D49-D56)</f>
        <v>0.35108937787275218</v>
      </c>
      <c r="L11" s="243">
        <f>(E36+E37+E46+E47)/(E49-E56)</f>
        <v>0.22346622925052706</v>
      </c>
      <c r="M11" s="243">
        <f>(F36+F37+F46+F47)/(F49-F56)</f>
        <v>0.30122983063546044</v>
      </c>
      <c r="N11" s="243">
        <f>(G36+G37+G46+G47)/(G49-F56)</f>
        <v>0.30122983063546044</v>
      </c>
    </row>
    <row r="12" spans="2:24" ht="12.75" customHeight="1" x14ac:dyDescent="0.45">
      <c r="B12" s="289" t="s">
        <v>175</v>
      </c>
      <c r="C12" s="291">
        <f>C8-SUM(C9:C11)</f>
        <v>69544</v>
      </c>
      <c r="D12" s="291">
        <f>D8-SUM(D9:D11)</f>
        <v>650046</v>
      </c>
      <c r="E12" s="291">
        <f>E8-SUM(E9:E11)</f>
        <v>928235.7799999998</v>
      </c>
      <c r="F12" s="291">
        <f>F8-SUM(F9:F11)</f>
        <v>-1030062.22</v>
      </c>
      <c r="G12" s="291">
        <f>G8-SUM(G9:G11)</f>
        <v>-2088737.2794444449</v>
      </c>
      <c r="I12" s="7" t="s">
        <v>177</v>
      </c>
      <c r="J12" s="237">
        <f>C14/C15</f>
        <v>3.773822444106794</v>
      </c>
      <c r="K12" s="237">
        <f>D14/D15</f>
        <v>19.418421791631562</v>
      </c>
      <c r="L12" s="237">
        <f>E14/E15</f>
        <v>35.678035078322509</v>
      </c>
      <c r="M12" s="237">
        <f>F14/F15</f>
        <v>-73.303862095891162</v>
      </c>
      <c r="N12" s="237">
        <f>G14/G15</f>
        <v>-74.464513133987964</v>
      </c>
    </row>
    <row r="13" spans="2:24" ht="39.4" x14ac:dyDescent="0.45">
      <c r="B13" s="7" t="s">
        <v>176</v>
      </c>
      <c r="C13" s="313">
        <v>0</v>
      </c>
      <c r="D13" s="313">
        <v>41444</v>
      </c>
      <c r="E13" s="313">
        <v>9649.14</v>
      </c>
      <c r="F13" s="313">
        <v>31203.27</v>
      </c>
      <c r="G13" s="288">
        <f>F13</f>
        <v>31203.27</v>
      </c>
      <c r="I13" s="7" t="s">
        <v>219</v>
      </c>
      <c r="J13" s="242">
        <f>(C14-C15)/C49</f>
        <v>4.7128026405561393E-2</v>
      </c>
      <c r="K13" s="242">
        <f>(D14-D15)/D49</f>
        <v>0.41319752439319407</v>
      </c>
      <c r="L13" s="242">
        <f>(E14-E15)/E49</f>
        <v>0.23562028963914161</v>
      </c>
      <c r="M13" s="242">
        <f>(F14-F15)/F49</f>
        <v>-0.35138546716876129</v>
      </c>
      <c r="N13" s="242">
        <f>(G14-G15)/G49</f>
        <v>-0.72366162297865511</v>
      </c>
    </row>
    <row r="14" spans="2:24" ht="38.25" customHeight="1" x14ac:dyDescent="0.45">
      <c r="B14" s="289" t="s">
        <v>178</v>
      </c>
      <c r="C14" s="291">
        <f t="shared" ref="C14" si="11">C12+C13</f>
        <v>69544</v>
      </c>
      <c r="D14" s="291">
        <f t="shared" ref="D14:E14" si="12">D12+D13</f>
        <v>691490</v>
      </c>
      <c r="E14" s="291">
        <f t="shared" si="12"/>
        <v>937884.91999999981</v>
      </c>
      <c r="F14" s="291">
        <f>F12+F13</f>
        <v>-998858.95</v>
      </c>
      <c r="G14" s="291">
        <f>G12+G13</f>
        <v>-2057534.0094444449</v>
      </c>
      <c r="H14" s="248"/>
      <c r="I14" s="316" t="s">
        <v>179</v>
      </c>
      <c r="J14" s="317" t="s">
        <v>13</v>
      </c>
      <c r="K14" s="320">
        <f>((C32+D32)/2)/D7*365</f>
        <v>0</v>
      </c>
      <c r="L14" s="320">
        <f>((D32+E32)/2)/E7*365</f>
        <v>4.7061404227341619</v>
      </c>
      <c r="M14" s="320">
        <f>((E32+F32)/2)/F7*365</f>
        <v>20.746538970058111</v>
      </c>
      <c r="N14" s="287">
        <f>((F32+G32)/2)/G7*365</f>
        <v>0</v>
      </c>
    </row>
    <row r="15" spans="2:24" ht="26.25" x14ac:dyDescent="0.45">
      <c r="B15" s="7" t="s">
        <v>56</v>
      </c>
      <c r="C15" s="313">
        <v>18428</v>
      </c>
      <c r="D15" s="313">
        <v>35610</v>
      </c>
      <c r="E15" s="313">
        <v>26287.46</v>
      </c>
      <c r="F15" s="313">
        <v>13626.28</v>
      </c>
      <c r="G15" s="288">
        <f>IF((AND(G2&lt;365, F15=0)), E15, F15/G2*365)</f>
        <v>27631.067777777778</v>
      </c>
      <c r="H15" s="181"/>
      <c r="I15" s="7" t="s">
        <v>181</v>
      </c>
      <c r="J15" s="287">
        <f>C26/C6*365</f>
        <v>52.768335436401365</v>
      </c>
      <c r="K15" s="287">
        <f>D26/D6*365</f>
        <v>9.7076168894657062</v>
      </c>
      <c r="L15" s="287">
        <f>E26/E6*365</f>
        <v>111.34399268647786</v>
      </c>
      <c r="M15" s="287">
        <f>F26/F6*365</f>
        <v>704.94110268468876</v>
      </c>
      <c r="N15" s="287">
        <f>G26/G6*365</f>
        <v>347.64218762532602</v>
      </c>
    </row>
    <row r="16" spans="2:24" ht="26.25" x14ac:dyDescent="0.45">
      <c r="B16" s="7" t="s">
        <v>180</v>
      </c>
      <c r="C16" s="313">
        <v>21494</v>
      </c>
      <c r="D16" s="313">
        <v>153172</v>
      </c>
      <c r="E16" s="313">
        <v>0</v>
      </c>
      <c r="F16" s="313">
        <v>0</v>
      </c>
      <c r="G16" s="288">
        <f>IF($G$2&lt;365,$F16*365/$G$2,$F16)</f>
        <v>0</v>
      </c>
      <c r="I16" s="7" t="s">
        <v>183</v>
      </c>
      <c r="J16" s="287">
        <f>C40/C7*365</f>
        <v>371.66238446291476</v>
      </c>
      <c r="K16" s="287">
        <f>D40/D7*365</f>
        <v>139.89330556903093</v>
      </c>
      <c r="L16" s="287">
        <f>E40/E7*365</f>
        <v>27.490688929570059</v>
      </c>
      <c r="M16" s="287">
        <f>F40/F7*365</f>
        <v>168.11799162389201</v>
      </c>
      <c r="N16" s="287">
        <f>G40/G7*365</f>
        <v>82.907502718631676</v>
      </c>
    </row>
    <row r="17" spans="1:14" ht="26.25" x14ac:dyDescent="0.45">
      <c r="B17" s="292" t="s">
        <v>182</v>
      </c>
      <c r="C17" s="293">
        <f>C14-SUM(C15:C16)</f>
        <v>29622</v>
      </c>
      <c r="D17" s="293">
        <f>D14-SUM(D15:D16)</f>
        <v>502708</v>
      </c>
      <c r="E17" s="293">
        <f>E14-SUM(E15:E16)</f>
        <v>911597.45999999985</v>
      </c>
      <c r="F17" s="293">
        <f>F14-SUM(F15:F16)</f>
        <v>-1012485.23</v>
      </c>
      <c r="G17" s="293">
        <f t="shared" ref="G17" si="13">G14-SUM(G15:G16)</f>
        <v>-2085165.0772222227</v>
      </c>
      <c r="I17" s="302" t="s">
        <v>185</v>
      </c>
      <c r="J17" s="7" t="s">
        <v>13</v>
      </c>
      <c r="K17" s="318">
        <f>K14+K15-K16</f>
        <v>-130.18568867956523</v>
      </c>
      <c r="L17" s="318">
        <f>L14+L15-L16</f>
        <v>88.559444179641972</v>
      </c>
      <c r="M17" s="318">
        <f>M14+M15-M16</f>
        <v>557.56965003085475</v>
      </c>
      <c r="N17" s="318">
        <f>N14+N15-N16</f>
        <v>264.73468490669433</v>
      </c>
    </row>
    <row r="18" spans="1:14" ht="26.25" x14ac:dyDescent="0.45">
      <c r="B18" s="7" t="s">
        <v>184</v>
      </c>
      <c r="C18" s="313">
        <v>0</v>
      </c>
      <c r="D18" s="313">
        <v>0</v>
      </c>
      <c r="E18" s="313">
        <v>0</v>
      </c>
      <c r="F18" s="313">
        <v>0</v>
      </c>
      <c r="G18" s="312">
        <f>F18</f>
        <v>0</v>
      </c>
      <c r="I18" s="7" t="s">
        <v>186</v>
      </c>
      <c r="J18" s="309" t="s">
        <v>13</v>
      </c>
      <c r="K18" s="319">
        <f>D6/((D34+C34)/2)</f>
        <v>1.5415744949333996</v>
      </c>
      <c r="L18" s="319">
        <f>E6/((E34+D34)/2)</f>
        <v>1.691969102711808</v>
      </c>
      <c r="M18" s="319">
        <f>F6/((F34+E34)/2)</f>
        <v>0.25246981327772755</v>
      </c>
      <c r="N18" s="319">
        <f>G6/((G34+F34)/2)</f>
        <v>0.54069339511770786</v>
      </c>
    </row>
    <row r="19" spans="1:14" ht="26.25" x14ac:dyDescent="0.4">
      <c r="B19" s="7" t="s">
        <v>661</v>
      </c>
      <c r="C19" s="331">
        <f>C17+C16</f>
        <v>51116</v>
      </c>
      <c r="D19" s="331">
        <f t="shared" ref="D19:F19" si="14">D17+D16</f>
        <v>655880</v>
      </c>
      <c r="E19" s="331">
        <f>E17+E16</f>
        <v>911597.45999999985</v>
      </c>
      <c r="F19" s="331">
        <f t="shared" si="14"/>
        <v>-1012485.23</v>
      </c>
      <c r="G19" s="332">
        <f t="shared" ref="G19" si="15">G17-G16</f>
        <v>-2085165.0772222227</v>
      </c>
      <c r="I19" s="303" t="s">
        <v>188</v>
      </c>
      <c r="J19" s="314">
        <f>IF(C49&lt;0,"N/A",C17/C49)</f>
        <v>2.731094761298888E-2</v>
      </c>
      <c r="K19" s="314">
        <f>IF(D49&lt;0,"N/A",D17/D49)</f>
        <v>0.31670077009918557</v>
      </c>
      <c r="L19" s="314">
        <f>IF(E49&lt;0,"N/A",E17/E49)</f>
        <v>0.23562028963914161</v>
      </c>
      <c r="M19" s="314">
        <f>IF(F49&lt;0,"N/A",F17/F49)</f>
        <v>-0.35138546716876129</v>
      </c>
      <c r="N19" s="314">
        <f>IF(G49&lt;0,"N/A",G17/G49)</f>
        <v>-0.72366162297865511</v>
      </c>
    </row>
    <row r="20" spans="1:14" ht="26.25" customHeight="1" thickBot="1" x14ac:dyDescent="0.5">
      <c r="C20" s="180"/>
      <c r="D20" s="180"/>
      <c r="E20" s="180"/>
      <c r="F20" s="180"/>
      <c r="G20" s="257"/>
      <c r="I20" s="302" t="s">
        <v>190</v>
      </c>
      <c r="J20" s="314">
        <f>C17/C34</f>
        <v>9.3302369033516352E-3</v>
      </c>
      <c r="K20" s="314">
        <f>D17/D34</f>
        <v>0.10587061876990703</v>
      </c>
      <c r="L20" s="314">
        <f>E17/E34</f>
        <v>0.12677819799712556</v>
      </c>
      <c r="M20" s="314">
        <f>F17/F34</f>
        <v>-0.15661877666405893</v>
      </c>
      <c r="N20" s="314">
        <f>G17/G34</f>
        <v>-0.32254890625630411</v>
      </c>
    </row>
    <row r="21" spans="1:14" ht="27.4" customHeight="1" x14ac:dyDescent="0.45">
      <c r="B21" s="266" t="s">
        <v>189</v>
      </c>
      <c r="C21" s="267" t="str">
        <f t="shared" ref="C21:G22" si="16">C4</f>
        <v>30/06/2023</v>
      </c>
      <c r="D21" s="267" t="str">
        <f t="shared" si="16"/>
        <v>30/06/2024</v>
      </c>
      <c r="E21" s="267" t="str">
        <f t="shared" si="16"/>
        <v>30/06/2025</v>
      </c>
      <c r="F21" s="267" t="str">
        <f t="shared" si="16"/>
        <v>31/12/2025</v>
      </c>
      <c r="G21" s="268" t="str">
        <f t="shared" si="16"/>
        <v>31/12/2025</v>
      </c>
      <c r="I21" s="302" t="s">
        <v>192</v>
      </c>
      <c r="J21" s="7">
        <f>C18/(C17)</f>
        <v>0</v>
      </c>
      <c r="K21" s="7">
        <f>D18/(D17)</f>
        <v>0</v>
      </c>
      <c r="L21" s="7">
        <f>E18/(E17)</f>
        <v>0</v>
      </c>
      <c r="M21" s="7">
        <f>F18/(F17)</f>
        <v>0</v>
      </c>
      <c r="N21" s="7">
        <f>G18/(G17)</f>
        <v>0</v>
      </c>
    </row>
    <row r="22" spans="1:14" ht="27.4" customHeight="1" outlineLevel="1" x14ac:dyDescent="0.45">
      <c r="B22" s="295" t="s">
        <v>187</v>
      </c>
      <c r="C22" s="264" t="str">
        <f t="shared" si="16"/>
        <v>Audited-30/06/2023</v>
      </c>
      <c r="D22" s="264" t="str">
        <f t="shared" si="16"/>
        <v>Audited-30/06/2024</v>
      </c>
      <c r="E22" s="264" t="str">
        <f>E5</f>
        <v>Audited-30062025</v>
      </c>
      <c r="F22" s="264" t="str">
        <f t="shared" si="16"/>
        <v>Mgmt Acc-31/12/2025</v>
      </c>
      <c r="G22" s="296" t="str">
        <f t="shared" si="16"/>
        <v>Annualised-31/12/2025</v>
      </c>
      <c r="I22" s="315" t="s">
        <v>194</v>
      </c>
      <c r="J22" s="324">
        <f>C17/C63</f>
        <v>2.9328712871287129E-2</v>
      </c>
      <c r="K22" s="324">
        <f>D17/D63</f>
        <v>0.49773069306930695</v>
      </c>
      <c r="L22" s="324">
        <f>E17/E63</f>
        <v>0.38302414285714281</v>
      </c>
      <c r="M22" s="324">
        <f>F17/F63</f>
        <v>-0.42541396218487393</v>
      </c>
      <c r="N22" s="324" t="e">
        <f>G17/G63</f>
        <v>#DIV/0!</v>
      </c>
    </row>
    <row r="23" spans="1:14" ht="26.65" outlineLevel="1" thickBot="1" x14ac:dyDescent="0.5">
      <c r="A23" s="298">
        <v>2</v>
      </c>
      <c r="B23" s="321" t="s">
        <v>220</v>
      </c>
      <c r="C23" s="297" t="s">
        <v>51</v>
      </c>
      <c r="D23" s="297" t="s">
        <v>51</v>
      </c>
      <c r="E23" s="297" t="s">
        <v>13</v>
      </c>
      <c r="F23" s="297" t="s">
        <v>13</v>
      </c>
      <c r="G23" s="323" t="s">
        <v>13</v>
      </c>
      <c r="I23" s="333" t="s">
        <v>196</v>
      </c>
      <c r="J23" s="334">
        <f>C18/C63</f>
        <v>0</v>
      </c>
      <c r="K23" s="334">
        <f>D18/D63</f>
        <v>0</v>
      </c>
      <c r="L23" s="334">
        <f>E18/E63</f>
        <v>0</v>
      </c>
      <c r="M23" s="334">
        <f>F18/F63</f>
        <v>0</v>
      </c>
      <c r="N23" s="334" t="e">
        <f>G18/G63</f>
        <v>#DIV/0!</v>
      </c>
    </row>
    <row r="24" spans="1:14" ht="25.5" customHeight="1" x14ac:dyDescent="0.45">
      <c r="A24" s="4">
        <v>3</v>
      </c>
      <c r="B24" s="322" t="s">
        <v>193</v>
      </c>
      <c r="C24" s="294">
        <v>574287</v>
      </c>
      <c r="D24" s="294">
        <v>420235</v>
      </c>
      <c r="E24" s="294">
        <v>1101856.79</v>
      </c>
      <c r="F24" s="294">
        <v>1088769.2</v>
      </c>
      <c r="G24" s="278">
        <f>$F24</f>
        <v>1088769.2</v>
      </c>
      <c r="I24" s="7" t="s">
        <v>662</v>
      </c>
      <c r="J24" s="335">
        <f>C19/C6</f>
        <v>2.2066457525436473E-2</v>
      </c>
      <c r="K24" s="335">
        <f>D19/D6</f>
        <v>0.10739678402403247</v>
      </c>
      <c r="L24" s="335">
        <f>E19/E6</f>
        <v>9.0256702062956717E-2</v>
      </c>
      <c r="M24" s="335">
        <f>F19/F6</f>
        <v>-0.58737184099129069</v>
      </c>
      <c r="N24" s="335">
        <f>G19/G6</f>
        <v>-0.59654678449712861</v>
      </c>
    </row>
    <row r="25" spans="1:14" x14ac:dyDescent="0.45">
      <c r="A25" s="298">
        <v>4</v>
      </c>
      <c r="B25" s="271" t="s">
        <v>195</v>
      </c>
      <c r="C25" s="272">
        <f>SUM(C26:C27,C32:C33)</f>
        <v>2600552</v>
      </c>
      <c r="D25" s="272">
        <f>SUM(D26:D27,D32:D33)</f>
        <v>4328089</v>
      </c>
      <c r="E25" s="272">
        <f>SUM(E26:E27,E32:E33)</f>
        <v>6088633.96</v>
      </c>
      <c r="F25" s="272">
        <f>SUM(F26:F27,F32:F33)</f>
        <v>5375878.6000000006</v>
      </c>
      <c r="G25" s="273">
        <f>SUM(G26:G27,G32:G33)</f>
        <v>5375878.6000000006</v>
      </c>
    </row>
    <row r="26" spans="1:14" ht="12.75" customHeight="1" x14ac:dyDescent="0.45">
      <c r="A26" s="4">
        <v>5</v>
      </c>
      <c r="B26" s="104" t="s">
        <v>197</v>
      </c>
      <c r="C26" s="103">
        <v>334892</v>
      </c>
      <c r="D26" s="103">
        <v>162425</v>
      </c>
      <c r="E26" s="106">
        <v>3081041.67</v>
      </c>
      <c r="F26" s="106">
        <v>3329166.71</v>
      </c>
      <c r="G26" s="259">
        <f t="shared" ref="G26:G33" si="17">$F26</f>
        <v>3329166.71</v>
      </c>
      <c r="I26" s="728">
        <f>E28/D28</f>
        <v>2.2414841246202419</v>
      </c>
    </row>
    <row r="27" spans="1:14" x14ac:dyDescent="0.45">
      <c r="A27" s="298">
        <v>6</v>
      </c>
      <c r="B27" s="274" t="s">
        <v>198</v>
      </c>
      <c r="C27" s="275">
        <f>SUM(C28:C31)</f>
        <v>1903785</v>
      </c>
      <c r="D27" s="275">
        <f t="shared" ref="D27:G27" si="18">SUM(D28:D31)</f>
        <v>2575409</v>
      </c>
      <c r="E27" s="275">
        <f t="shared" si="18"/>
        <v>1109970.5</v>
      </c>
      <c r="F27" s="275">
        <f t="shared" si="18"/>
        <v>1249654.24</v>
      </c>
      <c r="G27" s="276">
        <f t="shared" si="18"/>
        <v>1249654.24</v>
      </c>
    </row>
    <row r="28" spans="1:14" ht="12.75" customHeight="1" x14ac:dyDescent="0.45">
      <c r="A28" s="4">
        <v>7</v>
      </c>
      <c r="B28" s="270" t="s">
        <v>221</v>
      </c>
      <c r="C28" s="106">
        <v>249208</v>
      </c>
      <c r="D28" s="106">
        <v>251805</v>
      </c>
      <c r="E28" s="103">
        <v>564416.91</v>
      </c>
      <c r="F28" s="103">
        <v>565416.91</v>
      </c>
      <c r="G28" s="261">
        <f>$F28</f>
        <v>565416.91</v>
      </c>
    </row>
    <row r="29" spans="1:14" x14ac:dyDescent="0.45">
      <c r="A29" s="298">
        <v>8</v>
      </c>
      <c r="B29" s="270" t="s">
        <v>222</v>
      </c>
      <c r="C29" s="103">
        <v>633559</v>
      </c>
      <c r="D29" s="103">
        <v>180623</v>
      </c>
      <c r="E29" s="103">
        <v>24540</v>
      </c>
      <c r="F29" s="103">
        <v>16269.95</v>
      </c>
      <c r="G29" s="261">
        <f>$F29</f>
        <v>16269.95</v>
      </c>
    </row>
    <row r="30" spans="1:14" ht="12.75" customHeight="1" x14ac:dyDescent="0.45">
      <c r="A30" s="4">
        <v>9</v>
      </c>
      <c r="B30" s="270" t="s">
        <v>223</v>
      </c>
      <c r="C30" s="103">
        <v>0</v>
      </c>
      <c r="D30" s="103">
        <v>0</v>
      </c>
      <c r="E30" s="103">
        <v>0</v>
      </c>
      <c r="F30" s="103">
        <v>0</v>
      </c>
      <c r="G30" s="261">
        <f>$F30</f>
        <v>0</v>
      </c>
    </row>
    <row r="31" spans="1:14" x14ac:dyDescent="0.45">
      <c r="A31" s="298">
        <v>10</v>
      </c>
      <c r="B31" s="270" t="s">
        <v>224</v>
      </c>
      <c r="C31" s="103">
        <f>885000+136018</f>
        <v>1021018</v>
      </c>
      <c r="D31" s="103">
        <f>2119498+23483</f>
        <v>2142981</v>
      </c>
      <c r="E31" s="103">
        <f>406755-2068+116326.59</f>
        <v>521013.58999999997</v>
      </c>
      <c r="F31" s="103">
        <f>432655+4636+230676.38</f>
        <v>667967.38</v>
      </c>
      <c r="G31" s="261">
        <f>$F31</f>
        <v>667967.38</v>
      </c>
    </row>
    <row r="32" spans="1:14" ht="12.75" customHeight="1" x14ac:dyDescent="0.45">
      <c r="A32" s="4">
        <v>11</v>
      </c>
      <c r="B32" s="105" t="s">
        <v>199</v>
      </c>
      <c r="C32" s="103">
        <v>0</v>
      </c>
      <c r="D32" s="103">
        <v>0</v>
      </c>
      <c r="E32" s="103">
        <v>182266.49</v>
      </c>
      <c r="F32" s="103">
        <v>0</v>
      </c>
      <c r="G32" s="260">
        <f t="shared" si="17"/>
        <v>0</v>
      </c>
    </row>
    <row r="33" spans="1:12" ht="13.5" thickBot="1" x14ac:dyDescent="0.5">
      <c r="A33" s="298">
        <v>12</v>
      </c>
      <c r="B33" s="105" t="s">
        <v>200</v>
      </c>
      <c r="C33" s="106">
        <v>361875</v>
      </c>
      <c r="D33" s="106">
        <v>1590255</v>
      </c>
      <c r="E33" s="106">
        <f>-11557.78+4175.67+1722737.41</f>
        <v>1715355.2999999998</v>
      </c>
      <c r="F33" s="106">
        <f>-11557.78+13113.94+645501.49+150000</f>
        <v>797057.65</v>
      </c>
      <c r="G33" s="261">
        <f t="shared" si="17"/>
        <v>797057.65</v>
      </c>
    </row>
    <row r="34" spans="1:12" ht="13.5" customHeight="1" thickBot="1" x14ac:dyDescent="0.5">
      <c r="A34" s="4">
        <v>13</v>
      </c>
      <c r="B34" s="282" t="s">
        <v>201</v>
      </c>
      <c r="C34" s="283">
        <f>SUM(C24:C25)</f>
        <v>3174839</v>
      </c>
      <c r="D34" s="283">
        <f>SUM(D24:D25)</f>
        <v>4748324</v>
      </c>
      <c r="E34" s="283">
        <f>SUM(E24:E25)</f>
        <v>7190490.75</v>
      </c>
      <c r="F34" s="283">
        <f>SUM(F24:F25)</f>
        <v>6464647.8000000007</v>
      </c>
      <c r="G34" s="284">
        <f>SUM(G24:G25)</f>
        <v>6464647.8000000007</v>
      </c>
      <c r="H34" s="250"/>
      <c r="I34" s="181"/>
      <c r="J34" s="181"/>
      <c r="K34" s="181"/>
      <c r="L34" s="181"/>
    </row>
    <row r="35" spans="1:12" x14ac:dyDescent="0.45">
      <c r="A35" s="298">
        <v>14</v>
      </c>
      <c r="B35" s="279" t="s">
        <v>202</v>
      </c>
      <c r="C35" s="280">
        <f t="shared" ref="C35:D35" si="19">SUM(C36:C38)</f>
        <v>290042</v>
      </c>
      <c r="D35" s="280">
        <f t="shared" si="19"/>
        <v>419528</v>
      </c>
      <c r="E35" s="280">
        <f t="shared" ref="E35" si="20">SUM(E36:E38)</f>
        <v>864574.3</v>
      </c>
      <c r="F35" s="280">
        <f>SUM(F36:F38)</f>
        <v>867966.33</v>
      </c>
      <c r="G35" s="281">
        <f>SUM(G36:G38)</f>
        <v>867966.33</v>
      </c>
    </row>
    <row r="36" spans="1:12" ht="12.75" customHeight="1" x14ac:dyDescent="0.45">
      <c r="A36" s="4">
        <v>15</v>
      </c>
      <c r="B36" s="104" t="s">
        <v>203</v>
      </c>
      <c r="C36" s="103">
        <v>0</v>
      </c>
      <c r="D36" s="103">
        <v>245245</v>
      </c>
      <c r="E36" s="733">
        <v>213848.2</v>
      </c>
      <c r="F36" s="103">
        <f>273155.85</f>
        <v>273155.84999999998</v>
      </c>
      <c r="G36" s="262">
        <f t="shared" ref="G36:G37" si="21">$F36</f>
        <v>273155.84999999998</v>
      </c>
    </row>
    <row r="37" spans="1:12" x14ac:dyDescent="0.45">
      <c r="A37" s="298">
        <v>16</v>
      </c>
      <c r="B37" s="104" t="s">
        <v>204</v>
      </c>
      <c r="C37" s="103">
        <v>285871</v>
      </c>
      <c r="D37" s="103">
        <v>168575</v>
      </c>
      <c r="E37" s="733">
        <v>650726.1</v>
      </c>
      <c r="F37" s="103">
        <v>594810.48</v>
      </c>
      <c r="G37" s="262">
        <f t="shared" si="21"/>
        <v>594810.48</v>
      </c>
    </row>
    <row r="38" spans="1:12" ht="12.75" customHeight="1" x14ac:dyDescent="0.45">
      <c r="A38" s="4">
        <v>17</v>
      </c>
      <c r="B38" s="104" t="s">
        <v>205</v>
      </c>
      <c r="C38" s="103">
        <v>4171</v>
      </c>
      <c r="D38" s="103">
        <v>5708</v>
      </c>
      <c r="E38" s="103">
        <v>0</v>
      </c>
      <c r="F38" s="103">
        <v>0</v>
      </c>
      <c r="G38" s="262">
        <f>$F38</f>
        <v>0</v>
      </c>
      <c r="J38" s="4">
        <f>(F36+F37+F46+F47)/(F49+F43)</f>
        <v>0.30122983063546044</v>
      </c>
    </row>
    <row r="39" spans="1:12" x14ac:dyDescent="0.45">
      <c r="A39" s="298">
        <v>18</v>
      </c>
      <c r="B39" s="271" t="s">
        <v>206</v>
      </c>
      <c r="C39" s="272">
        <f>SUM(C40:C41,C46:C47)</f>
        <v>1800177</v>
      </c>
      <c r="D39" s="272">
        <f>SUM(D40:D41,D46:D47)</f>
        <v>2741468</v>
      </c>
      <c r="E39" s="272">
        <f>SUM(E40:E41,E46:E47)</f>
        <v>2456990.4700000002</v>
      </c>
      <c r="F39" s="272">
        <f>SUM(F40:F41,F46:F47)</f>
        <v>2715272.52</v>
      </c>
      <c r="G39" s="273">
        <f>SUM(G40:G41,G46:G47)</f>
        <v>2715272.52</v>
      </c>
      <c r="H39" s="249"/>
    </row>
    <row r="40" spans="1:12" ht="12.75" customHeight="1" x14ac:dyDescent="0.45">
      <c r="A40" s="4">
        <v>19</v>
      </c>
      <c r="B40" s="104" t="s">
        <v>207</v>
      </c>
      <c r="C40" s="103">
        <v>1482603</v>
      </c>
      <c r="D40" s="103">
        <v>1693891</v>
      </c>
      <c r="E40" s="103">
        <v>532350.39</v>
      </c>
      <c r="F40" s="103">
        <v>738491.28</v>
      </c>
      <c r="G40" s="263">
        <f t="shared" ref="G40:G47" si="22">$F40</f>
        <v>738491.28</v>
      </c>
    </row>
    <row r="41" spans="1:12" x14ac:dyDescent="0.45">
      <c r="A41" s="298">
        <v>20</v>
      </c>
      <c r="B41" s="274" t="s">
        <v>208</v>
      </c>
      <c r="C41" s="275">
        <f>SUM(C42:C45)</f>
        <v>204939</v>
      </c>
      <c r="D41" s="275">
        <f t="shared" ref="D41" si="23">SUM(D42:D45)</f>
        <v>904103</v>
      </c>
      <c r="E41" s="275">
        <f>SUM(E42:E45)</f>
        <v>1924640.08</v>
      </c>
      <c r="F41" s="275">
        <f>SUM(F42:F45)</f>
        <v>1976781.24</v>
      </c>
      <c r="G41" s="285">
        <f>SUM(G42:G45)</f>
        <v>1976781.24</v>
      </c>
      <c r="J41" s="181">
        <f>F37+F46+600000</f>
        <v>1194810.48</v>
      </c>
    </row>
    <row r="42" spans="1:12" ht="12.75" customHeight="1" x14ac:dyDescent="0.45">
      <c r="A42" s="4">
        <v>21</v>
      </c>
      <c r="B42" s="277" t="s">
        <v>205</v>
      </c>
      <c r="C42" s="103">
        <v>204939</v>
      </c>
      <c r="D42" s="103">
        <v>904103</v>
      </c>
      <c r="E42" s="103">
        <f>48807.3+174157.25</f>
        <v>222964.55</v>
      </c>
      <c r="F42" s="103">
        <f>21617.64+102136.05</f>
        <v>123753.69</v>
      </c>
      <c r="G42" s="263">
        <f t="shared" si="22"/>
        <v>123753.69</v>
      </c>
      <c r="J42" s="4">
        <f>J41/F49</f>
        <v>0.41466188962868317</v>
      </c>
    </row>
    <row r="43" spans="1:12" x14ac:dyDescent="0.45">
      <c r="A43" s="298">
        <v>22</v>
      </c>
      <c r="B43" s="277" t="s">
        <v>225</v>
      </c>
      <c r="C43" s="103">
        <v>0</v>
      </c>
      <c r="D43" s="103">
        <v>0</v>
      </c>
      <c r="E43" s="103">
        <v>0</v>
      </c>
      <c r="F43" s="103">
        <v>0</v>
      </c>
      <c r="G43" s="263">
        <f t="shared" si="22"/>
        <v>0</v>
      </c>
    </row>
    <row r="44" spans="1:12" x14ac:dyDescent="0.45">
      <c r="A44" s="4">
        <v>23</v>
      </c>
      <c r="B44" s="277" t="s">
        <v>226</v>
      </c>
      <c r="C44" s="103">
        <v>0</v>
      </c>
      <c r="D44" s="103">
        <v>0</v>
      </c>
      <c r="E44" s="103">
        <v>0</v>
      </c>
      <c r="F44" s="103">
        <v>0</v>
      </c>
      <c r="G44" s="263">
        <f t="shared" si="22"/>
        <v>0</v>
      </c>
    </row>
    <row r="45" spans="1:12" x14ac:dyDescent="0.45">
      <c r="A45" s="298">
        <v>24</v>
      </c>
      <c r="B45" s="277" t="s">
        <v>224</v>
      </c>
      <c r="C45" s="103">
        <v>0</v>
      </c>
      <c r="D45" s="103">
        <v>0</v>
      </c>
      <c r="E45" s="103">
        <f>159869.6+23689.2+5708+1517841.33-432.6-5000</f>
        <v>1701675.53</v>
      </c>
      <c r="F45" s="103">
        <f>192000+142910.82+5708+1517841.33-432-5000-0.6</f>
        <v>1853027.55</v>
      </c>
      <c r="G45" s="263">
        <f t="shared" si="22"/>
        <v>1853027.55</v>
      </c>
    </row>
    <row r="46" spans="1:12" x14ac:dyDescent="0.45">
      <c r="A46" s="4">
        <v>25</v>
      </c>
      <c r="B46" s="104" t="s">
        <v>203</v>
      </c>
      <c r="C46" s="103">
        <v>0</v>
      </c>
      <c r="D46" s="103">
        <v>26178</v>
      </c>
      <c r="E46" s="733">
        <v>0</v>
      </c>
      <c r="F46" s="103">
        <v>0</v>
      </c>
      <c r="G46" s="263">
        <f t="shared" si="22"/>
        <v>0</v>
      </c>
    </row>
    <row r="47" spans="1:12" ht="13.5" thickBot="1" x14ac:dyDescent="0.5">
      <c r="A47" s="298">
        <v>26</v>
      </c>
      <c r="B47" s="104" t="s">
        <v>204</v>
      </c>
      <c r="C47" s="103">
        <v>112635</v>
      </c>
      <c r="D47" s="103">
        <v>117296</v>
      </c>
      <c r="E47" s="733">
        <v>0</v>
      </c>
      <c r="F47" s="103">
        <v>0</v>
      </c>
      <c r="G47" s="263">
        <f t="shared" si="22"/>
        <v>0</v>
      </c>
    </row>
    <row r="48" spans="1:12" ht="13.5" thickBot="1" x14ac:dyDescent="0.5">
      <c r="A48" s="4">
        <v>27</v>
      </c>
      <c r="B48" s="282" t="s">
        <v>209</v>
      </c>
      <c r="C48" s="283">
        <f>SUM(C35,C39)</f>
        <v>2090219</v>
      </c>
      <c r="D48" s="283">
        <f>SUM(D35,D39)</f>
        <v>3160996</v>
      </c>
      <c r="E48" s="283">
        <f>SUM(E35,E39)</f>
        <v>3321564.7700000005</v>
      </c>
      <c r="F48" s="283">
        <f>SUM(F35,F39)</f>
        <v>3583238.85</v>
      </c>
      <c r="G48" s="284">
        <f>SUM(G35,G39)</f>
        <v>3583238.85</v>
      </c>
    </row>
    <row r="49" spans="1:12" x14ac:dyDescent="0.45">
      <c r="A49" s="298">
        <v>28</v>
      </c>
      <c r="B49" s="308" t="s">
        <v>210</v>
      </c>
      <c r="C49" s="306">
        <f>SUM(C50:C52)</f>
        <v>1084620</v>
      </c>
      <c r="D49" s="306">
        <f t="shared" ref="D49:E49" si="24">SUM(D50:D52)</f>
        <v>1587328</v>
      </c>
      <c r="E49" s="306">
        <f t="shared" si="24"/>
        <v>3868925.98</v>
      </c>
      <c r="F49" s="306">
        <f>SUM(F50:F52)</f>
        <v>2881408.95</v>
      </c>
      <c r="G49" s="306">
        <f>SUM(G50:G52)</f>
        <v>2881408.95</v>
      </c>
      <c r="H49" s="325"/>
    </row>
    <row r="50" spans="1:12" x14ac:dyDescent="0.45">
      <c r="A50" s="4">
        <v>29</v>
      </c>
      <c r="B50" s="108" t="s">
        <v>211</v>
      </c>
      <c r="C50" s="107">
        <v>1010000</v>
      </c>
      <c r="D50" s="107">
        <v>1010000</v>
      </c>
      <c r="E50" s="107">
        <v>2380000</v>
      </c>
      <c r="F50" s="107">
        <v>2380000</v>
      </c>
      <c r="G50" s="263">
        <f>F50</f>
        <v>2380000</v>
      </c>
    </row>
    <row r="51" spans="1:12" x14ac:dyDescent="0.45">
      <c r="A51" s="4">
        <v>30</v>
      </c>
      <c r="B51" s="327" t="s">
        <v>212</v>
      </c>
      <c r="C51" s="307">
        <v>74620</v>
      </c>
      <c r="D51" s="307">
        <v>577328</v>
      </c>
      <c r="E51" s="307">
        <v>1488925.98</v>
      </c>
      <c r="F51" s="307">
        <v>501408.95</v>
      </c>
      <c r="G51" s="263">
        <f>F51</f>
        <v>501408.95</v>
      </c>
      <c r="J51" s="181">
        <f>C51+D17</f>
        <v>577328</v>
      </c>
      <c r="K51" s="181">
        <f>D51+E17</f>
        <v>1488925.46</v>
      </c>
      <c r="L51" s="181">
        <f>E51+F17</f>
        <v>476440.75</v>
      </c>
    </row>
    <row r="52" spans="1:12" ht="13.5" thickBot="1" x14ac:dyDescent="0.5">
      <c r="A52" s="4">
        <v>31</v>
      </c>
      <c r="B52" s="611" t="s">
        <v>213</v>
      </c>
      <c r="C52" s="304">
        <v>0</v>
      </c>
      <c r="D52" s="304">
        <v>0</v>
      </c>
      <c r="E52" s="304">
        <v>0</v>
      </c>
      <c r="F52" s="304">
        <v>0</v>
      </c>
      <c r="G52" s="305">
        <f>F52</f>
        <v>0</v>
      </c>
    </row>
    <row r="53" spans="1:12" ht="13.5" thickBot="1" x14ac:dyDescent="0.5">
      <c r="A53" s="4">
        <v>32</v>
      </c>
      <c r="B53" s="610" t="s">
        <v>214</v>
      </c>
      <c r="C53" s="283">
        <f>C48+C49</f>
        <v>3174839</v>
      </c>
      <c r="D53" s="283">
        <f t="shared" ref="D53:E53" si="25">D48+D49</f>
        <v>4748324</v>
      </c>
      <c r="E53" s="283">
        <f t="shared" si="25"/>
        <v>7190490.75</v>
      </c>
      <c r="F53" s="283">
        <f t="shared" ref="F53:G53" si="26">F48+F49</f>
        <v>6464647.8000000007</v>
      </c>
      <c r="G53" s="284">
        <f t="shared" si="26"/>
        <v>6464647.8000000007</v>
      </c>
    </row>
    <row r="54" spans="1:12" x14ac:dyDescent="0.45">
      <c r="B54" s="597"/>
      <c r="C54" s="598">
        <f>C34-C53</f>
        <v>0</v>
      </c>
      <c r="D54" s="598">
        <f t="shared" ref="D54:F54" si="27">D34-D53</f>
        <v>0</v>
      </c>
      <c r="E54" s="598">
        <f t="shared" si="27"/>
        <v>0</v>
      </c>
      <c r="F54" s="734">
        <f t="shared" si="27"/>
        <v>0</v>
      </c>
      <c r="G54" s="598"/>
    </row>
    <row r="55" spans="1:12" ht="13.5" thickBot="1" x14ac:dyDescent="0.5">
      <c r="B55" s="597"/>
      <c r="C55" s="598"/>
      <c r="D55" s="598"/>
      <c r="E55" s="598"/>
      <c r="F55" s="598"/>
      <c r="G55" s="598"/>
    </row>
    <row r="56" spans="1:12" ht="13.5" thickBot="1" x14ac:dyDescent="0.5">
      <c r="B56" s="282" t="s">
        <v>795</v>
      </c>
      <c r="C56" s="605">
        <f>SUM(C57:C60)</f>
        <v>0</v>
      </c>
      <c r="D56" s="605">
        <f t="shared" ref="D56" si="28">SUM(D57:D60)</f>
        <v>0</v>
      </c>
      <c r="E56" s="605">
        <f t="shared" ref="E56" si="29">SUM(E57:E60)</f>
        <v>0</v>
      </c>
      <c r="F56" s="606">
        <f t="shared" ref="F56" si="30">SUM(F57:F60)</f>
        <v>0</v>
      </c>
    </row>
    <row r="57" spans="1:12" x14ac:dyDescent="0.45">
      <c r="B57" s="602" t="s">
        <v>796</v>
      </c>
      <c r="C57" s="603"/>
      <c r="D57" s="603"/>
      <c r="E57" s="603"/>
      <c r="F57" s="604"/>
    </row>
    <row r="58" spans="1:12" x14ac:dyDescent="0.45">
      <c r="B58" s="600" t="s">
        <v>797</v>
      </c>
      <c r="C58" s="599"/>
      <c r="D58" s="599"/>
      <c r="E58" s="599"/>
      <c r="F58" s="601"/>
    </row>
    <row r="59" spans="1:12" x14ac:dyDescent="0.45">
      <c r="B59" s="600" t="s">
        <v>798</v>
      </c>
      <c r="C59" s="599"/>
      <c r="D59" s="599"/>
      <c r="E59" s="599"/>
      <c r="F59" s="601"/>
    </row>
    <row r="60" spans="1:12" ht="13.5" thickBot="1" x14ac:dyDescent="0.5">
      <c r="B60" s="607" t="s">
        <v>799</v>
      </c>
      <c r="C60" s="608"/>
      <c r="D60" s="608"/>
      <c r="E60" s="608"/>
      <c r="F60" s="609"/>
    </row>
    <row r="61" spans="1:12" ht="13.5" thickBot="1" x14ac:dyDescent="0.5">
      <c r="B61" s="282" t="s">
        <v>800</v>
      </c>
      <c r="C61" s="605">
        <f>C34-C48-C56</f>
        <v>1084620</v>
      </c>
      <c r="D61" s="605">
        <f>D34-D48-D56</f>
        <v>1587328</v>
      </c>
      <c r="E61" s="605">
        <f>E34-E48-E56</f>
        <v>3868925.9799999995</v>
      </c>
      <c r="F61" s="605">
        <f>F34-F48-F56</f>
        <v>2881408.9500000007</v>
      </c>
    </row>
    <row r="62" spans="1:12" ht="42.4" thickBot="1" x14ac:dyDescent="0.5">
      <c r="B62" s="612" t="s">
        <v>794</v>
      </c>
      <c r="C62" s="181"/>
      <c r="D62" s="181"/>
      <c r="E62" s="181"/>
      <c r="F62" s="181"/>
    </row>
    <row r="63" spans="1:12" ht="14.65" thickBot="1" x14ac:dyDescent="0.5">
      <c r="B63" s="282" t="s">
        <v>227</v>
      </c>
      <c r="C63" s="310">
        <v>1010000</v>
      </c>
      <c r="D63" s="310">
        <v>1010000</v>
      </c>
      <c r="E63" s="310">
        <v>2380000</v>
      </c>
      <c r="F63" s="311">
        <v>2380000</v>
      </c>
      <c r="G63"/>
    </row>
    <row r="64" spans="1:12" x14ac:dyDescent="0.45">
      <c r="B64" s="597"/>
      <c r="C64" s="227"/>
      <c r="D64" s="227"/>
      <c r="E64" s="227"/>
    </row>
    <row r="65" spans="1:7" x14ac:dyDescent="0.45">
      <c r="C65" s="227"/>
      <c r="D65" s="227"/>
      <c r="E65" s="227"/>
      <c r="F65" s="227"/>
    </row>
    <row r="66" spans="1:7" x14ac:dyDescent="0.45">
      <c r="C66" s="227"/>
      <c r="D66" s="227"/>
      <c r="E66" s="227"/>
    </row>
    <row r="67" spans="1:7" x14ac:dyDescent="0.45">
      <c r="C67" s="227"/>
      <c r="D67" s="227"/>
      <c r="E67" s="227"/>
    </row>
    <row r="68" spans="1:7" ht="13.5" thickBot="1" x14ac:dyDescent="0.5">
      <c r="C68" s="227"/>
      <c r="D68" s="227"/>
      <c r="E68" s="227"/>
      <c r="F68" s="181">
        <f>E51+F17</f>
        <v>476440.75</v>
      </c>
    </row>
    <row r="69" spans="1:7" x14ac:dyDescent="0.45">
      <c r="B69" s="266" t="s">
        <v>189</v>
      </c>
      <c r="C69" s="267" t="str">
        <f t="shared" ref="C69:G73" si="31">C21</f>
        <v>30/06/2023</v>
      </c>
      <c r="D69" s="267" t="str">
        <f t="shared" si="31"/>
        <v>30/06/2024</v>
      </c>
      <c r="E69" s="267" t="str">
        <f t="shared" si="31"/>
        <v>30/06/2025</v>
      </c>
      <c r="F69" s="267" t="str">
        <f t="shared" si="31"/>
        <v>31/12/2025</v>
      </c>
      <c r="G69" s="268" t="str">
        <f t="shared" si="31"/>
        <v>31/12/2025</v>
      </c>
    </row>
    <row r="70" spans="1:7" ht="26.25" x14ac:dyDescent="0.45">
      <c r="B70" s="295" t="s">
        <v>187</v>
      </c>
      <c r="C70" s="264" t="str">
        <f t="shared" si="31"/>
        <v>Audited-30/06/2023</v>
      </c>
      <c r="D70" s="264" t="str">
        <f t="shared" si="31"/>
        <v>Audited-30/06/2024</v>
      </c>
      <c r="E70" s="264" t="str">
        <f t="shared" si="31"/>
        <v>Audited-30062025</v>
      </c>
      <c r="F70" s="264" t="str">
        <f t="shared" si="31"/>
        <v>Mgmt Acc-31/12/2025</v>
      </c>
      <c r="G70" s="296" t="str">
        <f t="shared" si="31"/>
        <v>Annualised-31/12/2025</v>
      </c>
    </row>
    <row r="71" spans="1:7" ht="13.5" thickBot="1" x14ac:dyDescent="0.5">
      <c r="A71" s="298">
        <v>2</v>
      </c>
      <c r="B71" s="321" t="s">
        <v>220</v>
      </c>
      <c r="C71" s="297" t="str">
        <f t="shared" si="31"/>
        <v>Yes</v>
      </c>
      <c r="D71" s="297" t="str">
        <f t="shared" si="31"/>
        <v>Yes</v>
      </c>
      <c r="E71" s="297" t="str">
        <f t="shared" si="31"/>
        <v>N/A</v>
      </c>
      <c r="F71" s="297" t="str">
        <f t="shared" si="31"/>
        <v>N/A</v>
      </c>
      <c r="G71" s="323" t="str">
        <f t="shared" si="31"/>
        <v>N/A</v>
      </c>
    </row>
    <row r="72" spans="1:7" x14ac:dyDescent="0.45">
      <c r="A72" s="4">
        <f>A71+1</f>
        <v>3</v>
      </c>
      <c r="B72" s="322" t="s">
        <v>193</v>
      </c>
      <c r="C72" s="294">
        <f t="shared" si="31"/>
        <v>574287</v>
      </c>
      <c r="D72" s="294">
        <f t="shared" si="31"/>
        <v>420235</v>
      </c>
      <c r="E72" s="294">
        <f t="shared" si="31"/>
        <v>1101856.79</v>
      </c>
      <c r="F72" s="294">
        <f t="shared" si="31"/>
        <v>1088769.2</v>
      </c>
      <c r="G72" s="278">
        <f t="shared" si="31"/>
        <v>1088769.2</v>
      </c>
    </row>
    <row r="73" spans="1:7" ht="13.5" thickBot="1" x14ac:dyDescent="0.5">
      <c r="A73" s="4">
        <f t="shared" ref="A73:A81" si="32">A72+1</f>
        <v>4</v>
      </c>
      <c r="B73" s="271" t="s">
        <v>195</v>
      </c>
      <c r="C73" s="272">
        <f t="shared" si="31"/>
        <v>2600552</v>
      </c>
      <c r="D73" s="272">
        <f t="shared" si="31"/>
        <v>4328089</v>
      </c>
      <c r="E73" s="272">
        <f t="shared" si="31"/>
        <v>6088633.96</v>
      </c>
      <c r="F73" s="272">
        <f t="shared" si="31"/>
        <v>5375878.6000000006</v>
      </c>
      <c r="G73" s="273">
        <f t="shared" si="31"/>
        <v>5375878.6000000006</v>
      </c>
    </row>
    <row r="74" spans="1:7" ht="13.5" thickBot="1" x14ac:dyDescent="0.5">
      <c r="A74" s="4">
        <f t="shared" si="32"/>
        <v>5</v>
      </c>
      <c r="B74" s="282" t="s">
        <v>201</v>
      </c>
      <c r="C74" s="283">
        <f>C34</f>
        <v>3174839</v>
      </c>
      <c r="D74" s="283">
        <f t="shared" ref="D74:G75" si="33">D34</f>
        <v>4748324</v>
      </c>
      <c r="E74" s="283">
        <f t="shared" si="33"/>
        <v>7190490.75</v>
      </c>
      <c r="F74" s="283">
        <f t="shared" si="33"/>
        <v>6464647.8000000007</v>
      </c>
      <c r="G74" s="284">
        <f t="shared" si="33"/>
        <v>6464647.8000000007</v>
      </c>
    </row>
    <row r="75" spans="1:7" x14ac:dyDescent="0.45">
      <c r="A75" s="4">
        <f t="shared" si="32"/>
        <v>6</v>
      </c>
      <c r="B75" s="279" t="s">
        <v>202</v>
      </c>
      <c r="C75" s="280">
        <f>C35</f>
        <v>290042</v>
      </c>
      <c r="D75" s="280">
        <f t="shared" si="33"/>
        <v>419528</v>
      </c>
      <c r="E75" s="280">
        <f t="shared" si="33"/>
        <v>864574.3</v>
      </c>
      <c r="F75" s="280">
        <f t="shared" si="33"/>
        <v>867966.33</v>
      </c>
      <c r="G75" s="281">
        <f t="shared" si="33"/>
        <v>867966.33</v>
      </c>
    </row>
    <row r="76" spans="1:7" ht="13.5" thickBot="1" x14ac:dyDescent="0.5">
      <c r="A76" s="4">
        <f t="shared" si="32"/>
        <v>7</v>
      </c>
      <c r="B76" s="271" t="s">
        <v>206</v>
      </c>
      <c r="C76" s="272">
        <f>C39</f>
        <v>1800177</v>
      </c>
      <c r="D76" s="272">
        <f t="shared" ref="D76:G76" si="34">D39</f>
        <v>2741468</v>
      </c>
      <c r="E76" s="272">
        <f t="shared" si="34"/>
        <v>2456990.4700000002</v>
      </c>
      <c r="F76" s="272">
        <f t="shared" si="34"/>
        <v>2715272.52</v>
      </c>
      <c r="G76" s="273">
        <f t="shared" si="34"/>
        <v>2715272.52</v>
      </c>
    </row>
    <row r="77" spans="1:7" ht="13.5" thickBot="1" x14ac:dyDescent="0.5">
      <c r="A77" s="4">
        <f t="shared" si="32"/>
        <v>8</v>
      </c>
      <c r="B77" s="282" t="s">
        <v>209</v>
      </c>
      <c r="C77" s="283">
        <f>C48</f>
        <v>2090219</v>
      </c>
      <c r="D77" s="283">
        <f t="shared" ref="D77:G77" si="35">D48</f>
        <v>3160996</v>
      </c>
      <c r="E77" s="283">
        <f t="shared" si="35"/>
        <v>3321564.7700000005</v>
      </c>
      <c r="F77" s="283">
        <f t="shared" si="35"/>
        <v>3583238.85</v>
      </c>
      <c r="G77" s="284">
        <f t="shared" si="35"/>
        <v>3583238.85</v>
      </c>
    </row>
    <row r="78" spans="1:7" x14ac:dyDescent="0.45">
      <c r="A78" s="4">
        <v>9</v>
      </c>
      <c r="B78" s="108" t="s">
        <v>211</v>
      </c>
      <c r="C78" s="307">
        <f>C50</f>
        <v>1010000</v>
      </c>
      <c r="D78" s="307">
        <f t="shared" ref="D78:G78" si="36">D50</f>
        <v>1010000</v>
      </c>
      <c r="E78" s="107">
        <f t="shared" si="36"/>
        <v>2380000</v>
      </c>
      <c r="F78" s="107">
        <f t="shared" si="36"/>
        <v>2380000</v>
      </c>
      <c r="G78" s="263">
        <f t="shared" si="36"/>
        <v>2380000</v>
      </c>
    </row>
    <row r="79" spans="1:7" x14ac:dyDescent="0.45">
      <c r="A79" s="4">
        <v>10</v>
      </c>
      <c r="B79" s="327" t="s">
        <v>663</v>
      </c>
      <c r="C79" s="307">
        <f>C52</f>
        <v>0</v>
      </c>
      <c r="D79" s="307">
        <f t="shared" ref="D79:G79" si="37">D52</f>
        <v>0</v>
      </c>
      <c r="E79" s="307">
        <f t="shared" si="37"/>
        <v>0</v>
      </c>
      <c r="F79" s="307">
        <f t="shared" si="37"/>
        <v>0</v>
      </c>
      <c r="G79" s="263">
        <f t="shared" si="37"/>
        <v>0</v>
      </c>
    </row>
    <row r="80" spans="1:7" x14ac:dyDescent="0.45">
      <c r="A80" s="4">
        <f t="shared" si="32"/>
        <v>11</v>
      </c>
      <c r="B80" s="327" t="s">
        <v>664</v>
      </c>
      <c r="C80" s="307">
        <f>C51</f>
        <v>74620</v>
      </c>
      <c r="D80" s="307">
        <f t="shared" ref="D80:G80" si="38">D51</f>
        <v>577328</v>
      </c>
      <c r="E80" s="307">
        <f t="shared" si="38"/>
        <v>1488925.98</v>
      </c>
      <c r="F80" s="307">
        <f t="shared" si="38"/>
        <v>501408.95</v>
      </c>
      <c r="G80" s="263">
        <f t="shared" si="38"/>
        <v>501408.95</v>
      </c>
    </row>
    <row r="81" spans="1:7" x14ac:dyDescent="0.45">
      <c r="A81" s="4">
        <f t="shared" si="32"/>
        <v>12</v>
      </c>
      <c r="B81" s="327" t="s">
        <v>665</v>
      </c>
      <c r="C81" s="307">
        <v>0</v>
      </c>
      <c r="D81" s="307">
        <v>0</v>
      </c>
      <c r="E81" s="307">
        <v>0</v>
      </c>
      <c r="F81" s="307">
        <v>0</v>
      </c>
      <c r="G81" s="263">
        <v>0</v>
      </c>
    </row>
    <row r="82" spans="1:7" ht="13.5" thickBot="1" x14ac:dyDescent="0.5">
      <c r="A82" s="4">
        <v>13</v>
      </c>
      <c r="B82" s="308" t="s">
        <v>210</v>
      </c>
      <c r="C82" s="306">
        <f>SUM(C78:C81)</f>
        <v>1084620</v>
      </c>
      <c r="D82" s="306">
        <f>SUM(D78:D81)</f>
        <v>1587328</v>
      </c>
      <c r="E82" s="306">
        <f>SUM(E78:E81)</f>
        <v>3868925.98</v>
      </c>
      <c r="F82" s="306">
        <f>SUM(F78:F81)</f>
        <v>2881408.95</v>
      </c>
      <c r="G82" s="273">
        <f>SUM(G78:G81)</f>
        <v>2881408.95</v>
      </c>
    </row>
    <row r="83" spans="1:7" ht="13.5" thickBot="1" x14ac:dyDescent="0.5">
      <c r="A83" s="4">
        <v>14</v>
      </c>
      <c r="B83" s="282" t="s">
        <v>214</v>
      </c>
      <c r="C83" s="283">
        <f>C53</f>
        <v>3174839</v>
      </c>
      <c r="D83" s="283">
        <f t="shared" ref="D83:G83" si="39">D53</f>
        <v>4748324</v>
      </c>
      <c r="E83" s="283">
        <f t="shared" si="39"/>
        <v>7190490.75</v>
      </c>
      <c r="F83" s="283">
        <f t="shared" si="39"/>
        <v>6464647.8000000007</v>
      </c>
      <c r="G83" s="283">
        <f t="shared" si="39"/>
        <v>6464647.8000000007</v>
      </c>
    </row>
    <row r="85" spans="1:7" x14ac:dyDescent="0.45">
      <c r="C85" s="4" t="b">
        <f>C74=C83</f>
        <v>1</v>
      </c>
      <c r="D85" s="4" t="b">
        <f>D74=D83</f>
        <v>1</v>
      </c>
      <c r="E85" s="4" t="b">
        <f>E74=E83</f>
        <v>1</v>
      </c>
      <c r="F85" s="4" t="b">
        <f>F74=F83</f>
        <v>1</v>
      </c>
      <c r="G85" s="4" t="b">
        <f>G74=G83</f>
        <v>1</v>
      </c>
    </row>
    <row r="89" spans="1:7" x14ac:dyDescent="0.45">
      <c r="B89" s="221" t="s">
        <v>157</v>
      </c>
      <c r="C89" s="179" t="str">
        <f>C3</f>
        <v>Audited</v>
      </c>
      <c r="D89" s="179" t="str">
        <f t="shared" ref="D89:G89" si="40">D3</f>
        <v>Audited</v>
      </c>
      <c r="E89" s="179" t="str">
        <f t="shared" si="40"/>
        <v>Audited</v>
      </c>
      <c r="F89" s="179" t="str">
        <f t="shared" si="40"/>
        <v>Mgmt Acc</v>
      </c>
      <c r="G89" s="258" t="str">
        <f t="shared" si="40"/>
        <v>Annualised</v>
      </c>
    </row>
    <row r="90" spans="1:7" x14ac:dyDescent="0.45">
      <c r="B90" s="101" t="s">
        <v>162</v>
      </c>
      <c r="C90" s="179" t="str">
        <f t="shared" ref="C90:G92" si="41">C4</f>
        <v>30/06/2023</v>
      </c>
      <c r="D90" s="179" t="str">
        <f t="shared" si="41"/>
        <v>30/06/2024</v>
      </c>
      <c r="E90" s="264" t="str">
        <f t="shared" si="41"/>
        <v>30/06/2025</v>
      </c>
      <c r="F90" s="264" t="str">
        <f t="shared" si="41"/>
        <v>31/12/2025</v>
      </c>
      <c r="G90" s="264" t="str">
        <f t="shared" si="41"/>
        <v>31/12/2025</v>
      </c>
    </row>
    <row r="91" spans="1:7" ht="26.25" x14ac:dyDescent="0.45">
      <c r="B91" s="101" t="s">
        <v>217</v>
      </c>
      <c r="C91" s="264" t="str">
        <f t="shared" si="41"/>
        <v>Audited-30/06/2023</v>
      </c>
      <c r="D91" s="264" t="str">
        <f t="shared" si="41"/>
        <v>Audited-30/06/2024</v>
      </c>
      <c r="E91" s="264" t="str">
        <f t="shared" si="41"/>
        <v>Audited-30062025</v>
      </c>
      <c r="F91" s="264" t="str">
        <f t="shared" si="41"/>
        <v>Mgmt Acc-31/12/2025</v>
      </c>
      <c r="G91" s="264" t="str">
        <f t="shared" si="41"/>
        <v>Annualised-31/12/2025</v>
      </c>
    </row>
    <row r="92" spans="1:7" x14ac:dyDescent="0.45">
      <c r="A92" s="4">
        <v>2</v>
      </c>
      <c r="B92" s="7" t="s">
        <v>164</v>
      </c>
      <c r="C92" s="247">
        <f>C6</f>
        <v>2316457</v>
      </c>
      <c r="D92" s="247">
        <f t="shared" si="41"/>
        <v>6107073</v>
      </c>
      <c r="E92" s="247">
        <f t="shared" si="41"/>
        <v>10100052.84</v>
      </c>
      <c r="F92" s="247">
        <f t="shared" si="41"/>
        <v>1723755.14</v>
      </c>
      <c r="G92" s="288">
        <f>IF($G$2&lt;365,$F92*365/$G$2,$F92)</f>
        <v>3495392.3672222216</v>
      </c>
    </row>
    <row r="93" spans="1:7" x14ac:dyDescent="0.45">
      <c r="A93" s="4">
        <v>3</v>
      </c>
      <c r="B93" s="292" t="s">
        <v>666</v>
      </c>
      <c r="C93" s="293">
        <f>SUM(C16:C17)</f>
        <v>51116</v>
      </c>
      <c r="D93" s="293">
        <f>SUM(D16:D17)</f>
        <v>655880</v>
      </c>
      <c r="E93" s="293">
        <f>SUM(E16:E17)</f>
        <v>911597.45999999985</v>
      </c>
      <c r="F93" s="293">
        <f>SUM(F16:F17)</f>
        <v>-1012485.23</v>
      </c>
      <c r="G93" s="293">
        <f>SUM(G16:G17)</f>
        <v>-2085165.0772222227</v>
      </c>
    </row>
    <row r="94" spans="1:7" x14ac:dyDescent="0.45">
      <c r="A94" s="4">
        <v>4</v>
      </c>
      <c r="B94" s="292" t="s">
        <v>667</v>
      </c>
      <c r="C94" s="293">
        <f>C17</f>
        <v>29622</v>
      </c>
      <c r="D94" s="293">
        <f t="shared" ref="D94:G95" si="42">D17</f>
        <v>502708</v>
      </c>
      <c r="E94" s="293">
        <f t="shared" si="42"/>
        <v>911597.45999999985</v>
      </c>
      <c r="F94" s="293">
        <f t="shared" si="42"/>
        <v>-1012485.23</v>
      </c>
      <c r="G94" s="293">
        <f t="shared" si="42"/>
        <v>-2085165.0772222227</v>
      </c>
    </row>
    <row r="95" spans="1:7" x14ac:dyDescent="0.45">
      <c r="A95" s="4">
        <v>5</v>
      </c>
      <c r="B95" s="7" t="s">
        <v>668</v>
      </c>
      <c r="C95" s="313">
        <f>C18</f>
        <v>0</v>
      </c>
      <c r="D95" s="313">
        <f t="shared" si="42"/>
        <v>0</v>
      </c>
      <c r="E95" s="313">
        <f t="shared" si="42"/>
        <v>0</v>
      </c>
      <c r="F95" s="313">
        <f t="shared" si="42"/>
        <v>0</v>
      </c>
      <c r="G95" s="312">
        <f t="shared" si="42"/>
        <v>0</v>
      </c>
    </row>
    <row r="96" spans="1:7" x14ac:dyDescent="0.45">
      <c r="A96" s="4">
        <v>6</v>
      </c>
      <c r="B96" s="7" t="s">
        <v>669</v>
      </c>
      <c r="C96" s="313">
        <v>0</v>
      </c>
      <c r="D96" s="313">
        <v>0</v>
      </c>
      <c r="E96" s="313">
        <v>0</v>
      </c>
      <c r="F96" s="313">
        <v>0</v>
      </c>
      <c r="G96" s="312">
        <v>0</v>
      </c>
    </row>
  </sheetData>
  <dataValidations disablePrompts="1" count="1">
    <dataValidation type="list" allowBlank="1" showInputMessage="1" showErrorMessage="1" sqref="C71:G71 J29 C23:G23"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workbookViewId="0">
      <selection activeCell="E7" sqref="E7"/>
    </sheetView>
  </sheetViews>
  <sheetFormatPr defaultRowHeight="14.25" x14ac:dyDescent="0.45"/>
  <cols>
    <col min="2" max="2" width="38.3984375" bestFit="1" customWidth="1"/>
    <col min="3" max="3" width="13.265625" bestFit="1" customWidth="1"/>
    <col min="4" max="4" width="13.265625" style="727" bestFit="1" customWidth="1"/>
  </cols>
  <sheetData>
    <row r="2" spans="2:4" ht="26.25" x14ac:dyDescent="0.45">
      <c r="B2" s="101" t="s">
        <v>907</v>
      </c>
      <c r="C2" s="264" t="str">
        <f>'Summary of Information'!G22</f>
        <v>Annualised-31/12/2025</v>
      </c>
      <c r="D2" s="726" t="s">
        <v>916</v>
      </c>
    </row>
    <row r="3" spans="2:4" x14ac:dyDescent="0.45">
      <c r="B3" s="7" t="s">
        <v>908</v>
      </c>
      <c r="C3" s="243">
        <f>'Summary of Information'!G6</f>
        <v>3495392.3672222216</v>
      </c>
      <c r="D3" s="243">
        <f>C3</f>
        <v>3495392.3672222216</v>
      </c>
    </row>
    <row r="4" spans="2:4" x14ac:dyDescent="0.45">
      <c r="B4" s="7" t="s">
        <v>909</v>
      </c>
      <c r="C4" s="243">
        <f>'Summary of Information'!G7</f>
        <v>3251205.3597222222</v>
      </c>
      <c r="D4" s="243">
        <f t="shared" ref="D4:D5" si="0">C4</f>
        <v>3251205.3597222222</v>
      </c>
    </row>
    <row r="5" spans="2:4" x14ac:dyDescent="0.45">
      <c r="B5" s="7" t="s">
        <v>169</v>
      </c>
      <c r="C5" s="243">
        <f>'Summary of Information'!G8</f>
        <v>244187.00749999937</v>
      </c>
      <c r="D5" s="243">
        <f t="shared" si="0"/>
        <v>244187.00749999937</v>
      </c>
    </row>
    <row r="6" spans="2:4" x14ac:dyDescent="0.45">
      <c r="B6" s="7"/>
      <c r="C6" s="243"/>
      <c r="D6" s="243"/>
    </row>
    <row r="7" spans="2:4" x14ac:dyDescent="0.45">
      <c r="B7" s="7" t="s">
        <v>910</v>
      </c>
      <c r="C7" s="243">
        <f>'Summary of Information'!M14</f>
        <v>20.746538970058111</v>
      </c>
      <c r="D7" s="243">
        <v>150</v>
      </c>
    </row>
    <row r="8" spans="2:4" x14ac:dyDescent="0.45">
      <c r="B8" s="7" t="s">
        <v>911</v>
      </c>
      <c r="C8" s="243">
        <f>'Summary of Information'!M15</f>
        <v>704.94110268468876</v>
      </c>
      <c r="D8" s="243">
        <v>30</v>
      </c>
    </row>
    <row r="9" spans="2:4" x14ac:dyDescent="0.45">
      <c r="B9" s="7" t="s">
        <v>912</v>
      </c>
      <c r="C9" s="243">
        <f>'Summary of Information'!M16</f>
        <v>168.11799162389201</v>
      </c>
      <c r="D9" s="243">
        <v>90</v>
      </c>
    </row>
    <row r="10" spans="2:4" x14ac:dyDescent="0.45">
      <c r="B10" s="7"/>
      <c r="C10" s="243"/>
      <c r="D10" s="243"/>
    </row>
    <row r="11" spans="2:4" x14ac:dyDescent="0.45">
      <c r="B11" s="7" t="s">
        <v>913</v>
      </c>
      <c r="C11" s="243">
        <f>'Summary of Information'!M17</f>
        <v>557.56965003085475</v>
      </c>
      <c r="D11" s="243">
        <f>D7+D8-D9</f>
        <v>90</v>
      </c>
    </row>
    <row r="12" spans="2:4" x14ac:dyDescent="0.45">
      <c r="B12" s="7" t="s">
        <v>914</v>
      </c>
      <c r="C12" s="243">
        <f>C11/365</f>
        <v>1.5275880822763144</v>
      </c>
      <c r="D12" s="243">
        <f>D11/365</f>
        <v>0.24657534246575341</v>
      </c>
    </row>
    <row r="13" spans="2:4" x14ac:dyDescent="0.45">
      <c r="B13" s="7"/>
      <c r="C13" s="243"/>
      <c r="D13" s="243"/>
    </row>
    <row r="14" spans="2:4" x14ac:dyDescent="0.45">
      <c r="B14" s="7" t="s">
        <v>915</v>
      </c>
      <c r="C14" s="243">
        <f>C3*C12</f>
        <v>5339519.7230482604</v>
      </c>
      <c r="D14" s="243">
        <f>D3*D12</f>
        <v>861877.56999999983</v>
      </c>
    </row>
    <row r="15" spans="2:4" x14ac:dyDescent="0.45">
      <c r="B15" s="4"/>
      <c r="C15" s="719"/>
      <c r="D15" s="719"/>
    </row>
    <row r="16" spans="2:4" x14ac:dyDescent="0.45">
      <c r="B16" s="4"/>
      <c r="C16" s="719"/>
      <c r="D16" s="719"/>
    </row>
    <row r="17" spans="2:4" x14ac:dyDescent="0.45">
      <c r="B17" s="7" t="s">
        <v>917</v>
      </c>
      <c r="C17" s="720"/>
      <c r="D17" s="720">
        <f>C17</f>
        <v>0</v>
      </c>
    </row>
    <row r="18" spans="2:4" x14ac:dyDescent="0.45">
      <c r="B18" s="7" t="s">
        <v>918</v>
      </c>
      <c r="C18" s="720">
        <f>C14-C17</f>
        <v>5339519.7230482604</v>
      </c>
      <c r="D18" s="720">
        <f>D14-D17</f>
        <v>861877.56999999983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55" zoomScale="85" zoomScaleNormal="85" workbookViewId="0">
      <selection activeCell="H19" sqref="H19"/>
    </sheetView>
  </sheetViews>
  <sheetFormatPr defaultColWidth="9.1328125" defaultRowHeight="13.15" x14ac:dyDescent="0.4"/>
  <cols>
    <col min="1" max="1" width="9.1328125" style="1"/>
    <col min="2" max="2" width="15.73046875" style="20" customWidth="1"/>
    <col min="3" max="3" width="28" style="4" customWidth="1"/>
    <col min="4" max="4" width="13.1328125" style="2" bestFit="1" customWidth="1"/>
    <col min="5" max="5" width="16.3984375" style="2" bestFit="1" customWidth="1"/>
    <col min="6" max="6" width="13.73046875" style="2" customWidth="1"/>
    <col min="7" max="7" width="13.73046875" style="20" customWidth="1"/>
    <col min="8" max="8" width="14.3984375" style="2" customWidth="1"/>
    <col min="9" max="9" width="2.59765625" style="2" customWidth="1"/>
    <col min="10" max="10" width="12.86328125" style="2" bestFit="1" customWidth="1"/>
    <col min="11" max="11" width="16" style="2" customWidth="1"/>
    <col min="12" max="12" width="16.1328125" style="1" customWidth="1"/>
    <col min="13" max="13" width="17.3984375" style="1" customWidth="1"/>
    <col min="14" max="14" width="16.86328125" style="1" customWidth="1"/>
    <col min="15" max="16" width="9.1328125" style="1"/>
    <col min="17" max="17" width="12" style="1" bestFit="1" customWidth="1"/>
    <col min="18" max="16384" width="9.1328125" style="1"/>
  </cols>
  <sheetData>
    <row r="2" spans="2:13" x14ac:dyDescent="0.4">
      <c r="B2" s="115" t="s">
        <v>228</v>
      </c>
    </row>
    <row r="3" spans="2:13" x14ac:dyDescent="0.4">
      <c r="B3" s="116"/>
      <c r="E3" s="120"/>
      <c r="F3" s="120"/>
      <c r="G3" s="120"/>
      <c r="H3" s="120"/>
      <c r="J3" s="20"/>
      <c r="L3" s="63" t="s">
        <v>229</v>
      </c>
      <c r="M3" s="64"/>
    </row>
    <row r="4" spans="2:13" x14ac:dyDescent="0.4">
      <c r="B4" s="139" t="s">
        <v>230</v>
      </c>
      <c r="C4" s="140"/>
      <c r="D4" s="140"/>
      <c r="E4" s="140"/>
      <c r="F4" s="140"/>
      <c r="G4" s="140"/>
      <c r="H4" s="140"/>
      <c r="J4" s="140"/>
      <c r="K4" s="140"/>
      <c r="L4" s="140"/>
      <c r="M4" s="141"/>
    </row>
    <row r="5" spans="2:13" s="114" customFormat="1" ht="26.25" x14ac:dyDescent="0.4">
      <c r="B5" s="117" t="s">
        <v>48</v>
      </c>
      <c r="C5" s="117" t="s">
        <v>60</v>
      </c>
      <c r="D5" s="117" t="s">
        <v>231</v>
      </c>
      <c r="E5" s="117" t="s">
        <v>232</v>
      </c>
      <c r="F5" s="117" t="s">
        <v>233</v>
      </c>
      <c r="G5" s="117" t="s">
        <v>234</v>
      </c>
      <c r="H5" s="117" t="s">
        <v>235</v>
      </c>
      <c r="I5" s="2"/>
      <c r="J5" s="117" t="s">
        <v>236</v>
      </c>
      <c r="K5" s="117" t="s">
        <v>237</v>
      </c>
      <c r="L5" s="117" t="s">
        <v>238</v>
      </c>
      <c r="M5" s="117" t="s">
        <v>61</v>
      </c>
    </row>
    <row r="6" spans="2:13" s="114" customFormat="1" ht="23.25" x14ac:dyDescent="0.4">
      <c r="B6" s="117"/>
      <c r="C6" s="138" t="s">
        <v>239</v>
      </c>
      <c r="D6" s="220" t="str">
        <f>'Summary of Information'!C4</f>
        <v>30/06/2023</v>
      </c>
      <c r="E6" s="220" t="str">
        <f>'Summary of Information'!D4</f>
        <v>30/06/2024</v>
      </c>
      <c r="F6" s="220" t="str">
        <f>'Summary of Information'!E4</f>
        <v>30/06/2025</v>
      </c>
      <c r="G6" s="220" t="str">
        <f>'Summary of Information'!F4</f>
        <v>31/12/2025</v>
      </c>
      <c r="H6" s="201" t="s">
        <v>240</v>
      </c>
      <c r="I6" s="2"/>
      <c r="J6" s="117"/>
      <c r="K6" s="117"/>
      <c r="L6" s="117"/>
      <c r="M6" s="117"/>
    </row>
    <row r="7" spans="2:13" s="90" customFormat="1" ht="24.4" customHeight="1" x14ac:dyDescent="0.4">
      <c r="B7" s="117"/>
      <c r="C7" s="138" t="s">
        <v>157</v>
      </c>
      <c r="D7" s="222" t="str">
        <f>'Summary of Information'!C3</f>
        <v>Audited</v>
      </c>
      <c r="E7" s="222" t="str">
        <f>'Summary of Information'!D3</f>
        <v>Audited</v>
      </c>
      <c r="F7" s="222" t="str">
        <f>'Summary of Information'!E3</f>
        <v>Audited</v>
      </c>
      <c r="G7" s="222" t="str">
        <f>'Summary of Information'!F3</f>
        <v>Mgmt Acc</v>
      </c>
      <c r="H7" s="202" t="s">
        <v>241</v>
      </c>
      <c r="I7" s="2"/>
      <c r="J7" s="117"/>
      <c r="K7" s="121"/>
      <c r="L7" s="121"/>
      <c r="M7" s="121"/>
    </row>
    <row r="8" spans="2:13" ht="25.15" customHeight="1" x14ac:dyDescent="0.4">
      <c r="B8" s="99" t="s">
        <v>242</v>
      </c>
      <c r="C8" s="7" t="s">
        <v>243</v>
      </c>
      <c r="D8" s="184">
        <f>'Summary of Information'!C6</f>
        <v>2316457</v>
      </c>
      <c r="E8" s="184">
        <f>'Summary of Information'!D6</f>
        <v>6107073</v>
      </c>
      <c r="F8" s="184">
        <f>'Summary of Information'!E6</f>
        <v>10100052.84</v>
      </c>
      <c r="G8" s="184">
        <f>'Summary of Information'!F6</f>
        <v>1723755.14</v>
      </c>
      <c r="H8" s="182">
        <f>'Summary of Information'!G6</f>
        <v>3495392.3672222216</v>
      </c>
      <c r="J8" s="195" t="s">
        <v>244</v>
      </c>
      <c r="K8" s="135">
        <v>1.1000000000000001</v>
      </c>
      <c r="L8" s="75">
        <f>AVERAGE(E8:F8)*K8</f>
        <v>8913919.2120000012</v>
      </c>
      <c r="M8" s="5"/>
    </row>
    <row r="9" spans="2:13" ht="25.15" customHeight="1" x14ac:dyDescent="0.4">
      <c r="B9" s="99" t="s">
        <v>245</v>
      </c>
      <c r="C9" s="7" t="s">
        <v>246</v>
      </c>
      <c r="D9" s="184">
        <f>'Summary of Information'!C7</f>
        <v>1456026</v>
      </c>
      <c r="E9" s="184">
        <f>'Summary of Information'!D7</f>
        <v>4419584</v>
      </c>
      <c r="F9" s="184">
        <f>'Summary of Information'!E7</f>
        <v>7068134.7000000002</v>
      </c>
      <c r="G9" s="184">
        <f>'Summary of Information'!F7</f>
        <v>1603334.15</v>
      </c>
      <c r="H9" s="182">
        <f>'Summary of Information'!G7</f>
        <v>3251205.3597222222</v>
      </c>
      <c r="J9" s="195" t="s">
        <v>244</v>
      </c>
      <c r="K9" s="135">
        <v>1.1000000000000001</v>
      </c>
      <c r="L9" s="75">
        <f>AVERAGE(E9:F9)*K9</f>
        <v>6318245.2850000001</v>
      </c>
      <c r="M9" s="5"/>
    </row>
    <row r="10" spans="2:13" ht="25.15" customHeight="1" x14ac:dyDescent="0.4">
      <c r="B10" s="99" t="s">
        <v>247</v>
      </c>
      <c r="C10" s="7" t="s">
        <v>248</v>
      </c>
      <c r="D10" s="184">
        <f>'Summary of Information'!C26</f>
        <v>334892</v>
      </c>
      <c r="E10" s="184">
        <f>'Summary of Information'!D26</f>
        <v>162425</v>
      </c>
      <c r="F10" s="184">
        <f>'Summary of Information'!E26</f>
        <v>3081041.67</v>
      </c>
      <c r="G10" s="184">
        <f>'Summary of Information'!F26</f>
        <v>3329166.71</v>
      </c>
      <c r="H10" s="182">
        <f>'Summary of Information'!G26</f>
        <v>3329166.71</v>
      </c>
      <c r="J10" s="195" t="s">
        <v>244</v>
      </c>
      <c r="K10" s="135">
        <v>1.1000000000000001</v>
      </c>
      <c r="L10" s="75">
        <f>F10*K10</f>
        <v>3389145.8370000003</v>
      </c>
      <c r="M10" s="5"/>
    </row>
    <row r="11" spans="2:13" ht="25.15" customHeight="1" x14ac:dyDescent="0.4">
      <c r="B11" s="99" t="s">
        <v>249</v>
      </c>
      <c r="C11" s="7" t="s">
        <v>250</v>
      </c>
      <c r="D11" s="184">
        <f>'Summary of Information'!C32</f>
        <v>0</v>
      </c>
      <c r="E11" s="184">
        <f>'Summary of Information'!D32</f>
        <v>0</v>
      </c>
      <c r="F11" s="184">
        <f>'Summary of Information'!E32</f>
        <v>182266.49</v>
      </c>
      <c r="G11" s="184">
        <f>'Summary of Information'!F32</f>
        <v>0</v>
      </c>
      <c r="H11" s="184">
        <f>'Summary of Information'!G32</f>
        <v>0</v>
      </c>
      <c r="J11" s="195" t="s">
        <v>244</v>
      </c>
      <c r="K11" s="135">
        <v>1</v>
      </c>
      <c r="L11" s="75">
        <f>F11*K11</f>
        <v>182266.49</v>
      </c>
      <c r="M11" s="5"/>
    </row>
    <row r="12" spans="2:13" ht="25.15" customHeight="1" x14ac:dyDescent="0.4">
      <c r="B12" s="99" t="s">
        <v>251</v>
      </c>
      <c r="C12" s="7" t="s">
        <v>252</v>
      </c>
      <c r="D12" s="127">
        <f>SUM(D10:D11)</f>
        <v>334892</v>
      </c>
      <c r="E12" s="127">
        <f t="shared" ref="E12:H12" si="0">SUM(E10:E11)</f>
        <v>162425</v>
      </c>
      <c r="F12" s="127">
        <f>SUM(F10:F11)</f>
        <v>3263308.16</v>
      </c>
      <c r="G12" s="127">
        <f t="shared" si="0"/>
        <v>3329166.71</v>
      </c>
      <c r="H12" s="127">
        <f t="shared" si="0"/>
        <v>3329166.71</v>
      </c>
      <c r="J12" s="196" t="s">
        <v>253</v>
      </c>
      <c r="K12" s="135">
        <v>1.1000000000000001</v>
      </c>
      <c r="L12" s="127">
        <f t="shared" ref="L12" si="1">SUM(L10:L11)</f>
        <v>3571412.3270000005</v>
      </c>
      <c r="M12" s="5"/>
    </row>
    <row r="13" spans="2:13" ht="25.15" customHeight="1" x14ac:dyDescent="0.4">
      <c r="B13" s="99" t="s">
        <v>254</v>
      </c>
      <c r="C13" s="7" t="s">
        <v>255</v>
      </c>
      <c r="D13" s="184">
        <f>'Summary of Information'!C40</f>
        <v>1482603</v>
      </c>
      <c r="E13" s="184">
        <f>'Summary of Information'!D40</f>
        <v>1693891</v>
      </c>
      <c r="F13" s="184">
        <f>'Summary of Information'!E40</f>
        <v>532350.39</v>
      </c>
      <c r="G13" s="184">
        <f>'Summary of Information'!F40</f>
        <v>738491.28</v>
      </c>
      <c r="H13" s="122"/>
      <c r="J13" s="195" t="s">
        <v>244</v>
      </c>
      <c r="K13" s="135">
        <v>1.1000000000000001</v>
      </c>
      <c r="L13" s="75">
        <f>F13*K13</f>
        <v>585585.42900000012</v>
      </c>
      <c r="M13" s="5"/>
    </row>
    <row r="14" spans="2:13" ht="25.15" customHeight="1" x14ac:dyDescent="0.4">
      <c r="B14" s="99" t="s">
        <v>256</v>
      </c>
      <c r="C14" s="7" t="s">
        <v>257</v>
      </c>
      <c r="D14" s="123">
        <f>D12-D13</f>
        <v>-1147711</v>
      </c>
      <c r="E14" s="123">
        <f t="shared" ref="E14:F14" si="2">E12-E13</f>
        <v>-1531466</v>
      </c>
      <c r="F14" s="123">
        <f t="shared" si="2"/>
        <v>2730957.77</v>
      </c>
      <c r="G14" s="123">
        <f t="shared" ref="G14" si="3">G12-G13</f>
        <v>2590675.4299999997</v>
      </c>
      <c r="H14" s="123">
        <f t="shared" ref="H14" si="4">H12-H13</f>
        <v>3329166.71</v>
      </c>
      <c r="J14" s="196" t="s">
        <v>253</v>
      </c>
      <c r="K14" s="200"/>
      <c r="L14" s="123">
        <f t="shared" ref="L14" si="5">L12-L13</f>
        <v>2985826.8980000005</v>
      </c>
      <c r="M14" s="5"/>
    </row>
    <row r="15" spans="2:13" ht="25.15" customHeight="1" x14ac:dyDescent="0.4">
      <c r="B15" s="99" t="s">
        <v>258</v>
      </c>
      <c r="C15" s="7" t="s">
        <v>259</v>
      </c>
      <c r="D15" s="123">
        <f>D14/D8*365</f>
        <v>-180.8427762742844</v>
      </c>
      <c r="E15" s="123">
        <f>E14/E8*365</f>
        <v>-91.530769322718086</v>
      </c>
      <c r="F15" s="123">
        <f>F14/F8*365</f>
        <v>98.692511993828347</v>
      </c>
      <c r="G15" s="123">
        <f>G14/G8*365</f>
        <v>548.56778089143211</v>
      </c>
      <c r="H15" s="123">
        <f>H14/H8*365</f>
        <v>347.64218762532602</v>
      </c>
      <c r="J15" s="196" t="s">
        <v>253</v>
      </c>
      <c r="K15" s="200"/>
      <c r="L15" s="123">
        <f>L14/L8*365</f>
        <v>122.26124018522235</v>
      </c>
      <c r="M15" s="5"/>
    </row>
    <row r="16" spans="2:13" ht="25.15" customHeight="1" x14ac:dyDescent="0.4">
      <c r="B16" s="99" t="s">
        <v>260</v>
      </c>
      <c r="C16" s="7" t="s">
        <v>261</v>
      </c>
      <c r="D16" s="128">
        <f t="shared" ref="D16:E16" si="6">(D10/D8)*365</f>
        <v>52.768335436401365</v>
      </c>
      <c r="E16" s="128">
        <f t="shared" si="6"/>
        <v>9.7076168894657062</v>
      </c>
      <c r="F16" s="128">
        <f>(F10/F8)*365</f>
        <v>111.34399268647786</v>
      </c>
      <c r="G16" s="128">
        <f t="shared" ref="G16:H16" si="7">(G10/G8)*365</f>
        <v>704.94110268468876</v>
      </c>
      <c r="H16" s="128">
        <f t="shared" si="7"/>
        <v>347.64218762532602</v>
      </c>
      <c r="J16" s="196" t="s">
        <v>253</v>
      </c>
      <c r="K16" s="200"/>
      <c r="L16" s="128">
        <f>(L10/L8)*365</f>
        <v>138.77601996209341</v>
      </c>
      <c r="M16" s="5"/>
    </row>
    <row r="17" spans="1:16" ht="25.15" customHeight="1" x14ac:dyDescent="0.4">
      <c r="B17" s="99" t="s">
        <v>262</v>
      </c>
      <c r="C17" s="7" t="s">
        <v>263</v>
      </c>
      <c r="D17" s="128">
        <f t="shared" ref="D17:E17" si="8">(D13/D9)*365</f>
        <v>371.66238446291476</v>
      </c>
      <c r="E17" s="128">
        <f t="shared" si="8"/>
        <v>139.89330556903093</v>
      </c>
      <c r="F17" s="128">
        <f>(F13/F9)*365</f>
        <v>27.490688929570059</v>
      </c>
      <c r="G17" s="128">
        <f t="shared" ref="G17:H17" si="9">(G13/G9)*365</f>
        <v>168.11799162389201</v>
      </c>
      <c r="H17" s="128">
        <f t="shared" si="9"/>
        <v>0</v>
      </c>
      <c r="J17" s="196" t="s">
        <v>253</v>
      </c>
      <c r="K17" s="200"/>
      <c r="L17" s="128">
        <f>(L13/L9)*365</f>
        <v>33.828804033998502</v>
      </c>
      <c r="M17" s="5"/>
    </row>
    <row r="18" spans="1:16" ht="25.15" customHeight="1" x14ac:dyDescent="0.4">
      <c r="B18" s="99" t="s">
        <v>264</v>
      </c>
      <c r="C18" s="7" t="s">
        <v>265</v>
      </c>
      <c r="D18" s="127">
        <f>F18</f>
        <v>0</v>
      </c>
      <c r="E18" s="127">
        <f>F18</f>
        <v>0</v>
      </c>
      <c r="F18" s="184">
        <f>E43</f>
        <v>0</v>
      </c>
      <c r="G18" s="184">
        <f>F18</f>
        <v>0</v>
      </c>
      <c r="H18" s="184">
        <f>G18</f>
        <v>0</v>
      </c>
      <c r="J18" s="197" t="str">
        <f>E30</f>
        <v>Year (i -1)</v>
      </c>
      <c r="K18" s="200"/>
      <c r="L18" s="199">
        <f>F18</f>
        <v>0</v>
      </c>
      <c r="M18" s="5"/>
    </row>
    <row r="19" spans="1:16" ht="26.25" x14ac:dyDescent="0.4">
      <c r="B19" s="189" t="s">
        <v>266</v>
      </c>
      <c r="C19" s="190" t="s">
        <v>267</v>
      </c>
      <c r="D19" s="191">
        <f>D18-D$14</f>
        <v>1147711</v>
      </c>
      <c r="E19" s="191">
        <f>E18-E$14</f>
        <v>1531466</v>
      </c>
      <c r="F19" s="192">
        <f>F18-F$14</f>
        <v>-2730957.77</v>
      </c>
      <c r="G19" s="192">
        <f t="shared" ref="G19" si="10">G18-G$14</f>
        <v>-2590675.4299999997</v>
      </c>
      <c r="H19" s="192">
        <f>H18-H$14</f>
        <v>-3329166.71</v>
      </c>
      <c r="J19" s="198" t="s">
        <v>253</v>
      </c>
      <c r="K19" s="193"/>
      <c r="L19" s="192">
        <f>L18-L$14</f>
        <v>-2985826.8980000005</v>
      </c>
      <c r="M19" s="5"/>
    </row>
    <row r="20" spans="1:16" ht="39.4" x14ac:dyDescent="0.4">
      <c r="A20" s="183" t="s">
        <v>268</v>
      </c>
      <c r="B20" s="99" t="s">
        <v>269</v>
      </c>
      <c r="C20" s="7" t="s">
        <v>270</v>
      </c>
      <c r="D20" s="127">
        <f>F20</f>
        <v>0</v>
      </c>
      <c r="E20" s="127">
        <f>F20</f>
        <v>0</v>
      </c>
      <c r="F20" s="184">
        <f>F18</f>
        <v>0</v>
      </c>
      <c r="G20" s="184">
        <f>F20</f>
        <v>0</v>
      </c>
      <c r="H20" s="184">
        <f>G20</f>
        <v>0</v>
      </c>
      <c r="J20" s="197" t="s">
        <v>253</v>
      </c>
      <c r="K20" s="200"/>
      <c r="L20" s="199">
        <f>F20</f>
        <v>0</v>
      </c>
      <c r="M20" s="5"/>
    </row>
    <row r="21" spans="1:16" ht="26.25" x14ac:dyDescent="0.4">
      <c r="B21" s="189" t="s">
        <v>271</v>
      </c>
      <c r="C21" s="190" t="s">
        <v>267</v>
      </c>
      <c r="D21" s="191">
        <f>D20-D$14</f>
        <v>1147711</v>
      </c>
      <c r="E21" s="191">
        <f>E20-E$14</f>
        <v>1531466</v>
      </c>
      <c r="F21" s="192">
        <f>F20-F$14</f>
        <v>-2730957.77</v>
      </c>
      <c r="G21" s="192">
        <f t="shared" ref="G21:H21" si="11">G20-G$14</f>
        <v>-2590675.4299999997</v>
      </c>
      <c r="H21" s="192">
        <f t="shared" si="11"/>
        <v>-3329166.71</v>
      </c>
      <c r="J21" s="198" t="s">
        <v>253</v>
      </c>
      <c r="K21" s="194"/>
      <c r="L21" s="192">
        <f>L20-L$14</f>
        <v>-2985826.8980000005</v>
      </c>
      <c r="M21" s="5"/>
    </row>
    <row r="22" spans="1:16" ht="39.4" x14ac:dyDescent="0.4">
      <c r="A22" s="183" t="s">
        <v>268</v>
      </c>
      <c r="B22" s="99" t="s">
        <v>272</v>
      </c>
      <c r="C22" s="7" t="s">
        <v>273</v>
      </c>
      <c r="D22" s="127">
        <f>F22</f>
        <v>0</v>
      </c>
      <c r="E22" s="127">
        <f>F22</f>
        <v>0</v>
      </c>
      <c r="F22" s="184">
        <f>F20+N68</f>
        <v>0</v>
      </c>
      <c r="G22" s="184">
        <f>F22</f>
        <v>0</v>
      </c>
      <c r="H22" s="184">
        <f>G22</f>
        <v>0</v>
      </c>
      <c r="J22" s="197" t="s">
        <v>253</v>
      </c>
      <c r="K22" s="200"/>
      <c r="L22" s="199">
        <f>F22</f>
        <v>0</v>
      </c>
      <c r="M22" s="5"/>
    </row>
    <row r="23" spans="1:16" ht="26.25" x14ac:dyDescent="0.4">
      <c r="B23" s="189" t="s">
        <v>274</v>
      </c>
      <c r="C23" s="190" t="s">
        <v>275</v>
      </c>
      <c r="D23" s="191">
        <f t="shared" ref="D23:E23" si="12">D22-D$14</f>
        <v>1147711</v>
      </c>
      <c r="E23" s="191">
        <f t="shared" si="12"/>
        <v>1531466</v>
      </c>
      <c r="F23" s="192">
        <f>F22-F$14</f>
        <v>-2730957.77</v>
      </c>
      <c r="G23" s="192">
        <f t="shared" ref="G23:H23" si="13">G22-G$14</f>
        <v>-2590675.4299999997</v>
      </c>
      <c r="H23" s="192">
        <f t="shared" si="13"/>
        <v>-3329166.71</v>
      </c>
      <c r="J23" s="198" t="s">
        <v>253</v>
      </c>
      <c r="K23" s="194"/>
      <c r="L23" s="192">
        <f>L22-L$14</f>
        <v>-2985826.8980000005</v>
      </c>
      <c r="M23" s="5"/>
    </row>
    <row r="24" spans="1:16" x14ac:dyDescent="0.4">
      <c r="D24" s="185"/>
      <c r="E24" s="185"/>
      <c r="F24" s="186"/>
      <c r="G24" s="186"/>
      <c r="H24" s="186"/>
      <c r="J24" s="20"/>
      <c r="K24" s="187"/>
      <c r="L24" s="188"/>
      <c r="M24" s="2"/>
    </row>
    <row r="25" spans="1:16" x14ac:dyDescent="0.4">
      <c r="D25" s="63" t="s">
        <v>276</v>
      </c>
      <c r="E25" s="63" t="s">
        <v>276</v>
      </c>
      <c r="G25" s="2"/>
      <c r="J25" s="20"/>
      <c r="M25" s="2"/>
      <c r="O25" s="95"/>
    </row>
    <row r="26" spans="1:16" ht="26.25" x14ac:dyDescent="0.4">
      <c r="B26" s="4"/>
      <c r="C26" s="7" t="s">
        <v>277</v>
      </c>
      <c r="D26" s="124"/>
      <c r="E26" s="124"/>
      <c r="F26" s="124"/>
      <c r="G26" s="132" t="str">
        <f>J19</f>
        <v>As per formula</v>
      </c>
      <c r="J26" s="852" t="s">
        <v>124</v>
      </c>
      <c r="K26" s="846" t="s">
        <v>278</v>
      </c>
      <c r="L26" s="847"/>
      <c r="M26" s="847"/>
      <c r="N26" s="847"/>
      <c r="O26" s="847"/>
      <c r="P26" s="848"/>
    </row>
    <row r="27" spans="1:16" x14ac:dyDescent="0.4">
      <c r="B27" s="4"/>
      <c r="C27" s="7" t="s">
        <v>279</v>
      </c>
      <c r="D27" s="124"/>
      <c r="E27" s="124"/>
      <c r="F27" s="124"/>
      <c r="G27" s="133">
        <v>500000</v>
      </c>
      <c r="J27" s="853"/>
      <c r="K27" s="849"/>
      <c r="L27" s="850"/>
      <c r="M27" s="850"/>
      <c r="N27" s="850"/>
      <c r="O27" s="850"/>
      <c r="P27" s="851"/>
    </row>
    <row r="28" spans="1:16" x14ac:dyDescent="0.4">
      <c r="J28" s="68"/>
    </row>
    <row r="29" spans="1:16" x14ac:dyDescent="0.4">
      <c r="B29" s="854" t="s">
        <v>280</v>
      </c>
      <c r="C29" s="855"/>
      <c r="D29" s="855"/>
      <c r="E29" s="855"/>
      <c r="F29" s="856"/>
      <c r="J29" s="203"/>
      <c r="K29" s="203"/>
      <c r="L29" s="203"/>
      <c r="M29" s="203"/>
    </row>
    <row r="30" spans="1:16" s="90" customFormat="1" x14ac:dyDescent="0.4">
      <c r="B30" s="117" t="s">
        <v>48</v>
      </c>
      <c r="C30" s="117" t="s">
        <v>60</v>
      </c>
      <c r="D30" s="121" t="s">
        <v>231</v>
      </c>
      <c r="E30" s="121" t="s">
        <v>232</v>
      </c>
      <c r="F30" s="121" t="s">
        <v>233</v>
      </c>
      <c r="I30" s="2"/>
      <c r="J30" s="117" t="s">
        <v>236</v>
      </c>
      <c r="K30" s="121" t="s">
        <v>237</v>
      </c>
      <c r="L30" s="121" t="s">
        <v>281</v>
      </c>
      <c r="M30" s="121" t="s">
        <v>61</v>
      </c>
    </row>
    <row r="31" spans="1:16" ht="26.25" x14ac:dyDescent="0.4">
      <c r="B31" s="99" t="s">
        <v>242</v>
      </c>
      <c r="C31" s="7" t="s">
        <v>243</v>
      </c>
      <c r="D31" s="125" t="s">
        <v>282</v>
      </c>
      <c r="E31" s="125" t="s">
        <v>282</v>
      </c>
      <c r="F31" s="125" t="s">
        <v>282</v>
      </c>
      <c r="J31" s="129" t="s">
        <v>244</v>
      </c>
      <c r="K31" s="135">
        <v>1.1000000000000001</v>
      </c>
      <c r="L31" s="136"/>
      <c r="M31" s="5"/>
    </row>
    <row r="32" spans="1:16" ht="26.25" x14ac:dyDescent="0.4">
      <c r="B32" s="99" t="s">
        <v>245</v>
      </c>
      <c r="C32" s="7" t="s">
        <v>283</v>
      </c>
      <c r="D32" s="125" t="s">
        <v>282</v>
      </c>
      <c r="E32" s="125" t="s">
        <v>282</v>
      </c>
      <c r="F32" s="125" t="s">
        <v>282</v>
      </c>
      <c r="J32" s="129" t="s">
        <v>244</v>
      </c>
      <c r="K32" s="135">
        <v>1.1000000000000001</v>
      </c>
      <c r="L32" s="136"/>
      <c r="M32" s="5"/>
    </row>
    <row r="33" spans="2:13" ht="26.25" x14ac:dyDescent="0.4">
      <c r="B33" s="99" t="s">
        <v>247</v>
      </c>
      <c r="C33" s="7" t="s">
        <v>206</v>
      </c>
      <c r="D33" s="125" t="s">
        <v>282</v>
      </c>
      <c r="E33" s="125" t="s">
        <v>282</v>
      </c>
      <c r="F33" s="125" t="s">
        <v>282</v>
      </c>
      <c r="J33" s="129" t="s">
        <v>244</v>
      </c>
      <c r="K33" s="135">
        <v>1.1000000000000001</v>
      </c>
      <c r="L33" s="136"/>
      <c r="M33" s="5"/>
    </row>
    <row r="34" spans="2:13" x14ac:dyDescent="0.4">
      <c r="B34" s="99" t="s">
        <v>284</v>
      </c>
      <c r="C34" s="7" t="s">
        <v>257</v>
      </c>
      <c r="D34" s="5"/>
      <c r="E34" s="5"/>
      <c r="F34" s="5"/>
      <c r="J34" s="130" t="s">
        <v>253</v>
      </c>
      <c r="K34" s="135">
        <v>1</v>
      </c>
      <c r="L34" s="136"/>
      <c r="M34" s="5"/>
    </row>
    <row r="35" spans="2:13" x14ac:dyDescent="0.4">
      <c r="B35" s="99" t="s">
        <v>285</v>
      </c>
      <c r="C35" s="7" t="s">
        <v>286</v>
      </c>
      <c r="D35" s="125" t="s">
        <v>282</v>
      </c>
      <c r="E35" s="125" t="s">
        <v>282</v>
      </c>
      <c r="F35" s="125" t="s">
        <v>282</v>
      </c>
      <c r="J35" s="130" t="s">
        <v>253</v>
      </c>
      <c r="K35" s="135">
        <v>1</v>
      </c>
      <c r="L35" s="136"/>
      <c r="M35" s="5"/>
    </row>
    <row r="36" spans="2:13" ht="26.25" x14ac:dyDescent="0.4">
      <c r="B36" s="99" t="s">
        <v>287</v>
      </c>
      <c r="C36" s="7" t="s">
        <v>288</v>
      </c>
      <c r="D36" s="5"/>
      <c r="E36" s="5"/>
      <c r="F36" s="5"/>
      <c r="J36" s="131">
        <f>E43</f>
        <v>0</v>
      </c>
      <c r="K36" s="135">
        <v>1</v>
      </c>
      <c r="L36" s="136"/>
      <c r="M36" s="5"/>
    </row>
    <row r="37" spans="2:13" ht="26.25" x14ac:dyDescent="0.4">
      <c r="B37" s="99" t="s">
        <v>289</v>
      </c>
      <c r="C37" s="7" t="s">
        <v>275</v>
      </c>
      <c r="D37" s="5"/>
      <c r="E37" s="5"/>
      <c r="F37" s="5"/>
      <c r="J37" s="130" t="s">
        <v>253</v>
      </c>
      <c r="K37" s="135">
        <v>1</v>
      </c>
      <c r="L37" s="136"/>
      <c r="M37" s="5"/>
    </row>
    <row r="38" spans="2:13" x14ac:dyDescent="0.4">
      <c r="B38" s="67" t="s">
        <v>290</v>
      </c>
      <c r="G38" s="4"/>
      <c r="J38" s="64"/>
    </row>
    <row r="40" spans="2:13" ht="26.25" x14ac:dyDescent="0.4">
      <c r="C40" s="7" t="s">
        <v>277</v>
      </c>
      <c r="D40" s="124"/>
      <c r="E40" s="124"/>
      <c r="F40" s="124"/>
      <c r="G40" s="132" t="str">
        <f>J37</f>
        <v>As per formula</v>
      </c>
    </row>
    <row r="41" spans="2:13" x14ac:dyDescent="0.4">
      <c r="C41" s="7" t="s">
        <v>279</v>
      </c>
      <c r="D41" s="124"/>
      <c r="E41" s="124"/>
      <c r="F41" s="124"/>
      <c r="G41" s="100"/>
    </row>
    <row r="43" spans="2:13" ht="26.25" x14ac:dyDescent="0.4">
      <c r="C43" s="118" t="s">
        <v>291</v>
      </c>
      <c r="D43" s="3" t="s">
        <v>292</v>
      </c>
      <c r="E43" s="126">
        <f>SUM(E44:E47)</f>
        <v>0</v>
      </c>
      <c r="F43" s="845" t="s">
        <v>293</v>
      </c>
      <c r="G43" s="845"/>
      <c r="H43" s="845"/>
      <c r="I43" s="845"/>
      <c r="J43" s="845"/>
    </row>
    <row r="44" spans="2:13" x14ac:dyDescent="0.4">
      <c r="C44" s="7" t="s">
        <v>294</v>
      </c>
      <c r="D44" s="52" t="s">
        <v>295</v>
      </c>
      <c r="E44" s="79">
        <f>E66</f>
        <v>0</v>
      </c>
      <c r="F44" s="844"/>
      <c r="G44" s="844"/>
      <c r="H44" s="844"/>
      <c r="I44" s="844"/>
      <c r="J44" s="844"/>
    </row>
    <row r="45" spans="2:13" x14ac:dyDescent="0.4">
      <c r="C45" s="7" t="s">
        <v>296</v>
      </c>
      <c r="D45" s="52" t="s">
        <v>295</v>
      </c>
      <c r="E45" s="79">
        <f>E84</f>
        <v>0</v>
      </c>
      <c r="F45" s="844"/>
      <c r="G45" s="844"/>
      <c r="H45" s="844"/>
      <c r="I45" s="844"/>
      <c r="J45" s="844"/>
    </row>
    <row r="46" spans="2:13" x14ac:dyDescent="0.4">
      <c r="C46" s="7" t="s">
        <v>297</v>
      </c>
      <c r="D46" s="52" t="s">
        <v>295</v>
      </c>
      <c r="E46" s="79">
        <f>E102</f>
        <v>0</v>
      </c>
      <c r="F46" s="844"/>
      <c r="G46" s="844"/>
      <c r="H46" s="844"/>
      <c r="I46" s="844"/>
      <c r="J46" s="844"/>
    </row>
    <row r="47" spans="2:13" x14ac:dyDescent="0.4">
      <c r="C47" s="7" t="s">
        <v>298</v>
      </c>
      <c r="D47" s="52" t="s">
        <v>299</v>
      </c>
      <c r="E47" s="79">
        <f>E120</f>
        <v>0</v>
      </c>
      <c r="F47" s="844" t="s">
        <v>300</v>
      </c>
      <c r="G47" s="844"/>
      <c r="H47" s="844"/>
      <c r="I47" s="844"/>
      <c r="J47" s="844"/>
    </row>
    <row r="48" spans="2:13" x14ac:dyDescent="0.4">
      <c r="C48" s="64" t="s">
        <v>301</v>
      </c>
    </row>
    <row r="49" spans="3:14" x14ac:dyDescent="0.4">
      <c r="C49" s="119"/>
      <c r="L49" s="1" t="s">
        <v>282</v>
      </c>
    </row>
    <row r="50" spans="3:14" ht="39.4" x14ac:dyDescent="0.4">
      <c r="C50" s="27" t="s">
        <v>302</v>
      </c>
      <c r="D50" s="3" t="s">
        <v>86</v>
      </c>
      <c r="E50" s="3" t="s">
        <v>295</v>
      </c>
      <c r="F50" s="63" t="s">
        <v>303</v>
      </c>
      <c r="K50" s="121" t="s">
        <v>304</v>
      </c>
      <c r="L50" s="117" t="s">
        <v>305</v>
      </c>
      <c r="M50" s="117" t="s">
        <v>306</v>
      </c>
      <c r="N50" s="206" t="s">
        <v>307</v>
      </c>
    </row>
    <row r="51" spans="3:14" x14ac:dyDescent="0.4">
      <c r="C51" s="7" t="s">
        <v>308</v>
      </c>
      <c r="D51" s="5" t="s">
        <v>309</v>
      </c>
      <c r="E51" s="11"/>
      <c r="K51" s="52" t="s">
        <v>310</v>
      </c>
      <c r="L51" s="207"/>
      <c r="M51" s="207"/>
      <c r="N51" s="204"/>
    </row>
    <row r="52" spans="3:14" x14ac:dyDescent="0.4">
      <c r="C52" s="7" t="s">
        <v>311</v>
      </c>
      <c r="D52" s="5" t="s">
        <v>312</v>
      </c>
      <c r="E52" s="11"/>
      <c r="K52" s="52" t="s">
        <v>310</v>
      </c>
      <c r="L52" s="207"/>
      <c r="M52" s="207"/>
      <c r="N52" s="205"/>
    </row>
    <row r="53" spans="3:14" x14ac:dyDescent="0.4">
      <c r="C53" s="7" t="s">
        <v>311</v>
      </c>
      <c r="D53" s="5" t="s">
        <v>312</v>
      </c>
      <c r="E53" s="11"/>
      <c r="K53" s="52" t="s">
        <v>310</v>
      </c>
      <c r="L53" s="207"/>
      <c r="M53" s="207"/>
      <c r="N53" s="204"/>
    </row>
    <row r="54" spans="3:14" x14ac:dyDescent="0.4">
      <c r="C54" s="7" t="s">
        <v>311</v>
      </c>
      <c r="D54" s="5" t="s">
        <v>312</v>
      </c>
      <c r="E54" s="11"/>
      <c r="K54" s="52"/>
      <c r="L54" s="207"/>
      <c r="M54" s="207"/>
      <c r="N54" s="205"/>
    </row>
    <row r="55" spans="3:14" x14ac:dyDescent="0.4">
      <c r="C55" s="7" t="s">
        <v>311</v>
      </c>
      <c r="D55" s="5" t="s">
        <v>312</v>
      </c>
      <c r="E55" s="11"/>
      <c r="K55" s="52"/>
      <c r="L55" s="207"/>
      <c r="M55" s="207"/>
      <c r="N55" s="204"/>
    </row>
    <row r="56" spans="3:14" x14ac:dyDescent="0.4">
      <c r="C56" s="7" t="s">
        <v>311</v>
      </c>
      <c r="D56" s="5" t="s">
        <v>312</v>
      </c>
      <c r="E56" s="11"/>
      <c r="K56" s="52"/>
      <c r="L56" s="207"/>
      <c r="M56" s="207"/>
      <c r="N56" s="205"/>
    </row>
    <row r="57" spans="3:14" x14ac:dyDescent="0.4">
      <c r="C57" s="7" t="s">
        <v>311</v>
      </c>
      <c r="D57" s="5" t="s">
        <v>312</v>
      </c>
      <c r="E57" s="11"/>
      <c r="K57" s="52"/>
      <c r="L57" s="207"/>
      <c r="M57" s="207"/>
      <c r="N57" s="204"/>
    </row>
    <row r="58" spans="3:14" x14ac:dyDescent="0.4">
      <c r="C58" s="7" t="s">
        <v>311</v>
      </c>
      <c r="D58" s="5" t="s">
        <v>312</v>
      </c>
      <c r="E58" s="11"/>
      <c r="K58" s="52"/>
      <c r="L58" s="207"/>
      <c r="M58" s="207"/>
      <c r="N58" s="205"/>
    </row>
    <row r="59" spans="3:14" x14ac:dyDescent="0.4">
      <c r="C59" s="7" t="s">
        <v>311</v>
      </c>
      <c r="D59" s="5" t="s">
        <v>312</v>
      </c>
      <c r="E59" s="11"/>
      <c r="K59" s="52"/>
      <c r="L59" s="207"/>
      <c r="M59" s="207"/>
      <c r="N59" s="205"/>
    </row>
    <row r="60" spans="3:14" x14ac:dyDescent="0.4">
      <c r="C60" s="7" t="s">
        <v>311</v>
      </c>
      <c r="D60" s="5" t="s">
        <v>312</v>
      </c>
      <c r="E60" s="11"/>
      <c r="K60" s="52"/>
      <c r="L60" s="207"/>
      <c r="M60" s="207"/>
      <c r="N60" s="205"/>
    </row>
    <row r="61" spans="3:14" x14ac:dyDescent="0.4">
      <c r="C61" s="7" t="s">
        <v>311</v>
      </c>
      <c r="D61" s="5" t="s">
        <v>312</v>
      </c>
      <c r="E61" s="11"/>
      <c r="K61" s="52"/>
      <c r="L61" s="207"/>
      <c r="M61" s="207"/>
      <c r="N61" s="205"/>
    </row>
    <row r="62" spans="3:14" x14ac:dyDescent="0.4">
      <c r="C62" s="7" t="s">
        <v>311</v>
      </c>
      <c r="D62" s="5" t="s">
        <v>312</v>
      </c>
      <c r="E62" s="11"/>
      <c r="K62" s="52"/>
      <c r="L62" s="207"/>
      <c r="M62" s="207"/>
      <c r="N62" s="205"/>
    </row>
    <row r="63" spans="3:14" x14ac:dyDescent="0.4">
      <c r="C63" s="7" t="s">
        <v>311</v>
      </c>
      <c r="D63" s="5" t="s">
        <v>312</v>
      </c>
      <c r="E63" s="11"/>
      <c r="K63" s="52"/>
      <c r="L63" s="207"/>
      <c r="M63" s="207"/>
      <c r="N63" s="205"/>
    </row>
    <row r="64" spans="3:14" x14ac:dyDescent="0.4">
      <c r="C64" s="7" t="s">
        <v>311</v>
      </c>
      <c r="D64" s="5" t="s">
        <v>312</v>
      </c>
      <c r="E64" s="11"/>
      <c r="L64" s="207"/>
      <c r="M64" s="207"/>
      <c r="N64" s="18"/>
    </row>
    <row r="65" spans="3:14" x14ac:dyDescent="0.4">
      <c r="C65" s="7" t="s">
        <v>311</v>
      </c>
      <c r="D65" s="5" t="s">
        <v>312</v>
      </c>
      <c r="E65" s="11"/>
      <c r="L65" s="208" t="s">
        <v>107</v>
      </c>
      <c r="M65" s="208" t="s">
        <v>313</v>
      </c>
      <c r="N65" s="208">
        <f>SUM(N51:N64)</f>
        <v>0</v>
      </c>
    </row>
    <row r="66" spans="3:14" x14ac:dyDescent="0.4">
      <c r="C66" s="113" t="s">
        <v>314</v>
      </c>
      <c r="D66" s="25"/>
      <c r="E66" s="28">
        <f>SUM(E51:E65)</f>
        <v>0</v>
      </c>
      <c r="L66" s="208" t="s">
        <v>315</v>
      </c>
      <c r="M66" s="208" t="s">
        <v>316</v>
      </c>
      <c r="N66" s="208">
        <f>SUMIFS($N51:$N64,$M51:$M64,$M66)</f>
        <v>0</v>
      </c>
    </row>
    <row r="67" spans="3:14" x14ac:dyDescent="0.4">
      <c r="L67" s="208"/>
      <c r="M67" s="208"/>
      <c r="N67" s="208">
        <f>SUMIFS($N51:$N64,$M51:$M64,$M67)</f>
        <v>0</v>
      </c>
    </row>
    <row r="68" spans="3:14" x14ac:dyDescent="0.4">
      <c r="C68" s="27" t="s">
        <v>317</v>
      </c>
      <c r="D68" s="3" t="s">
        <v>86</v>
      </c>
      <c r="E68" s="3" t="s">
        <v>295</v>
      </c>
      <c r="K68" s="52" t="s">
        <v>51</v>
      </c>
      <c r="L68" s="208" t="s">
        <v>304</v>
      </c>
      <c r="M68" s="208" t="s">
        <v>316</v>
      </c>
      <c r="N68" s="209">
        <f>SUMIFS($N51:$N64,$M51:$M64,$M68,$K51:$K64,$K68)</f>
        <v>0</v>
      </c>
    </row>
    <row r="69" spans="3:14" x14ac:dyDescent="0.4">
      <c r="C69" s="7" t="s">
        <v>318</v>
      </c>
      <c r="D69" s="5" t="s">
        <v>309</v>
      </c>
      <c r="E69" s="11"/>
      <c r="F69" s="225"/>
    </row>
    <row r="70" spans="3:14" x14ac:dyDescent="0.4">
      <c r="C70" s="7" t="s">
        <v>311</v>
      </c>
      <c r="D70" s="5" t="s">
        <v>312</v>
      </c>
      <c r="E70" s="11"/>
    </row>
    <row r="71" spans="3:14" x14ac:dyDescent="0.4">
      <c r="C71" s="7" t="s">
        <v>311</v>
      </c>
      <c r="D71" s="5" t="s">
        <v>312</v>
      </c>
      <c r="E71" s="11"/>
    </row>
    <row r="72" spans="3:14" x14ac:dyDescent="0.4">
      <c r="C72" s="7" t="s">
        <v>311</v>
      </c>
      <c r="D72" s="5" t="s">
        <v>312</v>
      </c>
      <c r="E72" s="11"/>
    </row>
    <row r="73" spans="3:14" x14ac:dyDescent="0.4">
      <c r="C73" s="7" t="s">
        <v>311</v>
      </c>
      <c r="D73" s="5" t="s">
        <v>312</v>
      </c>
      <c r="E73" s="11"/>
    </row>
    <row r="74" spans="3:14" x14ac:dyDescent="0.4">
      <c r="C74" s="7" t="s">
        <v>311</v>
      </c>
      <c r="D74" s="5" t="s">
        <v>312</v>
      </c>
      <c r="E74" s="11"/>
    </row>
    <row r="75" spans="3:14" x14ac:dyDescent="0.4">
      <c r="C75" s="7" t="s">
        <v>311</v>
      </c>
      <c r="D75" s="5" t="s">
        <v>312</v>
      </c>
      <c r="E75" s="11"/>
    </row>
    <row r="76" spans="3:14" x14ac:dyDescent="0.4">
      <c r="C76" s="7" t="s">
        <v>311</v>
      </c>
      <c r="D76" s="5" t="s">
        <v>312</v>
      </c>
      <c r="E76" s="11"/>
    </row>
    <row r="77" spans="3:14" x14ac:dyDescent="0.4">
      <c r="C77" s="7" t="s">
        <v>311</v>
      </c>
      <c r="D77" s="5" t="s">
        <v>312</v>
      </c>
      <c r="E77" s="11"/>
    </row>
    <row r="78" spans="3:14" x14ac:dyDescent="0.4">
      <c r="C78" s="7" t="s">
        <v>311</v>
      </c>
      <c r="D78" s="5" t="s">
        <v>312</v>
      </c>
      <c r="E78" s="11"/>
    </row>
    <row r="79" spans="3:14" x14ac:dyDescent="0.4">
      <c r="C79" s="7" t="s">
        <v>311</v>
      </c>
      <c r="D79" s="5" t="s">
        <v>312</v>
      </c>
      <c r="E79" s="11"/>
    </row>
    <row r="80" spans="3:14" x14ac:dyDescent="0.4">
      <c r="C80" s="7" t="s">
        <v>311</v>
      </c>
      <c r="D80" s="5" t="s">
        <v>312</v>
      </c>
      <c r="E80" s="11"/>
    </row>
    <row r="81" spans="3:5" x14ac:dyDescent="0.4">
      <c r="C81" s="7" t="s">
        <v>311</v>
      </c>
      <c r="D81" s="5" t="s">
        <v>312</v>
      </c>
      <c r="E81" s="11"/>
    </row>
    <row r="82" spans="3:5" x14ac:dyDescent="0.4">
      <c r="C82" s="7" t="s">
        <v>311</v>
      </c>
      <c r="D82" s="5" t="s">
        <v>312</v>
      </c>
      <c r="E82" s="11"/>
    </row>
    <row r="83" spans="3:5" x14ac:dyDescent="0.4">
      <c r="C83" s="7" t="s">
        <v>311</v>
      </c>
      <c r="D83" s="5" t="s">
        <v>312</v>
      </c>
      <c r="E83" s="11"/>
    </row>
    <row r="84" spans="3:5" x14ac:dyDescent="0.4">
      <c r="C84" s="113" t="s">
        <v>314</v>
      </c>
      <c r="D84" s="25"/>
      <c r="E84" s="28">
        <f>SUM(E69:E83)</f>
        <v>0</v>
      </c>
    </row>
    <row r="86" spans="3:5" ht="26.25" x14ac:dyDescent="0.4">
      <c r="C86" s="27" t="s">
        <v>319</v>
      </c>
      <c r="D86" s="3" t="s">
        <v>86</v>
      </c>
      <c r="E86" s="3" t="s">
        <v>295</v>
      </c>
    </row>
    <row r="87" spans="3:5" x14ac:dyDescent="0.4">
      <c r="C87" s="7" t="s">
        <v>320</v>
      </c>
      <c r="D87" s="5" t="s">
        <v>309</v>
      </c>
      <c r="E87" s="11"/>
    </row>
    <row r="88" spans="3:5" x14ac:dyDescent="0.4">
      <c r="C88" s="7" t="s">
        <v>311</v>
      </c>
      <c r="D88" s="5" t="s">
        <v>312</v>
      </c>
      <c r="E88" s="11"/>
    </row>
    <row r="89" spans="3:5" x14ac:dyDescent="0.4">
      <c r="C89" s="7" t="s">
        <v>311</v>
      </c>
      <c r="D89" s="5" t="s">
        <v>312</v>
      </c>
      <c r="E89" s="11"/>
    </row>
    <row r="90" spans="3:5" x14ac:dyDescent="0.4">
      <c r="C90" s="7" t="s">
        <v>311</v>
      </c>
      <c r="D90" s="5" t="s">
        <v>312</v>
      </c>
      <c r="E90" s="11"/>
    </row>
    <row r="91" spans="3:5" x14ac:dyDescent="0.4">
      <c r="C91" s="7" t="s">
        <v>311</v>
      </c>
      <c r="D91" s="5" t="s">
        <v>312</v>
      </c>
      <c r="E91" s="11"/>
    </row>
    <row r="92" spans="3:5" x14ac:dyDescent="0.4">
      <c r="C92" s="7" t="s">
        <v>311</v>
      </c>
      <c r="D92" s="5" t="s">
        <v>312</v>
      </c>
      <c r="E92" s="11"/>
    </row>
    <row r="93" spans="3:5" x14ac:dyDescent="0.4">
      <c r="C93" s="7" t="s">
        <v>311</v>
      </c>
      <c r="D93" s="5" t="s">
        <v>312</v>
      </c>
      <c r="E93" s="11"/>
    </row>
    <row r="94" spans="3:5" x14ac:dyDescent="0.4">
      <c r="C94" s="7" t="s">
        <v>311</v>
      </c>
      <c r="D94" s="5" t="s">
        <v>312</v>
      </c>
      <c r="E94" s="11"/>
    </row>
    <row r="95" spans="3:5" x14ac:dyDescent="0.4">
      <c r="C95" s="7" t="s">
        <v>311</v>
      </c>
      <c r="D95" s="5" t="s">
        <v>312</v>
      </c>
      <c r="E95" s="11"/>
    </row>
    <row r="96" spans="3:5" x14ac:dyDescent="0.4">
      <c r="C96" s="7" t="s">
        <v>311</v>
      </c>
      <c r="D96" s="5" t="s">
        <v>312</v>
      </c>
      <c r="E96" s="11"/>
    </row>
    <row r="97" spans="3:5" x14ac:dyDescent="0.4">
      <c r="C97" s="7" t="s">
        <v>311</v>
      </c>
      <c r="D97" s="5" t="s">
        <v>312</v>
      </c>
      <c r="E97" s="11"/>
    </row>
    <row r="98" spans="3:5" x14ac:dyDescent="0.4">
      <c r="C98" s="7" t="s">
        <v>311</v>
      </c>
      <c r="D98" s="5" t="s">
        <v>312</v>
      </c>
      <c r="E98" s="11"/>
    </row>
    <row r="99" spans="3:5" x14ac:dyDescent="0.4">
      <c r="C99" s="7" t="s">
        <v>311</v>
      </c>
      <c r="D99" s="5" t="s">
        <v>312</v>
      </c>
      <c r="E99" s="11"/>
    </row>
    <row r="100" spans="3:5" x14ac:dyDescent="0.4">
      <c r="C100" s="7" t="s">
        <v>311</v>
      </c>
      <c r="D100" s="5" t="s">
        <v>312</v>
      </c>
      <c r="E100" s="11"/>
    </row>
    <row r="101" spans="3:5" x14ac:dyDescent="0.4">
      <c r="C101" s="7" t="s">
        <v>311</v>
      </c>
      <c r="D101" s="5" t="s">
        <v>312</v>
      </c>
      <c r="E101" s="11"/>
    </row>
    <row r="102" spans="3:5" x14ac:dyDescent="0.4">
      <c r="C102" s="113" t="s">
        <v>314</v>
      </c>
      <c r="D102" s="25"/>
      <c r="E102" s="28">
        <f>SUM(E87:E101)</f>
        <v>0</v>
      </c>
    </row>
    <row r="104" spans="3:5" x14ac:dyDescent="0.4">
      <c r="C104" s="27" t="s">
        <v>321</v>
      </c>
      <c r="D104" s="3" t="s">
        <v>86</v>
      </c>
      <c r="E104" s="3" t="s">
        <v>322</v>
      </c>
    </row>
    <row r="105" spans="3:5" x14ac:dyDescent="0.4">
      <c r="C105" s="7" t="s">
        <v>323</v>
      </c>
      <c r="D105" s="5" t="s">
        <v>309</v>
      </c>
      <c r="E105" s="11"/>
    </row>
    <row r="106" spans="3:5" x14ac:dyDescent="0.4">
      <c r="C106" s="7" t="s">
        <v>324</v>
      </c>
      <c r="D106" s="5" t="s">
        <v>312</v>
      </c>
      <c r="E106" s="11"/>
    </row>
    <row r="107" spans="3:5" x14ac:dyDescent="0.4">
      <c r="C107" s="7" t="s">
        <v>325</v>
      </c>
      <c r="D107" s="5" t="s">
        <v>312</v>
      </c>
      <c r="E107" s="11"/>
    </row>
    <row r="108" spans="3:5" x14ac:dyDescent="0.4">
      <c r="C108" s="7" t="s">
        <v>326</v>
      </c>
      <c r="D108" s="5" t="s">
        <v>312</v>
      </c>
      <c r="E108" s="11"/>
    </row>
    <row r="109" spans="3:5" x14ac:dyDescent="0.4">
      <c r="C109" s="7" t="s">
        <v>327</v>
      </c>
      <c r="D109" s="5" t="s">
        <v>312</v>
      </c>
      <c r="E109" s="11"/>
    </row>
    <row r="110" spans="3:5" x14ac:dyDescent="0.4">
      <c r="C110" s="7" t="s">
        <v>328</v>
      </c>
      <c r="D110" s="5" t="s">
        <v>312</v>
      </c>
      <c r="E110" s="11"/>
    </row>
    <row r="111" spans="3:5" x14ac:dyDescent="0.4">
      <c r="C111" s="7" t="s">
        <v>329</v>
      </c>
      <c r="D111" s="5" t="s">
        <v>312</v>
      </c>
      <c r="E111" s="11"/>
    </row>
    <row r="112" spans="3:5" x14ac:dyDescent="0.4">
      <c r="C112" s="7" t="s">
        <v>311</v>
      </c>
      <c r="D112" s="5" t="s">
        <v>312</v>
      </c>
      <c r="E112" s="11"/>
    </row>
    <row r="113" spans="3:5" x14ac:dyDescent="0.4">
      <c r="C113" s="7" t="s">
        <v>311</v>
      </c>
      <c r="D113" s="5" t="s">
        <v>312</v>
      </c>
      <c r="E113" s="11"/>
    </row>
    <row r="114" spans="3:5" x14ac:dyDescent="0.4">
      <c r="C114" s="7" t="s">
        <v>311</v>
      </c>
      <c r="D114" s="5" t="s">
        <v>312</v>
      </c>
      <c r="E114" s="11"/>
    </row>
    <row r="115" spans="3:5" x14ac:dyDescent="0.4">
      <c r="C115" s="7" t="s">
        <v>311</v>
      </c>
      <c r="D115" s="5" t="s">
        <v>312</v>
      </c>
      <c r="E115" s="11"/>
    </row>
    <row r="116" spans="3:5" x14ac:dyDescent="0.4">
      <c r="C116" s="7" t="s">
        <v>311</v>
      </c>
      <c r="D116" s="5" t="s">
        <v>312</v>
      </c>
      <c r="E116" s="11"/>
    </row>
    <row r="117" spans="3:5" x14ac:dyDescent="0.4">
      <c r="C117" s="7" t="s">
        <v>311</v>
      </c>
      <c r="D117" s="5" t="s">
        <v>312</v>
      </c>
      <c r="E117" s="11"/>
    </row>
    <row r="118" spans="3:5" x14ac:dyDescent="0.4">
      <c r="C118" s="7" t="s">
        <v>311</v>
      </c>
      <c r="D118" s="5" t="s">
        <v>312</v>
      </c>
      <c r="E118" s="11"/>
    </row>
    <row r="119" spans="3:5" x14ac:dyDescent="0.4">
      <c r="C119" s="7" t="s">
        <v>311</v>
      </c>
      <c r="D119" s="5" t="s">
        <v>312</v>
      </c>
      <c r="E119" s="11"/>
    </row>
    <row r="120" spans="3:5" x14ac:dyDescent="0.4">
      <c r="C120" s="113" t="s">
        <v>314</v>
      </c>
      <c r="D120" s="25"/>
      <c r="E120" s="28">
        <f>SUM(E105:E119)</f>
        <v>0</v>
      </c>
    </row>
    <row r="124" spans="3:5" x14ac:dyDescent="0.4">
      <c r="C124" s="20"/>
      <c r="D124" s="2" t="s">
        <v>330</v>
      </c>
    </row>
    <row r="125" spans="3:5" ht="26.25" x14ac:dyDescent="0.4">
      <c r="C125" s="134" t="s">
        <v>302</v>
      </c>
      <c r="D125" s="137" t="s">
        <v>9</v>
      </c>
      <c r="E125" s="137"/>
    </row>
    <row r="126" spans="3:5" x14ac:dyDescent="0.4">
      <c r="C126" s="134" t="s">
        <v>317</v>
      </c>
      <c r="D126" s="137" t="s">
        <v>11</v>
      </c>
      <c r="E126" s="137"/>
    </row>
    <row r="127" spans="3:5" ht="26.25" x14ac:dyDescent="0.4">
      <c r="C127" s="134" t="s">
        <v>319</v>
      </c>
      <c r="D127" s="137" t="s">
        <v>14</v>
      </c>
      <c r="E127" s="137"/>
    </row>
    <row r="128" spans="3:5" x14ac:dyDescent="0.4">
      <c r="C128" s="134" t="s">
        <v>331</v>
      </c>
      <c r="D128" s="137" t="s">
        <v>15</v>
      </c>
      <c r="E128" s="137"/>
    </row>
    <row r="129" spans="3:6" x14ac:dyDescent="0.4">
      <c r="C129" s="20"/>
      <c r="D129" s="137" t="s">
        <v>16</v>
      </c>
      <c r="E129" s="137"/>
      <c r="F129" s="2" t="s">
        <v>332</v>
      </c>
    </row>
    <row r="130" spans="3:6" x14ac:dyDescent="0.4">
      <c r="C130" s="20"/>
      <c r="D130" s="2" t="s">
        <v>17</v>
      </c>
    </row>
    <row r="131" spans="3:6" x14ac:dyDescent="0.4">
      <c r="C131" s="20"/>
      <c r="D131" s="137" t="s">
        <v>18</v>
      </c>
      <c r="E131" s="137"/>
    </row>
    <row r="132" spans="3:6" x14ac:dyDescent="0.4">
      <c r="C132" s="20"/>
      <c r="D132" s="137" t="s">
        <v>19</v>
      </c>
      <c r="E132" s="137"/>
    </row>
    <row r="133" spans="3:6" x14ac:dyDescent="0.4">
      <c r="C133" s="20"/>
      <c r="D133" s="137" t="s">
        <v>20</v>
      </c>
      <c r="E133" s="137"/>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zoomScale="115" zoomScaleNormal="115" workbookViewId="0">
      <selection activeCell="A245" sqref="A245"/>
    </sheetView>
  </sheetViews>
  <sheetFormatPr defaultColWidth="9.1328125" defaultRowHeight="13.15" outlineLevelRow="1" outlineLevelCol="1" x14ac:dyDescent="0.45"/>
  <cols>
    <col min="1" max="1" width="22.86328125" style="2" customWidth="1"/>
    <col min="2" max="2" width="34.1328125" style="2" bestFit="1" customWidth="1"/>
    <col min="3" max="3" width="10.86328125" style="2" bestFit="1" customWidth="1"/>
    <col min="4" max="4" width="12.86328125" style="2" bestFit="1" customWidth="1"/>
    <col min="5" max="5" width="10.265625" style="2" customWidth="1"/>
    <col min="6" max="6" width="12.86328125" style="2" bestFit="1" customWidth="1"/>
    <col min="7" max="9" width="10.265625" style="2" customWidth="1"/>
    <col min="10" max="10" width="20.59765625" style="2" customWidth="1"/>
    <col min="11" max="11" width="3.1328125" style="2" customWidth="1"/>
    <col min="12" max="12" width="34.1328125" style="2" customWidth="1" outlineLevel="1"/>
    <col min="13" max="13" width="11.73046875" style="2" customWidth="1" outlineLevel="1"/>
    <col min="14" max="14" width="14.86328125" style="2" bestFit="1" customWidth="1" outlineLevel="1"/>
    <col min="15" max="19" width="10.265625" style="2" customWidth="1" outlineLevel="1"/>
    <col min="20" max="20" width="20.59765625" style="2" customWidth="1" outlineLevel="1"/>
    <col min="21" max="21" width="3.1328125" style="2" customWidth="1" outlineLevel="1"/>
    <col min="22" max="22" width="34.1328125" style="2" customWidth="1"/>
    <col min="23" max="26" width="17.73046875" style="2" bestFit="1" customWidth="1"/>
    <col min="27" max="27" width="10.86328125" style="2" bestFit="1" customWidth="1"/>
    <col min="28" max="29" width="10.265625" style="2" customWidth="1"/>
    <col min="30" max="30" width="20.59765625" style="2" customWidth="1"/>
    <col min="31" max="31" width="3.1328125" style="2" customWidth="1"/>
    <col min="32" max="32" width="10.3984375" style="2" customWidth="1"/>
    <col min="33" max="34" width="9.73046875" style="2" customWidth="1"/>
    <col min="35" max="16384" width="9.1328125" style="2"/>
  </cols>
  <sheetData>
    <row r="2" spans="2:28" x14ac:dyDescent="0.4">
      <c r="B2" s="55" t="s">
        <v>333</v>
      </c>
    </row>
    <row r="3" spans="2:28" x14ac:dyDescent="0.45">
      <c r="D3" s="50" t="s">
        <v>334</v>
      </c>
      <c r="E3" s="50" t="s">
        <v>237</v>
      </c>
      <c r="F3" s="50" t="s">
        <v>335</v>
      </c>
    </row>
    <row r="4" spans="2:28" x14ac:dyDescent="0.45">
      <c r="B4" s="50" t="s">
        <v>336</v>
      </c>
      <c r="C4" s="84"/>
      <c r="D4" s="98">
        <f>D21/SUM(D26,D31)</f>
        <v>-1.9982218526910418</v>
      </c>
      <c r="E4" s="84"/>
      <c r="F4" s="98">
        <f>F21/SUM(F26,F31)</f>
        <v>-1.9982218526910418</v>
      </c>
    </row>
    <row r="6" spans="2:28" ht="24.75" customHeight="1" x14ac:dyDescent="0.45">
      <c r="W6" t="str">
        <f>'Summary of Information'!D5</f>
        <v>Audited-30/06/2024</v>
      </c>
      <c r="X6" t="str">
        <f>'Summary of Information'!E5</f>
        <v>Audited-30062025</v>
      </c>
      <c r="Y6" t="str">
        <f>'Summary of Information'!F5</f>
        <v>Mgmt Acc-31/12/2025</v>
      </c>
      <c r="Z6" t="str">
        <f>'Summary of Information'!G5</f>
        <v>Annualised-31/12/2025</v>
      </c>
    </row>
    <row r="7" spans="2:28" x14ac:dyDescent="0.45">
      <c r="B7" s="50" t="s">
        <v>337</v>
      </c>
      <c r="C7" s="50" t="s">
        <v>86</v>
      </c>
      <c r="D7" s="50" t="s">
        <v>334</v>
      </c>
      <c r="E7" s="50" t="s">
        <v>237</v>
      </c>
      <c r="F7" s="50" t="s">
        <v>335</v>
      </c>
      <c r="H7" s="24"/>
      <c r="V7" s="5" t="s">
        <v>338</v>
      </c>
      <c r="W7" s="210">
        <f>'Summary of Information'!D14-'Summary of Information'!D15</f>
        <v>655880</v>
      </c>
      <c r="X7" s="210">
        <f>'Summary of Information'!E14-'Summary of Information'!E15</f>
        <v>911597.45999999985</v>
      </c>
      <c r="Y7" s="210">
        <f>'Summary of Information'!F14-'Summary of Information'!F15</f>
        <v>-1012485.23</v>
      </c>
      <c r="Z7" s="210">
        <f>'Summary of Information'!G14-'Summary of Information'!G15</f>
        <v>-2085165.0772222227</v>
      </c>
    </row>
    <row r="8" spans="2:28" x14ac:dyDescent="0.45">
      <c r="B8" s="69" t="s">
        <v>339</v>
      </c>
      <c r="C8" s="66"/>
      <c r="D8" s="70">
        <f>'N.Margin (Ind. Benchmark)'!E22</f>
        <v>0</v>
      </c>
      <c r="E8" s="21">
        <v>1</v>
      </c>
      <c r="F8" s="75">
        <f>D8*E8</f>
        <v>0</v>
      </c>
      <c r="V8" s="5" t="s">
        <v>340</v>
      </c>
      <c r="W8" s="210">
        <f>'Summary of Information'!D9</f>
        <v>173810</v>
      </c>
      <c r="X8" s="210">
        <f>'Summary of Information'!E9</f>
        <v>385488.7</v>
      </c>
      <c r="Y8" s="210">
        <f>'Summary of Information'!F9</f>
        <v>80197.59</v>
      </c>
      <c r="Z8" s="210">
        <f>'Summary of Information'!G9</f>
        <v>162622.89083333334</v>
      </c>
    </row>
    <row r="9" spans="2:28" x14ac:dyDescent="0.45">
      <c r="B9" s="5" t="s">
        <v>341</v>
      </c>
      <c r="C9" s="5" t="s">
        <v>312</v>
      </c>
      <c r="D9" s="97">
        <f>Z7</f>
        <v>-2085165.0772222227</v>
      </c>
      <c r="E9" s="21">
        <v>1</v>
      </c>
      <c r="F9" s="75">
        <f>D9*E9</f>
        <v>-2085165.0772222227</v>
      </c>
      <c r="V9" s="5" t="s">
        <v>342</v>
      </c>
      <c r="W9" s="210">
        <f>'Summary of Information'!D15</f>
        <v>35610</v>
      </c>
      <c r="X9" s="210">
        <f>'Summary of Information'!E15</f>
        <v>26287.46</v>
      </c>
      <c r="Y9" s="210">
        <f>'Summary of Information'!F15</f>
        <v>13626.28</v>
      </c>
      <c r="Z9" s="210">
        <f>'Summary of Information'!G15</f>
        <v>27631.067777777778</v>
      </c>
      <c r="AA9" s="224"/>
      <c r="AB9" s="2">
        <f>'Summary of Information'!H14-'Summary of Information'!H15</f>
        <v>0</v>
      </c>
    </row>
    <row r="10" spans="2:28" x14ac:dyDescent="0.45">
      <c r="B10" s="5" t="s">
        <v>340</v>
      </c>
      <c r="C10" s="5" t="s">
        <v>312</v>
      </c>
      <c r="D10" s="97">
        <f t="shared" ref="D10:D11" si="0">Z8</f>
        <v>162622.89083333334</v>
      </c>
      <c r="E10" s="21">
        <v>1</v>
      </c>
      <c r="F10" s="75">
        <f>D10*E10</f>
        <v>162622.89083333334</v>
      </c>
      <c r="V10" s="5" t="s">
        <v>343</v>
      </c>
      <c r="W10" s="96">
        <v>0</v>
      </c>
      <c r="X10" s="110">
        <v>0</v>
      </c>
      <c r="Y10" s="110">
        <v>0</v>
      </c>
      <c r="Z10" s="110">
        <v>0</v>
      </c>
      <c r="AA10" s="224"/>
      <c r="AB10" s="2" t="e">
        <f>'Summary of Information'!#REF!</f>
        <v>#REF!</v>
      </c>
    </row>
    <row r="11" spans="2:28" x14ac:dyDescent="0.45">
      <c r="B11" s="5" t="s">
        <v>342</v>
      </c>
      <c r="C11" s="5" t="s">
        <v>312</v>
      </c>
      <c r="D11" s="97">
        <f t="shared" si="0"/>
        <v>27631.067777777778</v>
      </c>
      <c r="E11" s="21">
        <v>1</v>
      </c>
      <c r="F11" s="75">
        <f>D11*E11</f>
        <v>27631.067777777778</v>
      </c>
      <c r="V11" s="71"/>
      <c r="W11" s="96"/>
      <c r="X11" s="96"/>
      <c r="Y11" s="96"/>
      <c r="Z11" s="96"/>
      <c r="AA11" s="224"/>
    </row>
    <row r="12" spans="2:28" x14ac:dyDescent="0.45">
      <c r="B12" s="5" t="s">
        <v>343</v>
      </c>
      <c r="C12" s="5" t="s">
        <v>312</v>
      </c>
      <c r="D12" s="97">
        <f>Z10</f>
        <v>0</v>
      </c>
      <c r="E12" s="21">
        <v>1</v>
      </c>
      <c r="F12" s="75">
        <f>D12*E12</f>
        <v>0</v>
      </c>
      <c r="V12" s="86"/>
      <c r="W12" s="96"/>
      <c r="X12" s="96"/>
      <c r="Y12" s="96"/>
      <c r="Z12" s="96"/>
    </row>
    <row r="13" spans="2:28" x14ac:dyDescent="0.45">
      <c r="B13" s="71"/>
      <c r="C13" s="5" t="s">
        <v>344</v>
      </c>
      <c r="D13" s="6">
        <f>SUM(D14:D20)</f>
        <v>0</v>
      </c>
      <c r="E13" s="32"/>
      <c r="F13" s="75"/>
      <c r="H13" s="24" t="s">
        <v>345</v>
      </c>
      <c r="V13" s="86"/>
      <c r="W13" s="96"/>
      <c r="X13" s="96"/>
      <c r="Y13" s="96"/>
      <c r="Z13" s="96"/>
    </row>
    <row r="14" spans="2:28" x14ac:dyDescent="0.45">
      <c r="B14" s="86"/>
      <c r="C14" s="5" t="s">
        <v>344</v>
      </c>
      <c r="D14" s="97"/>
      <c r="E14" s="21">
        <v>1</v>
      </c>
      <c r="F14" s="75"/>
      <c r="V14" s="86"/>
      <c r="W14" s="96"/>
      <c r="X14" s="96"/>
      <c r="Y14" s="96"/>
      <c r="Z14" s="96"/>
    </row>
    <row r="15" spans="2:28" x14ac:dyDescent="0.45">
      <c r="B15" s="86"/>
      <c r="C15" s="5" t="s">
        <v>344</v>
      </c>
      <c r="D15" s="97"/>
      <c r="E15" s="21">
        <v>1</v>
      </c>
      <c r="F15" s="75"/>
      <c r="V15" s="86"/>
      <c r="W15" s="96"/>
      <c r="X15" s="96"/>
      <c r="Y15" s="96"/>
      <c r="Z15" s="96"/>
    </row>
    <row r="16" spans="2:28" x14ac:dyDescent="0.45">
      <c r="B16" s="86"/>
      <c r="C16" s="5" t="s">
        <v>344</v>
      </c>
      <c r="D16" s="97"/>
      <c r="E16" s="21">
        <v>1</v>
      </c>
      <c r="F16" s="75"/>
      <c r="V16" s="86"/>
      <c r="W16" s="96"/>
      <c r="X16" s="96"/>
      <c r="Y16" s="96"/>
      <c r="Z16" s="96"/>
    </row>
    <row r="17" spans="1:26" x14ac:dyDescent="0.45">
      <c r="B17" s="86"/>
      <c r="C17" s="5" t="s">
        <v>344</v>
      </c>
      <c r="D17" s="97"/>
      <c r="E17" s="21">
        <v>1</v>
      </c>
      <c r="F17" s="75"/>
      <c r="V17" s="86"/>
      <c r="W17" s="96"/>
      <c r="X17" s="96"/>
      <c r="Y17" s="96"/>
      <c r="Z17" s="96"/>
    </row>
    <row r="18" spans="1:26" x14ac:dyDescent="0.45">
      <c r="B18" s="86"/>
      <c r="C18" s="5" t="s">
        <v>344</v>
      </c>
      <c r="D18" s="97"/>
      <c r="E18" s="21">
        <v>1</v>
      </c>
      <c r="F18" s="75"/>
      <c r="V18" s="86"/>
      <c r="W18" s="96"/>
      <c r="X18" s="96"/>
      <c r="Y18" s="96"/>
      <c r="Z18" s="96"/>
    </row>
    <row r="19" spans="1:26" x14ac:dyDescent="0.45">
      <c r="B19" s="86"/>
      <c r="C19" s="5" t="s">
        <v>344</v>
      </c>
      <c r="D19" s="97"/>
      <c r="E19" s="21">
        <v>1</v>
      </c>
      <c r="F19" s="75"/>
    </row>
    <row r="20" spans="1:26" x14ac:dyDescent="0.45">
      <c r="B20" s="86"/>
      <c r="C20" s="5" t="s">
        <v>344</v>
      </c>
      <c r="D20" s="97"/>
      <c r="E20" s="21">
        <v>1</v>
      </c>
      <c r="F20" s="75"/>
    </row>
    <row r="21" spans="1:26" s="24" customFormat="1" x14ac:dyDescent="0.45">
      <c r="B21" s="72" t="s">
        <v>346</v>
      </c>
      <c r="C21" s="73"/>
      <c r="D21" s="74">
        <f>SUM(D9:D12)</f>
        <v>-1894911.1186111115</v>
      </c>
      <c r="E21" s="74"/>
      <c r="F21" s="74">
        <f>SUM(F9:F12)</f>
        <v>-1894911.1186111115</v>
      </c>
      <c r="L21" s="2"/>
      <c r="M21" s="2"/>
      <c r="N21" s="2"/>
      <c r="O21" s="2"/>
      <c r="P21" s="2"/>
      <c r="V21" s="2"/>
      <c r="W21" s="2"/>
      <c r="X21" s="2"/>
      <c r="Y21" s="2"/>
      <c r="Z21" s="2"/>
    </row>
    <row r="23" spans="1:26" x14ac:dyDescent="0.45">
      <c r="B23" s="82" t="s">
        <v>347</v>
      </c>
    </row>
    <row r="24" spans="1:26" x14ac:dyDescent="0.45">
      <c r="B24" s="71" t="s">
        <v>348</v>
      </c>
      <c r="C24" s="5"/>
      <c r="D24" s="77">
        <f>H59</f>
        <v>948298.66666666674</v>
      </c>
      <c r="E24" s="21">
        <v>1</v>
      </c>
      <c r="F24" s="75">
        <f>D24*E24</f>
        <v>948298.66666666674</v>
      </c>
      <c r="H24" s="63" t="s">
        <v>349</v>
      </c>
    </row>
    <row r="25" spans="1:26" x14ac:dyDescent="0.45">
      <c r="B25" s="5" t="s">
        <v>350</v>
      </c>
      <c r="C25" s="5"/>
      <c r="D25" s="81">
        <f>G59</f>
        <v>0</v>
      </c>
      <c r="E25" s="21">
        <v>1</v>
      </c>
      <c r="F25" s="75">
        <f>D25*E25</f>
        <v>0</v>
      </c>
    </row>
    <row r="26" spans="1:26" s="24" customFormat="1" x14ac:dyDescent="0.45">
      <c r="B26" s="72" t="s">
        <v>351</v>
      </c>
      <c r="C26" s="73"/>
      <c r="D26" s="74">
        <f>SUM(D24:D25)</f>
        <v>948298.66666666674</v>
      </c>
      <c r="E26" s="74"/>
      <c r="F26" s="74">
        <f>SUM(F24:F25)</f>
        <v>948298.66666666674</v>
      </c>
      <c r="G26" s="109"/>
      <c r="L26" s="2"/>
      <c r="M26" s="2"/>
      <c r="N26" s="2"/>
      <c r="O26" s="2"/>
      <c r="P26" s="2"/>
      <c r="V26" s="2"/>
      <c r="W26" s="2"/>
      <c r="X26" s="2"/>
      <c r="Y26" s="2"/>
      <c r="Z26" s="2"/>
    </row>
    <row r="27" spans="1:26" s="24" customFormat="1" x14ac:dyDescent="0.45">
      <c r="L27" s="2"/>
      <c r="M27" s="2"/>
      <c r="N27" s="2"/>
      <c r="O27" s="2"/>
      <c r="P27" s="2"/>
      <c r="V27" s="2"/>
      <c r="W27" s="2"/>
      <c r="X27" s="2"/>
      <c r="Y27" s="2"/>
      <c r="Z27" s="2"/>
    </row>
    <row r="28" spans="1:26" x14ac:dyDescent="0.45">
      <c r="A28" s="24"/>
      <c r="B28" s="82" t="s">
        <v>352</v>
      </c>
    </row>
    <row r="29" spans="1:26" x14ac:dyDescent="0.45">
      <c r="A29" s="24"/>
      <c r="B29" s="71" t="s">
        <v>348</v>
      </c>
      <c r="C29" s="5"/>
      <c r="D29" s="77">
        <f>R59</f>
        <v>0</v>
      </c>
      <c r="E29" s="21">
        <v>1</v>
      </c>
      <c r="F29" s="75">
        <f>D29*E29</f>
        <v>0</v>
      </c>
    </row>
    <row r="30" spans="1:26" x14ac:dyDescent="0.45">
      <c r="B30" s="5" t="s">
        <v>350</v>
      </c>
      <c r="C30" s="5"/>
      <c r="D30" s="81">
        <f>Q59</f>
        <v>0</v>
      </c>
      <c r="E30" s="21">
        <v>1</v>
      </c>
      <c r="F30" s="75">
        <f>D30*E30</f>
        <v>0</v>
      </c>
    </row>
    <row r="31" spans="1:26" s="24" customFormat="1" x14ac:dyDescent="0.45">
      <c r="B31" s="72" t="s">
        <v>351</v>
      </c>
      <c r="C31" s="73"/>
      <c r="D31" s="74">
        <f>SUM(D29:D30)</f>
        <v>0</v>
      </c>
      <c r="E31" s="74"/>
      <c r="F31" s="74">
        <f>SUM(F29:F30)</f>
        <v>0</v>
      </c>
      <c r="L31" s="2"/>
      <c r="M31" s="2"/>
      <c r="N31" s="2"/>
      <c r="O31" s="2"/>
      <c r="P31" s="2"/>
    </row>
    <row r="32" spans="1:26" x14ac:dyDescent="0.45">
      <c r="B32" s="64" t="s">
        <v>353</v>
      </c>
    </row>
    <row r="33" spans="1:30" x14ac:dyDescent="0.45">
      <c r="B33" s="64" t="s">
        <v>354</v>
      </c>
    </row>
    <row r="34" spans="1:30" x14ac:dyDescent="0.45">
      <c r="B34" s="64" t="s">
        <v>355</v>
      </c>
    </row>
    <row r="35" spans="1:30" x14ac:dyDescent="0.45">
      <c r="B35" s="67" t="s">
        <v>356</v>
      </c>
    </row>
    <row r="36" spans="1:30" x14ac:dyDescent="0.45">
      <c r="B36" s="67" t="s">
        <v>357</v>
      </c>
    </row>
    <row r="37" spans="1:30" x14ac:dyDescent="0.45">
      <c r="B37" s="67" t="s">
        <v>358</v>
      </c>
    </row>
    <row r="38" spans="1:30" x14ac:dyDescent="0.45">
      <c r="B38" s="67" t="s">
        <v>359</v>
      </c>
    </row>
    <row r="39" spans="1:30" x14ac:dyDescent="0.45">
      <c r="B39" s="67" t="s">
        <v>360</v>
      </c>
    </row>
    <row r="40" spans="1:30" x14ac:dyDescent="0.45">
      <c r="B40" s="67" t="s">
        <v>361</v>
      </c>
    </row>
    <row r="43" spans="1:30" x14ac:dyDescent="0.45">
      <c r="B43" s="858" t="s">
        <v>362</v>
      </c>
      <c r="C43" s="858"/>
      <c r="D43" s="858"/>
      <c r="E43" s="858"/>
      <c r="F43" s="858"/>
      <c r="G43" s="858"/>
      <c r="H43" s="858"/>
      <c r="I43" s="858"/>
      <c r="J43" s="858"/>
      <c r="L43" s="858" t="s">
        <v>363</v>
      </c>
      <c r="M43" s="858"/>
      <c r="N43" s="858"/>
      <c r="O43" s="858"/>
      <c r="P43" s="858"/>
      <c r="Q43" s="858"/>
      <c r="R43" s="858"/>
      <c r="S43" s="858"/>
      <c r="T43" s="858"/>
      <c r="V43" s="857" t="s">
        <v>364</v>
      </c>
      <c r="W43" s="857"/>
      <c r="X43" s="857"/>
      <c r="Y43" s="857"/>
      <c r="Z43" s="857"/>
      <c r="AA43" s="857"/>
      <c r="AB43" s="857"/>
      <c r="AC43" s="857"/>
      <c r="AD43" s="857"/>
    </row>
    <row r="45" spans="1:30" s="20" customFormat="1" ht="54" customHeight="1" x14ac:dyDescent="0.45">
      <c r="B45" s="83" t="s">
        <v>365</v>
      </c>
      <c r="C45" s="172" t="s">
        <v>292</v>
      </c>
      <c r="D45" s="172" t="s">
        <v>295</v>
      </c>
      <c r="E45" s="172" t="s">
        <v>299</v>
      </c>
      <c r="F45" s="172" t="s">
        <v>366</v>
      </c>
      <c r="G45" s="172" t="s">
        <v>367</v>
      </c>
      <c r="H45" s="172" t="s">
        <v>368</v>
      </c>
      <c r="I45" s="172" t="s">
        <v>369</v>
      </c>
      <c r="J45" s="172"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45">
      <c r="A46" s="2">
        <f>COUNT(D62:D76)</f>
        <v>0</v>
      </c>
      <c r="B46" s="5" t="str">
        <f>B61</f>
        <v>Facility (Overdraft)</v>
      </c>
      <c r="C46" s="7" t="s">
        <v>295</v>
      </c>
      <c r="D46" s="79">
        <f>D$77</f>
        <v>0</v>
      </c>
      <c r="E46" s="79">
        <f t="shared" ref="E46:F46" si="9">E$77</f>
        <v>0</v>
      </c>
      <c r="F46" s="79">
        <f t="shared" si="9"/>
        <v>0</v>
      </c>
      <c r="G46" s="173">
        <f>I$77</f>
        <v>0</v>
      </c>
      <c r="H46" s="173">
        <f>F46*12</f>
        <v>0</v>
      </c>
      <c r="I46" s="34">
        <f>IF(C46="Installment",H46,G46)</f>
        <v>0</v>
      </c>
      <c r="J46" s="171"/>
      <c r="L46" s="5" t="str">
        <f>$B46</f>
        <v>Facility (Overdraft)</v>
      </c>
      <c r="M46" s="7" t="str">
        <f>$C46</f>
        <v>Limit</v>
      </c>
      <c r="N46" s="79">
        <f>N$77</f>
        <v>0</v>
      </c>
      <c r="O46" s="79">
        <f t="shared" ref="O46:P46" si="10">O$77</f>
        <v>0</v>
      </c>
      <c r="P46" s="79">
        <f t="shared" si="10"/>
        <v>0</v>
      </c>
      <c r="Q46" s="173">
        <f>S$77</f>
        <v>0</v>
      </c>
      <c r="R46" s="173">
        <f>P46*12</f>
        <v>0</v>
      </c>
      <c r="S46" s="34">
        <f>IF(M46="Installment",R46,Q46)</f>
        <v>0</v>
      </c>
      <c r="T46" s="171"/>
      <c r="V46" s="5" t="str">
        <f>$B46</f>
        <v>Facility (Overdraft)</v>
      </c>
      <c r="W46" s="7" t="str">
        <f>$C46</f>
        <v>Limit</v>
      </c>
      <c r="X46" s="79">
        <f>X$77</f>
        <v>0</v>
      </c>
      <c r="Y46" s="79">
        <f t="shared" ref="Y46:Z46" si="11">Y$77</f>
        <v>0</v>
      </c>
      <c r="Z46" s="79">
        <f t="shared" si="11"/>
        <v>0</v>
      </c>
      <c r="AA46" s="173">
        <f>AC$77</f>
        <v>0</v>
      </c>
      <c r="AB46" s="173">
        <f>Z46*12</f>
        <v>0</v>
      </c>
      <c r="AC46" s="34">
        <f>IF(W46="Installment",AB46,AA46)</f>
        <v>0</v>
      </c>
      <c r="AD46" s="171"/>
    </row>
    <row r="47" spans="1:30" ht="25.5" customHeight="1" x14ac:dyDescent="0.45">
      <c r="A47" s="2">
        <f>COUNT(D80:D94)</f>
        <v>0</v>
      </c>
      <c r="B47" s="5" t="str">
        <f>B79</f>
        <v>Facility (Overdraft - Temporary)</v>
      </c>
      <c r="C47" s="7" t="s">
        <v>295</v>
      </c>
      <c r="D47" s="79">
        <f>D$95</f>
        <v>0</v>
      </c>
      <c r="E47" s="79">
        <f>E$95</f>
        <v>0</v>
      </c>
      <c r="F47" s="79">
        <f>F$95</f>
        <v>0</v>
      </c>
      <c r="G47" s="173">
        <f>I$95</f>
        <v>0</v>
      </c>
      <c r="H47" s="173">
        <f t="shared" ref="H47:H57" si="12">F47*12</f>
        <v>0</v>
      </c>
      <c r="I47" s="34">
        <f t="shared" ref="I47:I58" si="13">IF(C47="Installment",H47,G47)</f>
        <v>0</v>
      </c>
      <c r="J47" s="171"/>
      <c r="L47" s="5" t="str">
        <f t="shared" ref="L47:L59" si="14">$B47</f>
        <v>Facility (Overdraft - Temporary)</v>
      </c>
      <c r="M47" s="7" t="str">
        <f t="shared" ref="M47:M59" si="15">$C47</f>
        <v>Limit</v>
      </c>
      <c r="N47" s="79">
        <f>N$95</f>
        <v>0</v>
      </c>
      <c r="O47" s="79">
        <f>O$95</f>
        <v>0</v>
      </c>
      <c r="P47" s="79">
        <f>P$95</f>
        <v>0</v>
      </c>
      <c r="Q47" s="173">
        <f>S$95</f>
        <v>0</v>
      </c>
      <c r="R47" s="173">
        <f t="shared" ref="R47:R58" si="16">P47*12</f>
        <v>0</v>
      </c>
      <c r="S47" s="34">
        <f t="shared" ref="S47:S58" si="17">IF(M47="Installment",R47,Q47)</f>
        <v>0</v>
      </c>
      <c r="T47" s="171"/>
      <c r="V47" s="5" t="str">
        <f t="shared" ref="V47:V59" si="18">$B47</f>
        <v>Facility (Overdraft - Temporary)</v>
      </c>
      <c r="W47" s="7" t="str">
        <f t="shared" ref="W47:W59" si="19">$C47</f>
        <v>Limit</v>
      </c>
      <c r="X47" s="79">
        <f>X$95</f>
        <v>0</v>
      </c>
      <c r="Y47" s="79">
        <f>Y$95</f>
        <v>0</v>
      </c>
      <c r="Z47" s="79">
        <f>Z$95</f>
        <v>0</v>
      </c>
      <c r="AA47" s="173">
        <f>AC$95</f>
        <v>0</v>
      </c>
      <c r="AB47" s="173">
        <f t="shared" ref="AB47:AB58" si="20">Z47*12</f>
        <v>0</v>
      </c>
      <c r="AC47" s="34">
        <f t="shared" ref="AC47:AC58" si="21">IF(W47="Installment",AB47,AA47)</f>
        <v>0</v>
      </c>
      <c r="AD47" s="171"/>
    </row>
    <row r="48" spans="1:30" ht="25.5" customHeight="1" x14ac:dyDescent="0.45">
      <c r="A48" s="2">
        <f>COUNT(D98:D112)</f>
        <v>0</v>
      </c>
      <c r="B48" s="5" t="str">
        <f>B97</f>
        <v>Facility (Bank Guarantee)</v>
      </c>
      <c r="C48" s="7" t="s">
        <v>295</v>
      </c>
      <c r="D48" s="79">
        <f>D$113</f>
        <v>0</v>
      </c>
      <c r="E48" s="79">
        <f>E$113</f>
        <v>0</v>
      </c>
      <c r="F48" s="79">
        <f>F$113</f>
        <v>0</v>
      </c>
      <c r="G48" s="173">
        <f>I$113</f>
        <v>0</v>
      </c>
      <c r="H48" s="173">
        <f t="shared" si="12"/>
        <v>0</v>
      </c>
      <c r="I48" s="34">
        <f t="shared" si="13"/>
        <v>0</v>
      </c>
      <c r="J48" s="171"/>
      <c r="L48" s="5" t="str">
        <f t="shared" si="14"/>
        <v>Facility (Bank Guarantee)</v>
      </c>
      <c r="M48" s="7" t="str">
        <f t="shared" si="15"/>
        <v>Limit</v>
      </c>
      <c r="N48" s="79">
        <f>N$113</f>
        <v>0</v>
      </c>
      <c r="O48" s="79">
        <f>O$113</f>
        <v>0</v>
      </c>
      <c r="P48" s="79">
        <f>P$113</f>
        <v>0</v>
      </c>
      <c r="Q48" s="173">
        <f>S$113</f>
        <v>0</v>
      </c>
      <c r="R48" s="173">
        <f t="shared" si="16"/>
        <v>0</v>
      </c>
      <c r="S48" s="34">
        <f t="shared" si="17"/>
        <v>0</v>
      </c>
      <c r="T48" s="171"/>
      <c r="V48" s="5" t="str">
        <f t="shared" si="18"/>
        <v>Facility (Bank Guarantee)</v>
      </c>
      <c r="W48" s="7" t="str">
        <f t="shared" si="19"/>
        <v>Limit</v>
      </c>
      <c r="X48" s="79">
        <f>X$113</f>
        <v>0</v>
      </c>
      <c r="Y48" s="79">
        <f>Y$113</f>
        <v>0</v>
      </c>
      <c r="Z48" s="79">
        <f>Z$113</f>
        <v>0</v>
      </c>
      <c r="AA48" s="173">
        <f>AC$113</f>
        <v>0</v>
      </c>
      <c r="AB48" s="173">
        <f t="shared" si="20"/>
        <v>0</v>
      </c>
      <c r="AC48" s="34">
        <f t="shared" si="21"/>
        <v>0</v>
      </c>
      <c r="AD48" s="171"/>
    </row>
    <row r="49" spans="1:32" ht="25.5" customHeight="1" x14ac:dyDescent="0.45">
      <c r="A49" s="2">
        <f>COUNT(D116:D130)</f>
        <v>0</v>
      </c>
      <c r="B49" s="5" t="str">
        <f>B115</f>
        <v>Facility (Bank Trade - Funded)</v>
      </c>
      <c r="C49" s="7" t="s">
        <v>295</v>
      </c>
      <c r="D49" s="79">
        <f>D$131</f>
        <v>0</v>
      </c>
      <c r="E49" s="79">
        <f>E$131</f>
        <v>0</v>
      </c>
      <c r="F49" s="79">
        <f>F$131</f>
        <v>0</v>
      </c>
      <c r="G49" s="173">
        <f>I$131</f>
        <v>0</v>
      </c>
      <c r="H49" s="173">
        <f t="shared" si="12"/>
        <v>0</v>
      </c>
      <c r="I49" s="34">
        <f t="shared" si="13"/>
        <v>0</v>
      </c>
      <c r="J49" s="171"/>
      <c r="L49" s="5" t="str">
        <f t="shared" si="14"/>
        <v>Facility (Bank Trade - Funded)</v>
      </c>
      <c r="M49" s="7" t="str">
        <f t="shared" si="15"/>
        <v>Limit</v>
      </c>
      <c r="N49" s="79">
        <f>N$131</f>
        <v>0</v>
      </c>
      <c r="O49" s="79">
        <f>O$131</f>
        <v>0</v>
      </c>
      <c r="P49" s="79">
        <f>P$131</f>
        <v>0</v>
      </c>
      <c r="Q49" s="173">
        <f>S$131</f>
        <v>0</v>
      </c>
      <c r="R49" s="173">
        <f t="shared" si="16"/>
        <v>0</v>
      </c>
      <c r="S49" s="34">
        <f t="shared" si="17"/>
        <v>0</v>
      </c>
      <c r="T49" s="171"/>
      <c r="V49" s="5" t="str">
        <f t="shared" si="18"/>
        <v>Facility (Bank Trade - Funded)</v>
      </c>
      <c r="W49" s="7" t="str">
        <f t="shared" si="19"/>
        <v>Limit</v>
      </c>
      <c r="X49" s="79">
        <f>X$131</f>
        <v>0</v>
      </c>
      <c r="Y49" s="79">
        <f>Y$131</f>
        <v>0</v>
      </c>
      <c r="Z49" s="79">
        <f>Z$131</f>
        <v>0</v>
      </c>
      <c r="AA49" s="173">
        <f>AC$131</f>
        <v>0</v>
      </c>
      <c r="AB49" s="173">
        <f t="shared" si="20"/>
        <v>0</v>
      </c>
      <c r="AC49" s="34">
        <f t="shared" si="21"/>
        <v>0</v>
      </c>
      <c r="AD49" s="171"/>
    </row>
    <row r="50" spans="1:32" ht="25.5" customHeight="1" x14ac:dyDescent="0.45">
      <c r="A50" s="2">
        <f>COUNT(D134:D148)</f>
        <v>0</v>
      </c>
      <c r="B50" s="5" t="str">
        <f>B133</f>
        <v>Facility (Bank Trade - Non Funded)</v>
      </c>
      <c r="C50" s="7" t="s">
        <v>295</v>
      </c>
      <c r="D50" s="79">
        <f>D$149</f>
        <v>0</v>
      </c>
      <c r="E50" s="79">
        <f>E$149</f>
        <v>0</v>
      </c>
      <c r="F50" s="79">
        <f>F$149</f>
        <v>0</v>
      </c>
      <c r="G50" s="173">
        <f>I$149</f>
        <v>0</v>
      </c>
      <c r="H50" s="173">
        <f t="shared" si="12"/>
        <v>0</v>
      </c>
      <c r="I50" s="34">
        <f t="shared" si="13"/>
        <v>0</v>
      </c>
      <c r="J50" s="171"/>
      <c r="L50" s="5" t="str">
        <f t="shared" si="14"/>
        <v>Facility (Bank Trade - Non Funded)</v>
      </c>
      <c r="M50" s="7" t="str">
        <f t="shared" si="15"/>
        <v>Limit</v>
      </c>
      <c r="N50" s="79">
        <f>N$149</f>
        <v>0</v>
      </c>
      <c r="O50" s="79">
        <f>O$149</f>
        <v>0</v>
      </c>
      <c r="P50" s="79">
        <f>P$149</f>
        <v>0</v>
      </c>
      <c r="Q50" s="173">
        <f>S$149</f>
        <v>0</v>
      </c>
      <c r="R50" s="173">
        <f t="shared" si="16"/>
        <v>0</v>
      </c>
      <c r="S50" s="34">
        <f t="shared" si="17"/>
        <v>0</v>
      </c>
      <c r="T50" s="171"/>
      <c r="V50" s="5" t="str">
        <f t="shared" si="18"/>
        <v>Facility (Bank Trade - Non Funded)</v>
      </c>
      <c r="W50" s="7" t="str">
        <f t="shared" si="19"/>
        <v>Limit</v>
      </c>
      <c r="X50" s="79">
        <f>X$149</f>
        <v>0</v>
      </c>
      <c r="Y50" s="79">
        <f>Y$149</f>
        <v>0</v>
      </c>
      <c r="Z50" s="79">
        <f>Z$149</f>
        <v>0</v>
      </c>
      <c r="AA50" s="173">
        <f>AC$149</f>
        <v>0</v>
      </c>
      <c r="AB50" s="173">
        <f t="shared" si="20"/>
        <v>0</v>
      </c>
      <c r="AC50" s="34">
        <f t="shared" si="21"/>
        <v>0</v>
      </c>
      <c r="AD50" s="171"/>
    </row>
    <row r="51" spans="1:32" ht="25.5" customHeight="1" x14ac:dyDescent="0.45">
      <c r="A51" s="2">
        <f>COUNT(D152:D166)</f>
        <v>0</v>
      </c>
      <c r="B51" s="5" t="str">
        <f>B151</f>
        <v>Facility (Revolving Credit)</v>
      </c>
      <c r="C51" s="7" t="s">
        <v>295</v>
      </c>
      <c r="D51" s="79">
        <f>D$167</f>
        <v>0</v>
      </c>
      <c r="E51" s="79">
        <f>E$167</f>
        <v>0</v>
      </c>
      <c r="F51" s="79">
        <f>F$167</f>
        <v>0</v>
      </c>
      <c r="G51" s="173">
        <f>I$167</f>
        <v>0</v>
      </c>
      <c r="H51" s="173">
        <f t="shared" si="12"/>
        <v>0</v>
      </c>
      <c r="I51" s="34">
        <f t="shared" si="13"/>
        <v>0</v>
      </c>
      <c r="J51" s="171"/>
      <c r="L51" s="5" t="str">
        <f t="shared" si="14"/>
        <v>Facility (Revolving Credit)</v>
      </c>
      <c r="M51" s="7" t="str">
        <f t="shared" si="15"/>
        <v>Limit</v>
      </c>
      <c r="N51" s="79">
        <f>N$167</f>
        <v>0</v>
      </c>
      <c r="O51" s="79">
        <f>O$167</f>
        <v>0</v>
      </c>
      <c r="P51" s="79">
        <f>P$167</f>
        <v>0</v>
      </c>
      <c r="Q51" s="173">
        <f>S$167</f>
        <v>0</v>
      </c>
      <c r="R51" s="173">
        <f t="shared" si="16"/>
        <v>0</v>
      </c>
      <c r="S51" s="34">
        <f t="shared" si="17"/>
        <v>0</v>
      </c>
      <c r="T51" s="171"/>
      <c r="V51" s="5" t="str">
        <f t="shared" si="18"/>
        <v>Facility (Revolving Credit)</v>
      </c>
      <c r="W51" s="7" t="str">
        <f t="shared" si="19"/>
        <v>Limit</v>
      </c>
      <c r="X51" s="79">
        <f>X$167</f>
        <v>0</v>
      </c>
      <c r="Y51" s="79">
        <f>Y$167</f>
        <v>0</v>
      </c>
      <c r="Z51" s="79">
        <f>Z$167</f>
        <v>0</v>
      </c>
      <c r="AA51" s="173">
        <f>AC$167</f>
        <v>0</v>
      </c>
      <c r="AB51" s="173">
        <f t="shared" si="20"/>
        <v>0</v>
      </c>
      <c r="AC51" s="34">
        <f t="shared" si="21"/>
        <v>0</v>
      </c>
      <c r="AD51" s="171"/>
    </row>
    <row r="52" spans="1:32" ht="25.5" customHeight="1" x14ac:dyDescent="0.45">
      <c r="A52" s="2">
        <f>COUNT(D170:D184)</f>
        <v>0</v>
      </c>
      <c r="B52" s="5" t="str">
        <f>B169</f>
        <v>Facility (Factoring)</v>
      </c>
      <c r="C52" s="7" t="s">
        <v>295</v>
      </c>
      <c r="D52" s="79">
        <f>D$185</f>
        <v>0</v>
      </c>
      <c r="E52" s="79">
        <f>E$185</f>
        <v>0</v>
      </c>
      <c r="F52" s="79">
        <f>F$185</f>
        <v>0</v>
      </c>
      <c r="G52" s="173">
        <f>I$185</f>
        <v>0</v>
      </c>
      <c r="H52" s="173">
        <f t="shared" si="12"/>
        <v>0</v>
      </c>
      <c r="I52" s="34">
        <f t="shared" si="13"/>
        <v>0</v>
      </c>
      <c r="J52" s="171"/>
      <c r="L52" s="5" t="str">
        <f t="shared" si="14"/>
        <v>Facility (Factoring)</v>
      </c>
      <c r="M52" s="7" t="str">
        <f t="shared" si="15"/>
        <v>Limit</v>
      </c>
      <c r="N52" s="79">
        <f>N$185</f>
        <v>0</v>
      </c>
      <c r="O52" s="79">
        <f>O$185</f>
        <v>0</v>
      </c>
      <c r="P52" s="79">
        <f>P$185</f>
        <v>0</v>
      </c>
      <c r="Q52" s="173">
        <f>S$185</f>
        <v>0</v>
      </c>
      <c r="R52" s="173">
        <f t="shared" si="16"/>
        <v>0</v>
      </c>
      <c r="S52" s="34">
        <f t="shared" si="17"/>
        <v>0</v>
      </c>
      <c r="T52" s="171"/>
      <c r="V52" s="5" t="str">
        <f t="shared" si="18"/>
        <v>Facility (Factoring)</v>
      </c>
      <c r="W52" s="7" t="str">
        <f t="shared" si="19"/>
        <v>Limit</v>
      </c>
      <c r="X52" s="79">
        <f>X$185</f>
        <v>0</v>
      </c>
      <c r="Y52" s="79">
        <f>Y$185</f>
        <v>0</v>
      </c>
      <c r="Z52" s="79">
        <f>Z$185</f>
        <v>0</v>
      </c>
      <c r="AA52" s="173">
        <f>AC$185</f>
        <v>0</v>
      </c>
      <c r="AB52" s="173">
        <f t="shared" si="20"/>
        <v>0</v>
      </c>
      <c r="AC52" s="34">
        <f t="shared" si="21"/>
        <v>0</v>
      </c>
      <c r="AD52" s="171"/>
    </row>
    <row r="53" spans="1:32" ht="25.5" customHeight="1" x14ac:dyDescent="0.45">
      <c r="A53" s="2">
        <f>COUNT(D188:D202)</f>
        <v>0</v>
      </c>
      <c r="B53" s="5" t="str">
        <f>B187</f>
        <v>Facility (Credit Card)</v>
      </c>
      <c r="C53" s="7" t="s">
        <v>299</v>
      </c>
      <c r="D53" s="79">
        <f>D$203</f>
        <v>0</v>
      </c>
      <c r="E53" s="79">
        <f>E$203</f>
        <v>0</v>
      </c>
      <c r="F53" s="79">
        <f>F$203</f>
        <v>0</v>
      </c>
      <c r="G53" s="174">
        <f>I$203*12</f>
        <v>0</v>
      </c>
      <c r="H53" s="173">
        <f t="shared" si="12"/>
        <v>0</v>
      </c>
      <c r="I53" s="34">
        <f t="shared" si="13"/>
        <v>0</v>
      </c>
      <c r="J53" s="171"/>
      <c r="L53" s="5" t="str">
        <f t="shared" si="14"/>
        <v>Facility (Credit Card)</v>
      </c>
      <c r="M53" s="7" t="str">
        <f t="shared" si="15"/>
        <v>Outstanding</v>
      </c>
      <c r="N53" s="79">
        <f>N$203</f>
        <v>0</v>
      </c>
      <c r="O53" s="79">
        <f>O$203</f>
        <v>0</v>
      </c>
      <c r="P53" s="79">
        <f>P$203</f>
        <v>0</v>
      </c>
      <c r="Q53" s="174">
        <f>S$203*12</f>
        <v>0</v>
      </c>
      <c r="R53" s="173">
        <f t="shared" si="16"/>
        <v>0</v>
      </c>
      <c r="S53" s="34">
        <f t="shared" si="17"/>
        <v>0</v>
      </c>
      <c r="T53" s="171"/>
      <c r="V53" s="5" t="str">
        <f t="shared" si="18"/>
        <v>Facility (Credit Card)</v>
      </c>
      <c r="W53" s="7" t="str">
        <f t="shared" si="19"/>
        <v>Outstanding</v>
      </c>
      <c r="X53" s="79">
        <f>X$203</f>
        <v>0</v>
      </c>
      <c r="Y53" s="79">
        <f>Y$203</f>
        <v>0</v>
      </c>
      <c r="Z53" s="79">
        <f>Z$203</f>
        <v>0</v>
      </c>
      <c r="AA53" s="174">
        <f>AC$203*12</f>
        <v>0</v>
      </c>
      <c r="AB53" s="173">
        <f t="shared" si="20"/>
        <v>0</v>
      </c>
      <c r="AC53" s="34">
        <f t="shared" si="21"/>
        <v>0</v>
      </c>
      <c r="AD53" s="171"/>
      <c r="AF53" s="19"/>
    </row>
    <row r="54" spans="1:32" ht="25.5" customHeight="1" x14ac:dyDescent="0.45">
      <c r="A54" s="2">
        <f>COUNT(D206:D220)</f>
        <v>1</v>
      </c>
      <c r="B54" s="5" t="str">
        <f>B205</f>
        <v>Facility (Term-loan)</v>
      </c>
      <c r="C54" s="7" t="s">
        <v>372</v>
      </c>
      <c r="D54" s="79">
        <f>D$221</f>
        <v>300000</v>
      </c>
      <c r="E54" s="79">
        <f>E$221</f>
        <v>240004</v>
      </c>
      <c r="F54" s="79">
        <f>F$221</f>
        <v>4798</v>
      </c>
      <c r="G54" s="173">
        <f>I$221</f>
        <v>0</v>
      </c>
      <c r="H54" s="173">
        <f t="shared" si="12"/>
        <v>57576</v>
      </c>
      <c r="I54" s="34">
        <f t="shared" si="13"/>
        <v>57576</v>
      </c>
      <c r="J54" s="171"/>
      <c r="L54" s="5" t="str">
        <f t="shared" si="14"/>
        <v>Facility (Term-loan)</v>
      </c>
      <c r="M54" s="7" t="str">
        <f t="shared" si="15"/>
        <v>Installment</v>
      </c>
      <c r="N54" s="79">
        <f>N$221</f>
        <v>0</v>
      </c>
      <c r="O54" s="79">
        <f>O$221</f>
        <v>0</v>
      </c>
      <c r="P54" s="79">
        <f>P$221</f>
        <v>0</v>
      </c>
      <c r="Q54" s="173">
        <f>S$221</f>
        <v>0</v>
      </c>
      <c r="R54" s="173">
        <f t="shared" si="16"/>
        <v>0</v>
      </c>
      <c r="S54" s="34">
        <f t="shared" si="17"/>
        <v>0</v>
      </c>
      <c r="T54" s="171"/>
      <c r="V54" s="5" t="str">
        <f t="shared" si="18"/>
        <v>Facility (Term-loan)</v>
      </c>
      <c r="W54" s="7" t="str">
        <f t="shared" si="19"/>
        <v>Installment</v>
      </c>
      <c r="X54" s="79">
        <f>X$221</f>
        <v>0</v>
      </c>
      <c r="Y54" s="79">
        <f>Y$221</f>
        <v>0</v>
      </c>
      <c r="Z54" s="79">
        <f>Z$221</f>
        <v>0</v>
      </c>
      <c r="AA54" s="173">
        <f>AC$221</f>
        <v>0</v>
      </c>
      <c r="AB54" s="173">
        <f t="shared" si="20"/>
        <v>0</v>
      </c>
      <c r="AC54" s="34">
        <f t="shared" si="21"/>
        <v>0</v>
      </c>
      <c r="AD54" s="171"/>
    </row>
    <row r="55" spans="1:32" ht="25.5" customHeight="1" x14ac:dyDescent="0.45">
      <c r="A55" s="2">
        <f>COUNT(D224:D238)</f>
        <v>3</v>
      </c>
      <c r="B55" s="5" t="str">
        <f>B223</f>
        <v>Facility (Hire Purchase / Leasing)</v>
      </c>
      <c r="C55" s="7" t="s">
        <v>372</v>
      </c>
      <c r="D55" s="79">
        <f>D$239</f>
        <v>642000</v>
      </c>
      <c r="E55" s="79">
        <f>E$239</f>
        <v>579797</v>
      </c>
      <c r="F55" s="79">
        <f>F$239</f>
        <v>9088</v>
      </c>
      <c r="G55" s="173">
        <f>I$239</f>
        <v>0</v>
      </c>
      <c r="H55" s="173">
        <f>F55*12</f>
        <v>109056</v>
      </c>
      <c r="I55" s="34">
        <f t="shared" si="13"/>
        <v>109056</v>
      </c>
      <c r="J55" s="171"/>
      <c r="L55" s="5" t="str">
        <f t="shared" si="14"/>
        <v>Facility (Hire Purchase / Leasing)</v>
      </c>
      <c r="M55" s="7" t="str">
        <f t="shared" si="15"/>
        <v>Installment</v>
      </c>
      <c r="N55" s="79">
        <f>N$239</f>
        <v>0</v>
      </c>
      <c r="O55" s="79">
        <f>O$239</f>
        <v>0</v>
      </c>
      <c r="P55" s="79">
        <f>P$239</f>
        <v>0</v>
      </c>
      <c r="Q55" s="173">
        <f>S$239</f>
        <v>0</v>
      </c>
      <c r="R55" s="173">
        <f t="shared" si="16"/>
        <v>0</v>
      </c>
      <c r="S55" s="34">
        <f t="shared" si="17"/>
        <v>0</v>
      </c>
      <c r="T55" s="171"/>
      <c r="V55" s="5" t="str">
        <f t="shared" si="18"/>
        <v>Facility (Hire Purchase / Leasing)</v>
      </c>
      <c r="W55" s="7" t="str">
        <f t="shared" si="19"/>
        <v>Installment</v>
      </c>
      <c r="X55" s="79">
        <f>X$239</f>
        <v>0</v>
      </c>
      <c r="Y55" s="79">
        <f>Y$239</f>
        <v>0</v>
      </c>
      <c r="Z55" s="79">
        <f>Z$239</f>
        <v>0</v>
      </c>
      <c r="AA55" s="173">
        <f>AC$239</f>
        <v>0</v>
      </c>
      <c r="AB55" s="173">
        <f t="shared" si="20"/>
        <v>0</v>
      </c>
      <c r="AC55" s="34">
        <f t="shared" si="21"/>
        <v>0</v>
      </c>
      <c r="AD55" s="171"/>
    </row>
    <row r="56" spans="1:32" ht="25.5" customHeight="1" x14ac:dyDescent="0.45">
      <c r="A56" s="2">
        <f>COUNT(D242:D256)</f>
        <v>1</v>
      </c>
      <c r="B56" s="5" t="str">
        <f>B241</f>
        <v>P2P - Facility (Term-loan / Working Capital)</v>
      </c>
      <c r="C56" s="7" t="s">
        <v>372</v>
      </c>
      <c r="D56" s="79">
        <f>D$257</f>
        <v>700000</v>
      </c>
      <c r="E56" s="79">
        <f>E$257</f>
        <v>781666.66666666674</v>
      </c>
      <c r="F56" s="79">
        <f>F$257</f>
        <v>78166.666666666672</v>
      </c>
      <c r="G56" s="173">
        <f>I$257</f>
        <v>0</v>
      </c>
      <c r="H56" s="173">
        <f>F56*10</f>
        <v>781666.66666666674</v>
      </c>
      <c r="I56" s="34">
        <f t="shared" si="13"/>
        <v>781666.66666666674</v>
      </c>
      <c r="J56" s="171" t="s">
        <v>940</v>
      </c>
      <c r="L56" s="5" t="str">
        <f t="shared" si="14"/>
        <v>P2P - Facility (Term-loan / Working Capital)</v>
      </c>
      <c r="M56" s="7" t="str">
        <f t="shared" si="15"/>
        <v>Installment</v>
      </c>
      <c r="N56" s="79">
        <f>N$257</f>
        <v>0</v>
      </c>
      <c r="O56" s="79">
        <f>O$257</f>
        <v>0</v>
      </c>
      <c r="P56" s="79">
        <f>P$257</f>
        <v>0</v>
      </c>
      <c r="Q56" s="173">
        <f>S$257</f>
        <v>0</v>
      </c>
      <c r="R56" s="173">
        <f t="shared" si="16"/>
        <v>0</v>
      </c>
      <c r="S56" s="34">
        <f t="shared" si="17"/>
        <v>0</v>
      </c>
      <c r="T56" s="171"/>
      <c r="V56" s="5" t="str">
        <f t="shared" si="18"/>
        <v>P2P - Facility (Term-loan / Working Capital)</v>
      </c>
      <c r="W56" s="7" t="str">
        <f t="shared" si="19"/>
        <v>Installment</v>
      </c>
      <c r="X56" s="79">
        <f>X$257</f>
        <v>0</v>
      </c>
      <c r="Y56" s="79">
        <f>Y$257</f>
        <v>0</v>
      </c>
      <c r="Z56" s="79">
        <f>Z$257</f>
        <v>0</v>
      </c>
      <c r="AA56" s="173">
        <f>AC$257</f>
        <v>0</v>
      </c>
      <c r="AB56" s="173">
        <f t="shared" si="20"/>
        <v>0</v>
      </c>
      <c r="AC56" s="34">
        <f t="shared" si="21"/>
        <v>0</v>
      </c>
      <c r="AD56" s="171"/>
      <c r="AF56" s="19"/>
    </row>
    <row r="57" spans="1:32" ht="25.5" customHeight="1" x14ac:dyDescent="0.45">
      <c r="A57" s="2">
        <f>COUNT(D260:D274)</f>
        <v>1</v>
      </c>
      <c r="B57" s="5" t="str">
        <f>B259</f>
        <v>P2P - Facility (Trade Invoice Financing)</v>
      </c>
      <c r="C57" s="7" t="s">
        <v>295</v>
      </c>
      <c r="D57" s="79">
        <f>D$275</f>
        <v>0</v>
      </c>
      <c r="E57" s="79">
        <f>E$275</f>
        <v>0</v>
      </c>
      <c r="F57" s="79">
        <f>F$275</f>
        <v>0</v>
      </c>
      <c r="G57" s="173">
        <f>I$275</f>
        <v>0</v>
      </c>
      <c r="H57" s="173">
        <f t="shared" si="12"/>
        <v>0</v>
      </c>
      <c r="I57" s="34">
        <f t="shared" si="13"/>
        <v>0</v>
      </c>
      <c r="J57" s="171"/>
      <c r="L57" s="5" t="str">
        <f t="shared" si="14"/>
        <v>P2P - Facility (Trade Invoice Financing)</v>
      </c>
      <c r="M57" s="7" t="str">
        <f t="shared" si="15"/>
        <v>Limit</v>
      </c>
      <c r="N57" s="79">
        <f>N$275</f>
        <v>0</v>
      </c>
      <c r="O57" s="79">
        <f>O$275</f>
        <v>0</v>
      </c>
      <c r="P57" s="79">
        <f>P$275</f>
        <v>0</v>
      </c>
      <c r="Q57" s="173">
        <f>S$275</f>
        <v>0</v>
      </c>
      <c r="R57" s="173">
        <f t="shared" si="16"/>
        <v>0</v>
      </c>
      <c r="S57" s="34">
        <f t="shared" si="17"/>
        <v>0</v>
      </c>
      <c r="T57" s="171"/>
      <c r="V57" s="5" t="str">
        <f t="shared" si="18"/>
        <v>P2P - Facility (Trade Invoice Financing)</v>
      </c>
      <c r="W57" s="7" t="str">
        <f t="shared" si="19"/>
        <v>Limit</v>
      </c>
      <c r="X57" s="79">
        <f>X$275</f>
        <v>0</v>
      </c>
      <c r="Y57" s="79">
        <f>Y$275</f>
        <v>0</v>
      </c>
      <c r="Z57" s="79">
        <f>Z$275</f>
        <v>0</v>
      </c>
      <c r="AA57" s="173">
        <f>AC$275</f>
        <v>0</v>
      </c>
      <c r="AB57" s="173">
        <f t="shared" si="20"/>
        <v>0</v>
      </c>
      <c r="AC57" s="34">
        <f t="shared" si="21"/>
        <v>0</v>
      </c>
      <c r="AD57" s="171"/>
      <c r="AF57" s="19"/>
    </row>
    <row r="58" spans="1:32" ht="25.5" customHeight="1" x14ac:dyDescent="0.45">
      <c r="A58" s="2">
        <f>COUNT(D278:D292)</f>
        <v>0</v>
      </c>
      <c r="B58" s="5" t="str">
        <f>B277</f>
        <v>Others</v>
      </c>
      <c r="C58" s="7" t="s">
        <v>372</v>
      </c>
      <c r="D58" s="79">
        <f>D$293</f>
        <v>0</v>
      </c>
      <c r="E58" s="79">
        <f>E$293</f>
        <v>0</v>
      </c>
      <c r="F58" s="79">
        <f>F$293</f>
        <v>0</v>
      </c>
      <c r="G58" s="173">
        <f>I$293</f>
        <v>0</v>
      </c>
      <c r="H58" s="173"/>
      <c r="I58" s="34">
        <f t="shared" si="13"/>
        <v>0</v>
      </c>
      <c r="J58" s="171"/>
      <c r="L58" s="5" t="str">
        <f t="shared" si="14"/>
        <v>Others</v>
      </c>
      <c r="M58" s="7" t="str">
        <f t="shared" si="15"/>
        <v>Installment</v>
      </c>
      <c r="N58" s="79">
        <f>N$293</f>
        <v>0</v>
      </c>
      <c r="O58" s="79">
        <f>O$293</f>
        <v>0</v>
      </c>
      <c r="P58" s="79">
        <f>P$293</f>
        <v>0</v>
      </c>
      <c r="Q58" s="173">
        <f>S$293</f>
        <v>0</v>
      </c>
      <c r="R58" s="173">
        <f t="shared" si="16"/>
        <v>0</v>
      </c>
      <c r="S58" s="34">
        <f t="shared" si="17"/>
        <v>0</v>
      </c>
      <c r="T58" s="171"/>
      <c r="V58" s="5" t="str">
        <f t="shared" si="18"/>
        <v>Others</v>
      </c>
      <c r="W58" s="7" t="str">
        <f t="shared" si="19"/>
        <v>Installment</v>
      </c>
      <c r="X58" s="79">
        <f>X$293</f>
        <v>0</v>
      </c>
      <c r="Y58" s="79">
        <f>Y$293</f>
        <v>0</v>
      </c>
      <c r="Z58" s="79">
        <f>Z$293</f>
        <v>0</v>
      </c>
      <c r="AA58" s="173">
        <f>AC$293</f>
        <v>0</v>
      </c>
      <c r="AB58" s="173">
        <f t="shared" si="20"/>
        <v>0</v>
      </c>
      <c r="AC58" s="34">
        <f t="shared" si="21"/>
        <v>0</v>
      </c>
      <c r="AD58" s="171"/>
      <c r="AF58" s="19"/>
    </row>
    <row r="59" spans="1:32" ht="25.5" customHeight="1" x14ac:dyDescent="0.45">
      <c r="B59" s="39" t="s">
        <v>107</v>
      </c>
      <c r="C59" s="33"/>
      <c r="D59" s="35">
        <f t="shared" ref="D59:I59" si="22">SUM(D46:D58)</f>
        <v>1642000</v>
      </c>
      <c r="E59" s="35">
        <f t="shared" si="22"/>
        <v>1601467.6666666667</v>
      </c>
      <c r="F59" s="35">
        <f t="shared" si="22"/>
        <v>92052.666666666672</v>
      </c>
      <c r="G59" s="35">
        <f t="shared" si="22"/>
        <v>0</v>
      </c>
      <c r="H59" s="35">
        <f t="shared" si="22"/>
        <v>948298.66666666674</v>
      </c>
      <c r="I59" s="35">
        <f t="shared" si="22"/>
        <v>948298.66666666674</v>
      </c>
      <c r="J59" s="170"/>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0"/>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0"/>
      <c r="AF59" s="19">
        <f>'N.Margin (Ind. Benchmark)'!E23</f>
        <v>0</v>
      </c>
    </row>
    <row r="61" spans="1:32" s="20" customFormat="1" ht="39.4" x14ac:dyDescent="0.45">
      <c r="B61" s="27" t="s">
        <v>9</v>
      </c>
      <c r="C61" s="3" t="s">
        <v>86</v>
      </c>
      <c r="D61" s="172" t="s">
        <v>373</v>
      </c>
      <c r="E61" s="172" t="s">
        <v>374</v>
      </c>
      <c r="F61" s="172" t="s">
        <v>375</v>
      </c>
      <c r="G61" s="172" t="s">
        <v>376</v>
      </c>
      <c r="H61" s="172" t="s">
        <v>377</v>
      </c>
      <c r="I61" s="172" t="s">
        <v>378</v>
      </c>
      <c r="J61" s="172" t="s">
        <v>379</v>
      </c>
      <c r="L61" s="175" t="str">
        <f>B61</f>
        <v>Facility (Overdraft)</v>
      </c>
      <c r="M61" s="176" t="str">
        <f t="shared" ref="M61:T61" si="25">C61</f>
        <v>Source</v>
      </c>
      <c r="N61" s="176" t="str">
        <f t="shared" si="25"/>
        <v>Limit (A)</v>
      </c>
      <c r="O61" s="176" t="str">
        <f t="shared" si="25"/>
        <v>Outstanding (A1)</v>
      </c>
      <c r="P61" s="176" t="str">
        <f t="shared" si="25"/>
        <v>Monthly Repayment (B)</v>
      </c>
      <c r="Q61" s="176" t="str">
        <f t="shared" si="25"/>
        <v>Interest Rate (C)</v>
      </c>
      <c r="R61" s="176" t="str">
        <f t="shared" si="25"/>
        <v>Factor (D)</v>
      </c>
      <c r="S61" s="176" t="str">
        <f t="shared" si="25"/>
        <v>Interest (E) = (A or A1) * (C) * (D)</v>
      </c>
      <c r="T61" s="176" t="str">
        <f t="shared" si="25"/>
        <v>Code Of Conduct</v>
      </c>
      <c r="V61" s="175" t="str">
        <f>L61</f>
        <v>Facility (Overdraft)</v>
      </c>
      <c r="W61" s="176" t="str">
        <f t="shared" ref="W61" si="26">M61</f>
        <v>Source</v>
      </c>
      <c r="X61" s="176" t="str">
        <f t="shared" ref="X61" si="27">N61</f>
        <v>Limit (A)</v>
      </c>
      <c r="Y61" s="176" t="str">
        <f t="shared" ref="Y61" si="28">O61</f>
        <v>Outstanding (A1)</v>
      </c>
      <c r="Z61" s="176" t="str">
        <f t="shared" ref="Z61" si="29">P61</f>
        <v>Monthly Repayment (B)</v>
      </c>
      <c r="AA61" s="176" t="str">
        <f t="shared" ref="AA61" si="30">Q61</f>
        <v>Interest Rate (C)</v>
      </c>
      <c r="AB61" s="176" t="str">
        <f t="shared" ref="AB61" si="31">R61</f>
        <v>Factor (D)</v>
      </c>
      <c r="AC61" s="176" t="str">
        <f t="shared" ref="AC61" si="32">S61</f>
        <v>Interest (E) = (A or A1) * (C) * (D)</v>
      </c>
      <c r="AD61" s="176" t="str">
        <f t="shared" ref="AD61" si="33">T61</f>
        <v>Code Of Conduct</v>
      </c>
    </row>
    <row r="62" spans="1:32" x14ac:dyDescent="0.45">
      <c r="A62" s="2" t="s">
        <v>938</v>
      </c>
      <c r="B62" s="11"/>
      <c r="C62" s="5" t="s">
        <v>312</v>
      </c>
      <c r="D62" s="97"/>
      <c r="E62" s="97"/>
      <c r="F62" s="177"/>
      <c r="G62" s="178">
        <v>0.08</v>
      </c>
      <c r="H62" s="169">
        <f>H$77</f>
        <v>0.75</v>
      </c>
      <c r="I62" s="75">
        <f>D62*G62*H62</f>
        <v>0</v>
      </c>
      <c r="J62" s="171"/>
      <c r="L62" s="11"/>
      <c r="M62" s="5" t="s">
        <v>309</v>
      </c>
      <c r="N62" s="11"/>
      <c r="O62" s="11"/>
      <c r="P62" s="29"/>
      <c r="Q62" s="22"/>
      <c r="R62" s="169">
        <f>R$77</f>
        <v>0.75</v>
      </c>
      <c r="S62" s="75">
        <f>N62*Q62*R62</f>
        <v>0</v>
      </c>
      <c r="T62" s="171"/>
      <c r="V62" s="41" t="s">
        <v>282</v>
      </c>
      <c r="W62" s="5" t="s">
        <v>380</v>
      </c>
      <c r="X62" s="40"/>
      <c r="Y62" s="40"/>
      <c r="Z62" s="29"/>
      <c r="AA62" s="22"/>
      <c r="AB62" s="169">
        <f>AB$77</f>
        <v>0.75</v>
      </c>
      <c r="AC62" s="75">
        <f>X62*AA62*AB62</f>
        <v>0</v>
      </c>
      <c r="AD62" s="171"/>
    </row>
    <row r="63" spans="1:32" x14ac:dyDescent="0.45">
      <c r="B63" s="11"/>
      <c r="C63" s="5" t="s">
        <v>312</v>
      </c>
      <c r="D63" s="11"/>
      <c r="E63" s="11"/>
      <c r="F63" s="29"/>
      <c r="G63" s="22"/>
      <c r="H63" s="169">
        <f t="shared" ref="H63:H76" si="34">H$77</f>
        <v>0.75</v>
      </c>
      <c r="I63" s="75">
        <f t="shared" ref="I63:I76" si="35">D63*G63*H63</f>
        <v>0</v>
      </c>
      <c r="J63" s="171"/>
      <c r="L63" s="11"/>
      <c r="M63" s="5" t="s">
        <v>312</v>
      </c>
      <c r="N63" s="11"/>
      <c r="O63" s="11"/>
      <c r="P63" s="29"/>
      <c r="Q63" s="22"/>
      <c r="R63" s="169">
        <f t="shared" ref="R63:R76" si="36">R$77</f>
        <v>0.75</v>
      </c>
      <c r="S63" s="75">
        <f t="shared" ref="S63:S76" si="37">N63*Q63*R63</f>
        <v>0</v>
      </c>
      <c r="T63" s="171"/>
      <c r="V63" s="41" t="s">
        <v>282</v>
      </c>
      <c r="W63" s="5" t="s">
        <v>380</v>
      </c>
      <c r="X63" s="41"/>
      <c r="Y63" s="41"/>
      <c r="Z63" s="29"/>
      <c r="AA63" s="22"/>
      <c r="AB63" s="169">
        <f t="shared" ref="AB63:AB76" si="38">AB$77</f>
        <v>0.75</v>
      </c>
      <c r="AC63" s="75">
        <f t="shared" ref="AC63:AC76" si="39">X63*AA63*AB63</f>
        <v>0</v>
      </c>
      <c r="AD63" s="171"/>
    </row>
    <row r="64" spans="1:32" x14ac:dyDescent="0.45">
      <c r="B64" s="11"/>
      <c r="C64" s="5" t="s">
        <v>312</v>
      </c>
      <c r="D64" s="11"/>
      <c r="E64" s="11"/>
      <c r="F64" s="29"/>
      <c r="G64" s="22"/>
      <c r="H64" s="169">
        <f t="shared" si="34"/>
        <v>0.75</v>
      </c>
      <c r="I64" s="75">
        <f t="shared" si="35"/>
        <v>0</v>
      </c>
      <c r="J64" s="171"/>
      <c r="L64" s="11"/>
      <c r="M64" s="5" t="s">
        <v>312</v>
      </c>
      <c r="N64" s="11"/>
      <c r="O64" s="11"/>
      <c r="P64" s="29"/>
      <c r="Q64" s="22"/>
      <c r="R64" s="169">
        <f t="shared" si="36"/>
        <v>0.75</v>
      </c>
      <c r="S64" s="75">
        <f t="shared" si="37"/>
        <v>0</v>
      </c>
      <c r="T64" s="171"/>
      <c r="V64" s="41" t="s">
        <v>282</v>
      </c>
      <c r="W64" s="5" t="s">
        <v>380</v>
      </c>
      <c r="X64" s="41"/>
      <c r="Y64" s="41"/>
      <c r="Z64" s="29"/>
      <c r="AA64" s="22"/>
      <c r="AB64" s="169">
        <f t="shared" si="38"/>
        <v>0.75</v>
      </c>
      <c r="AC64" s="75">
        <f t="shared" si="39"/>
        <v>0</v>
      </c>
      <c r="AD64" s="171"/>
    </row>
    <row r="65" spans="2:30" x14ac:dyDescent="0.45">
      <c r="B65" s="11"/>
      <c r="C65" s="5" t="s">
        <v>312</v>
      </c>
      <c r="D65" s="11"/>
      <c r="E65" s="11"/>
      <c r="F65" s="29"/>
      <c r="G65" s="22"/>
      <c r="H65" s="169">
        <f t="shared" si="34"/>
        <v>0.75</v>
      </c>
      <c r="I65" s="75">
        <f t="shared" si="35"/>
        <v>0</v>
      </c>
      <c r="J65" s="171"/>
      <c r="L65" s="11"/>
      <c r="M65" s="5" t="s">
        <v>312</v>
      </c>
      <c r="N65" s="11"/>
      <c r="O65" s="11"/>
      <c r="P65" s="29"/>
      <c r="Q65" s="22"/>
      <c r="R65" s="169">
        <f t="shared" si="36"/>
        <v>0.75</v>
      </c>
      <c r="S65" s="75">
        <f t="shared" si="37"/>
        <v>0</v>
      </c>
      <c r="T65" s="171"/>
      <c r="V65" s="41" t="s">
        <v>282</v>
      </c>
      <c r="W65" s="5" t="s">
        <v>380</v>
      </c>
      <c r="X65" s="41"/>
      <c r="Y65" s="41"/>
      <c r="Z65" s="29"/>
      <c r="AA65" s="22"/>
      <c r="AB65" s="169">
        <f t="shared" si="38"/>
        <v>0.75</v>
      </c>
      <c r="AC65" s="75">
        <f t="shared" si="39"/>
        <v>0</v>
      </c>
      <c r="AD65" s="171"/>
    </row>
    <row r="66" spans="2:30" x14ac:dyDescent="0.45">
      <c r="B66" s="11"/>
      <c r="C66" s="5" t="s">
        <v>312</v>
      </c>
      <c r="D66" s="11"/>
      <c r="E66" s="11"/>
      <c r="F66" s="29"/>
      <c r="G66" s="22"/>
      <c r="H66" s="169">
        <f t="shared" si="34"/>
        <v>0.75</v>
      </c>
      <c r="I66" s="75">
        <f t="shared" si="35"/>
        <v>0</v>
      </c>
      <c r="J66" s="171"/>
      <c r="L66" s="11"/>
      <c r="M66" s="5" t="s">
        <v>312</v>
      </c>
      <c r="N66" s="11"/>
      <c r="O66" s="11"/>
      <c r="P66" s="29"/>
      <c r="Q66" s="22"/>
      <c r="R66" s="169">
        <f t="shared" si="36"/>
        <v>0.75</v>
      </c>
      <c r="S66" s="75">
        <f t="shared" si="37"/>
        <v>0</v>
      </c>
      <c r="T66" s="171"/>
      <c r="V66" s="41" t="s">
        <v>282</v>
      </c>
      <c r="W66" s="5" t="s">
        <v>380</v>
      </c>
      <c r="X66" s="41"/>
      <c r="Y66" s="41"/>
      <c r="Z66" s="29"/>
      <c r="AA66" s="22"/>
      <c r="AB66" s="169">
        <f t="shared" si="38"/>
        <v>0.75</v>
      </c>
      <c r="AC66" s="75">
        <f t="shared" si="39"/>
        <v>0</v>
      </c>
      <c r="AD66" s="171"/>
    </row>
    <row r="67" spans="2:30" x14ac:dyDescent="0.45">
      <c r="B67" s="11"/>
      <c r="C67" s="5" t="s">
        <v>312</v>
      </c>
      <c r="D67" s="11"/>
      <c r="E67" s="11"/>
      <c r="F67" s="29"/>
      <c r="G67" s="22"/>
      <c r="H67" s="169">
        <f t="shared" si="34"/>
        <v>0.75</v>
      </c>
      <c r="I67" s="75">
        <f t="shared" si="35"/>
        <v>0</v>
      </c>
      <c r="J67" s="171"/>
      <c r="L67" s="11"/>
      <c r="M67" s="5" t="s">
        <v>312</v>
      </c>
      <c r="N67" s="11"/>
      <c r="O67" s="11"/>
      <c r="P67" s="29"/>
      <c r="Q67" s="22"/>
      <c r="R67" s="169">
        <f t="shared" si="36"/>
        <v>0.75</v>
      </c>
      <c r="S67" s="75">
        <f t="shared" si="37"/>
        <v>0</v>
      </c>
      <c r="T67" s="171"/>
      <c r="V67" s="41" t="s">
        <v>282</v>
      </c>
      <c r="W67" s="5" t="s">
        <v>380</v>
      </c>
      <c r="X67" s="41"/>
      <c r="Y67" s="41"/>
      <c r="Z67" s="29"/>
      <c r="AA67" s="22"/>
      <c r="AB67" s="169">
        <f t="shared" si="38"/>
        <v>0.75</v>
      </c>
      <c r="AC67" s="75">
        <f t="shared" si="39"/>
        <v>0</v>
      </c>
      <c r="AD67" s="171"/>
    </row>
    <row r="68" spans="2:30" hidden="1" outlineLevel="1" x14ac:dyDescent="0.45">
      <c r="B68" s="11"/>
      <c r="C68" s="5" t="s">
        <v>312</v>
      </c>
      <c r="D68" s="11"/>
      <c r="E68" s="11"/>
      <c r="F68" s="29"/>
      <c r="G68" s="22"/>
      <c r="H68" s="169">
        <f t="shared" si="34"/>
        <v>0.75</v>
      </c>
      <c r="I68" s="75">
        <f t="shared" si="35"/>
        <v>0</v>
      </c>
      <c r="J68" s="171"/>
      <c r="L68" s="11"/>
      <c r="M68" s="5" t="s">
        <v>312</v>
      </c>
      <c r="N68" s="11"/>
      <c r="O68" s="11"/>
      <c r="P68" s="29"/>
      <c r="Q68" s="22"/>
      <c r="R68" s="169">
        <f t="shared" si="36"/>
        <v>0.75</v>
      </c>
      <c r="S68" s="75">
        <f t="shared" si="37"/>
        <v>0</v>
      </c>
      <c r="T68" s="171"/>
      <c r="V68" s="41" t="s">
        <v>282</v>
      </c>
      <c r="W68" s="5" t="s">
        <v>380</v>
      </c>
      <c r="X68" s="41"/>
      <c r="Y68" s="41"/>
      <c r="Z68" s="29"/>
      <c r="AA68" s="22"/>
      <c r="AB68" s="169">
        <f t="shared" si="38"/>
        <v>0.75</v>
      </c>
      <c r="AC68" s="75">
        <f t="shared" si="39"/>
        <v>0</v>
      </c>
      <c r="AD68" s="171"/>
    </row>
    <row r="69" spans="2:30" hidden="1" outlineLevel="1" x14ac:dyDescent="0.45">
      <c r="B69" s="11"/>
      <c r="C69" s="5" t="s">
        <v>312</v>
      </c>
      <c r="D69" s="11"/>
      <c r="E69" s="11"/>
      <c r="F69" s="29"/>
      <c r="G69" s="22"/>
      <c r="H69" s="169">
        <f t="shared" si="34"/>
        <v>0.75</v>
      </c>
      <c r="I69" s="75">
        <f t="shared" si="35"/>
        <v>0</v>
      </c>
      <c r="J69" s="171"/>
      <c r="L69" s="11"/>
      <c r="M69" s="5" t="s">
        <v>312</v>
      </c>
      <c r="N69" s="11"/>
      <c r="O69" s="11"/>
      <c r="P69" s="29"/>
      <c r="Q69" s="22"/>
      <c r="R69" s="169">
        <f t="shared" si="36"/>
        <v>0.75</v>
      </c>
      <c r="S69" s="75">
        <f t="shared" si="37"/>
        <v>0</v>
      </c>
      <c r="T69" s="171"/>
      <c r="V69" s="41" t="s">
        <v>282</v>
      </c>
      <c r="W69" s="5" t="s">
        <v>380</v>
      </c>
      <c r="X69" s="41"/>
      <c r="Y69" s="41"/>
      <c r="Z69" s="29"/>
      <c r="AA69" s="22"/>
      <c r="AB69" s="169">
        <f t="shared" si="38"/>
        <v>0.75</v>
      </c>
      <c r="AC69" s="75">
        <f t="shared" si="39"/>
        <v>0</v>
      </c>
      <c r="AD69" s="171"/>
    </row>
    <row r="70" spans="2:30" hidden="1" outlineLevel="1" x14ac:dyDescent="0.45">
      <c r="B70" s="11"/>
      <c r="C70" s="5" t="s">
        <v>312</v>
      </c>
      <c r="D70" s="11"/>
      <c r="E70" s="11"/>
      <c r="F70" s="29"/>
      <c r="G70" s="22"/>
      <c r="H70" s="169">
        <f t="shared" si="34"/>
        <v>0.75</v>
      </c>
      <c r="I70" s="75">
        <f t="shared" si="35"/>
        <v>0</v>
      </c>
      <c r="J70" s="171"/>
      <c r="L70" s="11"/>
      <c r="M70" s="5" t="s">
        <v>312</v>
      </c>
      <c r="N70" s="11"/>
      <c r="O70" s="11"/>
      <c r="P70" s="29"/>
      <c r="Q70" s="22"/>
      <c r="R70" s="169">
        <f t="shared" si="36"/>
        <v>0.75</v>
      </c>
      <c r="S70" s="75">
        <f t="shared" si="37"/>
        <v>0</v>
      </c>
      <c r="T70" s="171"/>
      <c r="V70" s="41" t="s">
        <v>282</v>
      </c>
      <c r="W70" s="5" t="s">
        <v>380</v>
      </c>
      <c r="X70" s="41"/>
      <c r="Y70" s="41"/>
      <c r="Z70" s="29"/>
      <c r="AA70" s="22"/>
      <c r="AB70" s="169">
        <f t="shared" si="38"/>
        <v>0.75</v>
      </c>
      <c r="AC70" s="75">
        <f t="shared" si="39"/>
        <v>0</v>
      </c>
      <c r="AD70" s="171"/>
    </row>
    <row r="71" spans="2:30" hidden="1" outlineLevel="1" x14ac:dyDescent="0.45">
      <c r="B71" s="11"/>
      <c r="C71" s="5" t="s">
        <v>312</v>
      </c>
      <c r="D71" s="11"/>
      <c r="E71" s="11"/>
      <c r="F71" s="29"/>
      <c r="G71" s="22"/>
      <c r="H71" s="169">
        <f t="shared" si="34"/>
        <v>0.75</v>
      </c>
      <c r="I71" s="75">
        <f t="shared" si="35"/>
        <v>0</v>
      </c>
      <c r="J71" s="171"/>
      <c r="L71" s="11"/>
      <c r="M71" s="5" t="s">
        <v>312</v>
      </c>
      <c r="N71" s="11"/>
      <c r="O71" s="11"/>
      <c r="P71" s="29"/>
      <c r="Q71" s="22"/>
      <c r="R71" s="169">
        <f t="shared" si="36"/>
        <v>0.75</v>
      </c>
      <c r="S71" s="75">
        <f t="shared" si="37"/>
        <v>0</v>
      </c>
      <c r="T71" s="171"/>
      <c r="V71" s="41" t="s">
        <v>282</v>
      </c>
      <c r="W71" s="5" t="s">
        <v>380</v>
      </c>
      <c r="X71" s="41"/>
      <c r="Y71" s="41"/>
      <c r="Z71" s="29"/>
      <c r="AA71" s="22"/>
      <c r="AB71" s="169">
        <f t="shared" si="38"/>
        <v>0.75</v>
      </c>
      <c r="AC71" s="75">
        <f t="shared" si="39"/>
        <v>0</v>
      </c>
      <c r="AD71" s="171"/>
    </row>
    <row r="72" spans="2:30" hidden="1" outlineLevel="1" x14ac:dyDescent="0.45">
      <c r="B72" s="11"/>
      <c r="C72" s="5" t="s">
        <v>312</v>
      </c>
      <c r="D72" s="11"/>
      <c r="E72" s="11"/>
      <c r="F72" s="29"/>
      <c r="G72" s="22"/>
      <c r="H72" s="169">
        <f t="shared" si="34"/>
        <v>0.75</v>
      </c>
      <c r="I72" s="75">
        <f t="shared" si="35"/>
        <v>0</v>
      </c>
      <c r="J72" s="171"/>
      <c r="L72" s="11"/>
      <c r="M72" s="5" t="s">
        <v>312</v>
      </c>
      <c r="N72" s="11"/>
      <c r="O72" s="11"/>
      <c r="P72" s="29"/>
      <c r="Q72" s="22"/>
      <c r="R72" s="169">
        <f t="shared" si="36"/>
        <v>0.75</v>
      </c>
      <c r="S72" s="75">
        <f t="shared" si="37"/>
        <v>0</v>
      </c>
      <c r="T72" s="171"/>
      <c r="V72" s="41" t="s">
        <v>282</v>
      </c>
      <c r="W72" s="5" t="s">
        <v>380</v>
      </c>
      <c r="X72" s="41"/>
      <c r="Y72" s="41"/>
      <c r="Z72" s="29"/>
      <c r="AA72" s="22"/>
      <c r="AB72" s="169">
        <f t="shared" si="38"/>
        <v>0.75</v>
      </c>
      <c r="AC72" s="75">
        <f t="shared" si="39"/>
        <v>0</v>
      </c>
      <c r="AD72" s="171"/>
    </row>
    <row r="73" spans="2:30" hidden="1" outlineLevel="1" x14ac:dyDescent="0.45">
      <c r="B73" s="11"/>
      <c r="C73" s="5" t="s">
        <v>312</v>
      </c>
      <c r="D73" s="11"/>
      <c r="E73" s="11"/>
      <c r="F73" s="29"/>
      <c r="G73" s="22"/>
      <c r="H73" s="169">
        <f t="shared" si="34"/>
        <v>0.75</v>
      </c>
      <c r="I73" s="75">
        <f t="shared" si="35"/>
        <v>0</v>
      </c>
      <c r="J73" s="171"/>
      <c r="L73" s="11"/>
      <c r="M73" s="5" t="s">
        <v>312</v>
      </c>
      <c r="N73" s="11"/>
      <c r="O73" s="11"/>
      <c r="P73" s="29"/>
      <c r="Q73" s="22"/>
      <c r="R73" s="169">
        <f t="shared" si="36"/>
        <v>0.75</v>
      </c>
      <c r="S73" s="75">
        <f t="shared" si="37"/>
        <v>0</v>
      </c>
      <c r="T73" s="171"/>
      <c r="V73" s="41" t="s">
        <v>282</v>
      </c>
      <c r="W73" s="5" t="s">
        <v>380</v>
      </c>
      <c r="X73" s="41"/>
      <c r="Y73" s="41"/>
      <c r="Z73" s="29"/>
      <c r="AA73" s="22"/>
      <c r="AB73" s="169">
        <f t="shared" si="38"/>
        <v>0.75</v>
      </c>
      <c r="AC73" s="75">
        <f t="shared" si="39"/>
        <v>0</v>
      </c>
      <c r="AD73" s="171"/>
    </row>
    <row r="74" spans="2:30" hidden="1" outlineLevel="1" x14ac:dyDescent="0.45">
      <c r="B74" s="11"/>
      <c r="C74" s="5" t="s">
        <v>312</v>
      </c>
      <c r="D74" s="11"/>
      <c r="E74" s="11"/>
      <c r="F74" s="29"/>
      <c r="G74" s="22"/>
      <c r="H74" s="169">
        <f t="shared" si="34"/>
        <v>0.75</v>
      </c>
      <c r="I74" s="75">
        <f t="shared" si="35"/>
        <v>0</v>
      </c>
      <c r="J74" s="171"/>
      <c r="L74" s="11"/>
      <c r="M74" s="5" t="s">
        <v>312</v>
      </c>
      <c r="N74" s="11"/>
      <c r="O74" s="11"/>
      <c r="P74" s="29"/>
      <c r="Q74" s="22"/>
      <c r="R74" s="169">
        <f t="shared" si="36"/>
        <v>0.75</v>
      </c>
      <c r="S74" s="75">
        <f t="shared" si="37"/>
        <v>0</v>
      </c>
      <c r="T74" s="171"/>
      <c r="V74" s="41" t="s">
        <v>282</v>
      </c>
      <c r="W74" s="5" t="s">
        <v>380</v>
      </c>
      <c r="X74" s="41"/>
      <c r="Y74" s="41"/>
      <c r="Z74" s="29"/>
      <c r="AA74" s="22"/>
      <c r="AB74" s="169">
        <f t="shared" si="38"/>
        <v>0.75</v>
      </c>
      <c r="AC74" s="75">
        <f t="shared" si="39"/>
        <v>0</v>
      </c>
      <c r="AD74" s="171"/>
    </row>
    <row r="75" spans="2:30" hidden="1" outlineLevel="1" x14ac:dyDescent="0.45">
      <c r="B75" s="11"/>
      <c r="C75" s="5" t="s">
        <v>312</v>
      </c>
      <c r="D75" s="11"/>
      <c r="E75" s="11"/>
      <c r="F75" s="29"/>
      <c r="G75" s="22"/>
      <c r="H75" s="169">
        <f t="shared" si="34"/>
        <v>0.75</v>
      </c>
      <c r="I75" s="75">
        <f t="shared" si="35"/>
        <v>0</v>
      </c>
      <c r="J75" s="171"/>
      <c r="L75" s="11"/>
      <c r="M75" s="5" t="s">
        <v>312</v>
      </c>
      <c r="N75" s="11"/>
      <c r="O75" s="11"/>
      <c r="P75" s="29"/>
      <c r="Q75" s="22"/>
      <c r="R75" s="169">
        <f t="shared" si="36"/>
        <v>0.75</v>
      </c>
      <c r="S75" s="75">
        <f t="shared" si="37"/>
        <v>0</v>
      </c>
      <c r="T75" s="171"/>
      <c r="V75" s="41" t="s">
        <v>282</v>
      </c>
      <c r="W75" s="5" t="s">
        <v>380</v>
      </c>
      <c r="X75" s="41"/>
      <c r="Y75" s="41"/>
      <c r="Z75" s="29"/>
      <c r="AA75" s="22"/>
      <c r="AB75" s="169">
        <f t="shared" si="38"/>
        <v>0.75</v>
      </c>
      <c r="AC75" s="75">
        <f t="shared" si="39"/>
        <v>0</v>
      </c>
      <c r="AD75" s="171"/>
    </row>
    <row r="76" spans="2:30" hidden="1" outlineLevel="1" x14ac:dyDescent="0.45">
      <c r="B76" s="11"/>
      <c r="C76" s="5" t="s">
        <v>312</v>
      </c>
      <c r="D76" s="11"/>
      <c r="E76" s="11"/>
      <c r="F76" s="29"/>
      <c r="G76" s="22"/>
      <c r="H76" s="169">
        <f t="shared" si="34"/>
        <v>0.75</v>
      </c>
      <c r="I76" s="75">
        <f t="shared" si="35"/>
        <v>0</v>
      </c>
      <c r="J76" s="171"/>
      <c r="L76" s="11"/>
      <c r="M76" s="5" t="s">
        <v>312</v>
      </c>
      <c r="N76" s="11"/>
      <c r="O76" s="11"/>
      <c r="P76" s="29"/>
      <c r="Q76" s="22"/>
      <c r="R76" s="169">
        <f t="shared" si="36"/>
        <v>0.75</v>
      </c>
      <c r="S76" s="75">
        <f t="shared" si="37"/>
        <v>0</v>
      </c>
      <c r="T76" s="171"/>
      <c r="V76" s="41" t="s">
        <v>282</v>
      </c>
      <c r="W76" s="5" t="s">
        <v>380</v>
      </c>
      <c r="X76" s="41"/>
      <c r="Y76" s="41"/>
      <c r="Z76" s="29"/>
      <c r="AA76" s="22"/>
      <c r="AB76" s="169">
        <f t="shared" si="38"/>
        <v>0.75</v>
      </c>
      <c r="AC76" s="75">
        <f t="shared" si="39"/>
        <v>0</v>
      </c>
      <c r="AD76" s="171"/>
    </row>
    <row r="77" spans="2:30" s="24" customFormat="1" collapsed="1" x14ac:dyDescent="0.45">
      <c r="B77" s="8" t="str">
        <f>"Total "&amp;B61</f>
        <v>Total Facility (Overdraft)</v>
      </c>
      <c r="C77" s="25"/>
      <c r="D77" s="28">
        <f>SUM(D62:D76)</f>
        <v>0</v>
      </c>
      <c r="E77" s="28">
        <f>SUM(E62:E76)</f>
        <v>0</v>
      </c>
      <c r="F77" s="30"/>
      <c r="G77" s="25"/>
      <c r="H77" s="168">
        <v>0.75</v>
      </c>
      <c r="I77" s="28">
        <f>SUM(I62:I76)</f>
        <v>0</v>
      </c>
      <c r="J77" s="170"/>
      <c r="L77" s="8" t="str">
        <f>"Total "&amp;L61</f>
        <v>Total Facility (Overdraft)</v>
      </c>
      <c r="M77" s="25"/>
      <c r="N77" s="28">
        <f>SUM(N62:N76)</f>
        <v>0</v>
      </c>
      <c r="O77" s="28">
        <f>SUM(O62:O76)</f>
        <v>0</v>
      </c>
      <c r="P77" s="30"/>
      <c r="Q77" s="25"/>
      <c r="R77" s="168">
        <v>0.75</v>
      </c>
      <c r="S77" s="28">
        <f>SUM(S62:S76)</f>
        <v>0</v>
      </c>
      <c r="T77" s="170"/>
      <c r="V77" s="8" t="str">
        <f>"Total "&amp;V61</f>
        <v>Total Facility (Overdraft)</v>
      </c>
      <c r="W77" s="25"/>
      <c r="X77" s="28">
        <f>SUM(X62:X76)</f>
        <v>0</v>
      </c>
      <c r="Y77" s="28">
        <f>SUM(Y62:Y76)</f>
        <v>0</v>
      </c>
      <c r="Z77" s="30"/>
      <c r="AA77" s="25"/>
      <c r="AB77" s="168">
        <v>0.75</v>
      </c>
      <c r="AC77" s="28">
        <f>SUM(AC62:AC76)</f>
        <v>0</v>
      </c>
      <c r="AD77" s="170"/>
    </row>
    <row r="79" spans="2:30" s="20" customFormat="1" ht="39.4" x14ac:dyDescent="0.45">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5" t="str">
        <f>B79</f>
        <v>Facility (Overdraft - Temporary)</v>
      </c>
      <c r="M79" s="176" t="str">
        <f t="shared" ref="M79" si="41">C79</f>
        <v>Source</v>
      </c>
      <c r="N79" s="176" t="str">
        <f t="shared" ref="N79" si="42">D79</f>
        <v>Limit (A)</v>
      </c>
      <c r="O79" s="176" t="str">
        <f t="shared" ref="O79" si="43">E79</f>
        <v>Outstanding (A1)</v>
      </c>
      <c r="P79" s="176" t="str">
        <f t="shared" ref="P79" si="44">F79</f>
        <v>Monthly Repayment (B)</v>
      </c>
      <c r="Q79" s="176" t="str">
        <f t="shared" ref="Q79" si="45">G79</f>
        <v>Interest Rate (C)</v>
      </c>
      <c r="R79" s="176" t="str">
        <f t="shared" ref="R79" si="46">H79</f>
        <v>Factor (D)</v>
      </c>
      <c r="S79" s="176" t="str">
        <f t="shared" ref="S79" si="47">I79</f>
        <v>Interest (E) = (A or A1) * (C) * (D)</v>
      </c>
      <c r="T79" s="176" t="str">
        <f t="shared" ref="T79" si="48">J79</f>
        <v>Code Of Conduct</v>
      </c>
      <c r="V79" s="175" t="str">
        <f>L79</f>
        <v>Facility (Overdraft - Temporary)</v>
      </c>
      <c r="W79" s="176" t="str">
        <f t="shared" ref="W79" si="49">M79</f>
        <v>Source</v>
      </c>
      <c r="X79" s="176" t="str">
        <f t="shared" ref="X79" si="50">N79</f>
        <v>Limit (A)</v>
      </c>
      <c r="Y79" s="176" t="str">
        <f t="shared" ref="Y79" si="51">O79</f>
        <v>Outstanding (A1)</v>
      </c>
      <c r="Z79" s="176" t="str">
        <f t="shared" ref="Z79" si="52">P79</f>
        <v>Monthly Repayment (B)</v>
      </c>
      <c r="AA79" s="176" t="str">
        <f t="shared" ref="AA79" si="53">Q79</f>
        <v>Interest Rate (C)</v>
      </c>
      <c r="AB79" s="176" t="str">
        <f t="shared" ref="AB79" si="54">R79</f>
        <v>Factor (D)</v>
      </c>
      <c r="AC79" s="176" t="str">
        <f t="shared" ref="AC79" si="55">S79</f>
        <v>Interest (E) = (A or A1) * (C) * (D)</v>
      </c>
      <c r="AD79" s="176" t="str">
        <f t="shared" ref="AD79" si="56">T79</f>
        <v>Code Of Conduct</v>
      </c>
    </row>
    <row r="80" spans="2:30" x14ac:dyDescent="0.45">
      <c r="B80" s="11"/>
      <c r="C80" s="5" t="s">
        <v>312</v>
      </c>
      <c r="D80" s="11"/>
      <c r="E80" s="11"/>
      <c r="F80" s="29"/>
      <c r="G80" s="22"/>
      <c r="H80" s="169">
        <f>H$95</f>
        <v>1</v>
      </c>
      <c r="I80" s="75">
        <f>D80*G80*H80</f>
        <v>0</v>
      </c>
      <c r="J80" s="171"/>
      <c r="L80" s="11"/>
      <c r="M80" s="5" t="s">
        <v>309</v>
      </c>
      <c r="N80" s="11"/>
      <c r="O80" s="11"/>
      <c r="P80" s="29"/>
      <c r="Q80" s="22"/>
      <c r="R80" s="169">
        <f>R$95</f>
        <v>1</v>
      </c>
      <c r="S80" s="75">
        <f>N80*Q80*R80</f>
        <v>0</v>
      </c>
      <c r="T80" s="171"/>
      <c r="V80" s="41" t="s">
        <v>282</v>
      </c>
      <c r="W80" s="5" t="s">
        <v>380</v>
      </c>
      <c r="X80" s="41"/>
      <c r="Y80" s="41"/>
      <c r="Z80" s="29"/>
      <c r="AA80" s="22"/>
      <c r="AB80" s="169">
        <f>AB$95</f>
        <v>1</v>
      </c>
      <c r="AC80" s="75">
        <f>X80*AA80*AB80</f>
        <v>0</v>
      </c>
      <c r="AD80" s="171"/>
    </row>
    <row r="81" spans="2:30" x14ac:dyDescent="0.45">
      <c r="B81" s="11"/>
      <c r="C81" s="5" t="s">
        <v>312</v>
      </c>
      <c r="D81" s="11"/>
      <c r="E81" s="11"/>
      <c r="F81" s="29"/>
      <c r="G81" s="22"/>
      <c r="H81" s="169">
        <f t="shared" ref="H81:H94" si="57">H$95</f>
        <v>1</v>
      </c>
      <c r="I81" s="75">
        <f t="shared" ref="I81:I94" si="58">D81*G81*H81</f>
        <v>0</v>
      </c>
      <c r="J81" s="171"/>
      <c r="L81" s="11"/>
      <c r="M81" s="5" t="s">
        <v>312</v>
      </c>
      <c r="N81" s="11"/>
      <c r="O81" s="11"/>
      <c r="P81" s="29"/>
      <c r="Q81" s="22"/>
      <c r="R81" s="169">
        <f t="shared" ref="R81:R94" si="59">R$95</f>
        <v>1</v>
      </c>
      <c r="S81" s="75">
        <f t="shared" ref="S81:S94" si="60">N81*Q81*R81</f>
        <v>0</v>
      </c>
      <c r="T81" s="171"/>
      <c r="V81" s="41" t="s">
        <v>282</v>
      </c>
      <c r="W81" s="5" t="s">
        <v>380</v>
      </c>
      <c r="X81" s="41"/>
      <c r="Y81" s="41"/>
      <c r="Z81" s="29"/>
      <c r="AA81" s="22"/>
      <c r="AB81" s="169">
        <f t="shared" ref="AB81:AB94" si="61">AB$95</f>
        <v>1</v>
      </c>
      <c r="AC81" s="75">
        <f t="shared" ref="AC81:AC94" si="62">X81*AA81*AB81</f>
        <v>0</v>
      </c>
      <c r="AD81" s="171"/>
    </row>
    <row r="82" spans="2:30" x14ac:dyDescent="0.45">
      <c r="B82" s="11"/>
      <c r="C82" s="5" t="s">
        <v>312</v>
      </c>
      <c r="D82" s="11"/>
      <c r="E82" s="11"/>
      <c r="F82" s="29"/>
      <c r="G82" s="22"/>
      <c r="H82" s="169">
        <f t="shared" si="57"/>
        <v>1</v>
      </c>
      <c r="I82" s="75">
        <f t="shared" si="58"/>
        <v>0</v>
      </c>
      <c r="J82" s="171"/>
      <c r="L82" s="11"/>
      <c r="M82" s="5" t="s">
        <v>312</v>
      </c>
      <c r="N82" s="11"/>
      <c r="O82" s="11"/>
      <c r="P82" s="29"/>
      <c r="Q82" s="22"/>
      <c r="R82" s="169">
        <f t="shared" si="59"/>
        <v>1</v>
      </c>
      <c r="S82" s="75">
        <f t="shared" si="60"/>
        <v>0</v>
      </c>
      <c r="T82" s="171"/>
      <c r="V82" s="41" t="s">
        <v>282</v>
      </c>
      <c r="W82" s="5" t="s">
        <v>380</v>
      </c>
      <c r="X82" s="41"/>
      <c r="Y82" s="41"/>
      <c r="Z82" s="29"/>
      <c r="AA82" s="22"/>
      <c r="AB82" s="169">
        <f t="shared" si="61"/>
        <v>1</v>
      </c>
      <c r="AC82" s="75">
        <f t="shared" si="62"/>
        <v>0</v>
      </c>
      <c r="AD82" s="171"/>
    </row>
    <row r="83" spans="2:30" x14ac:dyDescent="0.45">
      <c r="B83" s="11"/>
      <c r="C83" s="5" t="s">
        <v>312</v>
      </c>
      <c r="D83" s="11"/>
      <c r="E83" s="11"/>
      <c r="F83" s="29"/>
      <c r="G83" s="22"/>
      <c r="H83" s="169">
        <f t="shared" si="57"/>
        <v>1</v>
      </c>
      <c r="I83" s="75">
        <f t="shared" si="58"/>
        <v>0</v>
      </c>
      <c r="J83" s="171"/>
      <c r="L83" s="11"/>
      <c r="M83" s="5" t="s">
        <v>312</v>
      </c>
      <c r="N83" s="11"/>
      <c r="O83" s="11"/>
      <c r="P83" s="29"/>
      <c r="Q83" s="22"/>
      <c r="R83" s="169">
        <f t="shared" si="59"/>
        <v>1</v>
      </c>
      <c r="S83" s="75">
        <f t="shared" si="60"/>
        <v>0</v>
      </c>
      <c r="T83" s="171"/>
      <c r="V83" s="41" t="s">
        <v>282</v>
      </c>
      <c r="W83" s="5" t="s">
        <v>380</v>
      </c>
      <c r="X83" s="41"/>
      <c r="Y83" s="41"/>
      <c r="Z83" s="29"/>
      <c r="AA83" s="22"/>
      <c r="AB83" s="169">
        <f t="shared" si="61"/>
        <v>1</v>
      </c>
      <c r="AC83" s="75">
        <f t="shared" si="62"/>
        <v>0</v>
      </c>
      <c r="AD83" s="171"/>
    </row>
    <row r="84" spans="2:30" x14ac:dyDescent="0.45">
      <c r="B84" s="11"/>
      <c r="C84" s="5" t="s">
        <v>312</v>
      </c>
      <c r="D84" s="11"/>
      <c r="E84" s="11"/>
      <c r="F84" s="29"/>
      <c r="G84" s="22"/>
      <c r="H84" s="169">
        <f t="shared" si="57"/>
        <v>1</v>
      </c>
      <c r="I84" s="75">
        <f t="shared" si="58"/>
        <v>0</v>
      </c>
      <c r="J84" s="171"/>
      <c r="L84" s="11"/>
      <c r="M84" s="5" t="s">
        <v>312</v>
      </c>
      <c r="N84" s="11"/>
      <c r="O84" s="11"/>
      <c r="P84" s="29"/>
      <c r="Q84" s="22"/>
      <c r="R84" s="169">
        <f t="shared" si="59"/>
        <v>1</v>
      </c>
      <c r="S84" s="75">
        <f t="shared" si="60"/>
        <v>0</v>
      </c>
      <c r="T84" s="171"/>
      <c r="V84" s="41" t="s">
        <v>282</v>
      </c>
      <c r="W84" s="5" t="s">
        <v>380</v>
      </c>
      <c r="X84" s="41"/>
      <c r="Y84" s="41"/>
      <c r="Z84" s="29"/>
      <c r="AA84" s="22"/>
      <c r="AB84" s="169">
        <f t="shared" si="61"/>
        <v>1</v>
      </c>
      <c r="AC84" s="75">
        <f t="shared" si="62"/>
        <v>0</v>
      </c>
      <c r="AD84" s="171"/>
    </row>
    <row r="85" spans="2:30" x14ac:dyDescent="0.45">
      <c r="B85" s="11"/>
      <c r="C85" s="5" t="s">
        <v>312</v>
      </c>
      <c r="D85" s="11"/>
      <c r="E85" s="11"/>
      <c r="F85" s="29"/>
      <c r="G85" s="22"/>
      <c r="H85" s="169">
        <f t="shared" si="57"/>
        <v>1</v>
      </c>
      <c r="I85" s="75">
        <f t="shared" si="58"/>
        <v>0</v>
      </c>
      <c r="J85" s="171"/>
      <c r="L85" s="11"/>
      <c r="M85" s="5" t="s">
        <v>312</v>
      </c>
      <c r="N85" s="11"/>
      <c r="O85" s="11"/>
      <c r="P85" s="29"/>
      <c r="Q85" s="22"/>
      <c r="R85" s="169">
        <f t="shared" si="59"/>
        <v>1</v>
      </c>
      <c r="S85" s="75">
        <f t="shared" si="60"/>
        <v>0</v>
      </c>
      <c r="T85" s="171"/>
      <c r="V85" s="41" t="s">
        <v>282</v>
      </c>
      <c r="W85" s="5" t="s">
        <v>380</v>
      </c>
      <c r="X85" s="41"/>
      <c r="Y85" s="41"/>
      <c r="Z85" s="29"/>
      <c r="AA85" s="22"/>
      <c r="AB85" s="169">
        <f t="shared" si="61"/>
        <v>1</v>
      </c>
      <c r="AC85" s="75">
        <f t="shared" si="62"/>
        <v>0</v>
      </c>
      <c r="AD85" s="171"/>
    </row>
    <row r="86" spans="2:30" hidden="1" outlineLevel="1" x14ac:dyDescent="0.45">
      <c r="B86" s="11"/>
      <c r="C86" s="5" t="s">
        <v>312</v>
      </c>
      <c r="D86" s="11"/>
      <c r="E86" s="11"/>
      <c r="F86" s="29"/>
      <c r="G86" s="22"/>
      <c r="H86" s="169">
        <f t="shared" si="57"/>
        <v>1</v>
      </c>
      <c r="I86" s="75">
        <f t="shared" si="58"/>
        <v>0</v>
      </c>
      <c r="J86" s="171"/>
      <c r="L86" s="11"/>
      <c r="M86" s="5" t="s">
        <v>312</v>
      </c>
      <c r="N86" s="11"/>
      <c r="O86" s="11"/>
      <c r="P86" s="29"/>
      <c r="Q86" s="22"/>
      <c r="R86" s="169">
        <f t="shared" si="59"/>
        <v>1</v>
      </c>
      <c r="S86" s="75">
        <f t="shared" si="60"/>
        <v>0</v>
      </c>
      <c r="T86" s="171"/>
      <c r="V86" s="41" t="s">
        <v>282</v>
      </c>
      <c r="W86" s="5" t="s">
        <v>380</v>
      </c>
      <c r="X86" s="41"/>
      <c r="Y86" s="41"/>
      <c r="Z86" s="29"/>
      <c r="AA86" s="22"/>
      <c r="AB86" s="169">
        <f t="shared" si="61"/>
        <v>1</v>
      </c>
      <c r="AC86" s="75">
        <f t="shared" si="62"/>
        <v>0</v>
      </c>
      <c r="AD86" s="171"/>
    </row>
    <row r="87" spans="2:30" hidden="1" outlineLevel="1" x14ac:dyDescent="0.45">
      <c r="B87" s="11"/>
      <c r="C87" s="5" t="s">
        <v>312</v>
      </c>
      <c r="D87" s="11"/>
      <c r="E87" s="11"/>
      <c r="F87" s="29"/>
      <c r="G87" s="22"/>
      <c r="H87" s="169">
        <f t="shared" si="57"/>
        <v>1</v>
      </c>
      <c r="I87" s="75">
        <f t="shared" si="58"/>
        <v>0</v>
      </c>
      <c r="J87" s="171"/>
      <c r="L87" s="11"/>
      <c r="M87" s="5" t="s">
        <v>312</v>
      </c>
      <c r="N87" s="11"/>
      <c r="O87" s="11"/>
      <c r="P87" s="29"/>
      <c r="Q87" s="22"/>
      <c r="R87" s="169">
        <f t="shared" si="59"/>
        <v>1</v>
      </c>
      <c r="S87" s="75">
        <f t="shared" si="60"/>
        <v>0</v>
      </c>
      <c r="T87" s="171"/>
      <c r="V87" s="41" t="s">
        <v>282</v>
      </c>
      <c r="W87" s="5" t="s">
        <v>380</v>
      </c>
      <c r="X87" s="41"/>
      <c r="Y87" s="41"/>
      <c r="Z87" s="29"/>
      <c r="AA87" s="22"/>
      <c r="AB87" s="169">
        <f t="shared" si="61"/>
        <v>1</v>
      </c>
      <c r="AC87" s="75">
        <f t="shared" si="62"/>
        <v>0</v>
      </c>
      <c r="AD87" s="171"/>
    </row>
    <row r="88" spans="2:30" hidden="1" outlineLevel="1" x14ac:dyDescent="0.45">
      <c r="B88" s="11"/>
      <c r="C88" s="5" t="s">
        <v>312</v>
      </c>
      <c r="D88" s="11"/>
      <c r="E88" s="11"/>
      <c r="F88" s="29"/>
      <c r="G88" s="22"/>
      <c r="H88" s="169">
        <f t="shared" si="57"/>
        <v>1</v>
      </c>
      <c r="I88" s="75">
        <f t="shared" si="58"/>
        <v>0</v>
      </c>
      <c r="J88" s="171"/>
      <c r="L88" s="11"/>
      <c r="M88" s="5" t="s">
        <v>312</v>
      </c>
      <c r="N88" s="11"/>
      <c r="O88" s="11"/>
      <c r="P88" s="29"/>
      <c r="Q88" s="22"/>
      <c r="R88" s="169">
        <f t="shared" si="59"/>
        <v>1</v>
      </c>
      <c r="S88" s="75">
        <f t="shared" si="60"/>
        <v>0</v>
      </c>
      <c r="T88" s="171"/>
      <c r="V88" s="41" t="s">
        <v>282</v>
      </c>
      <c r="W88" s="5" t="s">
        <v>380</v>
      </c>
      <c r="X88" s="41"/>
      <c r="Y88" s="41"/>
      <c r="Z88" s="29"/>
      <c r="AA88" s="22"/>
      <c r="AB88" s="169">
        <f t="shared" si="61"/>
        <v>1</v>
      </c>
      <c r="AC88" s="75">
        <f t="shared" si="62"/>
        <v>0</v>
      </c>
      <c r="AD88" s="171"/>
    </row>
    <row r="89" spans="2:30" hidden="1" outlineLevel="1" x14ac:dyDescent="0.45">
      <c r="B89" s="11"/>
      <c r="C89" s="5" t="s">
        <v>312</v>
      </c>
      <c r="D89" s="11"/>
      <c r="E89" s="11"/>
      <c r="F89" s="29"/>
      <c r="G89" s="22"/>
      <c r="H89" s="169">
        <f t="shared" si="57"/>
        <v>1</v>
      </c>
      <c r="I89" s="75">
        <f t="shared" si="58"/>
        <v>0</v>
      </c>
      <c r="J89" s="171"/>
      <c r="L89" s="11"/>
      <c r="M89" s="5" t="s">
        <v>312</v>
      </c>
      <c r="N89" s="11"/>
      <c r="O89" s="11"/>
      <c r="P89" s="29"/>
      <c r="Q89" s="22"/>
      <c r="R89" s="169">
        <f t="shared" si="59"/>
        <v>1</v>
      </c>
      <c r="S89" s="75">
        <f t="shared" si="60"/>
        <v>0</v>
      </c>
      <c r="T89" s="171"/>
      <c r="V89" s="41" t="s">
        <v>282</v>
      </c>
      <c r="W89" s="5" t="s">
        <v>380</v>
      </c>
      <c r="X89" s="41"/>
      <c r="Y89" s="41"/>
      <c r="Z89" s="29"/>
      <c r="AA89" s="22"/>
      <c r="AB89" s="169">
        <f t="shared" si="61"/>
        <v>1</v>
      </c>
      <c r="AC89" s="75">
        <f t="shared" si="62"/>
        <v>0</v>
      </c>
      <c r="AD89" s="171"/>
    </row>
    <row r="90" spans="2:30" hidden="1" outlineLevel="1" x14ac:dyDescent="0.45">
      <c r="B90" s="11"/>
      <c r="C90" s="5" t="s">
        <v>312</v>
      </c>
      <c r="D90" s="11"/>
      <c r="E90" s="11"/>
      <c r="F90" s="29"/>
      <c r="G90" s="22"/>
      <c r="H90" s="169">
        <f t="shared" si="57"/>
        <v>1</v>
      </c>
      <c r="I90" s="75">
        <f t="shared" si="58"/>
        <v>0</v>
      </c>
      <c r="J90" s="171"/>
      <c r="L90" s="11"/>
      <c r="M90" s="5" t="s">
        <v>312</v>
      </c>
      <c r="N90" s="11"/>
      <c r="O90" s="11"/>
      <c r="P90" s="29"/>
      <c r="Q90" s="22"/>
      <c r="R90" s="169">
        <f t="shared" si="59"/>
        <v>1</v>
      </c>
      <c r="S90" s="75">
        <f t="shared" si="60"/>
        <v>0</v>
      </c>
      <c r="T90" s="171"/>
      <c r="V90" s="41" t="s">
        <v>282</v>
      </c>
      <c r="W90" s="5" t="s">
        <v>380</v>
      </c>
      <c r="X90" s="41"/>
      <c r="Y90" s="41"/>
      <c r="Z90" s="29"/>
      <c r="AA90" s="22"/>
      <c r="AB90" s="169">
        <f t="shared" si="61"/>
        <v>1</v>
      </c>
      <c r="AC90" s="75">
        <f t="shared" si="62"/>
        <v>0</v>
      </c>
      <c r="AD90" s="171"/>
    </row>
    <row r="91" spans="2:30" hidden="1" outlineLevel="1" x14ac:dyDescent="0.45">
      <c r="B91" s="11"/>
      <c r="C91" s="5" t="s">
        <v>312</v>
      </c>
      <c r="D91" s="11"/>
      <c r="E91" s="11"/>
      <c r="F91" s="29"/>
      <c r="G91" s="22"/>
      <c r="H91" s="169">
        <f t="shared" si="57"/>
        <v>1</v>
      </c>
      <c r="I91" s="75">
        <f t="shared" si="58"/>
        <v>0</v>
      </c>
      <c r="J91" s="171"/>
      <c r="L91" s="11"/>
      <c r="M91" s="5" t="s">
        <v>312</v>
      </c>
      <c r="N91" s="11"/>
      <c r="O91" s="11"/>
      <c r="P91" s="29"/>
      <c r="Q91" s="22"/>
      <c r="R91" s="169">
        <f t="shared" si="59"/>
        <v>1</v>
      </c>
      <c r="S91" s="75">
        <f t="shared" si="60"/>
        <v>0</v>
      </c>
      <c r="T91" s="171"/>
      <c r="V91" s="41" t="s">
        <v>282</v>
      </c>
      <c r="W91" s="5" t="s">
        <v>380</v>
      </c>
      <c r="X91" s="41"/>
      <c r="Y91" s="41"/>
      <c r="Z91" s="29"/>
      <c r="AA91" s="22"/>
      <c r="AB91" s="169">
        <f t="shared" si="61"/>
        <v>1</v>
      </c>
      <c r="AC91" s="75">
        <f t="shared" si="62"/>
        <v>0</v>
      </c>
      <c r="AD91" s="171"/>
    </row>
    <row r="92" spans="2:30" hidden="1" outlineLevel="1" x14ac:dyDescent="0.45">
      <c r="B92" s="11"/>
      <c r="C92" s="5" t="s">
        <v>312</v>
      </c>
      <c r="D92" s="11"/>
      <c r="E92" s="11"/>
      <c r="F92" s="29"/>
      <c r="G92" s="22"/>
      <c r="H92" s="169">
        <f t="shared" si="57"/>
        <v>1</v>
      </c>
      <c r="I92" s="75">
        <f t="shared" si="58"/>
        <v>0</v>
      </c>
      <c r="J92" s="171"/>
      <c r="L92" s="11"/>
      <c r="M92" s="5" t="s">
        <v>312</v>
      </c>
      <c r="N92" s="11"/>
      <c r="O92" s="11"/>
      <c r="P92" s="29"/>
      <c r="Q92" s="22"/>
      <c r="R92" s="169">
        <f t="shared" si="59"/>
        <v>1</v>
      </c>
      <c r="S92" s="75">
        <f t="shared" si="60"/>
        <v>0</v>
      </c>
      <c r="T92" s="171"/>
      <c r="V92" s="41" t="s">
        <v>282</v>
      </c>
      <c r="W92" s="5" t="s">
        <v>380</v>
      </c>
      <c r="X92" s="41"/>
      <c r="Y92" s="41"/>
      <c r="Z92" s="29"/>
      <c r="AA92" s="22"/>
      <c r="AB92" s="169">
        <f t="shared" si="61"/>
        <v>1</v>
      </c>
      <c r="AC92" s="75">
        <f t="shared" si="62"/>
        <v>0</v>
      </c>
      <c r="AD92" s="171"/>
    </row>
    <row r="93" spans="2:30" hidden="1" outlineLevel="1" x14ac:dyDescent="0.45">
      <c r="B93" s="11"/>
      <c r="C93" s="5" t="s">
        <v>312</v>
      </c>
      <c r="D93" s="11"/>
      <c r="E93" s="11"/>
      <c r="F93" s="29"/>
      <c r="G93" s="22"/>
      <c r="H93" s="169">
        <f t="shared" si="57"/>
        <v>1</v>
      </c>
      <c r="I93" s="75">
        <f t="shared" si="58"/>
        <v>0</v>
      </c>
      <c r="J93" s="171"/>
      <c r="L93" s="11"/>
      <c r="M93" s="5" t="s">
        <v>312</v>
      </c>
      <c r="N93" s="11"/>
      <c r="O93" s="11"/>
      <c r="P93" s="29"/>
      <c r="Q93" s="22"/>
      <c r="R93" s="169">
        <f t="shared" si="59"/>
        <v>1</v>
      </c>
      <c r="S93" s="75">
        <f t="shared" si="60"/>
        <v>0</v>
      </c>
      <c r="T93" s="171"/>
      <c r="V93" s="41" t="s">
        <v>282</v>
      </c>
      <c r="W93" s="5" t="s">
        <v>380</v>
      </c>
      <c r="X93" s="41"/>
      <c r="Y93" s="41"/>
      <c r="Z93" s="29"/>
      <c r="AA93" s="22"/>
      <c r="AB93" s="169">
        <f t="shared" si="61"/>
        <v>1</v>
      </c>
      <c r="AC93" s="75">
        <f t="shared" si="62"/>
        <v>0</v>
      </c>
      <c r="AD93" s="171"/>
    </row>
    <row r="94" spans="2:30" hidden="1" outlineLevel="1" x14ac:dyDescent="0.45">
      <c r="B94" s="11"/>
      <c r="C94" s="5" t="s">
        <v>312</v>
      </c>
      <c r="D94" s="11"/>
      <c r="E94" s="11"/>
      <c r="F94" s="29"/>
      <c r="G94" s="22"/>
      <c r="H94" s="169">
        <f t="shared" si="57"/>
        <v>1</v>
      </c>
      <c r="I94" s="75">
        <f t="shared" si="58"/>
        <v>0</v>
      </c>
      <c r="J94" s="171"/>
      <c r="L94" s="11"/>
      <c r="M94" s="5" t="s">
        <v>312</v>
      </c>
      <c r="N94" s="11"/>
      <c r="O94" s="11"/>
      <c r="P94" s="29"/>
      <c r="Q94" s="22"/>
      <c r="R94" s="169">
        <f t="shared" si="59"/>
        <v>1</v>
      </c>
      <c r="S94" s="75">
        <f t="shared" si="60"/>
        <v>0</v>
      </c>
      <c r="T94" s="171"/>
      <c r="V94" s="41" t="s">
        <v>282</v>
      </c>
      <c r="W94" s="5" t="s">
        <v>380</v>
      </c>
      <c r="X94" s="41"/>
      <c r="Y94" s="41"/>
      <c r="Z94" s="29"/>
      <c r="AA94" s="22"/>
      <c r="AB94" s="169">
        <f t="shared" si="61"/>
        <v>1</v>
      </c>
      <c r="AC94" s="75">
        <f t="shared" si="62"/>
        <v>0</v>
      </c>
      <c r="AD94" s="171"/>
    </row>
    <row r="95" spans="2:30" s="24" customFormat="1" collapsed="1" x14ac:dyDescent="0.45">
      <c r="B95" s="8" t="str">
        <f>"Total "&amp;B79</f>
        <v>Total Facility (Overdraft - Temporary)</v>
      </c>
      <c r="C95" s="25"/>
      <c r="D95" s="28">
        <f>SUM(D80:D94)</f>
        <v>0</v>
      </c>
      <c r="E95" s="28">
        <f>SUM(E80:E94)</f>
        <v>0</v>
      </c>
      <c r="F95" s="30"/>
      <c r="G95" s="25"/>
      <c r="H95" s="168">
        <v>1</v>
      </c>
      <c r="I95" s="28">
        <f>SUM(I80:I94)</f>
        <v>0</v>
      </c>
      <c r="J95" s="170"/>
      <c r="L95" s="8" t="str">
        <f>"Total "&amp;L79</f>
        <v>Total Facility (Overdraft - Temporary)</v>
      </c>
      <c r="M95" s="25"/>
      <c r="N95" s="28">
        <f>SUM(N80:N94)</f>
        <v>0</v>
      </c>
      <c r="O95" s="28">
        <f>SUM(O80:O94)</f>
        <v>0</v>
      </c>
      <c r="P95" s="30"/>
      <c r="Q95" s="25"/>
      <c r="R95" s="168">
        <v>1</v>
      </c>
      <c r="S95" s="28">
        <f>SUM(S80:S94)</f>
        <v>0</v>
      </c>
      <c r="T95" s="170"/>
      <c r="V95" s="8" t="str">
        <f>"Total "&amp;V79</f>
        <v>Total Facility (Overdraft - Temporary)</v>
      </c>
      <c r="W95" s="25"/>
      <c r="X95" s="28">
        <f>SUM(X80:X94)</f>
        <v>0</v>
      </c>
      <c r="Y95" s="28">
        <f>SUM(Y80:Y94)</f>
        <v>0</v>
      </c>
      <c r="Z95" s="30"/>
      <c r="AA95" s="25"/>
      <c r="AB95" s="168">
        <v>1</v>
      </c>
      <c r="AC95" s="28">
        <f>SUM(AC80:AC94)</f>
        <v>0</v>
      </c>
      <c r="AD95" s="170"/>
    </row>
    <row r="97" spans="2:30" s="20" customFormat="1" ht="39.4" x14ac:dyDescent="0.45">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5" t="str">
        <f>B97</f>
        <v>Facility (Bank Guarantee)</v>
      </c>
      <c r="M97" s="176" t="str">
        <f t="shared" ref="M97" si="64">C97</f>
        <v>Source</v>
      </c>
      <c r="N97" s="176" t="str">
        <f t="shared" ref="N97" si="65">D97</f>
        <v>Limit (A)</v>
      </c>
      <c r="O97" s="176" t="str">
        <f t="shared" ref="O97" si="66">E97</f>
        <v>Outstanding (A1)</v>
      </c>
      <c r="P97" s="176" t="str">
        <f t="shared" ref="P97" si="67">F97</f>
        <v>Monthly Repayment (B)</v>
      </c>
      <c r="Q97" s="176" t="str">
        <f t="shared" ref="Q97" si="68">G97</f>
        <v>Interest Rate (C)</v>
      </c>
      <c r="R97" s="176" t="str">
        <f t="shared" ref="R97" si="69">H97</f>
        <v>Factor (D)</v>
      </c>
      <c r="S97" s="176" t="str">
        <f t="shared" ref="S97" si="70">I97</f>
        <v>Interest (E) = (A or A1) * (C) * (D)</v>
      </c>
      <c r="T97" s="176" t="str">
        <f t="shared" ref="T97" si="71">J97</f>
        <v>Code Of Conduct</v>
      </c>
      <c r="V97" s="175" t="str">
        <f>L97</f>
        <v>Facility (Bank Guarantee)</v>
      </c>
      <c r="W97" s="176" t="str">
        <f t="shared" ref="W97" si="72">M97</f>
        <v>Source</v>
      </c>
      <c r="X97" s="176" t="str">
        <f t="shared" ref="X97" si="73">N97</f>
        <v>Limit (A)</v>
      </c>
      <c r="Y97" s="176" t="str">
        <f t="shared" ref="Y97" si="74">O97</f>
        <v>Outstanding (A1)</v>
      </c>
      <c r="Z97" s="176" t="str">
        <f t="shared" ref="Z97" si="75">P97</f>
        <v>Monthly Repayment (B)</v>
      </c>
      <c r="AA97" s="176" t="str">
        <f t="shared" ref="AA97" si="76">Q97</f>
        <v>Interest Rate (C)</v>
      </c>
      <c r="AB97" s="176" t="str">
        <f t="shared" ref="AB97" si="77">R97</f>
        <v>Factor (D)</v>
      </c>
      <c r="AC97" s="176" t="str">
        <f t="shared" ref="AC97" si="78">S97</f>
        <v>Interest (E) = (A or A1) * (C) * (D)</v>
      </c>
      <c r="AD97" s="176" t="str">
        <f t="shared" ref="AD97" si="79">T97</f>
        <v>Code Of Conduct</v>
      </c>
    </row>
    <row r="98" spans="2:30" x14ac:dyDescent="0.45">
      <c r="B98" s="11"/>
      <c r="C98" s="5" t="s">
        <v>312</v>
      </c>
      <c r="D98" s="11"/>
      <c r="E98" s="11"/>
      <c r="F98" s="29"/>
      <c r="G98" s="22"/>
      <c r="H98" s="169">
        <f>H$113</f>
        <v>1</v>
      </c>
      <c r="I98" s="75">
        <f>D98*G98*H98</f>
        <v>0</v>
      </c>
      <c r="J98" s="171"/>
      <c r="L98" s="11"/>
      <c r="M98" s="5" t="s">
        <v>312</v>
      </c>
      <c r="N98" s="11"/>
      <c r="O98" s="11"/>
      <c r="P98" s="29"/>
      <c r="Q98" s="22"/>
      <c r="R98" s="169">
        <f>R$113</f>
        <v>1</v>
      </c>
      <c r="S98" s="75">
        <f>N98*Q98*R98</f>
        <v>0</v>
      </c>
      <c r="T98" s="171"/>
      <c r="V98" s="41" t="s">
        <v>282</v>
      </c>
      <c r="W98" s="5" t="s">
        <v>380</v>
      </c>
      <c r="X98" s="41"/>
      <c r="Y98" s="41"/>
      <c r="Z98" s="29"/>
      <c r="AA98" s="22"/>
      <c r="AB98" s="169">
        <f>AB$113</f>
        <v>1</v>
      </c>
      <c r="AC98" s="75">
        <f>X98*AA98*AB98</f>
        <v>0</v>
      </c>
      <c r="AD98" s="171"/>
    </row>
    <row r="99" spans="2:30" x14ac:dyDescent="0.45">
      <c r="B99" s="11"/>
      <c r="C99" s="5" t="s">
        <v>312</v>
      </c>
      <c r="D99" s="11"/>
      <c r="E99" s="11"/>
      <c r="F99" s="29"/>
      <c r="G99" s="22"/>
      <c r="H99" s="169">
        <f t="shared" ref="H99:H112" si="80">H$113</f>
        <v>1</v>
      </c>
      <c r="I99" s="75">
        <f t="shared" ref="I99:I112" si="81">D99*G99*H99</f>
        <v>0</v>
      </c>
      <c r="J99" s="171"/>
      <c r="L99" s="11"/>
      <c r="M99" s="5" t="s">
        <v>312</v>
      </c>
      <c r="N99" s="11"/>
      <c r="O99" s="11"/>
      <c r="P99" s="29"/>
      <c r="Q99" s="22"/>
      <c r="R99" s="169">
        <f t="shared" ref="R99:R112" si="82">R$113</f>
        <v>1</v>
      </c>
      <c r="S99" s="75">
        <f t="shared" ref="S99:S112" si="83">N99*Q99*R99</f>
        <v>0</v>
      </c>
      <c r="T99" s="171"/>
      <c r="V99" s="41" t="s">
        <v>282</v>
      </c>
      <c r="W99" s="5" t="s">
        <v>380</v>
      </c>
      <c r="X99" s="41"/>
      <c r="Y99" s="41"/>
      <c r="Z99" s="29"/>
      <c r="AA99" s="22"/>
      <c r="AB99" s="169">
        <f t="shared" ref="AB99:AB112" si="84">AB$113</f>
        <v>1</v>
      </c>
      <c r="AC99" s="75">
        <f t="shared" ref="AC99:AC112" si="85">X99*AA99*AB99</f>
        <v>0</v>
      </c>
      <c r="AD99" s="171"/>
    </row>
    <row r="100" spans="2:30" x14ac:dyDescent="0.45">
      <c r="B100" s="11"/>
      <c r="C100" s="5" t="s">
        <v>312</v>
      </c>
      <c r="D100" s="11"/>
      <c r="E100" s="11"/>
      <c r="F100" s="29"/>
      <c r="G100" s="22"/>
      <c r="H100" s="169">
        <f t="shared" si="80"/>
        <v>1</v>
      </c>
      <c r="I100" s="75">
        <f t="shared" si="81"/>
        <v>0</v>
      </c>
      <c r="J100" s="171"/>
      <c r="L100" s="11"/>
      <c r="M100" s="5" t="s">
        <v>312</v>
      </c>
      <c r="N100" s="11"/>
      <c r="O100" s="11"/>
      <c r="P100" s="29"/>
      <c r="Q100" s="22"/>
      <c r="R100" s="169">
        <f t="shared" si="82"/>
        <v>1</v>
      </c>
      <c r="S100" s="75">
        <f t="shared" si="83"/>
        <v>0</v>
      </c>
      <c r="T100" s="171"/>
      <c r="V100" s="41" t="s">
        <v>282</v>
      </c>
      <c r="W100" s="5" t="s">
        <v>380</v>
      </c>
      <c r="X100" s="41"/>
      <c r="Y100" s="41"/>
      <c r="Z100" s="29"/>
      <c r="AA100" s="22"/>
      <c r="AB100" s="169">
        <f t="shared" si="84"/>
        <v>1</v>
      </c>
      <c r="AC100" s="75">
        <f t="shared" si="85"/>
        <v>0</v>
      </c>
      <c r="AD100" s="171"/>
    </row>
    <row r="101" spans="2:30" x14ac:dyDescent="0.45">
      <c r="B101" s="11"/>
      <c r="C101" s="5" t="s">
        <v>312</v>
      </c>
      <c r="D101" s="11"/>
      <c r="E101" s="11"/>
      <c r="F101" s="29"/>
      <c r="G101" s="22"/>
      <c r="H101" s="169">
        <f t="shared" si="80"/>
        <v>1</v>
      </c>
      <c r="I101" s="75">
        <f t="shared" si="81"/>
        <v>0</v>
      </c>
      <c r="J101" s="171"/>
      <c r="L101" s="11"/>
      <c r="M101" s="5" t="s">
        <v>312</v>
      </c>
      <c r="N101" s="11"/>
      <c r="O101" s="11"/>
      <c r="P101" s="29"/>
      <c r="Q101" s="22"/>
      <c r="R101" s="169">
        <f t="shared" si="82"/>
        <v>1</v>
      </c>
      <c r="S101" s="75">
        <f t="shared" si="83"/>
        <v>0</v>
      </c>
      <c r="T101" s="171"/>
      <c r="V101" s="41" t="s">
        <v>282</v>
      </c>
      <c r="W101" s="5" t="s">
        <v>380</v>
      </c>
      <c r="X101" s="41"/>
      <c r="Y101" s="41"/>
      <c r="Z101" s="29"/>
      <c r="AA101" s="22"/>
      <c r="AB101" s="169">
        <f t="shared" si="84"/>
        <v>1</v>
      </c>
      <c r="AC101" s="75">
        <f t="shared" si="85"/>
        <v>0</v>
      </c>
      <c r="AD101" s="171"/>
    </row>
    <row r="102" spans="2:30" x14ac:dyDescent="0.45">
      <c r="B102" s="11"/>
      <c r="C102" s="5" t="s">
        <v>312</v>
      </c>
      <c r="D102" s="11"/>
      <c r="E102" s="11"/>
      <c r="F102" s="29"/>
      <c r="G102" s="22"/>
      <c r="H102" s="169">
        <f t="shared" si="80"/>
        <v>1</v>
      </c>
      <c r="I102" s="75">
        <f t="shared" si="81"/>
        <v>0</v>
      </c>
      <c r="J102" s="171"/>
      <c r="L102" s="11"/>
      <c r="M102" s="5" t="s">
        <v>312</v>
      </c>
      <c r="N102" s="11"/>
      <c r="O102" s="11"/>
      <c r="P102" s="29"/>
      <c r="Q102" s="22"/>
      <c r="R102" s="169">
        <f t="shared" si="82"/>
        <v>1</v>
      </c>
      <c r="S102" s="75">
        <f t="shared" si="83"/>
        <v>0</v>
      </c>
      <c r="T102" s="171"/>
      <c r="V102" s="41" t="s">
        <v>282</v>
      </c>
      <c r="W102" s="5" t="s">
        <v>380</v>
      </c>
      <c r="X102" s="41"/>
      <c r="Y102" s="41"/>
      <c r="Z102" s="29"/>
      <c r="AA102" s="22"/>
      <c r="AB102" s="169">
        <f t="shared" si="84"/>
        <v>1</v>
      </c>
      <c r="AC102" s="75">
        <f t="shared" si="85"/>
        <v>0</v>
      </c>
      <c r="AD102" s="171"/>
    </row>
    <row r="103" spans="2:30" x14ac:dyDescent="0.45">
      <c r="B103" s="11"/>
      <c r="C103" s="5" t="s">
        <v>312</v>
      </c>
      <c r="D103" s="11"/>
      <c r="E103" s="11"/>
      <c r="F103" s="29"/>
      <c r="G103" s="22"/>
      <c r="H103" s="169">
        <f t="shared" si="80"/>
        <v>1</v>
      </c>
      <c r="I103" s="75">
        <f t="shared" si="81"/>
        <v>0</v>
      </c>
      <c r="J103" s="171"/>
      <c r="L103" s="11"/>
      <c r="M103" s="5" t="s">
        <v>312</v>
      </c>
      <c r="N103" s="11"/>
      <c r="O103" s="11"/>
      <c r="P103" s="29"/>
      <c r="Q103" s="22"/>
      <c r="R103" s="169">
        <f t="shared" si="82"/>
        <v>1</v>
      </c>
      <c r="S103" s="75">
        <f t="shared" si="83"/>
        <v>0</v>
      </c>
      <c r="T103" s="171"/>
      <c r="V103" s="41" t="s">
        <v>282</v>
      </c>
      <c r="W103" s="5" t="s">
        <v>380</v>
      </c>
      <c r="X103" s="41"/>
      <c r="Y103" s="41"/>
      <c r="Z103" s="29"/>
      <c r="AA103" s="22"/>
      <c r="AB103" s="169">
        <f t="shared" si="84"/>
        <v>1</v>
      </c>
      <c r="AC103" s="75">
        <f t="shared" si="85"/>
        <v>0</v>
      </c>
      <c r="AD103" s="171"/>
    </row>
    <row r="104" spans="2:30" hidden="1" outlineLevel="1" x14ac:dyDescent="0.45">
      <c r="B104" s="11"/>
      <c r="C104" s="5" t="s">
        <v>312</v>
      </c>
      <c r="D104" s="11"/>
      <c r="E104" s="11"/>
      <c r="F104" s="29"/>
      <c r="G104" s="22"/>
      <c r="H104" s="169">
        <f t="shared" si="80"/>
        <v>1</v>
      </c>
      <c r="I104" s="75">
        <f t="shared" si="81"/>
        <v>0</v>
      </c>
      <c r="J104" s="171"/>
      <c r="L104" s="11"/>
      <c r="M104" s="5" t="s">
        <v>312</v>
      </c>
      <c r="N104" s="11"/>
      <c r="O104" s="11"/>
      <c r="P104" s="29"/>
      <c r="Q104" s="22"/>
      <c r="R104" s="169">
        <f t="shared" si="82"/>
        <v>1</v>
      </c>
      <c r="S104" s="75">
        <f t="shared" si="83"/>
        <v>0</v>
      </c>
      <c r="T104" s="171"/>
      <c r="V104" s="41" t="s">
        <v>282</v>
      </c>
      <c r="W104" s="5" t="s">
        <v>380</v>
      </c>
      <c r="X104" s="41"/>
      <c r="Y104" s="41"/>
      <c r="Z104" s="29"/>
      <c r="AA104" s="22"/>
      <c r="AB104" s="169">
        <f t="shared" si="84"/>
        <v>1</v>
      </c>
      <c r="AC104" s="75">
        <f t="shared" si="85"/>
        <v>0</v>
      </c>
      <c r="AD104" s="171"/>
    </row>
    <row r="105" spans="2:30" hidden="1" outlineLevel="1" x14ac:dyDescent="0.45">
      <c r="B105" s="11"/>
      <c r="C105" s="5" t="s">
        <v>312</v>
      </c>
      <c r="D105" s="11"/>
      <c r="E105" s="11"/>
      <c r="F105" s="29"/>
      <c r="G105" s="22"/>
      <c r="H105" s="169">
        <f t="shared" si="80"/>
        <v>1</v>
      </c>
      <c r="I105" s="75">
        <f t="shared" si="81"/>
        <v>0</v>
      </c>
      <c r="J105" s="171"/>
      <c r="L105" s="11"/>
      <c r="M105" s="5" t="s">
        <v>312</v>
      </c>
      <c r="N105" s="11"/>
      <c r="O105" s="11"/>
      <c r="P105" s="29"/>
      <c r="Q105" s="22"/>
      <c r="R105" s="169">
        <f t="shared" si="82"/>
        <v>1</v>
      </c>
      <c r="S105" s="75">
        <f t="shared" si="83"/>
        <v>0</v>
      </c>
      <c r="T105" s="171"/>
      <c r="V105" s="41" t="s">
        <v>282</v>
      </c>
      <c r="W105" s="5" t="s">
        <v>380</v>
      </c>
      <c r="X105" s="41"/>
      <c r="Y105" s="41"/>
      <c r="Z105" s="29"/>
      <c r="AA105" s="22"/>
      <c r="AB105" s="169">
        <f t="shared" si="84"/>
        <v>1</v>
      </c>
      <c r="AC105" s="75">
        <f t="shared" si="85"/>
        <v>0</v>
      </c>
      <c r="AD105" s="171"/>
    </row>
    <row r="106" spans="2:30" hidden="1" outlineLevel="1" x14ac:dyDescent="0.45">
      <c r="B106" s="11"/>
      <c r="C106" s="5" t="s">
        <v>312</v>
      </c>
      <c r="D106" s="11"/>
      <c r="E106" s="11"/>
      <c r="F106" s="29"/>
      <c r="G106" s="22"/>
      <c r="H106" s="169">
        <f t="shared" si="80"/>
        <v>1</v>
      </c>
      <c r="I106" s="75">
        <f t="shared" si="81"/>
        <v>0</v>
      </c>
      <c r="J106" s="171"/>
      <c r="L106" s="11"/>
      <c r="M106" s="5" t="s">
        <v>312</v>
      </c>
      <c r="N106" s="11"/>
      <c r="O106" s="11"/>
      <c r="P106" s="29"/>
      <c r="Q106" s="22"/>
      <c r="R106" s="169">
        <f t="shared" si="82"/>
        <v>1</v>
      </c>
      <c r="S106" s="75">
        <f t="shared" si="83"/>
        <v>0</v>
      </c>
      <c r="T106" s="171"/>
      <c r="V106" s="41" t="s">
        <v>282</v>
      </c>
      <c r="W106" s="5" t="s">
        <v>380</v>
      </c>
      <c r="X106" s="41"/>
      <c r="Y106" s="41"/>
      <c r="Z106" s="29"/>
      <c r="AA106" s="22"/>
      <c r="AB106" s="169">
        <f t="shared" si="84"/>
        <v>1</v>
      </c>
      <c r="AC106" s="75">
        <f t="shared" si="85"/>
        <v>0</v>
      </c>
      <c r="AD106" s="171"/>
    </row>
    <row r="107" spans="2:30" hidden="1" outlineLevel="1" x14ac:dyDescent="0.45">
      <c r="B107" s="11"/>
      <c r="C107" s="5" t="s">
        <v>312</v>
      </c>
      <c r="D107" s="11"/>
      <c r="E107" s="11"/>
      <c r="F107" s="29"/>
      <c r="G107" s="22"/>
      <c r="H107" s="169">
        <f t="shared" si="80"/>
        <v>1</v>
      </c>
      <c r="I107" s="75">
        <f t="shared" si="81"/>
        <v>0</v>
      </c>
      <c r="J107" s="171"/>
      <c r="L107" s="11"/>
      <c r="M107" s="5" t="s">
        <v>312</v>
      </c>
      <c r="N107" s="11"/>
      <c r="O107" s="11"/>
      <c r="P107" s="29"/>
      <c r="Q107" s="22"/>
      <c r="R107" s="169">
        <f t="shared" si="82"/>
        <v>1</v>
      </c>
      <c r="S107" s="75">
        <f t="shared" si="83"/>
        <v>0</v>
      </c>
      <c r="T107" s="171"/>
      <c r="V107" s="41" t="s">
        <v>282</v>
      </c>
      <c r="W107" s="5" t="s">
        <v>380</v>
      </c>
      <c r="X107" s="41"/>
      <c r="Y107" s="41"/>
      <c r="Z107" s="29"/>
      <c r="AA107" s="22"/>
      <c r="AB107" s="169">
        <f t="shared" si="84"/>
        <v>1</v>
      </c>
      <c r="AC107" s="75">
        <f t="shared" si="85"/>
        <v>0</v>
      </c>
      <c r="AD107" s="171"/>
    </row>
    <row r="108" spans="2:30" hidden="1" outlineLevel="1" x14ac:dyDescent="0.45">
      <c r="B108" s="11"/>
      <c r="C108" s="5" t="s">
        <v>312</v>
      </c>
      <c r="D108" s="11"/>
      <c r="E108" s="11"/>
      <c r="F108" s="29"/>
      <c r="G108" s="22"/>
      <c r="H108" s="169">
        <f t="shared" si="80"/>
        <v>1</v>
      </c>
      <c r="I108" s="75">
        <f t="shared" si="81"/>
        <v>0</v>
      </c>
      <c r="J108" s="171"/>
      <c r="L108" s="11"/>
      <c r="M108" s="5" t="s">
        <v>312</v>
      </c>
      <c r="N108" s="11"/>
      <c r="O108" s="11"/>
      <c r="P108" s="29"/>
      <c r="Q108" s="22"/>
      <c r="R108" s="169">
        <f t="shared" si="82"/>
        <v>1</v>
      </c>
      <c r="S108" s="75">
        <f t="shared" si="83"/>
        <v>0</v>
      </c>
      <c r="T108" s="171"/>
      <c r="V108" s="41" t="s">
        <v>282</v>
      </c>
      <c r="W108" s="5" t="s">
        <v>380</v>
      </c>
      <c r="X108" s="41"/>
      <c r="Y108" s="41"/>
      <c r="Z108" s="29"/>
      <c r="AA108" s="22"/>
      <c r="AB108" s="169">
        <f t="shared" si="84"/>
        <v>1</v>
      </c>
      <c r="AC108" s="75">
        <f t="shared" si="85"/>
        <v>0</v>
      </c>
      <c r="AD108" s="171"/>
    </row>
    <row r="109" spans="2:30" hidden="1" outlineLevel="1" x14ac:dyDescent="0.45">
      <c r="B109" s="11"/>
      <c r="C109" s="5" t="s">
        <v>312</v>
      </c>
      <c r="D109" s="11"/>
      <c r="E109" s="11"/>
      <c r="F109" s="29"/>
      <c r="G109" s="22"/>
      <c r="H109" s="169">
        <f t="shared" si="80"/>
        <v>1</v>
      </c>
      <c r="I109" s="75">
        <f t="shared" si="81"/>
        <v>0</v>
      </c>
      <c r="J109" s="171"/>
      <c r="L109" s="11"/>
      <c r="M109" s="5" t="s">
        <v>312</v>
      </c>
      <c r="N109" s="11"/>
      <c r="O109" s="11"/>
      <c r="P109" s="29"/>
      <c r="Q109" s="22"/>
      <c r="R109" s="169">
        <f t="shared" si="82"/>
        <v>1</v>
      </c>
      <c r="S109" s="75">
        <f t="shared" si="83"/>
        <v>0</v>
      </c>
      <c r="T109" s="171"/>
      <c r="V109" s="41" t="s">
        <v>282</v>
      </c>
      <c r="W109" s="5" t="s">
        <v>380</v>
      </c>
      <c r="X109" s="41"/>
      <c r="Y109" s="41"/>
      <c r="Z109" s="29"/>
      <c r="AA109" s="22"/>
      <c r="AB109" s="169">
        <f t="shared" si="84"/>
        <v>1</v>
      </c>
      <c r="AC109" s="75">
        <f t="shared" si="85"/>
        <v>0</v>
      </c>
      <c r="AD109" s="171"/>
    </row>
    <row r="110" spans="2:30" hidden="1" outlineLevel="1" x14ac:dyDescent="0.45">
      <c r="B110" s="11"/>
      <c r="C110" s="5" t="s">
        <v>312</v>
      </c>
      <c r="D110" s="11"/>
      <c r="E110" s="11"/>
      <c r="F110" s="29"/>
      <c r="G110" s="22"/>
      <c r="H110" s="169">
        <f t="shared" si="80"/>
        <v>1</v>
      </c>
      <c r="I110" s="75">
        <f t="shared" si="81"/>
        <v>0</v>
      </c>
      <c r="J110" s="171"/>
      <c r="L110" s="11"/>
      <c r="M110" s="5" t="s">
        <v>312</v>
      </c>
      <c r="N110" s="11"/>
      <c r="O110" s="11"/>
      <c r="P110" s="29"/>
      <c r="Q110" s="22"/>
      <c r="R110" s="169">
        <f t="shared" si="82"/>
        <v>1</v>
      </c>
      <c r="S110" s="75">
        <f t="shared" si="83"/>
        <v>0</v>
      </c>
      <c r="T110" s="171"/>
      <c r="V110" s="41" t="s">
        <v>282</v>
      </c>
      <c r="W110" s="5" t="s">
        <v>380</v>
      </c>
      <c r="X110" s="41"/>
      <c r="Y110" s="41"/>
      <c r="Z110" s="29"/>
      <c r="AA110" s="22"/>
      <c r="AB110" s="169">
        <f t="shared" si="84"/>
        <v>1</v>
      </c>
      <c r="AC110" s="75">
        <f t="shared" si="85"/>
        <v>0</v>
      </c>
      <c r="AD110" s="171"/>
    </row>
    <row r="111" spans="2:30" hidden="1" outlineLevel="1" x14ac:dyDescent="0.45">
      <c r="B111" s="11"/>
      <c r="C111" s="5" t="s">
        <v>312</v>
      </c>
      <c r="D111" s="11"/>
      <c r="E111" s="11"/>
      <c r="F111" s="29"/>
      <c r="G111" s="22"/>
      <c r="H111" s="169">
        <f t="shared" si="80"/>
        <v>1</v>
      </c>
      <c r="I111" s="75">
        <f t="shared" si="81"/>
        <v>0</v>
      </c>
      <c r="J111" s="171"/>
      <c r="L111" s="11"/>
      <c r="M111" s="5" t="s">
        <v>312</v>
      </c>
      <c r="N111" s="11"/>
      <c r="O111" s="11"/>
      <c r="P111" s="29"/>
      <c r="Q111" s="22"/>
      <c r="R111" s="169">
        <f t="shared" si="82"/>
        <v>1</v>
      </c>
      <c r="S111" s="75">
        <f t="shared" si="83"/>
        <v>0</v>
      </c>
      <c r="T111" s="171"/>
      <c r="V111" s="41" t="s">
        <v>282</v>
      </c>
      <c r="W111" s="5" t="s">
        <v>380</v>
      </c>
      <c r="X111" s="41"/>
      <c r="Y111" s="41"/>
      <c r="Z111" s="29"/>
      <c r="AA111" s="22"/>
      <c r="AB111" s="169">
        <f t="shared" si="84"/>
        <v>1</v>
      </c>
      <c r="AC111" s="75">
        <f t="shared" si="85"/>
        <v>0</v>
      </c>
      <c r="AD111" s="171"/>
    </row>
    <row r="112" spans="2:30" hidden="1" outlineLevel="1" x14ac:dyDescent="0.45">
      <c r="B112" s="11"/>
      <c r="C112" s="5" t="s">
        <v>312</v>
      </c>
      <c r="D112" s="11"/>
      <c r="E112" s="11"/>
      <c r="F112" s="29"/>
      <c r="G112" s="22"/>
      <c r="H112" s="169">
        <f t="shared" si="80"/>
        <v>1</v>
      </c>
      <c r="I112" s="75">
        <f t="shared" si="81"/>
        <v>0</v>
      </c>
      <c r="J112" s="171"/>
      <c r="L112" s="11"/>
      <c r="M112" s="5" t="s">
        <v>312</v>
      </c>
      <c r="N112" s="11"/>
      <c r="O112" s="11"/>
      <c r="P112" s="29"/>
      <c r="Q112" s="22"/>
      <c r="R112" s="169">
        <f t="shared" si="82"/>
        <v>1</v>
      </c>
      <c r="S112" s="75">
        <f t="shared" si="83"/>
        <v>0</v>
      </c>
      <c r="T112" s="171"/>
      <c r="V112" s="41" t="s">
        <v>282</v>
      </c>
      <c r="W112" s="5" t="s">
        <v>380</v>
      </c>
      <c r="X112" s="41"/>
      <c r="Y112" s="41"/>
      <c r="Z112" s="29"/>
      <c r="AA112" s="22"/>
      <c r="AB112" s="169">
        <f t="shared" si="84"/>
        <v>1</v>
      </c>
      <c r="AC112" s="75">
        <f t="shared" si="85"/>
        <v>0</v>
      </c>
      <c r="AD112" s="171"/>
    </row>
    <row r="113" spans="2:30" s="24" customFormat="1" collapsed="1" x14ac:dyDescent="0.45">
      <c r="B113" s="8" t="str">
        <f>"Total "&amp;B97</f>
        <v>Total Facility (Bank Guarantee)</v>
      </c>
      <c r="C113" s="25"/>
      <c r="D113" s="28">
        <f>SUM(D98:D112)</f>
        <v>0</v>
      </c>
      <c r="E113" s="28">
        <f>SUM(E98:E112)</f>
        <v>0</v>
      </c>
      <c r="F113" s="30"/>
      <c r="G113" s="25"/>
      <c r="H113" s="168">
        <v>1</v>
      </c>
      <c r="I113" s="28">
        <f>SUM(I98:I112)</f>
        <v>0</v>
      </c>
      <c r="J113" s="170"/>
      <c r="L113" s="8" t="str">
        <f>"Total "&amp;L97</f>
        <v>Total Facility (Bank Guarantee)</v>
      </c>
      <c r="M113" s="25"/>
      <c r="N113" s="28">
        <f>SUM(N98:N112)</f>
        <v>0</v>
      </c>
      <c r="O113" s="28">
        <f>SUM(O98:O112)</f>
        <v>0</v>
      </c>
      <c r="P113" s="30"/>
      <c r="Q113" s="25"/>
      <c r="R113" s="168">
        <v>1</v>
      </c>
      <c r="S113" s="28">
        <f>SUM(S98:S112)</f>
        <v>0</v>
      </c>
      <c r="T113" s="170"/>
      <c r="V113" s="8" t="str">
        <f>"Total "&amp;V97</f>
        <v>Total Facility (Bank Guarantee)</v>
      </c>
      <c r="W113" s="25"/>
      <c r="X113" s="28">
        <f>SUM(X98:X112)</f>
        <v>0</v>
      </c>
      <c r="Y113" s="28">
        <f>SUM(Y98:Y112)</f>
        <v>0</v>
      </c>
      <c r="Z113" s="30"/>
      <c r="AA113" s="25"/>
      <c r="AB113" s="168">
        <v>1</v>
      </c>
      <c r="AC113" s="28">
        <f>SUM(AC98:AC112)</f>
        <v>0</v>
      </c>
      <c r="AD113" s="170"/>
    </row>
    <row r="115" spans="2:30" s="20" customFormat="1" ht="39.4" x14ac:dyDescent="0.45">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5" t="str">
        <f>B115</f>
        <v>Facility (Bank Trade - Funded)</v>
      </c>
      <c r="M115" s="176" t="str">
        <f t="shared" ref="M115" si="87">C115</f>
        <v>Source</v>
      </c>
      <c r="N115" s="176" t="str">
        <f t="shared" ref="N115" si="88">D115</f>
        <v>Limit (A)</v>
      </c>
      <c r="O115" s="176" t="str">
        <f t="shared" ref="O115" si="89">E115</f>
        <v>Outstanding (A1)</v>
      </c>
      <c r="P115" s="176" t="str">
        <f t="shared" ref="P115" si="90">F115</f>
        <v>Monthly Repayment (B)</v>
      </c>
      <c r="Q115" s="176" t="str">
        <f t="shared" ref="Q115" si="91">G115</f>
        <v>Interest Rate (C)</v>
      </c>
      <c r="R115" s="176" t="str">
        <f t="shared" ref="R115" si="92">H115</f>
        <v>Factor (D)</v>
      </c>
      <c r="S115" s="176" t="str">
        <f t="shared" ref="S115" si="93">I115</f>
        <v>Interest (E) = (A or A1) * (C) * (D)</v>
      </c>
      <c r="T115" s="176" t="str">
        <f t="shared" ref="T115" si="94">J115</f>
        <v>Code Of Conduct</v>
      </c>
      <c r="V115" s="175" t="str">
        <f>L115</f>
        <v>Facility (Bank Trade - Funded)</v>
      </c>
      <c r="W115" s="176" t="str">
        <f t="shared" ref="W115" si="95">M115</f>
        <v>Source</v>
      </c>
      <c r="X115" s="176" t="str">
        <f t="shared" ref="X115" si="96">N115</f>
        <v>Limit (A)</v>
      </c>
      <c r="Y115" s="176" t="str">
        <f t="shared" ref="Y115" si="97">O115</f>
        <v>Outstanding (A1)</v>
      </c>
      <c r="Z115" s="176" t="str">
        <f t="shared" ref="Z115" si="98">P115</f>
        <v>Monthly Repayment (B)</v>
      </c>
      <c r="AA115" s="176" t="str">
        <f t="shared" ref="AA115" si="99">Q115</f>
        <v>Interest Rate (C)</v>
      </c>
      <c r="AB115" s="176" t="str">
        <f t="shared" ref="AB115" si="100">R115</f>
        <v>Factor (D)</v>
      </c>
      <c r="AC115" s="176" t="str">
        <f t="shared" ref="AC115" si="101">S115</f>
        <v>Interest (E) = (A or A1) * (C) * (D)</v>
      </c>
      <c r="AD115" s="176" t="str">
        <f t="shared" ref="AD115" si="102">T115</f>
        <v>Code Of Conduct</v>
      </c>
    </row>
    <row r="116" spans="2:30" x14ac:dyDescent="0.45">
      <c r="B116" s="11"/>
      <c r="C116" s="5" t="s">
        <v>312</v>
      </c>
      <c r="D116" s="11"/>
      <c r="E116" s="11"/>
      <c r="F116" s="29"/>
      <c r="G116" s="22"/>
      <c r="H116" s="169">
        <f>H$131</f>
        <v>0.8</v>
      </c>
      <c r="I116" s="75">
        <f>D116*G116*H116</f>
        <v>0</v>
      </c>
      <c r="J116" s="171"/>
      <c r="L116" s="11"/>
      <c r="M116" s="5" t="s">
        <v>309</v>
      </c>
      <c r="N116" s="11"/>
      <c r="O116" s="11"/>
      <c r="P116" s="29"/>
      <c r="Q116" s="22"/>
      <c r="R116" s="169">
        <f>R$131</f>
        <v>0.8</v>
      </c>
      <c r="S116" s="75">
        <f>N116*Q116*R116</f>
        <v>0</v>
      </c>
      <c r="T116" s="171"/>
      <c r="V116" s="41" t="s">
        <v>282</v>
      </c>
      <c r="W116" s="5" t="s">
        <v>380</v>
      </c>
      <c r="X116" s="41"/>
      <c r="Y116" s="41"/>
      <c r="Z116" s="29"/>
      <c r="AA116" s="22"/>
      <c r="AB116" s="169">
        <f>AB$131</f>
        <v>0.8</v>
      </c>
      <c r="AC116" s="75">
        <f>X116*AA116*AB116</f>
        <v>0</v>
      </c>
      <c r="AD116" s="171"/>
    </row>
    <row r="117" spans="2:30" x14ac:dyDescent="0.45">
      <c r="B117" s="11"/>
      <c r="C117" s="5" t="s">
        <v>312</v>
      </c>
      <c r="D117" s="11"/>
      <c r="E117" s="11"/>
      <c r="F117" s="29"/>
      <c r="G117" s="22"/>
      <c r="H117" s="169">
        <f t="shared" ref="H117:H130" si="103">H$131</f>
        <v>0.8</v>
      </c>
      <c r="I117" s="75">
        <f t="shared" ref="I117:I130" si="104">D117*G117*H117</f>
        <v>0</v>
      </c>
      <c r="J117" s="171"/>
      <c r="L117" s="11"/>
      <c r="M117" s="5" t="s">
        <v>312</v>
      </c>
      <c r="N117" s="11"/>
      <c r="O117" s="11"/>
      <c r="P117" s="29"/>
      <c r="Q117" s="22"/>
      <c r="R117" s="169">
        <f t="shared" ref="R117:R130" si="105">R$131</f>
        <v>0.8</v>
      </c>
      <c r="S117" s="75">
        <f t="shared" ref="S117:S130" si="106">N117*Q117*R117</f>
        <v>0</v>
      </c>
      <c r="T117" s="171"/>
      <c r="V117" s="41" t="s">
        <v>282</v>
      </c>
      <c r="W117" s="5" t="s">
        <v>380</v>
      </c>
      <c r="X117" s="41"/>
      <c r="Y117" s="41"/>
      <c r="Z117" s="29"/>
      <c r="AA117" s="22"/>
      <c r="AB117" s="169">
        <f t="shared" ref="AB117:AB130" si="107">AB$131</f>
        <v>0.8</v>
      </c>
      <c r="AC117" s="75">
        <f t="shared" ref="AC117:AC130" si="108">X117*AA117*AB117</f>
        <v>0</v>
      </c>
      <c r="AD117" s="171"/>
    </row>
    <row r="118" spans="2:30" x14ac:dyDescent="0.45">
      <c r="B118" s="11"/>
      <c r="C118" s="5" t="s">
        <v>312</v>
      </c>
      <c r="D118" s="11"/>
      <c r="E118" s="11"/>
      <c r="F118" s="29"/>
      <c r="G118" s="22"/>
      <c r="H118" s="169">
        <f t="shared" si="103"/>
        <v>0.8</v>
      </c>
      <c r="I118" s="75">
        <f t="shared" si="104"/>
        <v>0</v>
      </c>
      <c r="J118" s="171"/>
      <c r="L118" s="11"/>
      <c r="M118" s="5" t="s">
        <v>312</v>
      </c>
      <c r="N118" s="11"/>
      <c r="O118" s="11"/>
      <c r="P118" s="29"/>
      <c r="Q118" s="22"/>
      <c r="R118" s="169">
        <f t="shared" si="105"/>
        <v>0.8</v>
      </c>
      <c r="S118" s="75">
        <f t="shared" si="106"/>
        <v>0</v>
      </c>
      <c r="T118" s="171"/>
      <c r="V118" s="41" t="s">
        <v>282</v>
      </c>
      <c r="W118" s="5" t="s">
        <v>380</v>
      </c>
      <c r="X118" s="41"/>
      <c r="Y118" s="41"/>
      <c r="Z118" s="29"/>
      <c r="AA118" s="22"/>
      <c r="AB118" s="169">
        <f t="shared" si="107"/>
        <v>0.8</v>
      </c>
      <c r="AC118" s="75">
        <f t="shared" si="108"/>
        <v>0</v>
      </c>
      <c r="AD118" s="171"/>
    </row>
    <row r="119" spans="2:30" x14ac:dyDescent="0.45">
      <c r="B119" s="11"/>
      <c r="C119" s="5" t="s">
        <v>312</v>
      </c>
      <c r="D119" s="11"/>
      <c r="E119" s="11"/>
      <c r="F119" s="29"/>
      <c r="G119" s="22"/>
      <c r="H119" s="169">
        <f t="shared" si="103"/>
        <v>0.8</v>
      </c>
      <c r="I119" s="75">
        <f t="shared" si="104"/>
        <v>0</v>
      </c>
      <c r="J119" s="171"/>
      <c r="L119" s="11"/>
      <c r="M119" s="5" t="s">
        <v>312</v>
      </c>
      <c r="N119" s="11"/>
      <c r="O119" s="11"/>
      <c r="P119" s="29"/>
      <c r="Q119" s="22"/>
      <c r="R119" s="169">
        <f t="shared" si="105"/>
        <v>0.8</v>
      </c>
      <c r="S119" s="75">
        <f t="shared" si="106"/>
        <v>0</v>
      </c>
      <c r="T119" s="171"/>
      <c r="V119" s="41" t="s">
        <v>282</v>
      </c>
      <c r="W119" s="5" t="s">
        <v>380</v>
      </c>
      <c r="X119" s="41"/>
      <c r="Y119" s="41"/>
      <c r="Z119" s="29"/>
      <c r="AA119" s="22"/>
      <c r="AB119" s="169">
        <f t="shared" si="107"/>
        <v>0.8</v>
      </c>
      <c r="AC119" s="75">
        <f t="shared" si="108"/>
        <v>0</v>
      </c>
      <c r="AD119" s="171"/>
    </row>
    <row r="120" spans="2:30" x14ac:dyDescent="0.45">
      <c r="B120" s="11"/>
      <c r="C120" s="5" t="s">
        <v>312</v>
      </c>
      <c r="D120" s="11"/>
      <c r="E120" s="11"/>
      <c r="F120" s="29"/>
      <c r="G120" s="22"/>
      <c r="H120" s="169">
        <f t="shared" si="103"/>
        <v>0.8</v>
      </c>
      <c r="I120" s="75">
        <f t="shared" si="104"/>
        <v>0</v>
      </c>
      <c r="J120" s="171"/>
      <c r="L120" s="11"/>
      <c r="M120" s="5" t="s">
        <v>312</v>
      </c>
      <c r="N120" s="11"/>
      <c r="O120" s="11"/>
      <c r="P120" s="29"/>
      <c r="Q120" s="22"/>
      <c r="R120" s="169">
        <f t="shared" si="105"/>
        <v>0.8</v>
      </c>
      <c r="S120" s="75">
        <f t="shared" si="106"/>
        <v>0</v>
      </c>
      <c r="T120" s="171"/>
      <c r="V120" s="41" t="s">
        <v>282</v>
      </c>
      <c r="W120" s="5" t="s">
        <v>380</v>
      </c>
      <c r="X120" s="41"/>
      <c r="Y120" s="41"/>
      <c r="Z120" s="29"/>
      <c r="AA120" s="22"/>
      <c r="AB120" s="169">
        <f t="shared" si="107"/>
        <v>0.8</v>
      </c>
      <c r="AC120" s="75">
        <f t="shared" si="108"/>
        <v>0</v>
      </c>
      <c r="AD120" s="171"/>
    </row>
    <row r="121" spans="2:30" x14ac:dyDescent="0.45">
      <c r="B121" s="11"/>
      <c r="C121" s="5" t="s">
        <v>312</v>
      </c>
      <c r="D121" s="11"/>
      <c r="E121" s="11"/>
      <c r="F121" s="29"/>
      <c r="G121" s="22"/>
      <c r="H121" s="169">
        <f t="shared" si="103"/>
        <v>0.8</v>
      </c>
      <c r="I121" s="75">
        <f t="shared" si="104"/>
        <v>0</v>
      </c>
      <c r="J121" s="171"/>
      <c r="L121" s="11"/>
      <c r="M121" s="5" t="s">
        <v>312</v>
      </c>
      <c r="N121" s="11"/>
      <c r="O121" s="11"/>
      <c r="P121" s="29"/>
      <c r="Q121" s="22"/>
      <c r="R121" s="169">
        <f t="shared" si="105"/>
        <v>0.8</v>
      </c>
      <c r="S121" s="75">
        <f t="shared" si="106"/>
        <v>0</v>
      </c>
      <c r="T121" s="171"/>
      <c r="V121" s="41" t="s">
        <v>282</v>
      </c>
      <c r="W121" s="5" t="s">
        <v>380</v>
      </c>
      <c r="X121" s="41"/>
      <c r="Y121" s="41"/>
      <c r="Z121" s="29"/>
      <c r="AA121" s="22"/>
      <c r="AB121" s="169">
        <f t="shared" si="107"/>
        <v>0.8</v>
      </c>
      <c r="AC121" s="75">
        <f t="shared" si="108"/>
        <v>0</v>
      </c>
      <c r="AD121" s="171"/>
    </row>
    <row r="122" spans="2:30" hidden="1" outlineLevel="1" x14ac:dyDescent="0.45">
      <c r="B122" s="11"/>
      <c r="C122" s="5" t="s">
        <v>312</v>
      </c>
      <c r="D122" s="11"/>
      <c r="E122" s="11"/>
      <c r="F122" s="29"/>
      <c r="G122" s="22"/>
      <c r="H122" s="169">
        <f t="shared" si="103"/>
        <v>0.8</v>
      </c>
      <c r="I122" s="75">
        <f t="shared" si="104"/>
        <v>0</v>
      </c>
      <c r="J122" s="171"/>
      <c r="L122" s="11"/>
      <c r="M122" s="5" t="s">
        <v>312</v>
      </c>
      <c r="N122" s="11"/>
      <c r="O122" s="11"/>
      <c r="P122" s="29"/>
      <c r="Q122" s="22"/>
      <c r="R122" s="169">
        <f t="shared" si="105"/>
        <v>0.8</v>
      </c>
      <c r="S122" s="75">
        <f t="shared" si="106"/>
        <v>0</v>
      </c>
      <c r="T122" s="171"/>
      <c r="V122" s="41" t="s">
        <v>282</v>
      </c>
      <c r="W122" s="5" t="s">
        <v>380</v>
      </c>
      <c r="X122" s="41"/>
      <c r="Y122" s="41"/>
      <c r="Z122" s="29"/>
      <c r="AA122" s="22"/>
      <c r="AB122" s="169">
        <f t="shared" si="107"/>
        <v>0.8</v>
      </c>
      <c r="AC122" s="75">
        <f t="shared" si="108"/>
        <v>0</v>
      </c>
      <c r="AD122" s="171"/>
    </row>
    <row r="123" spans="2:30" hidden="1" outlineLevel="1" x14ac:dyDescent="0.45">
      <c r="B123" s="11"/>
      <c r="C123" s="5" t="s">
        <v>312</v>
      </c>
      <c r="D123" s="11"/>
      <c r="E123" s="11"/>
      <c r="F123" s="29"/>
      <c r="G123" s="22"/>
      <c r="H123" s="169">
        <f t="shared" si="103"/>
        <v>0.8</v>
      </c>
      <c r="I123" s="75">
        <f t="shared" si="104"/>
        <v>0</v>
      </c>
      <c r="J123" s="171"/>
      <c r="L123" s="11"/>
      <c r="M123" s="5" t="s">
        <v>312</v>
      </c>
      <c r="N123" s="11"/>
      <c r="O123" s="11"/>
      <c r="P123" s="29"/>
      <c r="Q123" s="22"/>
      <c r="R123" s="169">
        <f t="shared" si="105"/>
        <v>0.8</v>
      </c>
      <c r="S123" s="75">
        <f t="shared" si="106"/>
        <v>0</v>
      </c>
      <c r="T123" s="171"/>
      <c r="V123" s="41" t="s">
        <v>282</v>
      </c>
      <c r="W123" s="5" t="s">
        <v>380</v>
      </c>
      <c r="X123" s="41"/>
      <c r="Y123" s="41"/>
      <c r="Z123" s="29"/>
      <c r="AA123" s="22"/>
      <c r="AB123" s="169">
        <f t="shared" si="107"/>
        <v>0.8</v>
      </c>
      <c r="AC123" s="75">
        <f t="shared" si="108"/>
        <v>0</v>
      </c>
      <c r="AD123" s="171"/>
    </row>
    <row r="124" spans="2:30" hidden="1" outlineLevel="1" x14ac:dyDescent="0.45">
      <c r="B124" s="11"/>
      <c r="C124" s="5" t="s">
        <v>312</v>
      </c>
      <c r="D124" s="11"/>
      <c r="E124" s="11"/>
      <c r="F124" s="29"/>
      <c r="G124" s="22"/>
      <c r="H124" s="169">
        <f t="shared" si="103"/>
        <v>0.8</v>
      </c>
      <c r="I124" s="75">
        <f t="shared" si="104"/>
        <v>0</v>
      </c>
      <c r="J124" s="171"/>
      <c r="L124" s="11"/>
      <c r="M124" s="5" t="s">
        <v>312</v>
      </c>
      <c r="N124" s="11"/>
      <c r="O124" s="11"/>
      <c r="P124" s="29"/>
      <c r="Q124" s="22"/>
      <c r="R124" s="169">
        <f t="shared" si="105"/>
        <v>0.8</v>
      </c>
      <c r="S124" s="75">
        <f t="shared" si="106"/>
        <v>0</v>
      </c>
      <c r="T124" s="171"/>
      <c r="V124" s="41" t="s">
        <v>282</v>
      </c>
      <c r="W124" s="5" t="s">
        <v>380</v>
      </c>
      <c r="X124" s="41"/>
      <c r="Y124" s="41"/>
      <c r="Z124" s="29"/>
      <c r="AA124" s="22"/>
      <c r="AB124" s="169">
        <f t="shared" si="107"/>
        <v>0.8</v>
      </c>
      <c r="AC124" s="75">
        <f t="shared" si="108"/>
        <v>0</v>
      </c>
      <c r="AD124" s="171"/>
    </row>
    <row r="125" spans="2:30" hidden="1" outlineLevel="1" x14ac:dyDescent="0.45">
      <c r="B125" s="11"/>
      <c r="C125" s="5" t="s">
        <v>312</v>
      </c>
      <c r="D125" s="11"/>
      <c r="E125" s="11"/>
      <c r="F125" s="29"/>
      <c r="G125" s="22"/>
      <c r="H125" s="169">
        <f t="shared" si="103"/>
        <v>0.8</v>
      </c>
      <c r="I125" s="75">
        <f t="shared" si="104"/>
        <v>0</v>
      </c>
      <c r="J125" s="171"/>
      <c r="L125" s="11"/>
      <c r="M125" s="5" t="s">
        <v>312</v>
      </c>
      <c r="N125" s="11"/>
      <c r="O125" s="11"/>
      <c r="P125" s="29"/>
      <c r="Q125" s="22"/>
      <c r="R125" s="169">
        <f t="shared" si="105"/>
        <v>0.8</v>
      </c>
      <c r="S125" s="75">
        <f t="shared" si="106"/>
        <v>0</v>
      </c>
      <c r="T125" s="171"/>
      <c r="V125" s="41" t="s">
        <v>282</v>
      </c>
      <c r="W125" s="5" t="s">
        <v>380</v>
      </c>
      <c r="X125" s="41"/>
      <c r="Y125" s="41"/>
      <c r="Z125" s="29"/>
      <c r="AA125" s="22"/>
      <c r="AB125" s="169">
        <f t="shared" si="107"/>
        <v>0.8</v>
      </c>
      <c r="AC125" s="75">
        <f t="shared" si="108"/>
        <v>0</v>
      </c>
      <c r="AD125" s="171"/>
    </row>
    <row r="126" spans="2:30" hidden="1" outlineLevel="1" x14ac:dyDescent="0.45">
      <c r="B126" s="11"/>
      <c r="C126" s="5" t="s">
        <v>312</v>
      </c>
      <c r="D126" s="11"/>
      <c r="E126" s="11"/>
      <c r="F126" s="29"/>
      <c r="G126" s="22"/>
      <c r="H126" s="169">
        <f t="shared" si="103"/>
        <v>0.8</v>
      </c>
      <c r="I126" s="75">
        <f t="shared" si="104"/>
        <v>0</v>
      </c>
      <c r="J126" s="171"/>
      <c r="L126" s="11"/>
      <c r="M126" s="5" t="s">
        <v>312</v>
      </c>
      <c r="N126" s="11"/>
      <c r="O126" s="11"/>
      <c r="P126" s="29"/>
      <c r="Q126" s="22"/>
      <c r="R126" s="169">
        <f t="shared" si="105"/>
        <v>0.8</v>
      </c>
      <c r="S126" s="75">
        <f t="shared" si="106"/>
        <v>0</v>
      </c>
      <c r="T126" s="171"/>
      <c r="V126" s="41" t="s">
        <v>282</v>
      </c>
      <c r="W126" s="5" t="s">
        <v>380</v>
      </c>
      <c r="X126" s="41"/>
      <c r="Y126" s="41"/>
      <c r="Z126" s="29"/>
      <c r="AA126" s="22"/>
      <c r="AB126" s="169">
        <f t="shared" si="107"/>
        <v>0.8</v>
      </c>
      <c r="AC126" s="75">
        <f t="shared" si="108"/>
        <v>0</v>
      </c>
      <c r="AD126" s="171"/>
    </row>
    <row r="127" spans="2:30" hidden="1" outlineLevel="1" x14ac:dyDescent="0.45">
      <c r="B127" s="11"/>
      <c r="C127" s="5" t="s">
        <v>312</v>
      </c>
      <c r="D127" s="11"/>
      <c r="E127" s="11"/>
      <c r="F127" s="29"/>
      <c r="G127" s="22"/>
      <c r="H127" s="169">
        <f t="shared" si="103"/>
        <v>0.8</v>
      </c>
      <c r="I127" s="75">
        <f t="shared" si="104"/>
        <v>0</v>
      </c>
      <c r="J127" s="171"/>
      <c r="L127" s="11"/>
      <c r="M127" s="5" t="s">
        <v>312</v>
      </c>
      <c r="N127" s="11"/>
      <c r="O127" s="11"/>
      <c r="P127" s="29"/>
      <c r="Q127" s="22"/>
      <c r="R127" s="169">
        <f t="shared" si="105"/>
        <v>0.8</v>
      </c>
      <c r="S127" s="75">
        <f t="shared" si="106"/>
        <v>0</v>
      </c>
      <c r="T127" s="171"/>
      <c r="V127" s="41" t="s">
        <v>282</v>
      </c>
      <c r="W127" s="5" t="s">
        <v>380</v>
      </c>
      <c r="X127" s="41"/>
      <c r="Y127" s="41"/>
      <c r="Z127" s="29"/>
      <c r="AA127" s="22"/>
      <c r="AB127" s="169">
        <f t="shared" si="107"/>
        <v>0.8</v>
      </c>
      <c r="AC127" s="75">
        <f t="shared" si="108"/>
        <v>0</v>
      </c>
      <c r="AD127" s="171"/>
    </row>
    <row r="128" spans="2:30" hidden="1" outlineLevel="1" x14ac:dyDescent="0.45">
      <c r="B128" s="11"/>
      <c r="C128" s="5" t="s">
        <v>312</v>
      </c>
      <c r="D128" s="11"/>
      <c r="E128" s="11"/>
      <c r="F128" s="29"/>
      <c r="G128" s="22"/>
      <c r="H128" s="169">
        <f t="shared" si="103"/>
        <v>0.8</v>
      </c>
      <c r="I128" s="75">
        <f t="shared" si="104"/>
        <v>0</v>
      </c>
      <c r="J128" s="171"/>
      <c r="L128" s="11"/>
      <c r="M128" s="5" t="s">
        <v>312</v>
      </c>
      <c r="N128" s="11"/>
      <c r="O128" s="11"/>
      <c r="P128" s="29"/>
      <c r="Q128" s="22"/>
      <c r="R128" s="169">
        <f t="shared" si="105"/>
        <v>0.8</v>
      </c>
      <c r="S128" s="75">
        <f t="shared" si="106"/>
        <v>0</v>
      </c>
      <c r="T128" s="171"/>
      <c r="V128" s="41" t="s">
        <v>282</v>
      </c>
      <c r="W128" s="5" t="s">
        <v>380</v>
      </c>
      <c r="X128" s="41"/>
      <c r="Y128" s="41"/>
      <c r="Z128" s="29"/>
      <c r="AA128" s="22"/>
      <c r="AB128" s="169">
        <f t="shared" si="107"/>
        <v>0.8</v>
      </c>
      <c r="AC128" s="75">
        <f t="shared" si="108"/>
        <v>0</v>
      </c>
      <c r="AD128" s="171"/>
    </row>
    <row r="129" spans="2:30" hidden="1" outlineLevel="1" x14ac:dyDescent="0.45">
      <c r="B129" s="11"/>
      <c r="C129" s="5" t="s">
        <v>312</v>
      </c>
      <c r="D129" s="11"/>
      <c r="E129" s="11"/>
      <c r="F129" s="29"/>
      <c r="G129" s="22"/>
      <c r="H129" s="169">
        <f t="shared" si="103"/>
        <v>0.8</v>
      </c>
      <c r="I129" s="75">
        <f t="shared" si="104"/>
        <v>0</v>
      </c>
      <c r="J129" s="171"/>
      <c r="L129" s="11"/>
      <c r="M129" s="5" t="s">
        <v>312</v>
      </c>
      <c r="N129" s="11"/>
      <c r="O129" s="11"/>
      <c r="P129" s="29"/>
      <c r="Q129" s="22"/>
      <c r="R129" s="169">
        <f t="shared" si="105"/>
        <v>0.8</v>
      </c>
      <c r="S129" s="75">
        <f t="shared" si="106"/>
        <v>0</v>
      </c>
      <c r="T129" s="171"/>
      <c r="V129" s="41" t="s">
        <v>282</v>
      </c>
      <c r="W129" s="5" t="s">
        <v>380</v>
      </c>
      <c r="X129" s="41"/>
      <c r="Y129" s="41"/>
      <c r="Z129" s="29"/>
      <c r="AA129" s="22"/>
      <c r="AB129" s="169">
        <f t="shared" si="107"/>
        <v>0.8</v>
      </c>
      <c r="AC129" s="75">
        <f t="shared" si="108"/>
        <v>0</v>
      </c>
      <c r="AD129" s="171"/>
    </row>
    <row r="130" spans="2:30" hidden="1" outlineLevel="1" x14ac:dyDescent="0.45">
      <c r="B130" s="11"/>
      <c r="C130" s="5" t="s">
        <v>312</v>
      </c>
      <c r="D130" s="11"/>
      <c r="E130" s="11"/>
      <c r="F130" s="29"/>
      <c r="G130" s="22"/>
      <c r="H130" s="169">
        <f t="shared" si="103"/>
        <v>0.8</v>
      </c>
      <c r="I130" s="75">
        <f t="shared" si="104"/>
        <v>0</v>
      </c>
      <c r="J130" s="171"/>
      <c r="L130" s="11"/>
      <c r="M130" s="5" t="s">
        <v>312</v>
      </c>
      <c r="N130" s="11"/>
      <c r="O130" s="11"/>
      <c r="P130" s="29"/>
      <c r="Q130" s="22"/>
      <c r="R130" s="169">
        <f t="shared" si="105"/>
        <v>0.8</v>
      </c>
      <c r="S130" s="75">
        <f t="shared" si="106"/>
        <v>0</v>
      </c>
      <c r="T130" s="171"/>
      <c r="V130" s="41" t="s">
        <v>282</v>
      </c>
      <c r="W130" s="5" t="s">
        <v>380</v>
      </c>
      <c r="X130" s="41"/>
      <c r="Y130" s="41"/>
      <c r="Z130" s="29"/>
      <c r="AA130" s="22"/>
      <c r="AB130" s="169">
        <f t="shared" si="107"/>
        <v>0.8</v>
      </c>
      <c r="AC130" s="75">
        <f t="shared" si="108"/>
        <v>0</v>
      </c>
      <c r="AD130" s="171"/>
    </row>
    <row r="131" spans="2:30" s="24" customFormat="1" collapsed="1" x14ac:dyDescent="0.45">
      <c r="B131" s="8" t="str">
        <f>"Total "&amp;B115</f>
        <v>Total Facility (Bank Trade - Funded)</v>
      </c>
      <c r="C131" s="25"/>
      <c r="D131" s="28">
        <f>SUM(D116:D130)</f>
        <v>0</v>
      </c>
      <c r="E131" s="28">
        <f>SUM(E116:E130)</f>
        <v>0</v>
      </c>
      <c r="F131" s="30"/>
      <c r="G131" s="25"/>
      <c r="H131" s="168">
        <v>0.8</v>
      </c>
      <c r="I131" s="28">
        <f>SUM(I116:I130)</f>
        <v>0</v>
      </c>
      <c r="J131" s="170"/>
      <c r="L131" s="8" t="str">
        <f>"Total "&amp;L115</f>
        <v>Total Facility (Bank Trade - Funded)</v>
      </c>
      <c r="M131" s="25"/>
      <c r="N131" s="28">
        <f>SUM(N116:N130)</f>
        <v>0</v>
      </c>
      <c r="O131" s="28">
        <f>SUM(O116:O130)</f>
        <v>0</v>
      </c>
      <c r="P131" s="30"/>
      <c r="Q131" s="25"/>
      <c r="R131" s="168">
        <v>0.8</v>
      </c>
      <c r="S131" s="28">
        <f>SUM(S116:S130)</f>
        <v>0</v>
      </c>
      <c r="T131" s="170"/>
      <c r="V131" s="8" t="str">
        <f>"Total "&amp;V115</f>
        <v>Total Facility (Bank Trade - Funded)</v>
      </c>
      <c r="W131" s="25"/>
      <c r="X131" s="28">
        <f>SUM(X116:X130)</f>
        <v>0</v>
      </c>
      <c r="Y131" s="28">
        <f>SUM(Y116:Y130)</f>
        <v>0</v>
      </c>
      <c r="Z131" s="30"/>
      <c r="AA131" s="25"/>
      <c r="AB131" s="168">
        <v>0.8</v>
      </c>
      <c r="AC131" s="28">
        <f>SUM(AC116:AC130)</f>
        <v>0</v>
      </c>
      <c r="AD131" s="170"/>
    </row>
    <row r="133" spans="2:30" s="20" customFormat="1" ht="39.4" x14ac:dyDescent="0.45">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5" t="str">
        <f>B133</f>
        <v>Facility (Bank Trade - Non Funded)</v>
      </c>
      <c r="M133" s="176" t="str">
        <f t="shared" ref="M133" si="110">C133</f>
        <v>Source</v>
      </c>
      <c r="N133" s="176" t="str">
        <f t="shared" ref="N133" si="111">D133</f>
        <v>Limit (A)</v>
      </c>
      <c r="O133" s="176" t="str">
        <f t="shared" ref="O133" si="112">E133</f>
        <v>Outstanding (A1)</v>
      </c>
      <c r="P133" s="176" t="str">
        <f t="shared" ref="P133" si="113">F133</f>
        <v>Monthly Repayment (B)</v>
      </c>
      <c r="Q133" s="176" t="str">
        <f t="shared" ref="Q133" si="114">G133</f>
        <v>Interest Rate (C)</v>
      </c>
      <c r="R133" s="176" t="str">
        <f t="shared" ref="R133" si="115">H133</f>
        <v>Factor (D)</v>
      </c>
      <c r="S133" s="176" t="str">
        <f t="shared" ref="S133" si="116">I133</f>
        <v>Interest (E) = (A or A1) * (C) * (D)</v>
      </c>
      <c r="T133" s="176" t="str">
        <f t="shared" ref="T133" si="117">J133</f>
        <v>Code Of Conduct</v>
      </c>
      <c r="V133" s="175" t="str">
        <f>L133</f>
        <v>Facility (Bank Trade - Non Funded)</v>
      </c>
      <c r="W133" s="176" t="str">
        <f t="shared" ref="W133" si="118">M133</f>
        <v>Source</v>
      </c>
      <c r="X133" s="176" t="str">
        <f t="shared" ref="X133" si="119">N133</f>
        <v>Limit (A)</v>
      </c>
      <c r="Y133" s="176" t="str">
        <f t="shared" ref="Y133" si="120">O133</f>
        <v>Outstanding (A1)</v>
      </c>
      <c r="Z133" s="176" t="str">
        <f t="shared" ref="Z133" si="121">P133</f>
        <v>Monthly Repayment (B)</v>
      </c>
      <c r="AA133" s="176" t="str">
        <f t="shared" ref="AA133" si="122">Q133</f>
        <v>Interest Rate (C)</v>
      </c>
      <c r="AB133" s="176" t="str">
        <f t="shared" ref="AB133" si="123">R133</f>
        <v>Factor (D)</v>
      </c>
      <c r="AC133" s="176" t="str">
        <f t="shared" ref="AC133" si="124">S133</f>
        <v>Interest (E) = (A or A1) * (C) * (D)</v>
      </c>
      <c r="AD133" s="176" t="str">
        <f t="shared" ref="AD133" si="125">T133</f>
        <v>Code Of Conduct</v>
      </c>
    </row>
    <row r="134" spans="2:30" x14ac:dyDescent="0.45">
      <c r="B134" s="11"/>
      <c r="C134" s="5" t="s">
        <v>312</v>
      </c>
      <c r="D134" s="11"/>
      <c r="E134" s="11"/>
      <c r="F134" s="29"/>
      <c r="G134" s="22"/>
      <c r="H134" s="169">
        <f>H$149</f>
        <v>1</v>
      </c>
      <c r="I134" s="75">
        <f>D134*G134*H134</f>
        <v>0</v>
      </c>
      <c r="J134" s="171"/>
      <c r="L134" s="11"/>
      <c r="M134" s="5" t="s">
        <v>309</v>
      </c>
      <c r="N134" s="11"/>
      <c r="O134" s="11"/>
      <c r="P134" s="29"/>
      <c r="Q134" s="22"/>
      <c r="R134" s="169">
        <f>R$149</f>
        <v>1</v>
      </c>
      <c r="S134" s="75">
        <f>N134*Q134*R134</f>
        <v>0</v>
      </c>
      <c r="T134" s="171"/>
      <c r="V134" s="41" t="s">
        <v>282</v>
      </c>
      <c r="W134" s="5" t="s">
        <v>380</v>
      </c>
      <c r="X134" s="41"/>
      <c r="Y134" s="41"/>
      <c r="Z134" s="29"/>
      <c r="AA134" s="22"/>
      <c r="AB134" s="169">
        <f>AB$149</f>
        <v>1</v>
      </c>
      <c r="AC134" s="75">
        <f>X134*AA134*AB134</f>
        <v>0</v>
      </c>
      <c r="AD134" s="171"/>
    </row>
    <row r="135" spans="2:30" x14ac:dyDescent="0.45">
      <c r="B135" s="11"/>
      <c r="C135" s="5" t="s">
        <v>312</v>
      </c>
      <c r="D135" s="11"/>
      <c r="E135" s="11"/>
      <c r="F135" s="29"/>
      <c r="G135" s="22"/>
      <c r="H135" s="169">
        <f t="shared" ref="H135:H148" si="126">H$149</f>
        <v>1</v>
      </c>
      <c r="I135" s="75">
        <f t="shared" ref="I135:I148" si="127">D135*G135*H135</f>
        <v>0</v>
      </c>
      <c r="J135" s="171"/>
      <c r="L135" s="11"/>
      <c r="M135" s="5" t="s">
        <v>312</v>
      </c>
      <c r="N135" s="11"/>
      <c r="O135" s="11"/>
      <c r="P135" s="29"/>
      <c r="Q135" s="22"/>
      <c r="R135" s="169">
        <f t="shared" ref="R135:R148" si="128">R$149</f>
        <v>1</v>
      </c>
      <c r="S135" s="75">
        <f t="shared" ref="S135:S148" si="129">N135*Q135*R135</f>
        <v>0</v>
      </c>
      <c r="T135" s="171"/>
      <c r="V135" s="41" t="s">
        <v>282</v>
      </c>
      <c r="W135" s="5" t="s">
        <v>380</v>
      </c>
      <c r="X135" s="41"/>
      <c r="Y135" s="41"/>
      <c r="Z135" s="29"/>
      <c r="AA135" s="22"/>
      <c r="AB135" s="169">
        <f t="shared" ref="AB135:AB148" si="130">AB$149</f>
        <v>1</v>
      </c>
      <c r="AC135" s="75">
        <f t="shared" ref="AC135:AC148" si="131">X135*AA135*AB135</f>
        <v>0</v>
      </c>
      <c r="AD135" s="171"/>
    </row>
    <row r="136" spans="2:30" x14ac:dyDescent="0.45">
      <c r="B136" s="11"/>
      <c r="C136" s="5" t="s">
        <v>312</v>
      </c>
      <c r="D136" s="11"/>
      <c r="E136" s="11"/>
      <c r="F136" s="29"/>
      <c r="G136" s="22"/>
      <c r="H136" s="169">
        <f t="shared" si="126"/>
        <v>1</v>
      </c>
      <c r="I136" s="75">
        <f t="shared" si="127"/>
        <v>0</v>
      </c>
      <c r="J136" s="171"/>
      <c r="L136" s="11"/>
      <c r="M136" s="5" t="s">
        <v>312</v>
      </c>
      <c r="N136" s="11"/>
      <c r="O136" s="11"/>
      <c r="P136" s="29"/>
      <c r="Q136" s="22"/>
      <c r="R136" s="169">
        <f t="shared" si="128"/>
        <v>1</v>
      </c>
      <c r="S136" s="75">
        <f t="shared" si="129"/>
        <v>0</v>
      </c>
      <c r="T136" s="171"/>
      <c r="V136" s="41" t="s">
        <v>282</v>
      </c>
      <c r="W136" s="5" t="s">
        <v>380</v>
      </c>
      <c r="X136" s="41"/>
      <c r="Y136" s="41"/>
      <c r="Z136" s="29"/>
      <c r="AA136" s="22"/>
      <c r="AB136" s="169">
        <f t="shared" si="130"/>
        <v>1</v>
      </c>
      <c r="AC136" s="75">
        <f t="shared" si="131"/>
        <v>0</v>
      </c>
      <c r="AD136" s="171"/>
    </row>
    <row r="137" spans="2:30" x14ac:dyDescent="0.45">
      <c r="B137" s="11"/>
      <c r="C137" s="5" t="s">
        <v>312</v>
      </c>
      <c r="D137" s="11"/>
      <c r="E137" s="11"/>
      <c r="F137" s="29"/>
      <c r="G137" s="22"/>
      <c r="H137" s="169">
        <f t="shared" si="126"/>
        <v>1</v>
      </c>
      <c r="I137" s="75">
        <f t="shared" si="127"/>
        <v>0</v>
      </c>
      <c r="J137" s="171"/>
      <c r="L137" s="11"/>
      <c r="M137" s="5" t="s">
        <v>312</v>
      </c>
      <c r="N137" s="11"/>
      <c r="O137" s="11"/>
      <c r="P137" s="29"/>
      <c r="Q137" s="22"/>
      <c r="R137" s="169">
        <f t="shared" si="128"/>
        <v>1</v>
      </c>
      <c r="S137" s="75">
        <f t="shared" si="129"/>
        <v>0</v>
      </c>
      <c r="T137" s="171"/>
      <c r="V137" s="41" t="s">
        <v>282</v>
      </c>
      <c r="W137" s="5" t="s">
        <v>380</v>
      </c>
      <c r="X137" s="41"/>
      <c r="Y137" s="41"/>
      <c r="Z137" s="29"/>
      <c r="AA137" s="22"/>
      <c r="AB137" s="169">
        <f t="shared" si="130"/>
        <v>1</v>
      </c>
      <c r="AC137" s="75">
        <f t="shared" si="131"/>
        <v>0</v>
      </c>
      <c r="AD137" s="171"/>
    </row>
    <row r="138" spans="2:30" x14ac:dyDescent="0.45">
      <c r="B138" s="11"/>
      <c r="C138" s="5" t="s">
        <v>312</v>
      </c>
      <c r="D138" s="11"/>
      <c r="E138" s="11"/>
      <c r="F138" s="29"/>
      <c r="G138" s="22"/>
      <c r="H138" s="169">
        <f t="shared" si="126"/>
        <v>1</v>
      </c>
      <c r="I138" s="75">
        <f t="shared" si="127"/>
        <v>0</v>
      </c>
      <c r="J138" s="171"/>
      <c r="L138" s="11"/>
      <c r="M138" s="5" t="s">
        <v>312</v>
      </c>
      <c r="N138" s="11"/>
      <c r="O138" s="11"/>
      <c r="P138" s="29"/>
      <c r="Q138" s="22"/>
      <c r="R138" s="169">
        <f t="shared" si="128"/>
        <v>1</v>
      </c>
      <c r="S138" s="75">
        <f t="shared" si="129"/>
        <v>0</v>
      </c>
      <c r="T138" s="171"/>
      <c r="V138" s="41" t="s">
        <v>282</v>
      </c>
      <c r="W138" s="5" t="s">
        <v>380</v>
      </c>
      <c r="X138" s="41"/>
      <c r="Y138" s="41"/>
      <c r="Z138" s="29"/>
      <c r="AA138" s="22"/>
      <c r="AB138" s="169">
        <f t="shared" si="130"/>
        <v>1</v>
      </c>
      <c r="AC138" s="75">
        <f t="shared" si="131"/>
        <v>0</v>
      </c>
      <c r="AD138" s="171"/>
    </row>
    <row r="139" spans="2:30" x14ac:dyDescent="0.45">
      <c r="B139" s="11"/>
      <c r="C139" s="5" t="s">
        <v>312</v>
      </c>
      <c r="D139" s="11"/>
      <c r="E139" s="11"/>
      <c r="F139" s="29"/>
      <c r="G139" s="22"/>
      <c r="H139" s="169">
        <f t="shared" si="126"/>
        <v>1</v>
      </c>
      <c r="I139" s="75">
        <f t="shared" si="127"/>
        <v>0</v>
      </c>
      <c r="J139" s="171"/>
      <c r="L139" s="11"/>
      <c r="M139" s="5" t="s">
        <v>312</v>
      </c>
      <c r="N139" s="11"/>
      <c r="O139" s="11"/>
      <c r="P139" s="29"/>
      <c r="Q139" s="22"/>
      <c r="R139" s="169">
        <f t="shared" si="128"/>
        <v>1</v>
      </c>
      <c r="S139" s="75">
        <f t="shared" si="129"/>
        <v>0</v>
      </c>
      <c r="T139" s="171"/>
      <c r="V139" s="41" t="s">
        <v>282</v>
      </c>
      <c r="W139" s="5" t="s">
        <v>380</v>
      </c>
      <c r="X139" s="41"/>
      <c r="Y139" s="41"/>
      <c r="Z139" s="29"/>
      <c r="AA139" s="22"/>
      <c r="AB139" s="169">
        <f t="shared" si="130"/>
        <v>1</v>
      </c>
      <c r="AC139" s="75">
        <f t="shared" si="131"/>
        <v>0</v>
      </c>
      <c r="AD139" s="171"/>
    </row>
    <row r="140" spans="2:30" hidden="1" outlineLevel="1" x14ac:dyDescent="0.45">
      <c r="B140" s="11"/>
      <c r="C140" s="5" t="s">
        <v>312</v>
      </c>
      <c r="D140" s="11"/>
      <c r="E140" s="11"/>
      <c r="F140" s="29"/>
      <c r="G140" s="22"/>
      <c r="H140" s="169">
        <f t="shared" si="126"/>
        <v>1</v>
      </c>
      <c r="I140" s="75">
        <f t="shared" si="127"/>
        <v>0</v>
      </c>
      <c r="J140" s="171"/>
      <c r="L140" s="11"/>
      <c r="M140" s="5" t="s">
        <v>312</v>
      </c>
      <c r="N140" s="11"/>
      <c r="O140" s="11"/>
      <c r="P140" s="29"/>
      <c r="Q140" s="22"/>
      <c r="R140" s="169">
        <f t="shared" si="128"/>
        <v>1</v>
      </c>
      <c r="S140" s="75">
        <f t="shared" si="129"/>
        <v>0</v>
      </c>
      <c r="T140" s="171"/>
      <c r="V140" s="41" t="s">
        <v>282</v>
      </c>
      <c r="W140" s="5" t="s">
        <v>380</v>
      </c>
      <c r="X140" s="41"/>
      <c r="Y140" s="41"/>
      <c r="Z140" s="29"/>
      <c r="AA140" s="22"/>
      <c r="AB140" s="169">
        <f t="shared" si="130"/>
        <v>1</v>
      </c>
      <c r="AC140" s="75">
        <f t="shared" si="131"/>
        <v>0</v>
      </c>
      <c r="AD140" s="171"/>
    </row>
    <row r="141" spans="2:30" hidden="1" outlineLevel="1" x14ac:dyDescent="0.45">
      <c r="B141" s="11"/>
      <c r="C141" s="5" t="s">
        <v>312</v>
      </c>
      <c r="D141" s="11"/>
      <c r="E141" s="11"/>
      <c r="F141" s="29"/>
      <c r="G141" s="22"/>
      <c r="H141" s="169">
        <f t="shared" si="126"/>
        <v>1</v>
      </c>
      <c r="I141" s="75">
        <f t="shared" si="127"/>
        <v>0</v>
      </c>
      <c r="J141" s="171"/>
      <c r="L141" s="11"/>
      <c r="M141" s="5" t="s">
        <v>312</v>
      </c>
      <c r="N141" s="11"/>
      <c r="O141" s="11"/>
      <c r="P141" s="29"/>
      <c r="Q141" s="22"/>
      <c r="R141" s="169">
        <f t="shared" si="128"/>
        <v>1</v>
      </c>
      <c r="S141" s="75">
        <f t="shared" si="129"/>
        <v>0</v>
      </c>
      <c r="T141" s="171"/>
      <c r="V141" s="41" t="s">
        <v>282</v>
      </c>
      <c r="W141" s="5" t="s">
        <v>380</v>
      </c>
      <c r="X141" s="41"/>
      <c r="Y141" s="41"/>
      <c r="Z141" s="29"/>
      <c r="AA141" s="22"/>
      <c r="AB141" s="169">
        <f t="shared" si="130"/>
        <v>1</v>
      </c>
      <c r="AC141" s="75">
        <f t="shared" si="131"/>
        <v>0</v>
      </c>
      <c r="AD141" s="171"/>
    </row>
    <row r="142" spans="2:30" hidden="1" outlineLevel="1" x14ac:dyDescent="0.45">
      <c r="B142" s="11"/>
      <c r="C142" s="5" t="s">
        <v>312</v>
      </c>
      <c r="D142" s="11"/>
      <c r="E142" s="11"/>
      <c r="F142" s="29"/>
      <c r="G142" s="22"/>
      <c r="H142" s="169">
        <f t="shared" si="126"/>
        <v>1</v>
      </c>
      <c r="I142" s="75">
        <f t="shared" si="127"/>
        <v>0</v>
      </c>
      <c r="J142" s="171"/>
      <c r="L142" s="11"/>
      <c r="M142" s="5" t="s">
        <v>312</v>
      </c>
      <c r="N142" s="11"/>
      <c r="O142" s="11"/>
      <c r="P142" s="29"/>
      <c r="Q142" s="22"/>
      <c r="R142" s="169">
        <f t="shared" si="128"/>
        <v>1</v>
      </c>
      <c r="S142" s="75">
        <f t="shared" si="129"/>
        <v>0</v>
      </c>
      <c r="T142" s="171"/>
      <c r="V142" s="41" t="s">
        <v>282</v>
      </c>
      <c r="W142" s="5" t="s">
        <v>380</v>
      </c>
      <c r="X142" s="41"/>
      <c r="Y142" s="41"/>
      <c r="Z142" s="29"/>
      <c r="AA142" s="22"/>
      <c r="AB142" s="169">
        <f t="shared" si="130"/>
        <v>1</v>
      </c>
      <c r="AC142" s="75">
        <f t="shared" si="131"/>
        <v>0</v>
      </c>
      <c r="AD142" s="171"/>
    </row>
    <row r="143" spans="2:30" hidden="1" outlineLevel="1" x14ac:dyDescent="0.45">
      <c r="B143" s="11"/>
      <c r="C143" s="5" t="s">
        <v>312</v>
      </c>
      <c r="D143" s="11"/>
      <c r="E143" s="11"/>
      <c r="F143" s="29"/>
      <c r="G143" s="22"/>
      <c r="H143" s="169">
        <f t="shared" si="126"/>
        <v>1</v>
      </c>
      <c r="I143" s="75">
        <f t="shared" si="127"/>
        <v>0</v>
      </c>
      <c r="J143" s="171"/>
      <c r="L143" s="11"/>
      <c r="M143" s="5" t="s">
        <v>312</v>
      </c>
      <c r="N143" s="11"/>
      <c r="O143" s="11"/>
      <c r="P143" s="29"/>
      <c r="Q143" s="22"/>
      <c r="R143" s="169">
        <f t="shared" si="128"/>
        <v>1</v>
      </c>
      <c r="S143" s="75">
        <f t="shared" si="129"/>
        <v>0</v>
      </c>
      <c r="T143" s="171"/>
      <c r="V143" s="41" t="s">
        <v>282</v>
      </c>
      <c r="W143" s="5" t="s">
        <v>380</v>
      </c>
      <c r="X143" s="41"/>
      <c r="Y143" s="41"/>
      <c r="Z143" s="29"/>
      <c r="AA143" s="22"/>
      <c r="AB143" s="169">
        <f t="shared" si="130"/>
        <v>1</v>
      </c>
      <c r="AC143" s="75">
        <f t="shared" si="131"/>
        <v>0</v>
      </c>
      <c r="AD143" s="171"/>
    </row>
    <row r="144" spans="2:30" hidden="1" outlineLevel="1" x14ac:dyDescent="0.45">
      <c r="B144" s="11"/>
      <c r="C144" s="5" t="s">
        <v>312</v>
      </c>
      <c r="D144" s="11"/>
      <c r="E144" s="11"/>
      <c r="F144" s="29"/>
      <c r="G144" s="22"/>
      <c r="H144" s="169">
        <f t="shared" si="126"/>
        <v>1</v>
      </c>
      <c r="I144" s="75">
        <f t="shared" si="127"/>
        <v>0</v>
      </c>
      <c r="J144" s="171"/>
      <c r="L144" s="11"/>
      <c r="M144" s="5" t="s">
        <v>312</v>
      </c>
      <c r="N144" s="11"/>
      <c r="O144" s="11"/>
      <c r="P144" s="29"/>
      <c r="Q144" s="22"/>
      <c r="R144" s="169">
        <f t="shared" si="128"/>
        <v>1</v>
      </c>
      <c r="S144" s="75">
        <f t="shared" si="129"/>
        <v>0</v>
      </c>
      <c r="T144" s="171"/>
      <c r="V144" s="41" t="s">
        <v>282</v>
      </c>
      <c r="W144" s="5" t="s">
        <v>380</v>
      </c>
      <c r="X144" s="41"/>
      <c r="Y144" s="41"/>
      <c r="Z144" s="29"/>
      <c r="AA144" s="22"/>
      <c r="AB144" s="169">
        <f t="shared" si="130"/>
        <v>1</v>
      </c>
      <c r="AC144" s="75">
        <f t="shared" si="131"/>
        <v>0</v>
      </c>
      <c r="AD144" s="171"/>
    </row>
    <row r="145" spans="2:30" hidden="1" outlineLevel="1" x14ac:dyDescent="0.45">
      <c r="B145" s="11"/>
      <c r="C145" s="5" t="s">
        <v>312</v>
      </c>
      <c r="D145" s="11"/>
      <c r="E145" s="11"/>
      <c r="F145" s="29"/>
      <c r="G145" s="22"/>
      <c r="H145" s="169">
        <f t="shared" si="126"/>
        <v>1</v>
      </c>
      <c r="I145" s="75">
        <f t="shared" si="127"/>
        <v>0</v>
      </c>
      <c r="J145" s="171"/>
      <c r="L145" s="11"/>
      <c r="M145" s="5" t="s">
        <v>312</v>
      </c>
      <c r="N145" s="11"/>
      <c r="O145" s="11"/>
      <c r="P145" s="29"/>
      <c r="Q145" s="22"/>
      <c r="R145" s="169">
        <f t="shared" si="128"/>
        <v>1</v>
      </c>
      <c r="S145" s="75">
        <f t="shared" si="129"/>
        <v>0</v>
      </c>
      <c r="T145" s="171"/>
      <c r="V145" s="41" t="s">
        <v>282</v>
      </c>
      <c r="W145" s="5" t="s">
        <v>380</v>
      </c>
      <c r="X145" s="41"/>
      <c r="Y145" s="41"/>
      <c r="Z145" s="29"/>
      <c r="AA145" s="22"/>
      <c r="AB145" s="169">
        <f t="shared" si="130"/>
        <v>1</v>
      </c>
      <c r="AC145" s="75">
        <f t="shared" si="131"/>
        <v>0</v>
      </c>
      <c r="AD145" s="171"/>
    </row>
    <row r="146" spans="2:30" hidden="1" outlineLevel="1" x14ac:dyDescent="0.45">
      <c r="B146" s="11"/>
      <c r="C146" s="5" t="s">
        <v>312</v>
      </c>
      <c r="D146" s="11"/>
      <c r="E146" s="11"/>
      <c r="F146" s="29"/>
      <c r="G146" s="22"/>
      <c r="H146" s="169">
        <f t="shared" si="126"/>
        <v>1</v>
      </c>
      <c r="I146" s="75">
        <f t="shared" si="127"/>
        <v>0</v>
      </c>
      <c r="J146" s="171"/>
      <c r="L146" s="11"/>
      <c r="M146" s="5" t="s">
        <v>312</v>
      </c>
      <c r="N146" s="11"/>
      <c r="O146" s="11"/>
      <c r="P146" s="29"/>
      <c r="Q146" s="22"/>
      <c r="R146" s="169">
        <f t="shared" si="128"/>
        <v>1</v>
      </c>
      <c r="S146" s="75">
        <f t="shared" si="129"/>
        <v>0</v>
      </c>
      <c r="T146" s="171"/>
      <c r="V146" s="41" t="s">
        <v>282</v>
      </c>
      <c r="W146" s="5" t="s">
        <v>380</v>
      </c>
      <c r="X146" s="41"/>
      <c r="Y146" s="41"/>
      <c r="Z146" s="29"/>
      <c r="AA146" s="22"/>
      <c r="AB146" s="169">
        <f t="shared" si="130"/>
        <v>1</v>
      </c>
      <c r="AC146" s="75">
        <f t="shared" si="131"/>
        <v>0</v>
      </c>
      <c r="AD146" s="171"/>
    </row>
    <row r="147" spans="2:30" hidden="1" outlineLevel="1" x14ac:dyDescent="0.45">
      <c r="B147" s="11"/>
      <c r="C147" s="5" t="s">
        <v>312</v>
      </c>
      <c r="D147" s="11"/>
      <c r="E147" s="11"/>
      <c r="F147" s="29"/>
      <c r="G147" s="22"/>
      <c r="H147" s="169">
        <f t="shared" si="126"/>
        <v>1</v>
      </c>
      <c r="I147" s="75">
        <f t="shared" si="127"/>
        <v>0</v>
      </c>
      <c r="J147" s="171"/>
      <c r="L147" s="11"/>
      <c r="M147" s="5" t="s">
        <v>312</v>
      </c>
      <c r="N147" s="11"/>
      <c r="O147" s="11"/>
      <c r="P147" s="29"/>
      <c r="Q147" s="22"/>
      <c r="R147" s="169">
        <f t="shared" si="128"/>
        <v>1</v>
      </c>
      <c r="S147" s="75">
        <f t="shared" si="129"/>
        <v>0</v>
      </c>
      <c r="T147" s="171"/>
      <c r="V147" s="41" t="s">
        <v>282</v>
      </c>
      <c r="W147" s="5" t="s">
        <v>380</v>
      </c>
      <c r="X147" s="41"/>
      <c r="Y147" s="41"/>
      <c r="Z147" s="29"/>
      <c r="AA147" s="22"/>
      <c r="AB147" s="169">
        <f t="shared" si="130"/>
        <v>1</v>
      </c>
      <c r="AC147" s="75">
        <f t="shared" si="131"/>
        <v>0</v>
      </c>
      <c r="AD147" s="171"/>
    </row>
    <row r="148" spans="2:30" hidden="1" outlineLevel="1" x14ac:dyDescent="0.45">
      <c r="B148" s="11"/>
      <c r="C148" s="5" t="s">
        <v>312</v>
      </c>
      <c r="D148" s="11"/>
      <c r="E148" s="11"/>
      <c r="F148" s="29"/>
      <c r="G148" s="22"/>
      <c r="H148" s="169">
        <f t="shared" si="126"/>
        <v>1</v>
      </c>
      <c r="I148" s="75">
        <f t="shared" si="127"/>
        <v>0</v>
      </c>
      <c r="J148" s="171"/>
      <c r="L148" s="11"/>
      <c r="M148" s="5" t="s">
        <v>312</v>
      </c>
      <c r="N148" s="11"/>
      <c r="O148" s="11"/>
      <c r="P148" s="29"/>
      <c r="Q148" s="22"/>
      <c r="R148" s="169">
        <f t="shared" si="128"/>
        <v>1</v>
      </c>
      <c r="S148" s="75">
        <f t="shared" si="129"/>
        <v>0</v>
      </c>
      <c r="T148" s="171"/>
      <c r="V148" s="41" t="s">
        <v>282</v>
      </c>
      <c r="W148" s="5" t="s">
        <v>380</v>
      </c>
      <c r="X148" s="41"/>
      <c r="Y148" s="41"/>
      <c r="Z148" s="29"/>
      <c r="AA148" s="22"/>
      <c r="AB148" s="169">
        <f t="shared" si="130"/>
        <v>1</v>
      </c>
      <c r="AC148" s="75">
        <f t="shared" si="131"/>
        <v>0</v>
      </c>
      <c r="AD148" s="171"/>
    </row>
    <row r="149" spans="2:30" s="24" customFormat="1" collapsed="1" x14ac:dyDescent="0.45">
      <c r="B149" s="8" t="str">
        <f>"Total "&amp;B133</f>
        <v>Total Facility (Bank Trade - Non Funded)</v>
      </c>
      <c r="C149" s="25"/>
      <c r="D149" s="28">
        <f>SUM(D134:D148)</f>
        <v>0</v>
      </c>
      <c r="E149" s="28">
        <f>SUM(E134:E148)</f>
        <v>0</v>
      </c>
      <c r="F149" s="30"/>
      <c r="G149" s="25"/>
      <c r="H149" s="168">
        <v>1</v>
      </c>
      <c r="I149" s="28">
        <f>SUM(I134:I148)</f>
        <v>0</v>
      </c>
      <c r="J149" s="170"/>
      <c r="L149" s="8" t="str">
        <f>"Total "&amp;L133</f>
        <v>Total Facility (Bank Trade - Non Funded)</v>
      </c>
      <c r="M149" s="25"/>
      <c r="N149" s="28">
        <f>SUM(N134:N148)</f>
        <v>0</v>
      </c>
      <c r="O149" s="28">
        <f>SUM(O134:O148)</f>
        <v>0</v>
      </c>
      <c r="P149" s="30"/>
      <c r="Q149" s="25"/>
      <c r="R149" s="168">
        <v>1</v>
      </c>
      <c r="S149" s="28">
        <f>SUM(S134:S148)</f>
        <v>0</v>
      </c>
      <c r="T149" s="170"/>
      <c r="V149" s="8" t="str">
        <f>"Total "&amp;V133</f>
        <v>Total Facility (Bank Trade - Non Funded)</v>
      </c>
      <c r="W149" s="25"/>
      <c r="X149" s="28">
        <f>SUM(X134:X148)</f>
        <v>0</v>
      </c>
      <c r="Y149" s="28">
        <f>SUM(Y134:Y148)</f>
        <v>0</v>
      </c>
      <c r="Z149" s="30"/>
      <c r="AA149" s="25"/>
      <c r="AB149" s="168">
        <v>1</v>
      </c>
      <c r="AC149" s="28">
        <f>SUM(AC134:AC148)</f>
        <v>0</v>
      </c>
      <c r="AD149" s="170"/>
    </row>
    <row r="151" spans="2:30" s="20" customFormat="1" ht="39.4" x14ac:dyDescent="0.45">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5" t="str">
        <f>B151</f>
        <v>Facility (Revolving Credit)</v>
      </c>
      <c r="M151" s="176" t="str">
        <f t="shared" ref="M151" si="133">C151</f>
        <v>Source</v>
      </c>
      <c r="N151" s="176" t="str">
        <f t="shared" ref="N151" si="134">D151</f>
        <v>Limit (A)</v>
      </c>
      <c r="O151" s="176" t="str">
        <f t="shared" ref="O151" si="135">E151</f>
        <v>Outstanding (A1)</v>
      </c>
      <c r="P151" s="176" t="str">
        <f t="shared" ref="P151" si="136">F151</f>
        <v>Monthly Repayment (B)</v>
      </c>
      <c r="Q151" s="176" t="str">
        <f t="shared" ref="Q151" si="137">G151</f>
        <v>Interest Rate (C)</v>
      </c>
      <c r="R151" s="176" t="str">
        <f t="shared" ref="R151" si="138">H151</f>
        <v>Factor (D)</v>
      </c>
      <c r="S151" s="176" t="str">
        <f t="shared" ref="S151" si="139">I151</f>
        <v>Interest (E) = (A or A1) * (C) * (D)</v>
      </c>
      <c r="T151" s="176" t="str">
        <f t="shared" ref="T151" si="140">J151</f>
        <v>Code Of Conduct</v>
      </c>
      <c r="V151" s="175" t="str">
        <f>L151</f>
        <v>Facility (Revolving Credit)</v>
      </c>
      <c r="W151" s="176" t="str">
        <f t="shared" ref="W151" si="141">M151</f>
        <v>Source</v>
      </c>
      <c r="X151" s="176" t="str">
        <f t="shared" ref="X151" si="142">N151</f>
        <v>Limit (A)</v>
      </c>
      <c r="Y151" s="176" t="str">
        <f t="shared" ref="Y151" si="143">O151</f>
        <v>Outstanding (A1)</v>
      </c>
      <c r="Z151" s="176" t="str">
        <f t="shared" ref="Z151" si="144">P151</f>
        <v>Monthly Repayment (B)</v>
      </c>
      <c r="AA151" s="176" t="str">
        <f t="shared" ref="AA151" si="145">Q151</f>
        <v>Interest Rate (C)</v>
      </c>
      <c r="AB151" s="176" t="str">
        <f t="shared" ref="AB151" si="146">R151</f>
        <v>Factor (D)</v>
      </c>
      <c r="AC151" s="176" t="str">
        <f t="shared" ref="AC151" si="147">S151</f>
        <v>Interest (E) = (A or A1) * (C) * (D)</v>
      </c>
      <c r="AD151" s="176" t="str">
        <f t="shared" ref="AD151" si="148">T151</f>
        <v>Code Of Conduct</v>
      </c>
    </row>
    <row r="152" spans="2:30" x14ac:dyDescent="0.45">
      <c r="B152" s="11"/>
      <c r="C152" s="5" t="s">
        <v>312</v>
      </c>
      <c r="D152" s="11"/>
      <c r="E152" s="11"/>
      <c r="F152" s="29"/>
      <c r="G152" s="22"/>
      <c r="H152" s="169">
        <f>H$167</f>
        <v>1</v>
      </c>
      <c r="I152" s="75">
        <f>D152*G152*H152</f>
        <v>0</v>
      </c>
      <c r="J152" s="171"/>
      <c r="L152" s="11"/>
      <c r="M152" s="5" t="s">
        <v>309</v>
      </c>
      <c r="N152" s="11"/>
      <c r="O152" s="11"/>
      <c r="P152" s="29"/>
      <c r="Q152" s="22"/>
      <c r="R152" s="169">
        <f>R$167</f>
        <v>1</v>
      </c>
      <c r="S152" s="75">
        <f>N152*Q152*R152</f>
        <v>0</v>
      </c>
      <c r="T152" s="171"/>
      <c r="V152" s="41" t="s">
        <v>282</v>
      </c>
      <c r="W152" s="5" t="s">
        <v>380</v>
      </c>
      <c r="X152" s="41"/>
      <c r="Y152" s="41"/>
      <c r="Z152" s="29"/>
      <c r="AA152" s="22"/>
      <c r="AB152" s="169">
        <f>AB$167</f>
        <v>1</v>
      </c>
      <c r="AC152" s="75">
        <f>X152*AA152*AB152</f>
        <v>0</v>
      </c>
      <c r="AD152" s="171"/>
    </row>
    <row r="153" spans="2:30" x14ac:dyDescent="0.45">
      <c r="B153" s="11"/>
      <c r="C153" s="5" t="s">
        <v>312</v>
      </c>
      <c r="D153" s="11"/>
      <c r="E153" s="11"/>
      <c r="F153" s="29"/>
      <c r="G153" s="22"/>
      <c r="H153" s="169">
        <f t="shared" ref="H153:H166" si="149">H$167</f>
        <v>1</v>
      </c>
      <c r="I153" s="75">
        <f t="shared" ref="I153:I166" si="150">D153*G153*H153</f>
        <v>0</v>
      </c>
      <c r="J153" s="171"/>
      <c r="L153" s="11"/>
      <c r="M153" s="5" t="s">
        <v>312</v>
      </c>
      <c r="N153" s="11"/>
      <c r="O153" s="11"/>
      <c r="P153" s="29"/>
      <c r="Q153" s="22"/>
      <c r="R153" s="169">
        <f t="shared" ref="R153:R166" si="151">R$167</f>
        <v>1</v>
      </c>
      <c r="S153" s="75">
        <f t="shared" ref="S153:S166" si="152">N153*Q153*R153</f>
        <v>0</v>
      </c>
      <c r="T153" s="171"/>
      <c r="V153" s="41" t="s">
        <v>282</v>
      </c>
      <c r="W153" s="5" t="s">
        <v>380</v>
      </c>
      <c r="X153" s="41"/>
      <c r="Y153" s="41"/>
      <c r="Z153" s="29"/>
      <c r="AA153" s="22"/>
      <c r="AB153" s="169">
        <f t="shared" ref="AB153:AB166" si="153">AB$167</f>
        <v>1</v>
      </c>
      <c r="AC153" s="75">
        <f t="shared" ref="AC153:AC166" si="154">X153*AA153*AB153</f>
        <v>0</v>
      </c>
      <c r="AD153" s="171"/>
    </row>
    <row r="154" spans="2:30" x14ac:dyDescent="0.45">
      <c r="B154" s="11"/>
      <c r="C154" s="5" t="s">
        <v>312</v>
      </c>
      <c r="D154" s="11"/>
      <c r="E154" s="11"/>
      <c r="F154" s="29"/>
      <c r="G154" s="22"/>
      <c r="H154" s="169">
        <f t="shared" si="149"/>
        <v>1</v>
      </c>
      <c r="I154" s="75">
        <f t="shared" si="150"/>
        <v>0</v>
      </c>
      <c r="J154" s="171"/>
      <c r="L154" s="11"/>
      <c r="M154" s="5" t="s">
        <v>312</v>
      </c>
      <c r="N154" s="11"/>
      <c r="O154" s="11"/>
      <c r="P154" s="29"/>
      <c r="Q154" s="22"/>
      <c r="R154" s="169">
        <f t="shared" si="151"/>
        <v>1</v>
      </c>
      <c r="S154" s="75">
        <f t="shared" si="152"/>
        <v>0</v>
      </c>
      <c r="T154" s="171"/>
      <c r="V154" s="41" t="s">
        <v>282</v>
      </c>
      <c r="W154" s="5" t="s">
        <v>380</v>
      </c>
      <c r="X154" s="41"/>
      <c r="Y154" s="41"/>
      <c r="Z154" s="29"/>
      <c r="AA154" s="22"/>
      <c r="AB154" s="169">
        <f t="shared" si="153"/>
        <v>1</v>
      </c>
      <c r="AC154" s="75">
        <f t="shared" si="154"/>
        <v>0</v>
      </c>
      <c r="AD154" s="171"/>
    </row>
    <row r="155" spans="2:30" x14ac:dyDescent="0.45">
      <c r="B155" s="11"/>
      <c r="C155" s="5" t="s">
        <v>312</v>
      </c>
      <c r="D155" s="11"/>
      <c r="E155" s="11"/>
      <c r="F155" s="29"/>
      <c r="G155" s="22"/>
      <c r="H155" s="169">
        <f t="shared" si="149"/>
        <v>1</v>
      </c>
      <c r="I155" s="75">
        <f t="shared" si="150"/>
        <v>0</v>
      </c>
      <c r="J155" s="171"/>
      <c r="L155" s="11"/>
      <c r="M155" s="5" t="s">
        <v>312</v>
      </c>
      <c r="N155" s="11"/>
      <c r="O155" s="11"/>
      <c r="P155" s="29"/>
      <c r="Q155" s="22"/>
      <c r="R155" s="169">
        <f t="shared" si="151"/>
        <v>1</v>
      </c>
      <c r="S155" s="75">
        <f t="shared" si="152"/>
        <v>0</v>
      </c>
      <c r="T155" s="171"/>
      <c r="V155" s="41" t="s">
        <v>282</v>
      </c>
      <c r="W155" s="5" t="s">
        <v>380</v>
      </c>
      <c r="X155" s="41"/>
      <c r="Y155" s="41"/>
      <c r="Z155" s="29"/>
      <c r="AA155" s="22"/>
      <c r="AB155" s="169">
        <f t="shared" si="153"/>
        <v>1</v>
      </c>
      <c r="AC155" s="75">
        <f t="shared" si="154"/>
        <v>0</v>
      </c>
      <c r="AD155" s="171"/>
    </row>
    <row r="156" spans="2:30" x14ac:dyDescent="0.45">
      <c r="B156" s="11"/>
      <c r="C156" s="5" t="s">
        <v>312</v>
      </c>
      <c r="D156" s="11"/>
      <c r="E156" s="11"/>
      <c r="F156" s="29"/>
      <c r="G156" s="22"/>
      <c r="H156" s="169">
        <f t="shared" si="149"/>
        <v>1</v>
      </c>
      <c r="I156" s="75">
        <f t="shared" si="150"/>
        <v>0</v>
      </c>
      <c r="J156" s="171"/>
      <c r="L156" s="11"/>
      <c r="M156" s="5" t="s">
        <v>312</v>
      </c>
      <c r="N156" s="11"/>
      <c r="O156" s="11"/>
      <c r="P156" s="29"/>
      <c r="Q156" s="22"/>
      <c r="R156" s="169">
        <f t="shared" si="151"/>
        <v>1</v>
      </c>
      <c r="S156" s="75">
        <f t="shared" si="152"/>
        <v>0</v>
      </c>
      <c r="T156" s="171"/>
      <c r="V156" s="41" t="s">
        <v>282</v>
      </c>
      <c r="W156" s="5" t="s">
        <v>380</v>
      </c>
      <c r="X156" s="41"/>
      <c r="Y156" s="41"/>
      <c r="Z156" s="29"/>
      <c r="AA156" s="22"/>
      <c r="AB156" s="169">
        <f t="shared" si="153"/>
        <v>1</v>
      </c>
      <c r="AC156" s="75">
        <f t="shared" si="154"/>
        <v>0</v>
      </c>
      <c r="AD156" s="171"/>
    </row>
    <row r="157" spans="2:30" x14ac:dyDescent="0.45">
      <c r="B157" s="11"/>
      <c r="C157" s="5" t="s">
        <v>312</v>
      </c>
      <c r="D157" s="11"/>
      <c r="E157" s="11"/>
      <c r="F157" s="29"/>
      <c r="G157" s="22"/>
      <c r="H157" s="169">
        <f t="shared" si="149"/>
        <v>1</v>
      </c>
      <c r="I157" s="75">
        <f t="shared" si="150"/>
        <v>0</v>
      </c>
      <c r="J157" s="171"/>
      <c r="L157" s="11"/>
      <c r="M157" s="5" t="s">
        <v>312</v>
      </c>
      <c r="N157" s="11"/>
      <c r="O157" s="11"/>
      <c r="P157" s="29"/>
      <c r="Q157" s="22"/>
      <c r="R157" s="169">
        <f t="shared" si="151"/>
        <v>1</v>
      </c>
      <c r="S157" s="75">
        <f t="shared" si="152"/>
        <v>0</v>
      </c>
      <c r="T157" s="171"/>
      <c r="V157" s="41" t="s">
        <v>282</v>
      </c>
      <c r="W157" s="5" t="s">
        <v>380</v>
      </c>
      <c r="X157" s="41"/>
      <c r="Y157" s="41"/>
      <c r="Z157" s="29"/>
      <c r="AA157" s="22"/>
      <c r="AB157" s="169">
        <f t="shared" si="153"/>
        <v>1</v>
      </c>
      <c r="AC157" s="75">
        <f t="shared" si="154"/>
        <v>0</v>
      </c>
      <c r="AD157" s="171"/>
    </row>
    <row r="158" spans="2:30" hidden="1" outlineLevel="1" x14ac:dyDescent="0.45">
      <c r="B158" s="11"/>
      <c r="C158" s="5" t="s">
        <v>312</v>
      </c>
      <c r="D158" s="11"/>
      <c r="E158" s="11"/>
      <c r="F158" s="29"/>
      <c r="G158" s="22"/>
      <c r="H158" s="169">
        <f t="shared" si="149"/>
        <v>1</v>
      </c>
      <c r="I158" s="75">
        <f t="shared" si="150"/>
        <v>0</v>
      </c>
      <c r="J158" s="171"/>
      <c r="L158" s="11"/>
      <c r="M158" s="5" t="s">
        <v>312</v>
      </c>
      <c r="N158" s="11"/>
      <c r="O158" s="11"/>
      <c r="P158" s="29"/>
      <c r="Q158" s="22"/>
      <c r="R158" s="169">
        <f t="shared" si="151"/>
        <v>1</v>
      </c>
      <c r="S158" s="75">
        <f t="shared" si="152"/>
        <v>0</v>
      </c>
      <c r="T158" s="171"/>
      <c r="V158" s="41" t="s">
        <v>282</v>
      </c>
      <c r="W158" s="5" t="s">
        <v>380</v>
      </c>
      <c r="X158" s="41"/>
      <c r="Y158" s="41"/>
      <c r="Z158" s="29"/>
      <c r="AA158" s="22"/>
      <c r="AB158" s="169">
        <f t="shared" si="153"/>
        <v>1</v>
      </c>
      <c r="AC158" s="75">
        <f t="shared" si="154"/>
        <v>0</v>
      </c>
      <c r="AD158" s="171"/>
    </row>
    <row r="159" spans="2:30" hidden="1" outlineLevel="1" x14ac:dyDescent="0.45">
      <c r="B159" s="11"/>
      <c r="C159" s="5" t="s">
        <v>312</v>
      </c>
      <c r="D159" s="11"/>
      <c r="E159" s="11"/>
      <c r="F159" s="29"/>
      <c r="G159" s="22"/>
      <c r="H159" s="169">
        <f t="shared" si="149"/>
        <v>1</v>
      </c>
      <c r="I159" s="75">
        <f t="shared" si="150"/>
        <v>0</v>
      </c>
      <c r="J159" s="171"/>
      <c r="L159" s="11"/>
      <c r="M159" s="5" t="s">
        <v>312</v>
      </c>
      <c r="N159" s="11"/>
      <c r="O159" s="11"/>
      <c r="P159" s="29"/>
      <c r="Q159" s="22"/>
      <c r="R159" s="169">
        <f t="shared" si="151"/>
        <v>1</v>
      </c>
      <c r="S159" s="75">
        <f t="shared" si="152"/>
        <v>0</v>
      </c>
      <c r="T159" s="171"/>
      <c r="V159" s="41" t="s">
        <v>282</v>
      </c>
      <c r="W159" s="5" t="s">
        <v>380</v>
      </c>
      <c r="X159" s="41"/>
      <c r="Y159" s="41"/>
      <c r="Z159" s="29"/>
      <c r="AA159" s="22"/>
      <c r="AB159" s="169">
        <f t="shared" si="153"/>
        <v>1</v>
      </c>
      <c r="AC159" s="75">
        <f t="shared" si="154"/>
        <v>0</v>
      </c>
      <c r="AD159" s="171"/>
    </row>
    <row r="160" spans="2:30" hidden="1" outlineLevel="1" x14ac:dyDescent="0.45">
      <c r="B160" s="11"/>
      <c r="C160" s="5" t="s">
        <v>312</v>
      </c>
      <c r="D160" s="11"/>
      <c r="E160" s="11"/>
      <c r="F160" s="29"/>
      <c r="G160" s="22"/>
      <c r="H160" s="169">
        <f t="shared" si="149"/>
        <v>1</v>
      </c>
      <c r="I160" s="75">
        <f t="shared" si="150"/>
        <v>0</v>
      </c>
      <c r="J160" s="171"/>
      <c r="L160" s="11"/>
      <c r="M160" s="5" t="s">
        <v>312</v>
      </c>
      <c r="N160" s="11"/>
      <c r="O160" s="11"/>
      <c r="P160" s="29"/>
      <c r="Q160" s="22"/>
      <c r="R160" s="169">
        <f t="shared" si="151"/>
        <v>1</v>
      </c>
      <c r="S160" s="75">
        <f t="shared" si="152"/>
        <v>0</v>
      </c>
      <c r="T160" s="171"/>
      <c r="V160" s="41" t="s">
        <v>282</v>
      </c>
      <c r="W160" s="5" t="s">
        <v>380</v>
      </c>
      <c r="X160" s="41"/>
      <c r="Y160" s="41"/>
      <c r="Z160" s="29"/>
      <c r="AA160" s="22"/>
      <c r="AB160" s="169">
        <f t="shared" si="153"/>
        <v>1</v>
      </c>
      <c r="AC160" s="75">
        <f t="shared" si="154"/>
        <v>0</v>
      </c>
      <c r="AD160" s="171"/>
    </row>
    <row r="161" spans="2:30" hidden="1" outlineLevel="1" x14ac:dyDescent="0.45">
      <c r="B161" s="11"/>
      <c r="C161" s="5" t="s">
        <v>312</v>
      </c>
      <c r="D161" s="11"/>
      <c r="E161" s="11"/>
      <c r="F161" s="29"/>
      <c r="G161" s="22"/>
      <c r="H161" s="169">
        <f t="shared" si="149"/>
        <v>1</v>
      </c>
      <c r="I161" s="75">
        <f t="shared" si="150"/>
        <v>0</v>
      </c>
      <c r="J161" s="171"/>
      <c r="L161" s="11"/>
      <c r="M161" s="5" t="s">
        <v>312</v>
      </c>
      <c r="N161" s="11"/>
      <c r="O161" s="11"/>
      <c r="P161" s="29"/>
      <c r="Q161" s="22"/>
      <c r="R161" s="169">
        <f t="shared" si="151"/>
        <v>1</v>
      </c>
      <c r="S161" s="75">
        <f t="shared" si="152"/>
        <v>0</v>
      </c>
      <c r="T161" s="171"/>
      <c r="V161" s="41" t="s">
        <v>282</v>
      </c>
      <c r="W161" s="5" t="s">
        <v>380</v>
      </c>
      <c r="X161" s="41"/>
      <c r="Y161" s="41"/>
      <c r="Z161" s="29"/>
      <c r="AA161" s="22"/>
      <c r="AB161" s="169">
        <f t="shared" si="153"/>
        <v>1</v>
      </c>
      <c r="AC161" s="75">
        <f t="shared" si="154"/>
        <v>0</v>
      </c>
      <c r="AD161" s="171"/>
    </row>
    <row r="162" spans="2:30" hidden="1" outlineLevel="1" x14ac:dyDescent="0.45">
      <c r="B162" s="11"/>
      <c r="C162" s="5" t="s">
        <v>312</v>
      </c>
      <c r="D162" s="11"/>
      <c r="E162" s="11"/>
      <c r="F162" s="29"/>
      <c r="G162" s="22"/>
      <c r="H162" s="169">
        <f t="shared" si="149"/>
        <v>1</v>
      </c>
      <c r="I162" s="75">
        <f t="shared" si="150"/>
        <v>0</v>
      </c>
      <c r="J162" s="171"/>
      <c r="L162" s="11"/>
      <c r="M162" s="5" t="s">
        <v>312</v>
      </c>
      <c r="N162" s="11"/>
      <c r="O162" s="11"/>
      <c r="P162" s="29"/>
      <c r="Q162" s="22"/>
      <c r="R162" s="169">
        <f t="shared" si="151"/>
        <v>1</v>
      </c>
      <c r="S162" s="75">
        <f t="shared" si="152"/>
        <v>0</v>
      </c>
      <c r="T162" s="171"/>
      <c r="V162" s="41" t="s">
        <v>282</v>
      </c>
      <c r="W162" s="5" t="s">
        <v>380</v>
      </c>
      <c r="X162" s="41"/>
      <c r="Y162" s="41"/>
      <c r="Z162" s="29"/>
      <c r="AA162" s="22"/>
      <c r="AB162" s="169">
        <f t="shared" si="153"/>
        <v>1</v>
      </c>
      <c r="AC162" s="75">
        <f t="shared" si="154"/>
        <v>0</v>
      </c>
      <c r="AD162" s="171"/>
    </row>
    <row r="163" spans="2:30" hidden="1" outlineLevel="1" x14ac:dyDescent="0.45">
      <c r="B163" s="11"/>
      <c r="C163" s="5" t="s">
        <v>312</v>
      </c>
      <c r="D163" s="11"/>
      <c r="E163" s="11"/>
      <c r="F163" s="29"/>
      <c r="G163" s="22"/>
      <c r="H163" s="169">
        <f t="shared" si="149"/>
        <v>1</v>
      </c>
      <c r="I163" s="75">
        <f t="shared" si="150"/>
        <v>0</v>
      </c>
      <c r="J163" s="171"/>
      <c r="L163" s="11"/>
      <c r="M163" s="5" t="s">
        <v>312</v>
      </c>
      <c r="N163" s="11"/>
      <c r="O163" s="11"/>
      <c r="P163" s="29"/>
      <c r="Q163" s="22"/>
      <c r="R163" s="169">
        <f t="shared" si="151"/>
        <v>1</v>
      </c>
      <c r="S163" s="75">
        <f t="shared" si="152"/>
        <v>0</v>
      </c>
      <c r="T163" s="171"/>
      <c r="V163" s="41" t="s">
        <v>282</v>
      </c>
      <c r="W163" s="5" t="s">
        <v>380</v>
      </c>
      <c r="X163" s="41"/>
      <c r="Y163" s="41"/>
      <c r="Z163" s="29"/>
      <c r="AA163" s="22"/>
      <c r="AB163" s="169">
        <f t="shared" si="153"/>
        <v>1</v>
      </c>
      <c r="AC163" s="75">
        <f t="shared" si="154"/>
        <v>0</v>
      </c>
      <c r="AD163" s="171"/>
    </row>
    <row r="164" spans="2:30" hidden="1" outlineLevel="1" x14ac:dyDescent="0.45">
      <c r="B164" s="11"/>
      <c r="C164" s="5" t="s">
        <v>312</v>
      </c>
      <c r="D164" s="11"/>
      <c r="E164" s="11"/>
      <c r="F164" s="29"/>
      <c r="G164" s="22"/>
      <c r="H164" s="169">
        <f t="shared" si="149"/>
        <v>1</v>
      </c>
      <c r="I164" s="75">
        <f t="shared" si="150"/>
        <v>0</v>
      </c>
      <c r="J164" s="171"/>
      <c r="L164" s="11"/>
      <c r="M164" s="5" t="s">
        <v>312</v>
      </c>
      <c r="N164" s="11"/>
      <c r="O164" s="11"/>
      <c r="P164" s="29"/>
      <c r="Q164" s="22"/>
      <c r="R164" s="169">
        <f t="shared" si="151"/>
        <v>1</v>
      </c>
      <c r="S164" s="75">
        <f t="shared" si="152"/>
        <v>0</v>
      </c>
      <c r="T164" s="171"/>
      <c r="V164" s="41" t="s">
        <v>282</v>
      </c>
      <c r="W164" s="5" t="s">
        <v>380</v>
      </c>
      <c r="X164" s="41"/>
      <c r="Y164" s="41"/>
      <c r="Z164" s="29"/>
      <c r="AA164" s="22"/>
      <c r="AB164" s="169">
        <f t="shared" si="153"/>
        <v>1</v>
      </c>
      <c r="AC164" s="75">
        <f t="shared" si="154"/>
        <v>0</v>
      </c>
      <c r="AD164" s="171"/>
    </row>
    <row r="165" spans="2:30" hidden="1" outlineLevel="1" x14ac:dyDescent="0.45">
      <c r="B165" s="11"/>
      <c r="C165" s="5" t="s">
        <v>312</v>
      </c>
      <c r="D165" s="11"/>
      <c r="E165" s="11"/>
      <c r="F165" s="29"/>
      <c r="G165" s="22"/>
      <c r="H165" s="169">
        <f t="shared" si="149"/>
        <v>1</v>
      </c>
      <c r="I165" s="75">
        <f t="shared" si="150"/>
        <v>0</v>
      </c>
      <c r="J165" s="171"/>
      <c r="L165" s="11"/>
      <c r="M165" s="5" t="s">
        <v>312</v>
      </c>
      <c r="N165" s="11"/>
      <c r="O165" s="11"/>
      <c r="P165" s="29"/>
      <c r="Q165" s="22"/>
      <c r="R165" s="169">
        <f t="shared" si="151"/>
        <v>1</v>
      </c>
      <c r="S165" s="75">
        <f t="shared" si="152"/>
        <v>0</v>
      </c>
      <c r="T165" s="171"/>
      <c r="V165" s="41" t="s">
        <v>282</v>
      </c>
      <c r="W165" s="5" t="s">
        <v>380</v>
      </c>
      <c r="X165" s="41"/>
      <c r="Y165" s="41"/>
      <c r="Z165" s="29"/>
      <c r="AA165" s="22"/>
      <c r="AB165" s="169">
        <f t="shared" si="153"/>
        <v>1</v>
      </c>
      <c r="AC165" s="75">
        <f t="shared" si="154"/>
        <v>0</v>
      </c>
      <c r="AD165" s="171"/>
    </row>
    <row r="166" spans="2:30" hidden="1" outlineLevel="1" x14ac:dyDescent="0.45">
      <c r="B166" s="11"/>
      <c r="C166" s="5" t="s">
        <v>312</v>
      </c>
      <c r="D166" s="11"/>
      <c r="E166" s="11"/>
      <c r="F166" s="29"/>
      <c r="G166" s="22"/>
      <c r="H166" s="169">
        <f t="shared" si="149"/>
        <v>1</v>
      </c>
      <c r="I166" s="75">
        <f t="shared" si="150"/>
        <v>0</v>
      </c>
      <c r="J166" s="171"/>
      <c r="L166" s="11"/>
      <c r="M166" s="5" t="s">
        <v>312</v>
      </c>
      <c r="N166" s="11"/>
      <c r="O166" s="11"/>
      <c r="P166" s="29"/>
      <c r="Q166" s="22"/>
      <c r="R166" s="169">
        <f t="shared" si="151"/>
        <v>1</v>
      </c>
      <c r="S166" s="75">
        <f t="shared" si="152"/>
        <v>0</v>
      </c>
      <c r="T166" s="171"/>
      <c r="V166" s="41" t="s">
        <v>282</v>
      </c>
      <c r="W166" s="5" t="s">
        <v>380</v>
      </c>
      <c r="X166" s="41"/>
      <c r="Y166" s="41"/>
      <c r="Z166" s="29"/>
      <c r="AA166" s="22"/>
      <c r="AB166" s="169">
        <f t="shared" si="153"/>
        <v>1</v>
      </c>
      <c r="AC166" s="75">
        <f t="shared" si="154"/>
        <v>0</v>
      </c>
      <c r="AD166" s="171"/>
    </row>
    <row r="167" spans="2:30" s="24" customFormat="1" collapsed="1" x14ac:dyDescent="0.45">
      <c r="B167" s="8" t="str">
        <f>"Total "&amp;B151</f>
        <v>Total Facility (Revolving Credit)</v>
      </c>
      <c r="C167" s="25"/>
      <c r="D167" s="28">
        <f>SUM(D152:D166)</f>
        <v>0</v>
      </c>
      <c r="E167" s="28">
        <f>SUM(E152:E166)</f>
        <v>0</v>
      </c>
      <c r="F167" s="30"/>
      <c r="G167" s="25"/>
      <c r="H167" s="168">
        <v>1</v>
      </c>
      <c r="I167" s="28">
        <f>SUM(I152:I166)</f>
        <v>0</v>
      </c>
      <c r="J167" s="170"/>
      <c r="L167" s="8" t="str">
        <f>"Total "&amp;L151</f>
        <v>Total Facility (Revolving Credit)</v>
      </c>
      <c r="M167" s="25"/>
      <c r="N167" s="28">
        <f>SUM(N152:N166)</f>
        <v>0</v>
      </c>
      <c r="O167" s="28">
        <f>SUM(O152:O166)</f>
        <v>0</v>
      </c>
      <c r="P167" s="30"/>
      <c r="Q167" s="25"/>
      <c r="R167" s="168">
        <v>1</v>
      </c>
      <c r="S167" s="28">
        <f>SUM(S152:S166)</f>
        <v>0</v>
      </c>
      <c r="T167" s="170"/>
      <c r="V167" s="8" t="str">
        <f>"Total "&amp;V151</f>
        <v>Total Facility (Revolving Credit)</v>
      </c>
      <c r="W167" s="25"/>
      <c r="X167" s="28">
        <f>SUM(X152:X166)</f>
        <v>0</v>
      </c>
      <c r="Y167" s="28">
        <f>SUM(Y152:Y166)</f>
        <v>0</v>
      </c>
      <c r="Z167" s="30"/>
      <c r="AA167" s="25"/>
      <c r="AB167" s="168">
        <v>1</v>
      </c>
      <c r="AC167" s="28">
        <f>SUM(AC152:AC166)</f>
        <v>0</v>
      </c>
      <c r="AD167" s="170"/>
    </row>
    <row r="169" spans="2:30" s="20" customFormat="1" ht="39.4" x14ac:dyDescent="0.45">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5" t="str">
        <f>B169</f>
        <v>Facility (Factoring)</v>
      </c>
      <c r="M169" s="176" t="str">
        <f t="shared" ref="M169" si="156">C169</f>
        <v>Source</v>
      </c>
      <c r="N169" s="176" t="str">
        <f t="shared" ref="N169" si="157">D169</f>
        <v>Limit (A)</v>
      </c>
      <c r="O169" s="176" t="str">
        <f t="shared" ref="O169" si="158">E169</f>
        <v>Outstanding (A1)</v>
      </c>
      <c r="P169" s="176" t="str">
        <f t="shared" ref="P169" si="159">F169</f>
        <v>Monthly Repayment (B)</v>
      </c>
      <c r="Q169" s="176" t="str">
        <f t="shared" ref="Q169" si="160">G169</f>
        <v>Interest Rate (C)</v>
      </c>
      <c r="R169" s="176" t="str">
        <f t="shared" ref="R169" si="161">H169</f>
        <v>Factor (D)</v>
      </c>
      <c r="S169" s="176" t="str">
        <f t="shared" ref="S169" si="162">I169</f>
        <v>Interest (E) = (A or A1) * (C) * (D)</v>
      </c>
      <c r="T169" s="176" t="str">
        <f t="shared" ref="T169" si="163">J169</f>
        <v>Code Of Conduct</v>
      </c>
      <c r="V169" s="175" t="str">
        <f>L169</f>
        <v>Facility (Factoring)</v>
      </c>
      <c r="W169" s="176" t="str">
        <f t="shared" ref="W169" si="164">M169</f>
        <v>Source</v>
      </c>
      <c r="X169" s="176" t="str">
        <f t="shared" ref="X169" si="165">N169</f>
        <v>Limit (A)</v>
      </c>
      <c r="Y169" s="176" t="str">
        <f t="shared" ref="Y169" si="166">O169</f>
        <v>Outstanding (A1)</v>
      </c>
      <c r="Z169" s="176" t="str">
        <f t="shared" ref="Z169" si="167">P169</f>
        <v>Monthly Repayment (B)</v>
      </c>
      <c r="AA169" s="176" t="str">
        <f t="shared" ref="AA169" si="168">Q169</f>
        <v>Interest Rate (C)</v>
      </c>
      <c r="AB169" s="176" t="str">
        <f t="shared" ref="AB169" si="169">R169</f>
        <v>Factor (D)</v>
      </c>
      <c r="AC169" s="176" t="str">
        <f t="shared" ref="AC169" si="170">S169</f>
        <v>Interest (E) = (A or A1) * (C) * (D)</v>
      </c>
      <c r="AD169" s="176" t="str">
        <f t="shared" ref="AD169" si="171">T169</f>
        <v>Code Of Conduct</v>
      </c>
    </row>
    <row r="170" spans="2:30" x14ac:dyDescent="0.45">
      <c r="B170" s="11"/>
      <c r="C170" s="5" t="s">
        <v>312</v>
      </c>
      <c r="D170" s="11"/>
      <c r="E170" s="11"/>
      <c r="F170" s="29"/>
      <c r="G170" s="22"/>
      <c r="H170" s="23">
        <f>H$185</f>
        <v>0.8</v>
      </c>
      <c r="I170" s="75">
        <f>D170*G170*H170</f>
        <v>0</v>
      </c>
      <c r="J170" s="171"/>
      <c r="L170" s="11"/>
      <c r="M170" s="5" t="s">
        <v>309</v>
      </c>
      <c r="N170" s="11"/>
      <c r="O170" s="11"/>
      <c r="P170" s="29"/>
      <c r="Q170" s="22"/>
      <c r="R170" s="23">
        <f>R$185</f>
        <v>0.8</v>
      </c>
      <c r="S170" s="75">
        <f>N170*Q170*R170</f>
        <v>0</v>
      </c>
      <c r="T170" s="171"/>
      <c r="V170" s="41" t="s">
        <v>282</v>
      </c>
      <c r="W170" s="5" t="s">
        <v>380</v>
      </c>
      <c r="X170" s="41"/>
      <c r="Y170" s="41"/>
      <c r="Z170" s="29"/>
      <c r="AA170" s="22"/>
      <c r="AB170" s="23">
        <f>AB$185</f>
        <v>0.8</v>
      </c>
      <c r="AC170" s="75">
        <f>X170*AA170*AB170</f>
        <v>0</v>
      </c>
      <c r="AD170" s="171"/>
    </row>
    <row r="171" spans="2:30" x14ac:dyDescent="0.45">
      <c r="B171" s="11"/>
      <c r="C171" s="5" t="s">
        <v>312</v>
      </c>
      <c r="D171" s="11"/>
      <c r="E171" s="11"/>
      <c r="F171" s="29"/>
      <c r="G171" s="22"/>
      <c r="H171" s="23">
        <f t="shared" ref="H171:H184" si="172">H$185</f>
        <v>0.8</v>
      </c>
      <c r="I171" s="75">
        <f t="shared" ref="I171:I184" si="173">D171*G171*H171</f>
        <v>0</v>
      </c>
      <c r="J171" s="171"/>
      <c r="L171" s="11"/>
      <c r="M171" s="5" t="s">
        <v>312</v>
      </c>
      <c r="N171" s="11"/>
      <c r="O171" s="11"/>
      <c r="P171" s="29"/>
      <c r="Q171" s="22"/>
      <c r="R171" s="23">
        <f t="shared" ref="R171:R184" si="174">R$185</f>
        <v>0.8</v>
      </c>
      <c r="S171" s="75">
        <f t="shared" ref="S171:S184" si="175">N171*Q171*R171</f>
        <v>0</v>
      </c>
      <c r="T171" s="171"/>
      <c r="V171" s="41" t="s">
        <v>282</v>
      </c>
      <c r="W171" s="5" t="s">
        <v>380</v>
      </c>
      <c r="X171" s="41"/>
      <c r="Y171" s="41"/>
      <c r="Z171" s="29"/>
      <c r="AA171" s="22"/>
      <c r="AB171" s="23">
        <f t="shared" ref="AB171:AB184" si="176">AB$185</f>
        <v>0.8</v>
      </c>
      <c r="AC171" s="75">
        <f t="shared" ref="AC171:AC184" si="177">X171*AA171*AB171</f>
        <v>0</v>
      </c>
      <c r="AD171" s="171"/>
    </row>
    <row r="172" spans="2:30" x14ac:dyDescent="0.45">
      <c r="B172" s="11"/>
      <c r="C172" s="5" t="s">
        <v>312</v>
      </c>
      <c r="D172" s="11"/>
      <c r="E172" s="11"/>
      <c r="F172" s="29"/>
      <c r="G172" s="22"/>
      <c r="H172" s="23">
        <f t="shared" si="172"/>
        <v>0.8</v>
      </c>
      <c r="I172" s="75">
        <f t="shared" si="173"/>
        <v>0</v>
      </c>
      <c r="J172" s="171"/>
      <c r="L172" s="11"/>
      <c r="M172" s="5" t="s">
        <v>312</v>
      </c>
      <c r="N172" s="11"/>
      <c r="O172" s="11"/>
      <c r="P172" s="29"/>
      <c r="Q172" s="22"/>
      <c r="R172" s="23">
        <f t="shared" si="174"/>
        <v>0.8</v>
      </c>
      <c r="S172" s="75">
        <f t="shared" si="175"/>
        <v>0</v>
      </c>
      <c r="T172" s="171"/>
      <c r="V172" s="41" t="s">
        <v>282</v>
      </c>
      <c r="W172" s="5" t="s">
        <v>380</v>
      </c>
      <c r="X172" s="41"/>
      <c r="Y172" s="41"/>
      <c r="Z172" s="29"/>
      <c r="AA172" s="22"/>
      <c r="AB172" s="23">
        <f t="shared" si="176"/>
        <v>0.8</v>
      </c>
      <c r="AC172" s="75">
        <f t="shared" si="177"/>
        <v>0</v>
      </c>
      <c r="AD172" s="171"/>
    </row>
    <row r="173" spans="2:30" x14ac:dyDescent="0.45">
      <c r="B173" s="11"/>
      <c r="C173" s="5" t="s">
        <v>312</v>
      </c>
      <c r="D173" s="11"/>
      <c r="E173" s="11"/>
      <c r="F173" s="29"/>
      <c r="G173" s="22"/>
      <c r="H173" s="23">
        <f t="shared" si="172"/>
        <v>0.8</v>
      </c>
      <c r="I173" s="75">
        <f t="shared" si="173"/>
        <v>0</v>
      </c>
      <c r="J173" s="171"/>
      <c r="L173" s="11"/>
      <c r="M173" s="5" t="s">
        <v>312</v>
      </c>
      <c r="N173" s="11"/>
      <c r="O173" s="11"/>
      <c r="P173" s="29"/>
      <c r="Q173" s="22"/>
      <c r="R173" s="23">
        <f t="shared" si="174"/>
        <v>0.8</v>
      </c>
      <c r="S173" s="75">
        <f t="shared" si="175"/>
        <v>0</v>
      </c>
      <c r="T173" s="171"/>
      <c r="V173" s="41" t="s">
        <v>282</v>
      </c>
      <c r="W173" s="5" t="s">
        <v>380</v>
      </c>
      <c r="X173" s="41"/>
      <c r="Y173" s="41"/>
      <c r="Z173" s="29"/>
      <c r="AA173" s="22"/>
      <c r="AB173" s="23">
        <f t="shared" si="176"/>
        <v>0.8</v>
      </c>
      <c r="AC173" s="75">
        <f t="shared" si="177"/>
        <v>0</v>
      </c>
      <c r="AD173" s="171"/>
    </row>
    <row r="174" spans="2:30" x14ac:dyDescent="0.45">
      <c r="B174" s="11"/>
      <c r="C174" s="5" t="s">
        <v>312</v>
      </c>
      <c r="D174" s="11"/>
      <c r="E174" s="11"/>
      <c r="F174" s="29"/>
      <c r="G174" s="22"/>
      <c r="H174" s="23">
        <f t="shared" si="172"/>
        <v>0.8</v>
      </c>
      <c r="I174" s="75">
        <f t="shared" si="173"/>
        <v>0</v>
      </c>
      <c r="J174" s="171"/>
      <c r="L174" s="11"/>
      <c r="M174" s="5" t="s">
        <v>312</v>
      </c>
      <c r="N174" s="11"/>
      <c r="O174" s="11"/>
      <c r="P174" s="29"/>
      <c r="Q174" s="22"/>
      <c r="R174" s="23">
        <f t="shared" si="174"/>
        <v>0.8</v>
      </c>
      <c r="S174" s="75">
        <f t="shared" si="175"/>
        <v>0</v>
      </c>
      <c r="T174" s="171"/>
      <c r="V174" s="41" t="s">
        <v>282</v>
      </c>
      <c r="W174" s="5" t="s">
        <v>380</v>
      </c>
      <c r="X174" s="41"/>
      <c r="Y174" s="41"/>
      <c r="Z174" s="29"/>
      <c r="AA174" s="22"/>
      <c r="AB174" s="23">
        <f t="shared" si="176"/>
        <v>0.8</v>
      </c>
      <c r="AC174" s="75">
        <f t="shared" si="177"/>
        <v>0</v>
      </c>
      <c r="AD174" s="171"/>
    </row>
    <row r="175" spans="2:30" x14ac:dyDescent="0.45">
      <c r="B175" s="11"/>
      <c r="C175" s="5" t="s">
        <v>312</v>
      </c>
      <c r="D175" s="11"/>
      <c r="E175" s="11"/>
      <c r="F175" s="29"/>
      <c r="G175" s="22"/>
      <c r="H175" s="23">
        <f t="shared" si="172"/>
        <v>0.8</v>
      </c>
      <c r="I175" s="75">
        <f t="shared" si="173"/>
        <v>0</v>
      </c>
      <c r="J175" s="171"/>
      <c r="L175" s="11"/>
      <c r="M175" s="5" t="s">
        <v>312</v>
      </c>
      <c r="N175" s="11"/>
      <c r="O175" s="11"/>
      <c r="P175" s="29"/>
      <c r="Q175" s="22"/>
      <c r="R175" s="23">
        <f t="shared" si="174"/>
        <v>0.8</v>
      </c>
      <c r="S175" s="75">
        <f t="shared" si="175"/>
        <v>0</v>
      </c>
      <c r="T175" s="171"/>
      <c r="V175" s="41" t="s">
        <v>282</v>
      </c>
      <c r="W175" s="5" t="s">
        <v>380</v>
      </c>
      <c r="X175" s="41"/>
      <c r="Y175" s="41"/>
      <c r="Z175" s="29"/>
      <c r="AA175" s="22"/>
      <c r="AB175" s="23">
        <f t="shared" si="176"/>
        <v>0.8</v>
      </c>
      <c r="AC175" s="75">
        <f t="shared" si="177"/>
        <v>0</v>
      </c>
      <c r="AD175" s="171"/>
    </row>
    <row r="176" spans="2:30" hidden="1" outlineLevel="1" x14ac:dyDescent="0.45">
      <c r="B176" s="11"/>
      <c r="C176" s="5" t="s">
        <v>312</v>
      </c>
      <c r="D176" s="11"/>
      <c r="E176" s="11"/>
      <c r="F176" s="29"/>
      <c r="G176" s="22"/>
      <c r="H176" s="23">
        <f t="shared" si="172"/>
        <v>0.8</v>
      </c>
      <c r="I176" s="75">
        <f t="shared" si="173"/>
        <v>0</v>
      </c>
      <c r="J176" s="171"/>
      <c r="L176" s="11"/>
      <c r="M176" s="5" t="s">
        <v>312</v>
      </c>
      <c r="N176" s="11"/>
      <c r="O176" s="11"/>
      <c r="P176" s="29"/>
      <c r="Q176" s="22"/>
      <c r="R176" s="23">
        <f t="shared" si="174"/>
        <v>0.8</v>
      </c>
      <c r="S176" s="75">
        <f t="shared" si="175"/>
        <v>0</v>
      </c>
      <c r="T176" s="171"/>
      <c r="V176" s="41" t="s">
        <v>282</v>
      </c>
      <c r="W176" s="5" t="s">
        <v>380</v>
      </c>
      <c r="X176" s="41"/>
      <c r="Y176" s="41"/>
      <c r="Z176" s="29"/>
      <c r="AA176" s="22"/>
      <c r="AB176" s="23">
        <f t="shared" si="176"/>
        <v>0.8</v>
      </c>
      <c r="AC176" s="75">
        <f t="shared" si="177"/>
        <v>0</v>
      </c>
      <c r="AD176" s="171"/>
    </row>
    <row r="177" spans="2:30" hidden="1" outlineLevel="1" x14ac:dyDescent="0.45">
      <c r="B177" s="11"/>
      <c r="C177" s="5" t="s">
        <v>312</v>
      </c>
      <c r="D177" s="11"/>
      <c r="E177" s="11"/>
      <c r="F177" s="29"/>
      <c r="G177" s="22"/>
      <c r="H177" s="23">
        <f t="shared" si="172"/>
        <v>0.8</v>
      </c>
      <c r="I177" s="75">
        <f t="shared" si="173"/>
        <v>0</v>
      </c>
      <c r="J177" s="171"/>
      <c r="L177" s="11"/>
      <c r="M177" s="5" t="s">
        <v>312</v>
      </c>
      <c r="N177" s="11"/>
      <c r="O177" s="11"/>
      <c r="P177" s="29"/>
      <c r="Q177" s="22"/>
      <c r="R177" s="23">
        <f t="shared" si="174"/>
        <v>0.8</v>
      </c>
      <c r="S177" s="75">
        <f t="shared" si="175"/>
        <v>0</v>
      </c>
      <c r="T177" s="171"/>
      <c r="V177" s="41" t="s">
        <v>282</v>
      </c>
      <c r="W177" s="5" t="s">
        <v>380</v>
      </c>
      <c r="X177" s="41"/>
      <c r="Y177" s="41"/>
      <c r="Z177" s="29"/>
      <c r="AA177" s="22"/>
      <c r="AB177" s="23">
        <f t="shared" si="176"/>
        <v>0.8</v>
      </c>
      <c r="AC177" s="75">
        <f t="shared" si="177"/>
        <v>0</v>
      </c>
      <c r="AD177" s="171"/>
    </row>
    <row r="178" spans="2:30" hidden="1" outlineLevel="1" x14ac:dyDescent="0.45">
      <c r="B178" s="11"/>
      <c r="C178" s="5" t="s">
        <v>312</v>
      </c>
      <c r="D178" s="11"/>
      <c r="E178" s="11"/>
      <c r="F178" s="29"/>
      <c r="G178" s="22"/>
      <c r="H178" s="23">
        <f t="shared" si="172"/>
        <v>0.8</v>
      </c>
      <c r="I178" s="75">
        <f t="shared" si="173"/>
        <v>0</v>
      </c>
      <c r="J178" s="171"/>
      <c r="L178" s="11"/>
      <c r="M178" s="5" t="s">
        <v>312</v>
      </c>
      <c r="N178" s="11"/>
      <c r="O178" s="11"/>
      <c r="P178" s="29"/>
      <c r="Q178" s="22"/>
      <c r="R178" s="23">
        <f t="shared" si="174"/>
        <v>0.8</v>
      </c>
      <c r="S178" s="75">
        <f t="shared" si="175"/>
        <v>0</v>
      </c>
      <c r="T178" s="171"/>
      <c r="V178" s="41" t="s">
        <v>282</v>
      </c>
      <c r="W178" s="5" t="s">
        <v>380</v>
      </c>
      <c r="X178" s="41"/>
      <c r="Y178" s="41"/>
      <c r="Z178" s="29"/>
      <c r="AA178" s="22"/>
      <c r="AB178" s="23">
        <f t="shared" si="176"/>
        <v>0.8</v>
      </c>
      <c r="AC178" s="75">
        <f t="shared" si="177"/>
        <v>0</v>
      </c>
      <c r="AD178" s="171"/>
    </row>
    <row r="179" spans="2:30" hidden="1" outlineLevel="1" x14ac:dyDescent="0.45">
      <c r="B179" s="11"/>
      <c r="C179" s="5" t="s">
        <v>312</v>
      </c>
      <c r="D179" s="11"/>
      <c r="E179" s="11"/>
      <c r="F179" s="29"/>
      <c r="G179" s="22"/>
      <c r="H179" s="23">
        <f t="shared" si="172"/>
        <v>0.8</v>
      </c>
      <c r="I179" s="75">
        <f t="shared" si="173"/>
        <v>0</v>
      </c>
      <c r="J179" s="171"/>
      <c r="L179" s="11"/>
      <c r="M179" s="5" t="s">
        <v>312</v>
      </c>
      <c r="N179" s="11"/>
      <c r="O179" s="11"/>
      <c r="P179" s="29"/>
      <c r="Q179" s="22"/>
      <c r="R179" s="23">
        <f t="shared" si="174"/>
        <v>0.8</v>
      </c>
      <c r="S179" s="75">
        <f t="shared" si="175"/>
        <v>0</v>
      </c>
      <c r="T179" s="171"/>
      <c r="V179" s="41" t="s">
        <v>282</v>
      </c>
      <c r="W179" s="5" t="s">
        <v>380</v>
      </c>
      <c r="X179" s="41"/>
      <c r="Y179" s="41"/>
      <c r="Z179" s="29"/>
      <c r="AA179" s="22"/>
      <c r="AB179" s="23">
        <f t="shared" si="176"/>
        <v>0.8</v>
      </c>
      <c r="AC179" s="75">
        <f t="shared" si="177"/>
        <v>0</v>
      </c>
      <c r="AD179" s="171"/>
    </row>
    <row r="180" spans="2:30" hidden="1" outlineLevel="1" x14ac:dyDescent="0.45">
      <c r="B180" s="11"/>
      <c r="C180" s="5" t="s">
        <v>312</v>
      </c>
      <c r="D180" s="11"/>
      <c r="E180" s="11"/>
      <c r="F180" s="29"/>
      <c r="G180" s="22"/>
      <c r="H180" s="23">
        <f t="shared" si="172"/>
        <v>0.8</v>
      </c>
      <c r="I180" s="75">
        <f t="shared" si="173"/>
        <v>0</v>
      </c>
      <c r="J180" s="171"/>
      <c r="L180" s="11"/>
      <c r="M180" s="5" t="s">
        <v>312</v>
      </c>
      <c r="N180" s="11"/>
      <c r="O180" s="11"/>
      <c r="P180" s="29"/>
      <c r="Q180" s="22"/>
      <c r="R180" s="23">
        <f t="shared" si="174"/>
        <v>0.8</v>
      </c>
      <c r="S180" s="75">
        <f t="shared" si="175"/>
        <v>0</v>
      </c>
      <c r="T180" s="171"/>
      <c r="V180" s="41" t="s">
        <v>282</v>
      </c>
      <c r="W180" s="5" t="s">
        <v>380</v>
      </c>
      <c r="X180" s="41"/>
      <c r="Y180" s="41"/>
      <c r="Z180" s="29"/>
      <c r="AA180" s="22"/>
      <c r="AB180" s="23">
        <f t="shared" si="176"/>
        <v>0.8</v>
      </c>
      <c r="AC180" s="75">
        <f t="shared" si="177"/>
        <v>0</v>
      </c>
      <c r="AD180" s="171"/>
    </row>
    <row r="181" spans="2:30" hidden="1" outlineLevel="1" x14ac:dyDescent="0.45">
      <c r="B181" s="11"/>
      <c r="C181" s="5" t="s">
        <v>312</v>
      </c>
      <c r="D181" s="11"/>
      <c r="E181" s="11"/>
      <c r="F181" s="29"/>
      <c r="G181" s="22"/>
      <c r="H181" s="23">
        <f t="shared" si="172"/>
        <v>0.8</v>
      </c>
      <c r="I181" s="75">
        <f t="shared" si="173"/>
        <v>0</v>
      </c>
      <c r="J181" s="171"/>
      <c r="L181" s="11"/>
      <c r="M181" s="5" t="s">
        <v>312</v>
      </c>
      <c r="N181" s="11"/>
      <c r="O181" s="11"/>
      <c r="P181" s="29"/>
      <c r="Q181" s="22"/>
      <c r="R181" s="23">
        <f t="shared" si="174"/>
        <v>0.8</v>
      </c>
      <c r="S181" s="75">
        <f t="shared" si="175"/>
        <v>0</v>
      </c>
      <c r="T181" s="171"/>
      <c r="V181" s="41" t="s">
        <v>282</v>
      </c>
      <c r="W181" s="5" t="s">
        <v>380</v>
      </c>
      <c r="X181" s="41"/>
      <c r="Y181" s="41"/>
      <c r="Z181" s="29"/>
      <c r="AA181" s="22"/>
      <c r="AB181" s="23">
        <f t="shared" si="176"/>
        <v>0.8</v>
      </c>
      <c r="AC181" s="75">
        <f t="shared" si="177"/>
        <v>0</v>
      </c>
      <c r="AD181" s="171"/>
    </row>
    <row r="182" spans="2:30" hidden="1" outlineLevel="1" x14ac:dyDescent="0.45">
      <c r="B182" s="11"/>
      <c r="C182" s="5" t="s">
        <v>312</v>
      </c>
      <c r="D182" s="11"/>
      <c r="E182" s="11"/>
      <c r="F182" s="29"/>
      <c r="G182" s="22"/>
      <c r="H182" s="23">
        <f t="shared" si="172"/>
        <v>0.8</v>
      </c>
      <c r="I182" s="75">
        <f t="shared" si="173"/>
        <v>0</v>
      </c>
      <c r="J182" s="171"/>
      <c r="L182" s="11"/>
      <c r="M182" s="5" t="s">
        <v>312</v>
      </c>
      <c r="N182" s="11"/>
      <c r="O182" s="11"/>
      <c r="P182" s="29"/>
      <c r="Q182" s="22"/>
      <c r="R182" s="23">
        <f t="shared" si="174"/>
        <v>0.8</v>
      </c>
      <c r="S182" s="75">
        <f t="shared" si="175"/>
        <v>0</v>
      </c>
      <c r="T182" s="171"/>
      <c r="V182" s="41" t="s">
        <v>282</v>
      </c>
      <c r="W182" s="5" t="s">
        <v>380</v>
      </c>
      <c r="X182" s="41"/>
      <c r="Y182" s="41"/>
      <c r="Z182" s="29"/>
      <c r="AA182" s="22"/>
      <c r="AB182" s="23">
        <f t="shared" si="176"/>
        <v>0.8</v>
      </c>
      <c r="AC182" s="75">
        <f t="shared" si="177"/>
        <v>0</v>
      </c>
      <c r="AD182" s="171"/>
    </row>
    <row r="183" spans="2:30" hidden="1" outlineLevel="1" x14ac:dyDescent="0.45">
      <c r="B183" s="11"/>
      <c r="C183" s="5" t="s">
        <v>312</v>
      </c>
      <c r="D183" s="11"/>
      <c r="E183" s="11"/>
      <c r="F183" s="29"/>
      <c r="G183" s="22"/>
      <c r="H183" s="23">
        <f t="shared" si="172"/>
        <v>0.8</v>
      </c>
      <c r="I183" s="75">
        <f t="shared" si="173"/>
        <v>0</v>
      </c>
      <c r="J183" s="171"/>
      <c r="L183" s="11"/>
      <c r="M183" s="5" t="s">
        <v>312</v>
      </c>
      <c r="N183" s="11"/>
      <c r="O183" s="11"/>
      <c r="P183" s="29"/>
      <c r="Q183" s="22"/>
      <c r="R183" s="23">
        <f t="shared" si="174"/>
        <v>0.8</v>
      </c>
      <c r="S183" s="75">
        <f t="shared" si="175"/>
        <v>0</v>
      </c>
      <c r="T183" s="171"/>
      <c r="V183" s="41" t="s">
        <v>282</v>
      </c>
      <c r="W183" s="5" t="s">
        <v>380</v>
      </c>
      <c r="X183" s="41"/>
      <c r="Y183" s="41"/>
      <c r="Z183" s="29"/>
      <c r="AA183" s="22"/>
      <c r="AB183" s="23">
        <f t="shared" si="176"/>
        <v>0.8</v>
      </c>
      <c r="AC183" s="75">
        <f t="shared" si="177"/>
        <v>0</v>
      </c>
      <c r="AD183" s="171"/>
    </row>
    <row r="184" spans="2:30" hidden="1" outlineLevel="1" x14ac:dyDescent="0.45">
      <c r="B184" s="11"/>
      <c r="C184" s="5" t="s">
        <v>312</v>
      </c>
      <c r="D184" s="11"/>
      <c r="E184" s="11"/>
      <c r="F184" s="29"/>
      <c r="G184" s="22"/>
      <c r="H184" s="23">
        <f t="shared" si="172"/>
        <v>0.8</v>
      </c>
      <c r="I184" s="75">
        <f t="shared" si="173"/>
        <v>0</v>
      </c>
      <c r="J184" s="171"/>
      <c r="L184" s="11"/>
      <c r="M184" s="5" t="s">
        <v>312</v>
      </c>
      <c r="N184" s="11"/>
      <c r="O184" s="11"/>
      <c r="P184" s="29"/>
      <c r="Q184" s="22"/>
      <c r="R184" s="23">
        <f t="shared" si="174"/>
        <v>0.8</v>
      </c>
      <c r="S184" s="75">
        <f t="shared" si="175"/>
        <v>0</v>
      </c>
      <c r="T184" s="171"/>
      <c r="V184" s="41" t="s">
        <v>282</v>
      </c>
      <c r="W184" s="5" t="s">
        <v>380</v>
      </c>
      <c r="X184" s="41"/>
      <c r="Y184" s="41"/>
      <c r="Z184" s="29"/>
      <c r="AA184" s="22"/>
      <c r="AB184" s="23">
        <f t="shared" si="176"/>
        <v>0.8</v>
      </c>
      <c r="AC184" s="75">
        <f t="shared" si="177"/>
        <v>0</v>
      </c>
      <c r="AD184" s="171"/>
    </row>
    <row r="185" spans="2:30" s="24" customFormat="1" collapsed="1" x14ac:dyDescent="0.45">
      <c r="B185" s="8" t="str">
        <f>"Total "&amp;B169</f>
        <v>Total Facility (Factoring)</v>
      </c>
      <c r="C185" s="25"/>
      <c r="D185" s="28">
        <f>SUM(D170:D184)</f>
        <v>0</v>
      </c>
      <c r="E185" s="28">
        <f>SUM(E170:E184)</f>
        <v>0</v>
      </c>
      <c r="F185" s="30"/>
      <c r="G185" s="25"/>
      <c r="H185" s="168">
        <v>0.8</v>
      </c>
      <c r="I185" s="28">
        <f>SUM(I170:I184)</f>
        <v>0</v>
      </c>
      <c r="J185" s="170"/>
      <c r="L185" s="8" t="str">
        <f>"Total "&amp;L169</f>
        <v>Total Facility (Factoring)</v>
      </c>
      <c r="M185" s="25"/>
      <c r="N185" s="28">
        <f>SUM(N170:N184)</f>
        <v>0</v>
      </c>
      <c r="O185" s="28">
        <f>SUM(O170:O184)</f>
        <v>0</v>
      </c>
      <c r="P185" s="30"/>
      <c r="Q185" s="25"/>
      <c r="R185" s="168">
        <v>0.8</v>
      </c>
      <c r="S185" s="28">
        <f>SUM(S170:S184)</f>
        <v>0</v>
      </c>
      <c r="T185" s="170"/>
      <c r="V185" s="8" t="str">
        <f>"Total "&amp;V169</f>
        <v>Total Facility (Factoring)</v>
      </c>
      <c r="W185" s="25"/>
      <c r="X185" s="28">
        <f>SUM(X170:X184)</f>
        <v>0</v>
      </c>
      <c r="Y185" s="28">
        <f>SUM(Y170:Y184)</f>
        <v>0</v>
      </c>
      <c r="Z185" s="30"/>
      <c r="AA185" s="25"/>
      <c r="AB185" s="168">
        <v>0.8</v>
      </c>
      <c r="AC185" s="28">
        <f>SUM(AC170:AC184)</f>
        <v>0</v>
      </c>
      <c r="AD185" s="170"/>
    </row>
    <row r="187" spans="2:30" s="20" customFormat="1" ht="39.4" x14ac:dyDescent="0.4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5" t="str">
        <f>B187</f>
        <v>Facility (Credit Card)</v>
      </c>
      <c r="M187" s="176" t="str">
        <f t="shared" ref="M187" si="179">C187</f>
        <v>Source</v>
      </c>
      <c r="N187" s="176" t="str">
        <f t="shared" ref="N187" si="180">D187</f>
        <v>Limit (A)</v>
      </c>
      <c r="O187" s="176" t="str">
        <f t="shared" ref="O187" si="181">E187</f>
        <v>Outstanding (A1)</v>
      </c>
      <c r="P187" s="176" t="str">
        <f t="shared" ref="P187" si="182">F187</f>
        <v>Monthly Repayment (B)</v>
      </c>
      <c r="Q187" s="176" t="str">
        <f t="shared" ref="Q187" si="183">G187</f>
        <v>Interest Rate (C)</v>
      </c>
      <c r="R187" s="176" t="str">
        <f t="shared" ref="R187" si="184">H187</f>
        <v>Factor (D)</v>
      </c>
      <c r="S187" s="176" t="str">
        <f t="shared" ref="S187" si="185">I187</f>
        <v>Interest (E) = (A or A1) * (C) * (D)</v>
      </c>
      <c r="T187" s="176" t="str">
        <f t="shared" ref="T187" si="186">J187</f>
        <v>Code Of Conduct</v>
      </c>
      <c r="V187" s="175" t="str">
        <f>L187</f>
        <v>Facility (Credit Card)</v>
      </c>
      <c r="W187" s="176" t="str">
        <f t="shared" ref="W187" si="187">M187</f>
        <v>Source</v>
      </c>
      <c r="X187" s="176" t="str">
        <f t="shared" ref="X187" si="188">N187</f>
        <v>Limit (A)</v>
      </c>
      <c r="Y187" s="176" t="str">
        <f t="shared" ref="Y187" si="189">O187</f>
        <v>Outstanding (A1)</v>
      </c>
      <c r="Z187" s="176" t="str">
        <f t="shared" ref="Z187" si="190">P187</f>
        <v>Monthly Repayment (B)</v>
      </c>
      <c r="AA187" s="176" t="str">
        <f t="shared" ref="AA187" si="191">Q187</f>
        <v>Interest Rate (C)</v>
      </c>
      <c r="AB187" s="176" t="str">
        <f t="shared" ref="AB187" si="192">R187</f>
        <v>Factor (D)</v>
      </c>
      <c r="AC187" s="176" t="str">
        <f t="shared" ref="AC187" si="193">S187</f>
        <v>Interest (E) = (A or A1) * (C) * (D)</v>
      </c>
      <c r="AD187" s="176" t="str">
        <f t="shared" ref="AD187" si="194">T187</f>
        <v>Code Of Conduct</v>
      </c>
    </row>
    <row r="188" spans="2:30" x14ac:dyDescent="0.45">
      <c r="B188" s="11"/>
      <c r="C188" s="5" t="s">
        <v>312</v>
      </c>
      <c r="D188" s="11"/>
      <c r="E188" s="11"/>
      <c r="F188" s="29"/>
      <c r="G188" s="22"/>
      <c r="H188" s="23">
        <f>H$203</f>
        <v>0.05</v>
      </c>
      <c r="I188" s="75">
        <f>E188*H188</f>
        <v>0</v>
      </c>
      <c r="J188" s="171"/>
      <c r="L188" s="11"/>
      <c r="M188" s="5" t="s">
        <v>309</v>
      </c>
      <c r="N188" s="11"/>
      <c r="O188" s="97"/>
      <c r="P188" s="29"/>
      <c r="Q188" s="22"/>
      <c r="R188" s="23">
        <f>R$203</f>
        <v>0.05</v>
      </c>
      <c r="S188" s="75">
        <f>O188*R188</f>
        <v>0</v>
      </c>
      <c r="T188" s="171"/>
      <c r="V188" s="41" t="s">
        <v>282</v>
      </c>
      <c r="W188" s="5" t="s">
        <v>380</v>
      </c>
      <c r="X188" s="41"/>
      <c r="Y188" s="41"/>
      <c r="Z188" s="29"/>
      <c r="AA188" s="22"/>
      <c r="AB188" s="23">
        <f>AB$203</f>
        <v>0.05</v>
      </c>
      <c r="AC188" s="75">
        <f>Y188*AB188</f>
        <v>0</v>
      </c>
      <c r="AD188" s="171"/>
    </row>
    <row r="189" spans="2:30" x14ac:dyDescent="0.45">
      <c r="B189" s="11"/>
      <c r="C189" s="5" t="s">
        <v>312</v>
      </c>
      <c r="D189" s="11"/>
      <c r="E189" s="11"/>
      <c r="F189" s="29"/>
      <c r="G189" s="22"/>
      <c r="H189" s="23">
        <f t="shared" ref="H189:H202" si="195">H$203</f>
        <v>0.05</v>
      </c>
      <c r="I189" s="75">
        <f t="shared" ref="I189:I202" si="196">E189*H189</f>
        <v>0</v>
      </c>
      <c r="J189" s="171"/>
      <c r="L189" s="11"/>
      <c r="M189" s="5" t="s">
        <v>312</v>
      </c>
      <c r="N189" s="11"/>
      <c r="O189" s="11"/>
      <c r="P189" s="29"/>
      <c r="Q189" s="22"/>
      <c r="R189" s="23">
        <f t="shared" ref="R189:R202" si="197">R$203</f>
        <v>0.05</v>
      </c>
      <c r="S189" s="75">
        <f t="shared" ref="S189:S202" si="198">O189*R189</f>
        <v>0</v>
      </c>
      <c r="T189" s="171"/>
      <c r="V189" s="41" t="s">
        <v>282</v>
      </c>
      <c r="W189" s="5" t="s">
        <v>380</v>
      </c>
      <c r="X189" s="41"/>
      <c r="Y189" s="41"/>
      <c r="Z189" s="29"/>
      <c r="AA189" s="22"/>
      <c r="AB189" s="23">
        <f t="shared" ref="AB189:AB202" si="199">AB$203</f>
        <v>0.05</v>
      </c>
      <c r="AC189" s="75">
        <f t="shared" ref="AC189:AC202" si="200">Y189*AB189</f>
        <v>0</v>
      </c>
      <c r="AD189" s="171"/>
    </row>
    <row r="190" spans="2:30" x14ac:dyDescent="0.45">
      <c r="B190" s="11"/>
      <c r="C190" s="5" t="s">
        <v>312</v>
      </c>
      <c r="D190" s="11"/>
      <c r="E190" s="11"/>
      <c r="F190" s="29"/>
      <c r="G190" s="22"/>
      <c r="H190" s="23">
        <f t="shared" si="195"/>
        <v>0.05</v>
      </c>
      <c r="I190" s="75">
        <f t="shared" si="196"/>
        <v>0</v>
      </c>
      <c r="J190" s="171"/>
      <c r="L190" s="11"/>
      <c r="M190" s="5" t="s">
        <v>312</v>
      </c>
      <c r="N190" s="11"/>
      <c r="O190" s="11"/>
      <c r="P190" s="29"/>
      <c r="Q190" s="22"/>
      <c r="R190" s="23">
        <f t="shared" si="197"/>
        <v>0.05</v>
      </c>
      <c r="S190" s="75">
        <f t="shared" si="198"/>
        <v>0</v>
      </c>
      <c r="T190" s="171"/>
      <c r="V190" s="41" t="s">
        <v>282</v>
      </c>
      <c r="W190" s="5" t="s">
        <v>380</v>
      </c>
      <c r="X190" s="41"/>
      <c r="Y190" s="41"/>
      <c r="Z190" s="29"/>
      <c r="AA190" s="22"/>
      <c r="AB190" s="23">
        <f t="shared" si="199"/>
        <v>0.05</v>
      </c>
      <c r="AC190" s="75">
        <f t="shared" si="200"/>
        <v>0</v>
      </c>
      <c r="AD190" s="171"/>
    </row>
    <row r="191" spans="2:30" x14ac:dyDescent="0.45">
      <c r="B191" s="11"/>
      <c r="C191" s="5" t="s">
        <v>312</v>
      </c>
      <c r="D191" s="11"/>
      <c r="E191" s="11"/>
      <c r="F191" s="29"/>
      <c r="G191" s="22"/>
      <c r="H191" s="23">
        <f t="shared" si="195"/>
        <v>0.05</v>
      </c>
      <c r="I191" s="75">
        <f t="shared" si="196"/>
        <v>0</v>
      </c>
      <c r="J191" s="171"/>
      <c r="L191" s="11"/>
      <c r="M191" s="5" t="s">
        <v>312</v>
      </c>
      <c r="N191" s="11"/>
      <c r="O191" s="11"/>
      <c r="P191" s="29"/>
      <c r="Q191" s="22"/>
      <c r="R191" s="23">
        <f t="shared" si="197"/>
        <v>0.05</v>
      </c>
      <c r="S191" s="75">
        <f t="shared" si="198"/>
        <v>0</v>
      </c>
      <c r="T191" s="171"/>
      <c r="V191" s="41" t="s">
        <v>282</v>
      </c>
      <c r="W191" s="5" t="s">
        <v>380</v>
      </c>
      <c r="X191" s="41"/>
      <c r="Y191" s="41"/>
      <c r="Z191" s="29"/>
      <c r="AA191" s="22"/>
      <c r="AB191" s="23">
        <f t="shared" si="199"/>
        <v>0.05</v>
      </c>
      <c r="AC191" s="75">
        <f t="shared" si="200"/>
        <v>0</v>
      </c>
      <c r="AD191" s="171"/>
    </row>
    <row r="192" spans="2:30" x14ac:dyDescent="0.45">
      <c r="B192" s="11"/>
      <c r="C192" s="5" t="s">
        <v>312</v>
      </c>
      <c r="D192" s="11"/>
      <c r="E192" s="11"/>
      <c r="F192" s="29"/>
      <c r="G192" s="22"/>
      <c r="H192" s="23">
        <f t="shared" si="195"/>
        <v>0.05</v>
      </c>
      <c r="I192" s="75">
        <f t="shared" si="196"/>
        <v>0</v>
      </c>
      <c r="J192" s="171"/>
      <c r="L192" s="11"/>
      <c r="M192" s="5" t="s">
        <v>312</v>
      </c>
      <c r="N192" s="11"/>
      <c r="O192" s="11"/>
      <c r="P192" s="29"/>
      <c r="Q192" s="22"/>
      <c r="R192" s="23">
        <f t="shared" si="197"/>
        <v>0.05</v>
      </c>
      <c r="S192" s="75">
        <f t="shared" si="198"/>
        <v>0</v>
      </c>
      <c r="T192" s="171"/>
      <c r="V192" s="41" t="s">
        <v>282</v>
      </c>
      <c r="W192" s="5" t="s">
        <v>380</v>
      </c>
      <c r="X192" s="41"/>
      <c r="Y192" s="41"/>
      <c r="Z192" s="29"/>
      <c r="AA192" s="22"/>
      <c r="AB192" s="23">
        <f t="shared" si="199"/>
        <v>0.05</v>
      </c>
      <c r="AC192" s="75">
        <f t="shared" si="200"/>
        <v>0</v>
      </c>
      <c r="AD192" s="171"/>
    </row>
    <row r="193" spans="2:30" x14ac:dyDescent="0.45">
      <c r="B193" s="11"/>
      <c r="C193" s="5" t="s">
        <v>312</v>
      </c>
      <c r="D193" s="11"/>
      <c r="E193" s="11"/>
      <c r="F193" s="29"/>
      <c r="G193" s="22"/>
      <c r="H193" s="23">
        <f t="shared" si="195"/>
        <v>0.05</v>
      </c>
      <c r="I193" s="75">
        <f t="shared" si="196"/>
        <v>0</v>
      </c>
      <c r="J193" s="171"/>
      <c r="L193" s="11"/>
      <c r="M193" s="5" t="s">
        <v>312</v>
      </c>
      <c r="N193" s="11"/>
      <c r="O193" s="11"/>
      <c r="P193" s="29"/>
      <c r="Q193" s="22"/>
      <c r="R193" s="23">
        <f t="shared" si="197"/>
        <v>0.05</v>
      </c>
      <c r="S193" s="75">
        <f t="shared" si="198"/>
        <v>0</v>
      </c>
      <c r="T193" s="171"/>
      <c r="V193" s="41" t="s">
        <v>282</v>
      </c>
      <c r="W193" s="5" t="s">
        <v>380</v>
      </c>
      <c r="X193" s="41"/>
      <c r="Y193" s="41"/>
      <c r="Z193" s="29"/>
      <c r="AA193" s="22"/>
      <c r="AB193" s="23">
        <f t="shared" si="199"/>
        <v>0.05</v>
      </c>
      <c r="AC193" s="75">
        <f t="shared" si="200"/>
        <v>0</v>
      </c>
      <c r="AD193" s="171"/>
    </row>
    <row r="194" spans="2:30" hidden="1" outlineLevel="1" x14ac:dyDescent="0.45">
      <c r="B194" s="11"/>
      <c r="C194" s="5" t="s">
        <v>312</v>
      </c>
      <c r="D194" s="11"/>
      <c r="E194" s="11"/>
      <c r="F194" s="29"/>
      <c r="G194" s="22"/>
      <c r="H194" s="23">
        <f t="shared" si="195"/>
        <v>0.05</v>
      </c>
      <c r="I194" s="75">
        <f t="shared" si="196"/>
        <v>0</v>
      </c>
      <c r="J194" s="171"/>
      <c r="L194" s="11"/>
      <c r="M194" s="5" t="s">
        <v>312</v>
      </c>
      <c r="N194" s="11"/>
      <c r="O194" s="11"/>
      <c r="P194" s="29"/>
      <c r="Q194" s="22"/>
      <c r="R194" s="23">
        <f t="shared" si="197"/>
        <v>0.05</v>
      </c>
      <c r="S194" s="75">
        <f t="shared" si="198"/>
        <v>0</v>
      </c>
      <c r="T194" s="171"/>
      <c r="V194" s="41" t="s">
        <v>282</v>
      </c>
      <c r="W194" s="5" t="s">
        <v>380</v>
      </c>
      <c r="X194" s="41"/>
      <c r="Y194" s="41"/>
      <c r="Z194" s="29"/>
      <c r="AA194" s="22"/>
      <c r="AB194" s="23">
        <f t="shared" si="199"/>
        <v>0.05</v>
      </c>
      <c r="AC194" s="75">
        <f t="shared" si="200"/>
        <v>0</v>
      </c>
      <c r="AD194" s="171"/>
    </row>
    <row r="195" spans="2:30" hidden="1" outlineLevel="1" x14ac:dyDescent="0.45">
      <c r="B195" s="11"/>
      <c r="C195" s="5" t="s">
        <v>312</v>
      </c>
      <c r="D195" s="11"/>
      <c r="E195" s="11"/>
      <c r="F195" s="29"/>
      <c r="G195" s="22"/>
      <c r="H195" s="23">
        <f t="shared" si="195"/>
        <v>0.05</v>
      </c>
      <c r="I195" s="75">
        <f t="shared" si="196"/>
        <v>0</v>
      </c>
      <c r="J195" s="171"/>
      <c r="L195" s="11"/>
      <c r="M195" s="5" t="s">
        <v>312</v>
      </c>
      <c r="N195" s="11"/>
      <c r="O195" s="11"/>
      <c r="P195" s="29"/>
      <c r="Q195" s="22"/>
      <c r="R195" s="23">
        <f t="shared" si="197"/>
        <v>0.05</v>
      </c>
      <c r="S195" s="75">
        <f t="shared" si="198"/>
        <v>0</v>
      </c>
      <c r="T195" s="171"/>
      <c r="V195" s="41" t="s">
        <v>282</v>
      </c>
      <c r="W195" s="5" t="s">
        <v>380</v>
      </c>
      <c r="X195" s="41"/>
      <c r="Y195" s="41"/>
      <c r="Z195" s="29"/>
      <c r="AA195" s="22"/>
      <c r="AB195" s="23">
        <f t="shared" si="199"/>
        <v>0.05</v>
      </c>
      <c r="AC195" s="75">
        <f t="shared" si="200"/>
        <v>0</v>
      </c>
      <c r="AD195" s="171"/>
    </row>
    <row r="196" spans="2:30" hidden="1" outlineLevel="1" x14ac:dyDescent="0.45">
      <c r="B196" s="11"/>
      <c r="C196" s="5" t="s">
        <v>312</v>
      </c>
      <c r="D196" s="11"/>
      <c r="E196" s="11"/>
      <c r="F196" s="29"/>
      <c r="G196" s="22"/>
      <c r="H196" s="23">
        <f t="shared" si="195"/>
        <v>0.05</v>
      </c>
      <c r="I196" s="75">
        <f t="shared" si="196"/>
        <v>0</v>
      </c>
      <c r="J196" s="171"/>
      <c r="L196" s="11"/>
      <c r="M196" s="5" t="s">
        <v>312</v>
      </c>
      <c r="N196" s="11"/>
      <c r="O196" s="11"/>
      <c r="P196" s="29"/>
      <c r="Q196" s="22"/>
      <c r="R196" s="23">
        <f t="shared" si="197"/>
        <v>0.05</v>
      </c>
      <c r="S196" s="75">
        <f t="shared" si="198"/>
        <v>0</v>
      </c>
      <c r="T196" s="171"/>
      <c r="V196" s="41" t="s">
        <v>282</v>
      </c>
      <c r="W196" s="5" t="s">
        <v>380</v>
      </c>
      <c r="X196" s="41"/>
      <c r="Y196" s="41"/>
      <c r="Z196" s="29"/>
      <c r="AA196" s="22"/>
      <c r="AB196" s="23">
        <f t="shared" si="199"/>
        <v>0.05</v>
      </c>
      <c r="AC196" s="75">
        <f t="shared" si="200"/>
        <v>0</v>
      </c>
      <c r="AD196" s="171"/>
    </row>
    <row r="197" spans="2:30" hidden="1" outlineLevel="1" x14ac:dyDescent="0.45">
      <c r="B197" s="11"/>
      <c r="C197" s="5" t="s">
        <v>312</v>
      </c>
      <c r="D197" s="11"/>
      <c r="E197" s="11"/>
      <c r="F197" s="29"/>
      <c r="G197" s="22"/>
      <c r="H197" s="23">
        <f t="shared" si="195"/>
        <v>0.05</v>
      </c>
      <c r="I197" s="75">
        <f t="shared" si="196"/>
        <v>0</v>
      </c>
      <c r="J197" s="171"/>
      <c r="L197" s="11"/>
      <c r="M197" s="5" t="s">
        <v>312</v>
      </c>
      <c r="N197" s="11"/>
      <c r="O197" s="11"/>
      <c r="P197" s="29"/>
      <c r="Q197" s="22"/>
      <c r="R197" s="23">
        <f t="shared" si="197"/>
        <v>0.05</v>
      </c>
      <c r="S197" s="75">
        <f t="shared" si="198"/>
        <v>0</v>
      </c>
      <c r="T197" s="171"/>
      <c r="V197" s="41" t="s">
        <v>282</v>
      </c>
      <c r="W197" s="5" t="s">
        <v>380</v>
      </c>
      <c r="X197" s="41"/>
      <c r="Y197" s="41"/>
      <c r="Z197" s="29"/>
      <c r="AA197" s="22"/>
      <c r="AB197" s="23">
        <f t="shared" si="199"/>
        <v>0.05</v>
      </c>
      <c r="AC197" s="75">
        <f t="shared" si="200"/>
        <v>0</v>
      </c>
      <c r="AD197" s="171"/>
    </row>
    <row r="198" spans="2:30" hidden="1" outlineLevel="1" x14ac:dyDescent="0.45">
      <c r="B198" s="11"/>
      <c r="C198" s="5" t="s">
        <v>312</v>
      </c>
      <c r="D198" s="11"/>
      <c r="E198" s="11"/>
      <c r="F198" s="29"/>
      <c r="G198" s="22"/>
      <c r="H198" s="23">
        <f t="shared" si="195"/>
        <v>0.05</v>
      </c>
      <c r="I198" s="75">
        <f t="shared" si="196"/>
        <v>0</v>
      </c>
      <c r="J198" s="171"/>
      <c r="L198" s="11"/>
      <c r="M198" s="5" t="s">
        <v>312</v>
      </c>
      <c r="N198" s="11"/>
      <c r="O198" s="11"/>
      <c r="P198" s="29"/>
      <c r="Q198" s="22"/>
      <c r="R198" s="23">
        <f t="shared" si="197"/>
        <v>0.05</v>
      </c>
      <c r="S198" s="75">
        <f t="shared" si="198"/>
        <v>0</v>
      </c>
      <c r="T198" s="171"/>
      <c r="V198" s="41" t="s">
        <v>282</v>
      </c>
      <c r="W198" s="5" t="s">
        <v>380</v>
      </c>
      <c r="X198" s="41"/>
      <c r="Y198" s="41"/>
      <c r="Z198" s="29"/>
      <c r="AA198" s="22"/>
      <c r="AB198" s="23">
        <f t="shared" si="199"/>
        <v>0.05</v>
      </c>
      <c r="AC198" s="75">
        <f t="shared" si="200"/>
        <v>0</v>
      </c>
      <c r="AD198" s="171"/>
    </row>
    <row r="199" spans="2:30" hidden="1" outlineLevel="1" x14ac:dyDescent="0.45">
      <c r="B199" s="11"/>
      <c r="C199" s="5" t="s">
        <v>312</v>
      </c>
      <c r="D199" s="11"/>
      <c r="E199" s="11"/>
      <c r="F199" s="29"/>
      <c r="G199" s="22"/>
      <c r="H199" s="23">
        <f t="shared" si="195"/>
        <v>0.05</v>
      </c>
      <c r="I199" s="75">
        <f t="shared" si="196"/>
        <v>0</v>
      </c>
      <c r="J199" s="171"/>
      <c r="L199" s="11"/>
      <c r="M199" s="5" t="s">
        <v>312</v>
      </c>
      <c r="N199" s="11"/>
      <c r="O199" s="11"/>
      <c r="P199" s="29"/>
      <c r="Q199" s="22"/>
      <c r="R199" s="23">
        <f t="shared" si="197"/>
        <v>0.05</v>
      </c>
      <c r="S199" s="75">
        <f t="shared" si="198"/>
        <v>0</v>
      </c>
      <c r="T199" s="171"/>
      <c r="V199" s="41" t="s">
        <v>282</v>
      </c>
      <c r="W199" s="5" t="s">
        <v>380</v>
      </c>
      <c r="X199" s="41"/>
      <c r="Y199" s="41"/>
      <c r="Z199" s="29"/>
      <c r="AA199" s="22"/>
      <c r="AB199" s="23">
        <f t="shared" si="199"/>
        <v>0.05</v>
      </c>
      <c r="AC199" s="75">
        <f t="shared" si="200"/>
        <v>0</v>
      </c>
      <c r="AD199" s="171"/>
    </row>
    <row r="200" spans="2:30" hidden="1" outlineLevel="1" x14ac:dyDescent="0.45">
      <c r="B200" s="11"/>
      <c r="C200" s="5" t="s">
        <v>312</v>
      </c>
      <c r="D200" s="11"/>
      <c r="E200" s="11"/>
      <c r="F200" s="29"/>
      <c r="G200" s="22"/>
      <c r="H200" s="23">
        <f t="shared" si="195"/>
        <v>0.05</v>
      </c>
      <c r="I200" s="75">
        <f t="shared" si="196"/>
        <v>0</v>
      </c>
      <c r="J200" s="171"/>
      <c r="L200" s="11"/>
      <c r="M200" s="5" t="s">
        <v>312</v>
      </c>
      <c r="N200" s="11"/>
      <c r="O200" s="11"/>
      <c r="P200" s="29"/>
      <c r="Q200" s="22"/>
      <c r="R200" s="23">
        <f t="shared" si="197"/>
        <v>0.05</v>
      </c>
      <c r="S200" s="75">
        <f t="shared" si="198"/>
        <v>0</v>
      </c>
      <c r="T200" s="171"/>
      <c r="V200" s="41" t="s">
        <v>282</v>
      </c>
      <c r="W200" s="5" t="s">
        <v>380</v>
      </c>
      <c r="X200" s="41"/>
      <c r="Y200" s="41"/>
      <c r="Z200" s="29"/>
      <c r="AA200" s="22"/>
      <c r="AB200" s="23">
        <f t="shared" si="199"/>
        <v>0.05</v>
      </c>
      <c r="AC200" s="75">
        <f t="shared" si="200"/>
        <v>0</v>
      </c>
      <c r="AD200" s="171"/>
    </row>
    <row r="201" spans="2:30" hidden="1" outlineLevel="1" x14ac:dyDescent="0.45">
      <c r="B201" s="11"/>
      <c r="C201" s="5" t="s">
        <v>312</v>
      </c>
      <c r="D201" s="11"/>
      <c r="E201" s="11"/>
      <c r="F201" s="29"/>
      <c r="G201" s="22"/>
      <c r="H201" s="23">
        <f t="shared" si="195"/>
        <v>0.05</v>
      </c>
      <c r="I201" s="75">
        <f t="shared" si="196"/>
        <v>0</v>
      </c>
      <c r="J201" s="171"/>
      <c r="L201" s="11"/>
      <c r="M201" s="5" t="s">
        <v>312</v>
      </c>
      <c r="N201" s="11"/>
      <c r="O201" s="11"/>
      <c r="P201" s="29"/>
      <c r="Q201" s="22"/>
      <c r="R201" s="23">
        <f t="shared" si="197"/>
        <v>0.05</v>
      </c>
      <c r="S201" s="75">
        <f t="shared" si="198"/>
        <v>0</v>
      </c>
      <c r="T201" s="171"/>
      <c r="V201" s="41" t="s">
        <v>282</v>
      </c>
      <c r="W201" s="5" t="s">
        <v>380</v>
      </c>
      <c r="X201" s="41"/>
      <c r="Y201" s="41"/>
      <c r="Z201" s="29"/>
      <c r="AA201" s="22"/>
      <c r="AB201" s="23">
        <f t="shared" si="199"/>
        <v>0.05</v>
      </c>
      <c r="AC201" s="75">
        <f t="shared" si="200"/>
        <v>0</v>
      </c>
      <c r="AD201" s="171"/>
    </row>
    <row r="202" spans="2:30" hidden="1" outlineLevel="1" x14ac:dyDescent="0.45">
      <c r="B202" s="11"/>
      <c r="C202" s="5" t="s">
        <v>312</v>
      </c>
      <c r="D202" s="11"/>
      <c r="E202" s="11"/>
      <c r="F202" s="29"/>
      <c r="G202" s="22"/>
      <c r="H202" s="23">
        <f t="shared" si="195"/>
        <v>0.05</v>
      </c>
      <c r="I202" s="75">
        <f t="shared" si="196"/>
        <v>0</v>
      </c>
      <c r="J202" s="171"/>
      <c r="L202" s="11"/>
      <c r="M202" s="5" t="s">
        <v>312</v>
      </c>
      <c r="N202" s="11"/>
      <c r="O202" s="11"/>
      <c r="P202" s="29"/>
      <c r="Q202" s="22"/>
      <c r="R202" s="23">
        <f t="shared" si="197"/>
        <v>0.05</v>
      </c>
      <c r="S202" s="75">
        <f t="shared" si="198"/>
        <v>0</v>
      </c>
      <c r="T202" s="171"/>
      <c r="V202" s="41" t="s">
        <v>282</v>
      </c>
      <c r="W202" s="5" t="s">
        <v>380</v>
      </c>
      <c r="X202" s="41"/>
      <c r="Y202" s="41"/>
      <c r="Z202" s="29"/>
      <c r="AA202" s="22"/>
      <c r="AB202" s="23">
        <f t="shared" si="199"/>
        <v>0.05</v>
      </c>
      <c r="AC202" s="75">
        <f t="shared" si="200"/>
        <v>0</v>
      </c>
      <c r="AD202" s="171"/>
    </row>
    <row r="203" spans="2:30" s="24" customFormat="1" collapsed="1" x14ac:dyDescent="0.45">
      <c r="B203" s="8" t="str">
        <f>"Total "&amp;B187</f>
        <v>Total Facility (Credit Card)</v>
      </c>
      <c r="C203" s="25"/>
      <c r="D203" s="28">
        <f>SUM(D188:D202)</f>
        <v>0</v>
      </c>
      <c r="E203" s="28">
        <f>SUM(E188:E202)</f>
        <v>0</v>
      </c>
      <c r="F203" s="30"/>
      <c r="G203" s="25"/>
      <c r="H203" s="168">
        <v>0.05</v>
      </c>
      <c r="I203" s="28">
        <f>SUM(I188:I202)</f>
        <v>0</v>
      </c>
      <c r="J203" s="170"/>
      <c r="L203" s="8" t="str">
        <f>"Total "&amp;L187</f>
        <v>Total Facility (Credit Card)</v>
      </c>
      <c r="M203" s="25"/>
      <c r="N203" s="28">
        <f>SUM(N188:N202)</f>
        <v>0</v>
      </c>
      <c r="O203" s="28">
        <f>SUM(O188:O202)</f>
        <v>0</v>
      </c>
      <c r="P203" s="30"/>
      <c r="Q203" s="25"/>
      <c r="R203" s="168">
        <v>0.05</v>
      </c>
      <c r="S203" s="28">
        <f>SUM(S188:S202)</f>
        <v>0</v>
      </c>
      <c r="T203" s="170"/>
      <c r="V203" s="8" t="str">
        <f>"Total "&amp;V187</f>
        <v>Total Facility (Credit Card)</v>
      </c>
      <c r="W203" s="25"/>
      <c r="X203" s="28">
        <f>SUM(X188:X202)</f>
        <v>0</v>
      </c>
      <c r="Y203" s="28">
        <f>SUM(Y188:Y202)</f>
        <v>0</v>
      </c>
      <c r="Z203" s="30"/>
      <c r="AA203" s="25"/>
      <c r="AB203" s="168">
        <v>0.05</v>
      </c>
      <c r="AC203" s="28">
        <f>SUM(AC188:AC202)</f>
        <v>0</v>
      </c>
      <c r="AD203" s="170"/>
    </row>
    <row r="205" spans="2:30" s="20" customFormat="1" ht="39.4" x14ac:dyDescent="0.4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5" t="str">
        <f>B205</f>
        <v>Facility (Term-loan)</v>
      </c>
      <c r="M205" s="176" t="str">
        <f t="shared" ref="M205" si="202">C205</f>
        <v>Source</v>
      </c>
      <c r="N205" s="176" t="str">
        <f t="shared" ref="N205" si="203">D205</f>
        <v>Limit (A)</v>
      </c>
      <c r="O205" s="176" t="str">
        <f t="shared" ref="O205" si="204">E205</f>
        <v>Outstanding (A1)</v>
      </c>
      <c r="P205" s="176" t="str">
        <f t="shared" ref="P205" si="205">F205</f>
        <v>Monthly Repayment (B)</v>
      </c>
      <c r="Q205" s="176" t="str">
        <f t="shared" ref="Q205" si="206">G205</f>
        <v>Interest Rate (C)</v>
      </c>
      <c r="R205" s="176" t="str">
        <f t="shared" ref="R205" si="207">H205</f>
        <v>Factor (D)</v>
      </c>
      <c r="S205" s="176" t="str">
        <f t="shared" ref="S205" si="208">I205</f>
        <v>Interest (E) = (A or A1) * (C) * (D)</v>
      </c>
      <c r="T205" s="176" t="str">
        <f t="shared" ref="T205" si="209">J205</f>
        <v>Code Of Conduct</v>
      </c>
      <c r="V205" s="175" t="str">
        <f>L205</f>
        <v>Facility (Term-loan)</v>
      </c>
      <c r="W205" s="176" t="str">
        <f t="shared" ref="W205" si="210">M205</f>
        <v>Source</v>
      </c>
      <c r="X205" s="176" t="str">
        <f t="shared" ref="X205" si="211">N205</f>
        <v>Limit (A)</v>
      </c>
      <c r="Y205" s="176" t="str">
        <f t="shared" ref="Y205" si="212">O205</f>
        <v>Outstanding (A1)</v>
      </c>
      <c r="Z205" s="176" t="str">
        <f t="shared" ref="Z205" si="213">P205</f>
        <v>Monthly Repayment (B)</v>
      </c>
      <c r="AA205" s="176" t="str">
        <f t="shared" ref="AA205" si="214">Q205</f>
        <v>Interest Rate (C)</v>
      </c>
      <c r="AB205" s="176" t="str">
        <f t="shared" ref="AB205" si="215">R205</f>
        <v>Factor (D)</v>
      </c>
      <c r="AC205" s="176" t="str">
        <f t="shared" ref="AC205" si="216">S205</f>
        <v>Interest (E) = (A or A1) * (C) * (D)</v>
      </c>
      <c r="AD205" s="176" t="str">
        <f t="shared" ref="AD205" si="217">T205</f>
        <v>Code Of Conduct</v>
      </c>
    </row>
    <row r="206" spans="2:30" x14ac:dyDescent="0.45">
      <c r="B206" s="11" t="s">
        <v>956</v>
      </c>
      <c r="C206" s="5" t="s">
        <v>380</v>
      </c>
      <c r="D206" s="97">
        <v>300000</v>
      </c>
      <c r="E206" s="97">
        <v>240004</v>
      </c>
      <c r="F206" s="97">
        <v>4798</v>
      </c>
      <c r="G206" s="22"/>
      <c r="H206" s="32"/>
      <c r="I206" s="29"/>
      <c r="J206" s="171"/>
      <c r="L206" s="11"/>
      <c r="M206" s="5" t="s">
        <v>309</v>
      </c>
      <c r="N206" s="97"/>
      <c r="O206" s="97"/>
      <c r="P206" s="97"/>
      <c r="Q206" s="22"/>
      <c r="R206" s="32"/>
      <c r="S206" s="29"/>
      <c r="T206" s="171"/>
      <c r="V206" s="41" t="s">
        <v>282</v>
      </c>
      <c r="W206" s="5" t="s">
        <v>380</v>
      </c>
      <c r="X206" s="40"/>
      <c r="Y206" s="40"/>
      <c r="Z206" s="40"/>
      <c r="AA206" s="22"/>
      <c r="AB206" s="32"/>
      <c r="AC206" s="29"/>
      <c r="AD206" s="171"/>
    </row>
    <row r="207" spans="2:30" x14ac:dyDescent="0.45">
      <c r="B207" s="11"/>
      <c r="C207" s="5" t="s">
        <v>312</v>
      </c>
      <c r="D207" s="97"/>
      <c r="E207" s="97"/>
      <c r="F207" s="97"/>
      <c r="G207" s="22"/>
      <c r="H207" s="32"/>
      <c r="I207" s="29"/>
      <c r="J207" s="171"/>
      <c r="L207" s="11"/>
      <c r="M207" s="5" t="s">
        <v>312</v>
      </c>
      <c r="N207" s="97"/>
      <c r="O207" s="97"/>
      <c r="P207" s="97"/>
      <c r="Q207" s="22"/>
      <c r="R207" s="32"/>
      <c r="S207" s="29"/>
      <c r="T207" s="171"/>
      <c r="V207" s="41" t="s">
        <v>282</v>
      </c>
      <c r="W207" s="5" t="s">
        <v>380</v>
      </c>
      <c r="X207" s="40"/>
      <c r="Y207" s="40"/>
      <c r="Z207" s="40"/>
      <c r="AA207" s="22"/>
      <c r="AB207" s="32"/>
      <c r="AC207" s="29"/>
      <c r="AD207" s="171"/>
    </row>
    <row r="208" spans="2:30" x14ac:dyDescent="0.45">
      <c r="B208" s="11"/>
      <c r="C208" s="5" t="s">
        <v>312</v>
      </c>
      <c r="D208" s="97"/>
      <c r="E208" s="97"/>
      <c r="F208" s="97"/>
      <c r="G208" s="22"/>
      <c r="H208" s="32"/>
      <c r="I208" s="29"/>
      <c r="J208" s="171"/>
      <c r="L208" s="11"/>
      <c r="M208" s="5" t="s">
        <v>312</v>
      </c>
      <c r="N208" s="97"/>
      <c r="O208" s="97"/>
      <c r="P208" s="97"/>
      <c r="Q208" s="22"/>
      <c r="R208" s="32"/>
      <c r="S208" s="29"/>
      <c r="T208" s="171"/>
      <c r="V208" s="41" t="s">
        <v>282</v>
      </c>
      <c r="W208" s="5" t="s">
        <v>380</v>
      </c>
      <c r="X208" s="40"/>
      <c r="Y208" s="40"/>
      <c r="Z208" s="40"/>
      <c r="AA208" s="22"/>
      <c r="AB208" s="32"/>
      <c r="AC208" s="29"/>
      <c r="AD208" s="171"/>
    </row>
    <row r="209" spans="2:30" x14ac:dyDescent="0.45">
      <c r="B209" s="11"/>
      <c r="C209" s="5" t="s">
        <v>312</v>
      </c>
      <c r="D209" s="97"/>
      <c r="E209" s="97"/>
      <c r="F209" s="97"/>
      <c r="G209" s="22"/>
      <c r="H209" s="32"/>
      <c r="I209" s="29"/>
      <c r="J209" s="171"/>
      <c r="L209" s="11"/>
      <c r="M209" s="5" t="s">
        <v>312</v>
      </c>
      <c r="N209" s="97"/>
      <c r="O209" s="97"/>
      <c r="P209" s="97"/>
      <c r="Q209" s="22"/>
      <c r="R209" s="32"/>
      <c r="S209" s="29"/>
      <c r="T209" s="171"/>
      <c r="V209" s="41" t="s">
        <v>282</v>
      </c>
      <c r="W209" s="5" t="s">
        <v>380</v>
      </c>
      <c r="X209" s="40"/>
      <c r="Y209" s="40"/>
      <c r="Z209" s="40"/>
      <c r="AA209" s="22"/>
      <c r="AB209" s="32"/>
      <c r="AC209" s="29"/>
      <c r="AD209" s="171"/>
    </row>
    <row r="210" spans="2:30" x14ac:dyDescent="0.45">
      <c r="B210" s="11"/>
      <c r="C210" s="5" t="s">
        <v>312</v>
      </c>
      <c r="D210" s="97"/>
      <c r="E210" s="97"/>
      <c r="F210" s="97"/>
      <c r="G210" s="22"/>
      <c r="H210" s="32"/>
      <c r="I210" s="29"/>
      <c r="J210" s="171"/>
      <c r="L210" s="11"/>
      <c r="M210" s="5" t="s">
        <v>312</v>
      </c>
      <c r="N210" s="11"/>
      <c r="O210" s="11"/>
      <c r="P210" s="11"/>
      <c r="Q210" s="22"/>
      <c r="R210" s="32"/>
      <c r="S210" s="29"/>
      <c r="T210" s="171"/>
      <c r="V210" s="41" t="s">
        <v>282</v>
      </c>
      <c r="W210" s="5" t="s">
        <v>380</v>
      </c>
      <c r="X210" s="40"/>
      <c r="Y210" s="40"/>
      <c r="Z210" s="40"/>
      <c r="AA210" s="22"/>
      <c r="AB210" s="32"/>
      <c r="AC210" s="29"/>
      <c r="AD210" s="171"/>
    </row>
    <row r="211" spans="2:30" x14ac:dyDescent="0.45">
      <c r="B211" s="11"/>
      <c r="C211" s="5" t="s">
        <v>312</v>
      </c>
      <c r="D211" s="97"/>
      <c r="E211" s="97"/>
      <c r="F211" s="97"/>
      <c r="G211" s="22"/>
      <c r="H211" s="32"/>
      <c r="I211" s="29"/>
      <c r="J211" s="171"/>
      <c r="L211" s="11"/>
      <c r="M211" s="5" t="s">
        <v>312</v>
      </c>
      <c r="N211" s="11"/>
      <c r="O211" s="11"/>
      <c r="P211" s="11"/>
      <c r="Q211" s="22"/>
      <c r="R211" s="32"/>
      <c r="S211" s="29"/>
      <c r="T211" s="171"/>
      <c r="V211" s="41" t="s">
        <v>282</v>
      </c>
      <c r="W211" s="5" t="s">
        <v>380</v>
      </c>
      <c r="X211" s="40"/>
      <c r="Y211" s="40"/>
      <c r="Z211" s="40"/>
      <c r="AA211" s="22"/>
      <c r="AB211" s="32"/>
      <c r="AC211" s="29"/>
      <c r="AD211" s="171"/>
    </row>
    <row r="212" spans="2:30" hidden="1" outlineLevel="1" x14ac:dyDescent="0.45">
      <c r="B212" s="11"/>
      <c r="C212" s="5" t="s">
        <v>312</v>
      </c>
      <c r="D212" s="97"/>
      <c r="E212" s="97"/>
      <c r="F212" s="97"/>
      <c r="G212" s="22"/>
      <c r="H212" s="32"/>
      <c r="I212" s="29"/>
      <c r="J212" s="171"/>
      <c r="L212" s="11"/>
      <c r="M212" s="5" t="s">
        <v>312</v>
      </c>
      <c r="N212" s="11"/>
      <c r="O212" s="11"/>
      <c r="P212" s="11"/>
      <c r="Q212" s="22"/>
      <c r="R212" s="32"/>
      <c r="S212" s="29"/>
      <c r="T212" s="171"/>
      <c r="V212" s="41" t="s">
        <v>282</v>
      </c>
      <c r="W212" s="5" t="s">
        <v>380</v>
      </c>
      <c r="X212" s="40"/>
      <c r="Y212" s="40"/>
      <c r="Z212" s="40"/>
      <c r="AA212" s="22"/>
      <c r="AB212" s="32"/>
      <c r="AC212" s="29"/>
      <c r="AD212" s="171"/>
    </row>
    <row r="213" spans="2:30" hidden="1" outlineLevel="1" x14ac:dyDescent="0.45">
      <c r="B213" s="11"/>
      <c r="C213" s="5" t="s">
        <v>312</v>
      </c>
      <c r="D213" s="97"/>
      <c r="E213" s="97"/>
      <c r="F213" s="97"/>
      <c r="G213" s="22"/>
      <c r="H213" s="32"/>
      <c r="I213" s="29"/>
      <c r="J213" s="171"/>
      <c r="L213" s="11"/>
      <c r="M213" s="5" t="s">
        <v>312</v>
      </c>
      <c r="N213" s="11"/>
      <c r="O213" s="11"/>
      <c r="P213" s="11"/>
      <c r="Q213" s="22"/>
      <c r="R213" s="32"/>
      <c r="S213" s="29"/>
      <c r="T213" s="171"/>
      <c r="V213" s="41" t="s">
        <v>282</v>
      </c>
      <c r="W213" s="5" t="s">
        <v>380</v>
      </c>
      <c r="X213" s="41"/>
      <c r="Y213" s="41"/>
      <c r="Z213" s="41"/>
      <c r="AA213" s="22"/>
      <c r="AB213" s="32"/>
      <c r="AC213" s="29"/>
      <c r="AD213" s="171"/>
    </row>
    <row r="214" spans="2:30" hidden="1" outlineLevel="1" x14ac:dyDescent="0.45">
      <c r="B214" s="11"/>
      <c r="C214" s="5" t="s">
        <v>312</v>
      </c>
      <c r="D214" s="11"/>
      <c r="E214" s="11"/>
      <c r="F214" s="11"/>
      <c r="G214" s="22"/>
      <c r="H214" s="32"/>
      <c r="I214" s="29"/>
      <c r="J214" s="171"/>
      <c r="L214" s="11"/>
      <c r="M214" s="5" t="s">
        <v>312</v>
      </c>
      <c r="N214" s="11"/>
      <c r="O214" s="11"/>
      <c r="P214" s="11"/>
      <c r="Q214" s="22"/>
      <c r="R214" s="32"/>
      <c r="S214" s="29"/>
      <c r="T214" s="171"/>
      <c r="V214" s="41" t="s">
        <v>282</v>
      </c>
      <c r="W214" s="5" t="s">
        <v>380</v>
      </c>
      <c r="X214" s="41"/>
      <c r="Y214" s="41"/>
      <c r="Z214" s="41"/>
      <c r="AA214" s="22"/>
      <c r="AB214" s="32"/>
      <c r="AC214" s="29"/>
      <c r="AD214" s="171"/>
    </row>
    <row r="215" spans="2:30" hidden="1" outlineLevel="1" x14ac:dyDescent="0.45">
      <c r="B215" s="11"/>
      <c r="C215" s="5" t="s">
        <v>312</v>
      </c>
      <c r="D215" s="11"/>
      <c r="E215" s="11"/>
      <c r="F215" s="11"/>
      <c r="G215" s="22"/>
      <c r="H215" s="32"/>
      <c r="I215" s="29"/>
      <c r="J215" s="171"/>
      <c r="L215" s="11"/>
      <c r="M215" s="5" t="s">
        <v>312</v>
      </c>
      <c r="N215" s="11"/>
      <c r="O215" s="11"/>
      <c r="P215" s="11"/>
      <c r="Q215" s="22"/>
      <c r="R215" s="32"/>
      <c r="S215" s="29"/>
      <c r="T215" s="171"/>
      <c r="V215" s="41" t="s">
        <v>282</v>
      </c>
      <c r="W215" s="5" t="s">
        <v>380</v>
      </c>
      <c r="X215" s="41"/>
      <c r="Y215" s="41"/>
      <c r="Z215" s="41"/>
      <c r="AA215" s="22"/>
      <c r="AB215" s="32"/>
      <c r="AC215" s="29"/>
      <c r="AD215" s="171"/>
    </row>
    <row r="216" spans="2:30" hidden="1" outlineLevel="1" x14ac:dyDescent="0.45">
      <c r="B216" s="11"/>
      <c r="C216" s="5" t="s">
        <v>312</v>
      </c>
      <c r="D216" s="11"/>
      <c r="E216" s="11"/>
      <c r="F216" s="11"/>
      <c r="G216" s="22"/>
      <c r="H216" s="32"/>
      <c r="I216" s="29"/>
      <c r="J216" s="171"/>
      <c r="L216" s="11"/>
      <c r="M216" s="5" t="s">
        <v>312</v>
      </c>
      <c r="N216" s="11"/>
      <c r="O216" s="11"/>
      <c r="P216" s="11"/>
      <c r="Q216" s="22"/>
      <c r="R216" s="32"/>
      <c r="S216" s="29"/>
      <c r="T216" s="171"/>
      <c r="V216" s="41" t="s">
        <v>282</v>
      </c>
      <c r="W216" s="5" t="s">
        <v>380</v>
      </c>
      <c r="X216" s="41"/>
      <c r="Y216" s="41"/>
      <c r="Z216" s="41"/>
      <c r="AA216" s="22"/>
      <c r="AB216" s="32"/>
      <c r="AC216" s="29"/>
      <c r="AD216" s="171"/>
    </row>
    <row r="217" spans="2:30" hidden="1" outlineLevel="1" x14ac:dyDescent="0.45">
      <c r="B217" s="11"/>
      <c r="C217" s="5" t="s">
        <v>312</v>
      </c>
      <c r="D217" s="11"/>
      <c r="E217" s="11"/>
      <c r="F217" s="11"/>
      <c r="G217" s="22"/>
      <c r="H217" s="32"/>
      <c r="I217" s="29"/>
      <c r="J217" s="171"/>
      <c r="L217" s="11"/>
      <c r="M217" s="5" t="s">
        <v>312</v>
      </c>
      <c r="N217" s="11"/>
      <c r="O217" s="11"/>
      <c r="P217" s="11"/>
      <c r="Q217" s="22"/>
      <c r="R217" s="32"/>
      <c r="S217" s="29"/>
      <c r="T217" s="171"/>
      <c r="V217" s="41" t="s">
        <v>282</v>
      </c>
      <c r="W217" s="5" t="s">
        <v>380</v>
      </c>
      <c r="X217" s="41"/>
      <c r="Y217" s="41"/>
      <c r="Z217" s="41"/>
      <c r="AA217" s="22"/>
      <c r="AB217" s="32"/>
      <c r="AC217" s="29"/>
      <c r="AD217" s="171"/>
    </row>
    <row r="218" spans="2:30" hidden="1" outlineLevel="1" x14ac:dyDescent="0.45">
      <c r="B218" s="11"/>
      <c r="C218" s="5" t="s">
        <v>312</v>
      </c>
      <c r="D218" s="11"/>
      <c r="E218" s="11"/>
      <c r="F218" s="11"/>
      <c r="G218" s="22"/>
      <c r="H218" s="32"/>
      <c r="I218" s="29"/>
      <c r="J218" s="171"/>
      <c r="L218" s="11"/>
      <c r="M218" s="5" t="s">
        <v>312</v>
      </c>
      <c r="N218" s="11"/>
      <c r="O218" s="11"/>
      <c r="P218" s="11"/>
      <c r="Q218" s="22"/>
      <c r="R218" s="32"/>
      <c r="S218" s="29"/>
      <c r="T218" s="171"/>
      <c r="V218" s="41" t="s">
        <v>282</v>
      </c>
      <c r="W218" s="5" t="s">
        <v>380</v>
      </c>
      <c r="X218" s="41"/>
      <c r="Y218" s="41"/>
      <c r="Z218" s="41"/>
      <c r="AA218" s="22"/>
      <c r="AB218" s="32"/>
      <c r="AC218" s="29"/>
      <c r="AD218" s="171"/>
    </row>
    <row r="219" spans="2:30" hidden="1" outlineLevel="1" x14ac:dyDescent="0.45">
      <c r="B219" s="11"/>
      <c r="C219" s="5" t="s">
        <v>312</v>
      </c>
      <c r="D219" s="11"/>
      <c r="E219" s="11"/>
      <c r="F219" s="11"/>
      <c r="G219" s="22"/>
      <c r="H219" s="32"/>
      <c r="I219" s="29"/>
      <c r="J219" s="171"/>
      <c r="L219" s="11"/>
      <c r="M219" s="5" t="s">
        <v>312</v>
      </c>
      <c r="N219" s="11"/>
      <c r="O219" s="11"/>
      <c r="P219" s="11"/>
      <c r="Q219" s="22"/>
      <c r="R219" s="32"/>
      <c r="S219" s="29"/>
      <c r="T219" s="171"/>
      <c r="V219" s="41" t="s">
        <v>282</v>
      </c>
      <c r="W219" s="5" t="s">
        <v>380</v>
      </c>
      <c r="X219" s="41"/>
      <c r="Y219" s="41"/>
      <c r="Z219" s="41"/>
      <c r="AA219" s="22"/>
      <c r="AB219" s="32"/>
      <c r="AC219" s="29"/>
      <c r="AD219" s="171"/>
    </row>
    <row r="220" spans="2:30" hidden="1" outlineLevel="1" x14ac:dyDescent="0.45">
      <c r="B220" s="11"/>
      <c r="C220" s="5" t="s">
        <v>312</v>
      </c>
      <c r="D220" s="11"/>
      <c r="E220" s="11"/>
      <c r="F220" s="11"/>
      <c r="G220" s="22"/>
      <c r="H220" s="32"/>
      <c r="I220" s="29"/>
      <c r="J220" s="171"/>
      <c r="L220" s="11"/>
      <c r="M220" s="5" t="s">
        <v>312</v>
      </c>
      <c r="N220" s="11"/>
      <c r="O220" s="11"/>
      <c r="P220" s="11"/>
      <c r="Q220" s="22"/>
      <c r="R220" s="32"/>
      <c r="S220" s="29"/>
      <c r="T220" s="171"/>
      <c r="V220" s="41" t="s">
        <v>282</v>
      </c>
      <c r="W220" s="5" t="s">
        <v>380</v>
      </c>
      <c r="X220" s="41"/>
      <c r="Y220" s="41"/>
      <c r="Z220" s="41"/>
      <c r="AA220" s="22"/>
      <c r="AB220" s="32"/>
      <c r="AC220" s="29"/>
      <c r="AD220" s="171"/>
    </row>
    <row r="221" spans="2:30" s="24" customFormat="1" collapsed="1" x14ac:dyDescent="0.45">
      <c r="B221" s="8" t="str">
        <f>"Total "&amp;B205</f>
        <v>Total Facility (Term-loan)</v>
      </c>
      <c r="C221" s="25"/>
      <c r="D221" s="28">
        <f t="shared" ref="D221:F221" si="218">SUM(D206:D220)</f>
        <v>300000</v>
      </c>
      <c r="E221" s="28">
        <f t="shared" si="218"/>
        <v>240004</v>
      </c>
      <c r="F221" s="28">
        <f t="shared" si="218"/>
        <v>4798</v>
      </c>
      <c r="G221" s="25"/>
      <c r="H221" s="26"/>
      <c r="I221" s="30"/>
      <c r="J221" s="170"/>
      <c r="L221" s="8" t="str">
        <f>"Total "&amp;L205</f>
        <v>Total Facility (Term-loan)</v>
      </c>
      <c r="M221" s="25"/>
      <c r="N221" s="28">
        <f t="shared" ref="N221:P221" si="219">SUM(N206:N220)</f>
        <v>0</v>
      </c>
      <c r="O221" s="28">
        <f t="shared" si="219"/>
        <v>0</v>
      </c>
      <c r="P221" s="28">
        <f t="shared" si="219"/>
        <v>0</v>
      </c>
      <c r="Q221" s="25"/>
      <c r="R221" s="26"/>
      <c r="S221" s="30"/>
      <c r="T221" s="170"/>
      <c r="V221" s="8" t="str">
        <f>"Total "&amp;V205</f>
        <v>Total Facility (Term-loan)</v>
      </c>
      <c r="W221" s="25"/>
      <c r="X221" s="28">
        <f t="shared" ref="X221:Z221" si="220">SUM(X206:X220)</f>
        <v>0</v>
      </c>
      <c r="Y221" s="28">
        <f t="shared" si="220"/>
        <v>0</v>
      </c>
      <c r="Z221" s="28">
        <f t="shared" si="220"/>
        <v>0</v>
      </c>
      <c r="AA221" s="25"/>
      <c r="AB221" s="26"/>
      <c r="AC221" s="30"/>
      <c r="AD221" s="170"/>
    </row>
    <row r="223" spans="2:30" ht="39.4" x14ac:dyDescent="0.4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5" t="str">
        <f>B223</f>
        <v>Facility (Hire Purchase / Leasing)</v>
      </c>
      <c r="M223" s="176" t="str">
        <f t="shared" ref="M223" si="222">C223</f>
        <v>Source</v>
      </c>
      <c r="N223" s="176" t="str">
        <f t="shared" ref="N223" si="223">D223</f>
        <v>Limit (A)</v>
      </c>
      <c r="O223" s="176" t="str">
        <f t="shared" ref="O223" si="224">E223</f>
        <v>Outstanding (A1)</v>
      </c>
      <c r="P223" s="176" t="str">
        <f t="shared" ref="P223" si="225">F223</f>
        <v>Monthly Repayment (B)</v>
      </c>
      <c r="Q223" s="176" t="str">
        <f t="shared" ref="Q223" si="226">G223</f>
        <v>Interest Rate (C)</v>
      </c>
      <c r="R223" s="176" t="str">
        <f t="shared" ref="R223" si="227">H223</f>
        <v>Factor (D)</v>
      </c>
      <c r="S223" s="176" t="str">
        <f t="shared" ref="S223" si="228">I223</f>
        <v>Interest (E) = (A or A1) * (C) * (D)</v>
      </c>
      <c r="T223" s="176" t="str">
        <f t="shared" ref="T223" si="229">J223</f>
        <v>Code Of Conduct</v>
      </c>
      <c r="V223" s="175" t="str">
        <f>L223</f>
        <v>Facility (Hire Purchase / Leasing)</v>
      </c>
      <c r="W223" s="176" t="str">
        <f t="shared" ref="W223" si="230">M223</f>
        <v>Source</v>
      </c>
      <c r="X223" s="176" t="str">
        <f t="shared" ref="X223" si="231">N223</f>
        <v>Limit (A)</v>
      </c>
      <c r="Y223" s="176" t="str">
        <f t="shared" ref="Y223" si="232">O223</f>
        <v>Outstanding (A1)</v>
      </c>
      <c r="Z223" s="176" t="str">
        <f t="shared" ref="Z223" si="233">P223</f>
        <v>Monthly Repayment (B)</v>
      </c>
      <c r="AA223" s="176" t="str">
        <f t="shared" ref="AA223" si="234">Q223</f>
        <v>Interest Rate (C)</v>
      </c>
      <c r="AB223" s="176" t="str">
        <f t="shared" ref="AB223" si="235">R223</f>
        <v>Factor (D)</v>
      </c>
      <c r="AC223" s="176" t="str">
        <f t="shared" ref="AC223" si="236">S223</f>
        <v>Interest (E) = (A or A1) * (C) * (D)</v>
      </c>
      <c r="AD223" s="176" t="str">
        <f t="shared" ref="AD223" si="237">T223</f>
        <v>Code Of Conduct</v>
      </c>
    </row>
    <row r="224" spans="2:30" x14ac:dyDescent="0.45">
      <c r="B224" s="11" t="s">
        <v>957</v>
      </c>
      <c r="C224" s="5" t="s">
        <v>380</v>
      </c>
      <c r="D224" s="97">
        <v>320000</v>
      </c>
      <c r="E224" s="97">
        <v>267457</v>
      </c>
      <c r="F224" s="97">
        <v>4623</v>
      </c>
      <c r="G224" s="22"/>
      <c r="H224" s="32"/>
      <c r="I224" s="29"/>
      <c r="J224" s="171"/>
      <c r="L224" s="11"/>
      <c r="M224" s="5" t="s">
        <v>309</v>
      </c>
      <c r="N224" s="97"/>
      <c r="O224" s="97"/>
      <c r="P224" s="97"/>
      <c r="Q224" s="22"/>
      <c r="R224" s="32"/>
      <c r="S224" s="29"/>
      <c r="T224" s="171"/>
      <c r="V224" s="41" t="s">
        <v>282</v>
      </c>
      <c r="W224" s="5" t="s">
        <v>380</v>
      </c>
      <c r="X224" s="41"/>
      <c r="Y224" s="41"/>
      <c r="Z224" s="41"/>
      <c r="AA224" s="22"/>
      <c r="AB224" s="32"/>
      <c r="AC224" s="29"/>
      <c r="AD224" s="171"/>
    </row>
    <row r="225" spans="2:30" x14ac:dyDescent="0.45">
      <c r="B225" s="11" t="s">
        <v>958</v>
      </c>
      <c r="C225" s="5" t="s">
        <v>380</v>
      </c>
      <c r="D225" s="97">
        <v>136000</v>
      </c>
      <c r="E225" s="97">
        <v>131139</v>
      </c>
      <c r="F225" s="97">
        <v>1892</v>
      </c>
      <c r="G225" s="22"/>
      <c r="H225" s="32"/>
      <c r="I225" s="29"/>
      <c r="J225" s="171"/>
      <c r="L225" s="11"/>
      <c r="M225" s="5" t="s">
        <v>312</v>
      </c>
      <c r="N225" s="97"/>
      <c r="O225" s="97"/>
      <c r="P225" s="97"/>
      <c r="Q225" s="22"/>
      <c r="R225" s="32"/>
      <c r="S225" s="29"/>
      <c r="T225" s="171"/>
      <c r="V225" s="41" t="s">
        <v>282</v>
      </c>
      <c r="W225" s="5" t="s">
        <v>380</v>
      </c>
      <c r="X225" s="41"/>
      <c r="Y225" s="41"/>
      <c r="Z225" s="41"/>
      <c r="AA225" s="22"/>
      <c r="AB225" s="32"/>
      <c r="AC225" s="29"/>
      <c r="AD225" s="171"/>
    </row>
    <row r="226" spans="2:30" x14ac:dyDescent="0.45">
      <c r="B226" s="11" t="s">
        <v>959</v>
      </c>
      <c r="C226" s="5" t="s">
        <v>380</v>
      </c>
      <c r="D226" s="97">
        <v>186000</v>
      </c>
      <c r="E226" s="97">
        <v>181201</v>
      </c>
      <c r="F226" s="97">
        <v>2573</v>
      </c>
      <c r="G226" s="22"/>
      <c r="H226" s="32"/>
      <c r="I226" s="29"/>
      <c r="J226" s="171"/>
      <c r="L226" s="11"/>
      <c r="M226" s="5" t="s">
        <v>312</v>
      </c>
      <c r="N226" s="97"/>
      <c r="O226" s="97"/>
      <c r="P226" s="97"/>
      <c r="Q226" s="22"/>
      <c r="R226" s="32"/>
      <c r="S226" s="29"/>
      <c r="T226" s="171"/>
      <c r="V226" s="41" t="s">
        <v>282</v>
      </c>
      <c r="W226" s="5" t="s">
        <v>380</v>
      </c>
      <c r="X226" s="41"/>
      <c r="Y226" s="41"/>
      <c r="Z226" s="41"/>
      <c r="AA226" s="22"/>
      <c r="AB226" s="32"/>
      <c r="AC226" s="29"/>
      <c r="AD226" s="171"/>
    </row>
    <row r="227" spans="2:30" x14ac:dyDescent="0.45">
      <c r="B227" s="11"/>
      <c r="C227" s="5" t="s">
        <v>312</v>
      </c>
      <c r="D227" s="97"/>
      <c r="E227" s="97"/>
      <c r="F227" s="97"/>
      <c r="G227" s="22"/>
      <c r="H227" s="32"/>
      <c r="I227" s="29"/>
      <c r="J227" s="171"/>
      <c r="L227" s="11"/>
      <c r="M227" s="5" t="s">
        <v>312</v>
      </c>
      <c r="N227" s="97"/>
      <c r="O227" s="97"/>
      <c r="P227" s="11"/>
      <c r="Q227" s="22"/>
      <c r="R227" s="32"/>
      <c r="S227" s="29"/>
      <c r="T227" s="171"/>
      <c r="V227" s="41" t="s">
        <v>282</v>
      </c>
      <c r="W227" s="5" t="s">
        <v>380</v>
      </c>
      <c r="X227" s="41"/>
      <c r="Y227" s="41"/>
      <c r="Z227" s="41"/>
      <c r="AA227" s="22"/>
      <c r="AB227" s="32"/>
      <c r="AC227" s="29"/>
      <c r="AD227" s="171"/>
    </row>
    <row r="228" spans="2:30" x14ac:dyDescent="0.45">
      <c r="B228" s="11"/>
      <c r="C228" s="5" t="s">
        <v>312</v>
      </c>
      <c r="D228" s="97"/>
      <c r="E228" s="97"/>
      <c r="F228" s="97"/>
      <c r="G228" s="22"/>
      <c r="H228" s="32"/>
      <c r="I228" s="29"/>
      <c r="J228" s="171"/>
      <c r="L228" s="11"/>
      <c r="M228" s="5" t="s">
        <v>312</v>
      </c>
      <c r="N228" s="11"/>
      <c r="O228" s="11"/>
      <c r="P228" s="11"/>
      <c r="Q228" s="22"/>
      <c r="R228" s="32"/>
      <c r="S228" s="29"/>
      <c r="T228" s="171"/>
      <c r="V228" s="41" t="s">
        <v>282</v>
      </c>
      <c r="W228" s="5" t="s">
        <v>380</v>
      </c>
      <c r="X228" s="41"/>
      <c r="Y228" s="41"/>
      <c r="Z228" s="41"/>
      <c r="AA228" s="22"/>
      <c r="AB228" s="32"/>
      <c r="AC228" s="29"/>
      <c r="AD228" s="171"/>
    </row>
    <row r="229" spans="2:30" x14ac:dyDescent="0.45">
      <c r="B229" s="11"/>
      <c r="C229" s="5" t="s">
        <v>312</v>
      </c>
      <c r="D229" s="97"/>
      <c r="E229" s="97"/>
      <c r="F229" s="97"/>
      <c r="G229" s="22"/>
      <c r="H229" s="32"/>
      <c r="I229" s="29"/>
      <c r="J229" s="171"/>
      <c r="L229" s="11"/>
      <c r="M229" s="5" t="s">
        <v>312</v>
      </c>
      <c r="N229" s="11"/>
      <c r="O229" s="11"/>
      <c r="P229" s="11"/>
      <c r="Q229" s="22"/>
      <c r="R229" s="32"/>
      <c r="S229" s="29"/>
      <c r="T229" s="171"/>
      <c r="V229" s="41" t="s">
        <v>282</v>
      </c>
      <c r="W229" s="5" t="s">
        <v>380</v>
      </c>
      <c r="X229" s="41"/>
      <c r="Y229" s="41"/>
      <c r="Z229" s="41"/>
      <c r="AA229" s="22"/>
      <c r="AB229" s="32"/>
      <c r="AC229" s="29"/>
      <c r="AD229" s="171"/>
    </row>
    <row r="230" spans="2:30" hidden="1" outlineLevel="1" x14ac:dyDescent="0.45">
      <c r="B230" s="11"/>
      <c r="C230" s="5" t="s">
        <v>312</v>
      </c>
      <c r="D230" s="97"/>
      <c r="E230" s="97"/>
      <c r="F230" s="97"/>
      <c r="G230" s="22"/>
      <c r="H230" s="32"/>
      <c r="I230" s="29"/>
      <c r="J230" s="171"/>
      <c r="L230" s="11"/>
      <c r="M230" s="5" t="s">
        <v>312</v>
      </c>
      <c r="N230" s="11"/>
      <c r="O230" s="11"/>
      <c r="P230" s="11"/>
      <c r="Q230" s="22"/>
      <c r="R230" s="32"/>
      <c r="S230" s="29"/>
      <c r="T230" s="171"/>
      <c r="V230" s="41" t="s">
        <v>282</v>
      </c>
      <c r="W230" s="5" t="s">
        <v>380</v>
      </c>
      <c r="X230" s="41"/>
      <c r="Y230" s="41"/>
      <c r="Z230" s="41"/>
      <c r="AA230" s="22"/>
      <c r="AB230" s="32"/>
      <c r="AC230" s="29"/>
      <c r="AD230" s="171"/>
    </row>
    <row r="231" spans="2:30" hidden="1" outlineLevel="1" x14ac:dyDescent="0.45">
      <c r="B231" s="11"/>
      <c r="C231" s="5" t="s">
        <v>312</v>
      </c>
      <c r="D231" s="11"/>
      <c r="E231" s="11"/>
      <c r="F231" s="11"/>
      <c r="G231" s="22"/>
      <c r="H231" s="32"/>
      <c r="I231" s="29"/>
      <c r="J231" s="171"/>
      <c r="L231" s="11"/>
      <c r="M231" s="5" t="s">
        <v>312</v>
      </c>
      <c r="N231" s="11"/>
      <c r="O231" s="11"/>
      <c r="P231" s="11"/>
      <c r="Q231" s="22"/>
      <c r="R231" s="32"/>
      <c r="S231" s="29"/>
      <c r="T231" s="171"/>
      <c r="V231" s="41" t="s">
        <v>282</v>
      </c>
      <c r="W231" s="5" t="s">
        <v>380</v>
      </c>
      <c r="X231" s="41"/>
      <c r="Y231" s="41"/>
      <c r="Z231" s="41"/>
      <c r="AA231" s="22"/>
      <c r="AB231" s="32"/>
      <c r="AC231" s="29"/>
      <c r="AD231" s="171"/>
    </row>
    <row r="232" spans="2:30" hidden="1" outlineLevel="1" x14ac:dyDescent="0.45">
      <c r="B232" s="11"/>
      <c r="C232" s="5" t="s">
        <v>312</v>
      </c>
      <c r="D232" s="11"/>
      <c r="E232" s="11"/>
      <c r="F232" s="11"/>
      <c r="G232" s="22"/>
      <c r="H232" s="32"/>
      <c r="I232" s="29"/>
      <c r="J232" s="171"/>
      <c r="L232" s="11"/>
      <c r="M232" s="5" t="s">
        <v>312</v>
      </c>
      <c r="N232" s="11"/>
      <c r="O232" s="11"/>
      <c r="P232" s="11"/>
      <c r="Q232" s="22"/>
      <c r="R232" s="32"/>
      <c r="S232" s="29"/>
      <c r="T232" s="171"/>
      <c r="V232" s="41" t="s">
        <v>282</v>
      </c>
      <c r="W232" s="5" t="s">
        <v>380</v>
      </c>
      <c r="X232" s="41"/>
      <c r="Y232" s="41"/>
      <c r="Z232" s="41"/>
      <c r="AA232" s="22"/>
      <c r="AB232" s="32"/>
      <c r="AC232" s="29"/>
      <c r="AD232" s="171"/>
    </row>
    <row r="233" spans="2:30" hidden="1" outlineLevel="1" x14ac:dyDescent="0.45">
      <c r="B233" s="11"/>
      <c r="C233" s="5" t="s">
        <v>312</v>
      </c>
      <c r="D233" s="11"/>
      <c r="E233" s="11"/>
      <c r="F233" s="11"/>
      <c r="G233" s="22"/>
      <c r="H233" s="32"/>
      <c r="I233" s="29"/>
      <c r="J233" s="171"/>
      <c r="L233" s="11"/>
      <c r="M233" s="5" t="s">
        <v>312</v>
      </c>
      <c r="N233" s="11"/>
      <c r="O233" s="11"/>
      <c r="P233" s="11"/>
      <c r="Q233" s="22"/>
      <c r="R233" s="32"/>
      <c r="S233" s="29"/>
      <c r="T233" s="171"/>
      <c r="V233" s="41" t="s">
        <v>282</v>
      </c>
      <c r="W233" s="5" t="s">
        <v>380</v>
      </c>
      <c r="X233" s="41"/>
      <c r="Y233" s="41"/>
      <c r="Z233" s="41"/>
      <c r="AA233" s="22"/>
      <c r="AB233" s="32"/>
      <c r="AC233" s="29"/>
      <c r="AD233" s="171"/>
    </row>
    <row r="234" spans="2:30" hidden="1" outlineLevel="1" x14ac:dyDescent="0.45">
      <c r="B234" s="11"/>
      <c r="C234" s="5" t="s">
        <v>312</v>
      </c>
      <c r="D234" s="11"/>
      <c r="E234" s="11"/>
      <c r="F234" s="11"/>
      <c r="G234" s="22"/>
      <c r="H234" s="32"/>
      <c r="I234" s="29"/>
      <c r="J234" s="171"/>
      <c r="L234" s="11"/>
      <c r="M234" s="5" t="s">
        <v>312</v>
      </c>
      <c r="N234" s="11"/>
      <c r="O234" s="11"/>
      <c r="P234" s="11"/>
      <c r="Q234" s="22"/>
      <c r="R234" s="32"/>
      <c r="S234" s="29"/>
      <c r="T234" s="171"/>
      <c r="V234" s="41" t="s">
        <v>282</v>
      </c>
      <c r="W234" s="5" t="s">
        <v>380</v>
      </c>
      <c r="X234" s="41"/>
      <c r="Y234" s="41"/>
      <c r="Z234" s="41"/>
      <c r="AA234" s="22"/>
      <c r="AB234" s="32"/>
      <c r="AC234" s="29"/>
      <c r="AD234" s="171"/>
    </row>
    <row r="235" spans="2:30" hidden="1" outlineLevel="1" x14ac:dyDescent="0.45">
      <c r="B235" s="11"/>
      <c r="C235" s="5" t="s">
        <v>312</v>
      </c>
      <c r="D235" s="11"/>
      <c r="E235" s="11"/>
      <c r="F235" s="11"/>
      <c r="G235" s="22"/>
      <c r="H235" s="32"/>
      <c r="I235" s="29"/>
      <c r="J235" s="171"/>
      <c r="L235" s="11"/>
      <c r="M235" s="5" t="s">
        <v>312</v>
      </c>
      <c r="N235" s="11"/>
      <c r="O235" s="11"/>
      <c r="P235" s="11"/>
      <c r="Q235" s="22"/>
      <c r="R235" s="32"/>
      <c r="S235" s="29"/>
      <c r="T235" s="171"/>
      <c r="V235" s="41" t="s">
        <v>282</v>
      </c>
      <c r="W235" s="5" t="s">
        <v>380</v>
      </c>
      <c r="X235" s="41"/>
      <c r="Y235" s="41"/>
      <c r="Z235" s="41"/>
      <c r="AA235" s="22"/>
      <c r="AB235" s="32"/>
      <c r="AC235" s="29"/>
      <c r="AD235" s="171"/>
    </row>
    <row r="236" spans="2:30" hidden="1" outlineLevel="1" x14ac:dyDescent="0.45">
      <c r="B236" s="11"/>
      <c r="C236" s="5" t="s">
        <v>312</v>
      </c>
      <c r="D236" s="11"/>
      <c r="E236" s="11"/>
      <c r="F236" s="11"/>
      <c r="G236" s="22"/>
      <c r="H236" s="32"/>
      <c r="I236" s="29"/>
      <c r="J236" s="171"/>
      <c r="L236" s="11"/>
      <c r="M236" s="5" t="s">
        <v>312</v>
      </c>
      <c r="N236" s="11"/>
      <c r="O236" s="11"/>
      <c r="P236" s="11"/>
      <c r="Q236" s="22"/>
      <c r="R236" s="32"/>
      <c r="S236" s="29"/>
      <c r="T236" s="171"/>
      <c r="V236" s="41" t="s">
        <v>282</v>
      </c>
      <c r="W236" s="5" t="s">
        <v>380</v>
      </c>
      <c r="X236" s="41"/>
      <c r="Y236" s="41"/>
      <c r="Z236" s="41"/>
      <c r="AA236" s="22"/>
      <c r="AB236" s="32"/>
      <c r="AC236" s="29"/>
      <c r="AD236" s="171"/>
    </row>
    <row r="237" spans="2:30" hidden="1" outlineLevel="1" x14ac:dyDescent="0.45">
      <c r="B237" s="11"/>
      <c r="C237" s="5" t="s">
        <v>312</v>
      </c>
      <c r="D237" s="11"/>
      <c r="E237" s="11"/>
      <c r="F237" s="11"/>
      <c r="G237" s="22"/>
      <c r="H237" s="32"/>
      <c r="I237" s="29"/>
      <c r="J237" s="171"/>
      <c r="L237" s="11"/>
      <c r="M237" s="5" t="s">
        <v>312</v>
      </c>
      <c r="N237" s="11"/>
      <c r="O237" s="11"/>
      <c r="P237" s="11"/>
      <c r="Q237" s="22"/>
      <c r="R237" s="32"/>
      <c r="S237" s="29"/>
      <c r="T237" s="171"/>
      <c r="V237" s="41" t="s">
        <v>282</v>
      </c>
      <c r="W237" s="5" t="s">
        <v>380</v>
      </c>
      <c r="X237" s="41"/>
      <c r="Y237" s="41"/>
      <c r="Z237" s="41"/>
      <c r="AA237" s="22"/>
      <c r="AB237" s="32"/>
      <c r="AC237" s="29"/>
      <c r="AD237" s="171"/>
    </row>
    <row r="238" spans="2:30" hidden="1" outlineLevel="1" x14ac:dyDescent="0.45">
      <c r="B238" s="11"/>
      <c r="C238" s="5" t="s">
        <v>312</v>
      </c>
      <c r="D238" s="11"/>
      <c r="E238" s="11"/>
      <c r="F238" s="11"/>
      <c r="G238" s="22"/>
      <c r="H238" s="32"/>
      <c r="I238" s="29"/>
      <c r="J238" s="171"/>
      <c r="L238" s="11"/>
      <c r="M238" s="5" t="s">
        <v>312</v>
      </c>
      <c r="N238" s="11"/>
      <c r="O238" s="11"/>
      <c r="P238" s="11"/>
      <c r="Q238" s="22"/>
      <c r="R238" s="32"/>
      <c r="S238" s="29"/>
      <c r="T238" s="171"/>
      <c r="V238" s="41" t="s">
        <v>282</v>
      </c>
      <c r="W238" s="5" t="s">
        <v>380</v>
      </c>
      <c r="X238" s="41"/>
      <c r="Y238" s="41"/>
      <c r="Z238" s="41"/>
      <c r="AA238" s="22"/>
      <c r="AB238" s="32"/>
      <c r="AC238" s="29"/>
      <c r="AD238" s="171"/>
    </row>
    <row r="239" spans="2:30" collapsed="1" x14ac:dyDescent="0.45">
      <c r="B239" s="8" t="str">
        <f>"Total "&amp;B223</f>
        <v>Total Facility (Hire Purchase / Leasing)</v>
      </c>
      <c r="C239" s="25"/>
      <c r="D239" s="28">
        <f t="shared" ref="D239:F239" si="238">SUM(D224:D238)</f>
        <v>642000</v>
      </c>
      <c r="E239" s="28">
        <f t="shared" si="238"/>
        <v>579797</v>
      </c>
      <c r="F239" s="28">
        <f t="shared" si="238"/>
        <v>9088</v>
      </c>
      <c r="G239" s="25"/>
      <c r="H239" s="26"/>
      <c r="I239" s="30"/>
      <c r="J239" s="170"/>
      <c r="L239" s="8" t="str">
        <f>"Total "&amp;L223</f>
        <v>Total Facility (Hire Purchase / Leasing)</v>
      </c>
      <c r="M239" s="25"/>
      <c r="N239" s="28">
        <f t="shared" ref="N239:P239" si="239">SUM(N224:N238)</f>
        <v>0</v>
      </c>
      <c r="O239" s="28">
        <f t="shared" si="239"/>
        <v>0</v>
      </c>
      <c r="P239" s="28">
        <f t="shared" si="239"/>
        <v>0</v>
      </c>
      <c r="Q239" s="25"/>
      <c r="R239" s="26"/>
      <c r="S239" s="30"/>
      <c r="T239" s="170"/>
      <c r="V239" s="8" t="str">
        <f>"Total "&amp;V223</f>
        <v>Total Facility (Hire Purchase / Leasing)</v>
      </c>
      <c r="W239" s="25"/>
      <c r="X239" s="28">
        <f t="shared" ref="X239:Z239" si="240">SUM(X224:X238)</f>
        <v>0</v>
      </c>
      <c r="Y239" s="28">
        <f t="shared" si="240"/>
        <v>0</v>
      </c>
      <c r="Z239" s="28">
        <f t="shared" si="240"/>
        <v>0</v>
      </c>
      <c r="AA239" s="25"/>
      <c r="AB239" s="26"/>
      <c r="AC239" s="30"/>
      <c r="AD239" s="170"/>
    </row>
    <row r="241" spans="1:30" s="20" customFormat="1" ht="39.4" x14ac:dyDescent="0.45">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5" t="str">
        <f>B241</f>
        <v>P2P - Facility (Term-loan / Working Capital)</v>
      </c>
      <c r="M241" s="176" t="str">
        <f t="shared" ref="M241" si="242">C241</f>
        <v>Source</v>
      </c>
      <c r="N241" s="176" t="str">
        <f t="shared" ref="N241" si="243">D241</f>
        <v>Limit (A)</v>
      </c>
      <c r="O241" s="176" t="str">
        <f t="shared" ref="O241" si="244">E241</f>
        <v>Outstanding (A1)</v>
      </c>
      <c r="P241" s="176" t="str">
        <f t="shared" ref="P241" si="245">F241</f>
        <v>Monthly Repayment (B)</v>
      </c>
      <c r="Q241" s="176" t="str">
        <f t="shared" ref="Q241" si="246">G241</f>
        <v>Interest Rate (C)</v>
      </c>
      <c r="R241" s="176" t="str">
        <f t="shared" ref="R241" si="247">H241</f>
        <v>Factor (D)</v>
      </c>
      <c r="S241" s="176" t="str">
        <f t="shared" ref="S241" si="248">I241</f>
        <v>Interest (E) = (A or A1) * (C) * (D)</v>
      </c>
      <c r="T241" s="176" t="str">
        <f t="shared" ref="T241" si="249">J241</f>
        <v>Code Of Conduct</v>
      </c>
      <c r="V241" s="175" t="str">
        <f>L241</f>
        <v>P2P - Facility (Term-loan / Working Capital)</v>
      </c>
      <c r="W241" s="176" t="str">
        <f t="shared" ref="W241" si="250">M241</f>
        <v>Source</v>
      </c>
      <c r="X241" s="176" t="str">
        <f t="shared" ref="X241" si="251">N241</f>
        <v>Limit (A)</v>
      </c>
      <c r="Y241" s="176" t="str">
        <f t="shared" ref="Y241" si="252">O241</f>
        <v>Outstanding (A1)</v>
      </c>
      <c r="Z241" s="176" t="str">
        <f t="shared" ref="Z241" si="253">P241</f>
        <v>Monthly Repayment (B)</v>
      </c>
      <c r="AA241" s="176" t="str">
        <f t="shared" ref="AA241" si="254">Q241</f>
        <v>Interest Rate (C)</v>
      </c>
      <c r="AB241" s="176" t="str">
        <f t="shared" ref="AB241" si="255">R241</f>
        <v>Factor (D)</v>
      </c>
      <c r="AC241" s="176" t="str">
        <f t="shared" ref="AC241" si="256">S241</f>
        <v>Interest (E) = (A or A1) * (C) * (D)</v>
      </c>
      <c r="AD241" s="176" t="str">
        <f t="shared" ref="AD241" si="257">T241</f>
        <v>Code Of Conduct</v>
      </c>
    </row>
    <row r="242" spans="1:30" x14ac:dyDescent="0.45">
      <c r="A242" s="2">
        <v>10</v>
      </c>
      <c r="B242" s="11" t="s">
        <v>937</v>
      </c>
      <c r="C242" s="5" t="s">
        <v>309</v>
      </c>
      <c r="D242" s="97">
        <v>700000</v>
      </c>
      <c r="E242" s="97">
        <f>D242+((D242*G242)/12)*A242</f>
        <v>781666.66666666674</v>
      </c>
      <c r="F242" s="97">
        <f>E242/A242</f>
        <v>78166.666666666672</v>
      </c>
      <c r="G242" s="22">
        <v>0.14000000000000001</v>
      </c>
      <c r="H242" s="32"/>
      <c r="I242" s="29"/>
      <c r="J242" s="171"/>
      <c r="L242" s="11"/>
      <c r="M242" s="5" t="s">
        <v>309</v>
      </c>
      <c r="N242" s="97"/>
      <c r="O242" s="97"/>
      <c r="P242" s="97"/>
      <c r="Q242" s="22"/>
      <c r="R242" s="32"/>
      <c r="S242" s="29"/>
      <c r="T242" s="171"/>
      <c r="V242" s="41" t="s">
        <v>282</v>
      </c>
      <c r="W242" s="5" t="s">
        <v>380</v>
      </c>
      <c r="X242" s="41"/>
      <c r="Y242" s="41"/>
      <c r="Z242" s="41"/>
      <c r="AA242" s="22"/>
      <c r="AB242" s="32"/>
      <c r="AC242" s="29"/>
      <c r="AD242" s="171"/>
    </row>
    <row r="243" spans="1:30" x14ac:dyDescent="0.45">
      <c r="B243" s="11"/>
      <c r="C243" s="5" t="s">
        <v>312</v>
      </c>
      <c r="D243" s="97"/>
      <c r="E243" s="97"/>
      <c r="F243" s="97"/>
      <c r="G243" s="22"/>
      <c r="H243" s="32"/>
      <c r="I243" s="29"/>
      <c r="J243" s="171"/>
      <c r="L243" s="11"/>
      <c r="M243" s="5" t="s">
        <v>312</v>
      </c>
      <c r="N243" s="97"/>
      <c r="O243" s="97"/>
      <c r="P243" s="97"/>
      <c r="Q243" s="22"/>
      <c r="R243" s="32"/>
      <c r="S243" s="29"/>
      <c r="T243" s="171"/>
      <c r="V243" s="41" t="s">
        <v>282</v>
      </c>
      <c r="W243" s="5" t="s">
        <v>380</v>
      </c>
      <c r="X243" s="41"/>
      <c r="Y243" s="41"/>
      <c r="Z243" s="41"/>
      <c r="AA243" s="22"/>
      <c r="AB243" s="32"/>
      <c r="AC243" s="29"/>
      <c r="AD243" s="171"/>
    </row>
    <row r="244" spans="1:30" x14ac:dyDescent="0.45">
      <c r="B244" s="11"/>
      <c r="C244" s="5" t="s">
        <v>312</v>
      </c>
      <c r="D244" s="97"/>
      <c r="E244" s="97"/>
      <c r="F244" s="97"/>
      <c r="G244" s="22"/>
      <c r="H244" s="32"/>
      <c r="I244" s="29"/>
      <c r="J244" s="171"/>
      <c r="L244" s="11"/>
      <c r="M244" s="5" t="s">
        <v>312</v>
      </c>
      <c r="N244" s="97"/>
      <c r="O244" s="97"/>
      <c r="P244" s="97"/>
      <c r="Q244" s="22"/>
      <c r="R244" s="32"/>
      <c r="S244" s="29"/>
      <c r="T244" s="171"/>
      <c r="V244" s="41" t="s">
        <v>282</v>
      </c>
      <c r="W244" s="5" t="s">
        <v>380</v>
      </c>
      <c r="X244" s="41"/>
      <c r="Y244" s="41"/>
      <c r="Z244" s="41"/>
      <c r="AA244" s="22"/>
      <c r="AB244" s="32"/>
      <c r="AC244" s="29"/>
      <c r="AD244" s="171"/>
    </row>
    <row r="245" spans="1:30" x14ac:dyDescent="0.45">
      <c r="B245" s="11"/>
      <c r="C245" s="5" t="s">
        <v>312</v>
      </c>
      <c r="D245" s="97"/>
      <c r="E245" s="97"/>
      <c r="F245" s="97"/>
      <c r="G245" s="22"/>
      <c r="H245" s="32"/>
      <c r="I245" s="29"/>
      <c r="J245" s="171"/>
      <c r="L245" s="11"/>
      <c r="M245" s="5" t="s">
        <v>312</v>
      </c>
      <c r="N245" s="97"/>
      <c r="O245" s="97"/>
      <c r="P245" s="11"/>
      <c r="Q245" s="22"/>
      <c r="R245" s="32"/>
      <c r="S245" s="29"/>
      <c r="T245" s="171"/>
      <c r="V245" s="41" t="s">
        <v>282</v>
      </c>
      <c r="W245" s="5" t="s">
        <v>380</v>
      </c>
      <c r="X245" s="41"/>
      <c r="Y245" s="41"/>
      <c r="Z245" s="41"/>
      <c r="AA245" s="22"/>
      <c r="AB245" s="32"/>
      <c r="AC245" s="29"/>
      <c r="AD245" s="171"/>
    </row>
    <row r="246" spans="1:30" x14ac:dyDescent="0.45">
      <c r="B246" s="11"/>
      <c r="C246" s="5" t="s">
        <v>312</v>
      </c>
      <c r="D246" s="11"/>
      <c r="E246" s="11"/>
      <c r="F246" s="11"/>
      <c r="G246" s="22"/>
      <c r="H246" s="32"/>
      <c r="I246" s="29"/>
      <c r="J246" s="171"/>
      <c r="L246" s="11"/>
      <c r="M246" s="5" t="s">
        <v>312</v>
      </c>
      <c r="N246" s="11"/>
      <c r="O246" s="11"/>
      <c r="P246" s="11"/>
      <c r="Q246" s="22"/>
      <c r="R246" s="32"/>
      <c r="S246" s="29"/>
      <c r="T246" s="171"/>
      <c r="V246" s="41" t="s">
        <v>282</v>
      </c>
      <c r="W246" s="5" t="s">
        <v>380</v>
      </c>
      <c r="X246" s="41"/>
      <c r="Y246" s="41"/>
      <c r="Z246" s="41"/>
      <c r="AA246" s="22"/>
      <c r="AB246" s="32"/>
      <c r="AC246" s="29"/>
      <c r="AD246" s="171"/>
    </row>
    <row r="247" spans="1:30" x14ac:dyDescent="0.45">
      <c r="B247" s="11"/>
      <c r="C247" s="5" t="s">
        <v>312</v>
      </c>
      <c r="D247" s="11"/>
      <c r="E247" s="11"/>
      <c r="F247" s="11"/>
      <c r="G247" s="22"/>
      <c r="H247" s="32"/>
      <c r="I247" s="29"/>
      <c r="J247" s="171"/>
      <c r="L247" s="11"/>
      <c r="M247" s="5" t="s">
        <v>312</v>
      </c>
      <c r="N247" s="11"/>
      <c r="O247" s="11"/>
      <c r="P247" s="11"/>
      <c r="Q247" s="22"/>
      <c r="R247" s="32"/>
      <c r="S247" s="29"/>
      <c r="T247" s="171"/>
      <c r="V247" s="41" t="s">
        <v>282</v>
      </c>
      <c r="W247" s="5" t="s">
        <v>380</v>
      </c>
      <c r="X247" s="41"/>
      <c r="Y247" s="41"/>
      <c r="Z247" s="41"/>
      <c r="AA247" s="22"/>
      <c r="AB247" s="32"/>
      <c r="AC247" s="29"/>
      <c r="AD247" s="171"/>
    </row>
    <row r="248" spans="1:30" hidden="1" outlineLevel="1" x14ac:dyDescent="0.45">
      <c r="B248" s="11"/>
      <c r="C248" s="5" t="s">
        <v>312</v>
      </c>
      <c r="D248" s="11"/>
      <c r="E248" s="11"/>
      <c r="F248" s="11"/>
      <c r="G248" s="22"/>
      <c r="H248" s="32"/>
      <c r="I248" s="29"/>
      <c r="J248" s="171"/>
      <c r="L248" s="11"/>
      <c r="M248" s="5" t="s">
        <v>312</v>
      </c>
      <c r="N248" s="11"/>
      <c r="O248" s="11"/>
      <c r="P248" s="11"/>
      <c r="Q248" s="22"/>
      <c r="R248" s="32"/>
      <c r="S248" s="29"/>
      <c r="T248" s="171"/>
      <c r="V248" s="41" t="s">
        <v>282</v>
      </c>
      <c r="W248" s="5" t="s">
        <v>380</v>
      </c>
      <c r="X248" s="41"/>
      <c r="Y248" s="41"/>
      <c r="Z248" s="41"/>
      <c r="AA248" s="22"/>
      <c r="AB248" s="32"/>
      <c r="AC248" s="29"/>
      <c r="AD248" s="171"/>
    </row>
    <row r="249" spans="1:30" hidden="1" outlineLevel="1" x14ac:dyDescent="0.45">
      <c r="B249" s="11"/>
      <c r="C249" s="5" t="s">
        <v>312</v>
      </c>
      <c r="D249" s="11"/>
      <c r="E249" s="11"/>
      <c r="F249" s="11"/>
      <c r="G249" s="22"/>
      <c r="H249" s="32"/>
      <c r="I249" s="29"/>
      <c r="J249" s="171"/>
      <c r="L249" s="11"/>
      <c r="M249" s="5" t="s">
        <v>312</v>
      </c>
      <c r="N249" s="11"/>
      <c r="O249" s="11"/>
      <c r="P249" s="11"/>
      <c r="Q249" s="22"/>
      <c r="R249" s="32"/>
      <c r="S249" s="29"/>
      <c r="T249" s="171"/>
      <c r="V249" s="41" t="s">
        <v>282</v>
      </c>
      <c r="W249" s="5" t="s">
        <v>380</v>
      </c>
      <c r="X249" s="41"/>
      <c r="Y249" s="41"/>
      <c r="Z249" s="41"/>
      <c r="AA249" s="22"/>
      <c r="AB249" s="32"/>
      <c r="AC249" s="29"/>
      <c r="AD249" s="171"/>
    </row>
    <row r="250" spans="1:30" hidden="1" outlineLevel="1" x14ac:dyDescent="0.45">
      <c r="B250" s="11"/>
      <c r="C250" s="5" t="s">
        <v>312</v>
      </c>
      <c r="D250" s="11"/>
      <c r="E250" s="11"/>
      <c r="F250" s="11"/>
      <c r="G250" s="22"/>
      <c r="H250" s="32"/>
      <c r="I250" s="29"/>
      <c r="J250" s="171"/>
      <c r="L250" s="11"/>
      <c r="M250" s="5" t="s">
        <v>312</v>
      </c>
      <c r="N250" s="11"/>
      <c r="O250" s="11"/>
      <c r="P250" s="11"/>
      <c r="Q250" s="22"/>
      <c r="R250" s="32"/>
      <c r="S250" s="29"/>
      <c r="T250" s="171"/>
      <c r="V250" s="41" t="s">
        <v>282</v>
      </c>
      <c r="W250" s="5" t="s">
        <v>380</v>
      </c>
      <c r="X250" s="41"/>
      <c r="Y250" s="41"/>
      <c r="Z250" s="41"/>
      <c r="AA250" s="22"/>
      <c r="AB250" s="32"/>
      <c r="AC250" s="29"/>
      <c r="AD250" s="171"/>
    </row>
    <row r="251" spans="1:30" hidden="1" outlineLevel="1" x14ac:dyDescent="0.45">
      <c r="B251" s="11"/>
      <c r="C251" s="5" t="s">
        <v>312</v>
      </c>
      <c r="D251" s="11"/>
      <c r="E251" s="11"/>
      <c r="F251" s="11"/>
      <c r="G251" s="22"/>
      <c r="H251" s="32"/>
      <c r="I251" s="29"/>
      <c r="J251" s="171"/>
      <c r="L251" s="11"/>
      <c r="M251" s="5" t="s">
        <v>312</v>
      </c>
      <c r="N251" s="11"/>
      <c r="O251" s="11"/>
      <c r="P251" s="11"/>
      <c r="Q251" s="22"/>
      <c r="R251" s="32"/>
      <c r="S251" s="29"/>
      <c r="T251" s="171"/>
      <c r="V251" s="41" t="s">
        <v>282</v>
      </c>
      <c r="W251" s="5" t="s">
        <v>380</v>
      </c>
      <c r="X251" s="41"/>
      <c r="Y251" s="41"/>
      <c r="Z251" s="41"/>
      <c r="AA251" s="22"/>
      <c r="AB251" s="32"/>
      <c r="AC251" s="29"/>
      <c r="AD251" s="171"/>
    </row>
    <row r="252" spans="1:30" hidden="1" outlineLevel="1" x14ac:dyDescent="0.45">
      <c r="B252" s="11"/>
      <c r="C252" s="5" t="s">
        <v>312</v>
      </c>
      <c r="D252" s="11"/>
      <c r="E252" s="11"/>
      <c r="F252" s="11"/>
      <c r="G252" s="22"/>
      <c r="H252" s="32"/>
      <c r="I252" s="29"/>
      <c r="J252" s="171"/>
      <c r="L252" s="11"/>
      <c r="M252" s="5" t="s">
        <v>312</v>
      </c>
      <c r="N252" s="11"/>
      <c r="O252" s="11"/>
      <c r="P252" s="11"/>
      <c r="Q252" s="22"/>
      <c r="R252" s="32"/>
      <c r="S252" s="29"/>
      <c r="T252" s="171"/>
      <c r="V252" s="41" t="s">
        <v>282</v>
      </c>
      <c r="W252" s="5" t="s">
        <v>380</v>
      </c>
      <c r="X252" s="41"/>
      <c r="Y252" s="41"/>
      <c r="Z252" s="41"/>
      <c r="AA252" s="22"/>
      <c r="AB252" s="32"/>
      <c r="AC252" s="29"/>
      <c r="AD252" s="171"/>
    </row>
    <row r="253" spans="1:30" hidden="1" outlineLevel="1" x14ac:dyDescent="0.45">
      <c r="B253" s="11"/>
      <c r="C253" s="5" t="s">
        <v>312</v>
      </c>
      <c r="D253" s="11"/>
      <c r="E253" s="11"/>
      <c r="F253" s="11"/>
      <c r="G253" s="22"/>
      <c r="H253" s="32"/>
      <c r="I253" s="29"/>
      <c r="J253" s="171"/>
      <c r="L253" s="11"/>
      <c r="M253" s="5" t="s">
        <v>312</v>
      </c>
      <c r="N253" s="11"/>
      <c r="O253" s="11"/>
      <c r="P253" s="11"/>
      <c r="Q253" s="22"/>
      <c r="R253" s="32"/>
      <c r="S253" s="29"/>
      <c r="T253" s="171"/>
      <c r="V253" s="41" t="s">
        <v>282</v>
      </c>
      <c r="W253" s="5" t="s">
        <v>380</v>
      </c>
      <c r="X253" s="41"/>
      <c r="Y253" s="41"/>
      <c r="Z253" s="41"/>
      <c r="AA253" s="22"/>
      <c r="AB253" s="32"/>
      <c r="AC253" s="29"/>
      <c r="AD253" s="171"/>
    </row>
    <row r="254" spans="1:30" hidden="1" outlineLevel="1" x14ac:dyDescent="0.45">
      <c r="B254" s="11"/>
      <c r="C254" s="5" t="s">
        <v>312</v>
      </c>
      <c r="D254" s="11"/>
      <c r="E254" s="11"/>
      <c r="F254" s="11"/>
      <c r="G254" s="22"/>
      <c r="H254" s="32"/>
      <c r="I254" s="29"/>
      <c r="J254" s="171"/>
      <c r="L254" s="11"/>
      <c r="M254" s="5" t="s">
        <v>312</v>
      </c>
      <c r="N254" s="11"/>
      <c r="O254" s="11"/>
      <c r="P254" s="11"/>
      <c r="Q254" s="22"/>
      <c r="R254" s="32"/>
      <c r="S254" s="29"/>
      <c r="T254" s="171"/>
      <c r="V254" s="41" t="s">
        <v>282</v>
      </c>
      <c r="W254" s="5" t="s">
        <v>380</v>
      </c>
      <c r="X254" s="41"/>
      <c r="Y254" s="41"/>
      <c r="Z254" s="41"/>
      <c r="AA254" s="22"/>
      <c r="AB254" s="32"/>
      <c r="AC254" s="29"/>
      <c r="AD254" s="171"/>
    </row>
    <row r="255" spans="1:30" hidden="1" outlineLevel="1" x14ac:dyDescent="0.45">
      <c r="B255" s="11"/>
      <c r="C255" s="5" t="s">
        <v>312</v>
      </c>
      <c r="D255" s="11"/>
      <c r="E255" s="11"/>
      <c r="F255" s="11"/>
      <c r="G255" s="22"/>
      <c r="H255" s="32"/>
      <c r="I255" s="29"/>
      <c r="J255" s="171"/>
      <c r="L255" s="11"/>
      <c r="M255" s="5" t="s">
        <v>312</v>
      </c>
      <c r="N255" s="11"/>
      <c r="O255" s="11"/>
      <c r="P255" s="11"/>
      <c r="Q255" s="22"/>
      <c r="R255" s="32"/>
      <c r="S255" s="29"/>
      <c r="T255" s="171"/>
      <c r="V255" s="41" t="s">
        <v>282</v>
      </c>
      <c r="W255" s="5" t="s">
        <v>380</v>
      </c>
      <c r="X255" s="41"/>
      <c r="Y255" s="41"/>
      <c r="Z255" s="41"/>
      <c r="AA255" s="22"/>
      <c r="AB255" s="32"/>
      <c r="AC255" s="29"/>
      <c r="AD255" s="171"/>
    </row>
    <row r="256" spans="1:30" hidden="1" outlineLevel="1" x14ac:dyDescent="0.45">
      <c r="B256" s="11"/>
      <c r="C256" s="5" t="s">
        <v>312</v>
      </c>
      <c r="D256" s="11"/>
      <c r="E256" s="11"/>
      <c r="F256" s="11"/>
      <c r="G256" s="22"/>
      <c r="H256" s="32"/>
      <c r="I256" s="29"/>
      <c r="J256" s="171"/>
      <c r="L256" s="11"/>
      <c r="M256" s="5" t="s">
        <v>312</v>
      </c>
      <c r="N256" s="11"/>
      <c r="O256" s="11"/>
      <c r="P256" s="11"/>
      <c r="Q256" s="22"/>
      <c r="R256" s="32"/>
      <c r="S256" s="29"/>
      <c r="T256" s="171"/>
      <c r="V256" s="41" t="s">
        <v>282</v>
      </c>
      <c r="W256" s="5" t="s">
        <v>380</v>
      </c>
      <c r="X256" s="41"/>
      <c r="Y256" s="41"/>
      <c r="Z256" s="41"/>
      <c r="AA256" s="22"/>
      <c r="AB256" s="32"/>
      <c r="AC256" s="29"/>
      <c r="AD256" s="171"/>
    </row>
    <row r="257" spans="2:30" s="24" customFormat="1" collapsed="1" x14ac:dyDescent="0.45">
      <c r="B257" s="8" t="str">
        <f>"Total "&amp;B241</f>
        <v>Total P2P - Facility (Term-loan / Working Capital)</v>
      </c>
      <c r="C257" s="25"/>
      <c r="D257" s="28">
        <f t="shared" ref="D257:F257" si="258">SUM(D242:D256)</f>
        <v>700000</v>
      </c>
      <c r="E257" s="28">
        <f t="shared" si="258"/>
        <v>781666.66666666674</v>
      </c>
      <c r="F257" s="28">
        <f t="shared" si="258"/>
        <v>78166.666666666672</v>
      </c>
      <c r="G257" s="25"/>
      <c r="H257" s="26"/>
      <c r="I257" s="30"/>
      <c r="J257" s="170"/>
      <c r="L257" s="8" t="str">
        <f>"Total "&amp;L241</f>
        <v>Total P2P - Facility (Term-loan / Working Capital)</v>
      </c>
      <c r="M257" s="25"/>
      <c r="N257" s="28">
        <f t="shared" ref="N257:P257" si="259">SUM(N242:N256)</f>
        <v>0</v>
      </c>
      <c r="O257" s="28">
        <f t="shared" si="259"/>
        <v>0</v>
      </c>
      <c r="P257" s="28">
        <f t="shared" si="259"/>
        <v>0</v>
      </c>
      <c r="Q257" s="25"/>
      <c r="R257" s="26"/>
      <c r="S257" s="30"/>
      <c r="T257" s="170"/>
      <c r="V257" s="8" t="str">
        <f>"Total "&amp;V241</f>
        <v>Total P2P - Facility (Term-loan / Working Capital)</v>
      </c>
      <c r="W257" s="25"/>
      <c r="X257" s="28">
        <f t="shared" ref="X257:Z257" si="260">SUM(X242:X256)</f>
        <v>0</v>
      </c>
      <c r="Y257" s="28">
        <f t="shared" si="260"/>
        <v>0</v>
      </c>
      <c r="Z257" s="28">
        <f t="shared" si="260"/>
        <v>0</v>
      </c>
      <c r="AA257" s="25"/>
      <c r="AB257" s="26"/>
      <c r="AC257" s="30"/>
      <c r="AD257" s="170"/>
    </row>
    <row r="259" spans="2:30" s="20" customFormat="1" ht="39.4" x14ac:dyDescent="0.45">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5" t="str">
        <f>B259</f>
        <v>P2P - Facility (Trade Invoice Financing)</v>
      </c>
      <c r="M259" s="176" t="str">
        <f t="shared" ref="M259" si="262">C259</f>
        <v>Source</v>
      </c>
      <c r="N259" s="176" t="str">
        <f t="shared" ref="N259" si="263">D259</f>
        <v>Limit (A)</v>
      </c>
      <c r="O259" s="176" t="str">
        <f t="shared" ref="O259" si="264">E259</f>
        <v>Outstanding (A1)</v>
      </c>
      <c r="P259" s="176" t="str">
        <f t="shared" ref="P259" si="265">F259</f>
        <v>Monthly Repayment (B)</v>
      </c>
      <c r="Q259" s="176" t="str">
        <f t="shared" ref="Q259" si="266">G259</f>
        <v>Interest Rate (C)</v>
      </c>
      <c r="R259" s="176" t="str">
        <f t="shared" ref="R259" si="267">H259</f>
        <v>Factor (D)</v>
      </c>
      <c r="S259" s="176" t="str">
        <f t="shared" ref="S259" si="268">I259</f>
        <v>Interest (E) = (A or A1) * (C) * (D)</v>
      </c>
      <c r="T259" s="176" t="str">
        <f t="shared" ref="T259" si="269">J259</f>
        <v>Code Of Conduct</v>
      </c>
      <c r="V259" s="175" t="str">
        <f>L259</f>
        <v>P2P - Facility (Trade Invoice Financing)</v>
      </c>
      <c r="W259" s="176" t="str">
        <f t="shared" ref="W259" si="270">M259</f>
        <v>Source</v>
      </c>
      <c r="X259" s="176" t="str">
        <f t="shared" ref="X259" si="271">N259</f>
        <v>Limit (A)</v>
      </c>
      <c r="Y259" s="176" t="str">
        <f t="shared" ref="Y259" si="272">O259</f>
        <v>Outstanding (A1)</v>
      </c>
      <c r="Z259" s="176" t="str">
        <f t="shared" ref="Z259" si="273">P259</f>
        <v>Monthly Repayment (B)</v>
      </c>
      <c r="AA259" s="176" t="str">
        <f t="shared" ref="AA259" si="274">Q259</f>
        <v>Interest Rate (C)</v>
      </c>
      <c r="AB259" s="176" t="str">
        <f t="shared" ref="AB259" si="275">R259</f>
        <v>Factor (D)</v>
      </c>
      <c r="AC259" s="176" t="str">
        <f t="shared" ref="AC259" si="276">S259</f>
        <v>Interest (E) = (A or A1) * (C) * (D)</v>
      </c>
      <c r="AD259" s="176" t="str">
        <f t="shared" ref="AD259" si="277">T259</f>
        <v>Code Of Conduct</v>
      </c>
    </row>
    <row r="260" spans="2:30" x14ac:dyDescent="0.45">
      <c r="B260" s="11" t="s">
        <v>937</v>
      </c>
      <c r="C260" s="5" t="s">
        <v>309</v>
      </c>
      <c r="D260" s="11">
        <v>0</v>
      </c>
      <c r="E260" s="11">
        <f>D260</f>
        <v>0</v>
      </c>
      <c r="F260" s="29"/>
      <c r="G260" s="22">
        <v>0.14000000000000001</v>
      </c>
      <c r="H260" s="169">
        <v>0.85</v>
      </c>
      <c r="I260" s="75">
        <f>D260*G260*H260</f>
        <v>0</v>
      </c>
      <c r="J260" s="171"/>
      <c r="L260" s="11"/>
      <c r="M260" s="5" t="s">
        <v>309</v>
      </c>
      <c r="N260" s="97"/>
      <c r="O260" s="11"/>
      <c r="P260" s="29"/>
      <c r="Q260" s="22"/>
      <c r="R260" s="169">
        <v>0.8</v>
      </c>
      <c r="S260" s="75">
        <f>N260*Q260*R260</f>
        <v>0</v>
      </c>
      <c r="T260" s="171"/>
      <c r="V260" s="41" t="s">
        <v>282</v>
      </c>
      <c r="W260" s="5" t="s">
        <v>380</v>
      </c>
      <c r="X260" s="41"/>
      <c r="Y260" s="41"/>
      <c r="Z260" s="29"/>
      <c r="AA260" s="22"/>
      <c r="AB260" s="169">
        <f>AB$275</f>
        <v>1</v>
      </c>
      <c r="AC260" s="75">
        <f>X260*AA260*AB260</f>
        <v>0</v>
      </c>
      <c r="AD260" s="171"/>
    </row>
    <row r="261" spans="2:30" x14ac:dyDescent="0.45">
      <c r="B261" s="11"/>
      <c r="C261" s="5" t="s">
        <v>312</v>
      </c>
      <c r="D261" s="11"/>
      <c r="E261" s="11"/>
      <c r="F261" s="29"/>
      <c r="G261" s="22"/>
      <c r="H261" s="169">
        <f t="shared" ref="H261:H274" si="278">H$275</f>
        <v>1</v>
      </c>
      <c r="I261" s="75">
        <f t="shared" ref="I261:I274" si="279">D261*G261*H261</f>
        <v>0</v>
      </c>
      <c r="J261" s="171"/>
      <c r="L261" s="11"/>
      <c r="M261" s="5" t="s">
        <v>312</v>
      </c>
      <c r="N261" s="11"/>
      <c r="O261" s="11"/>
      <c r="P261" s="29"/>
      <c r="Q261" s="22"/>
      <c r="R261" s="169">
        <f t="shared" ref="R261:R274" si="280">R$275</f>
        <v>1</v>
      </c>
      <c r="S261" s="75">
        <f t="shared" ref="S261:S274" si="281">N261*Q261*R261</f>
        <v>0</v>
      </c>
      <c r="T261" s="171"/>
      <c r="V261" s="41" t="s">
        <v>282</v>
      </c>
      <c r="W261" s="5" t="s">
        <v>380</v>
      </c>
      <c r="X261" s="41"/>
      <c r="Y261" s="41"/>
      <c r="Z261" s="29"/>
      <c r="AA261" s="22"/>
      <c r="AB261" s="169">
        <f t="shared" ref="AB261:AB274" si="282">AB$275</f>
        <v>1</v>
      </c>
      <c r="AC261" s="75">
        <f t="shared" ref="AC261:AC274" si="283">X261*AA261*AB261</f>
        <v>0</v>
      </c>
      <c r="AD261" s="171"/>
    </row>
    <row r="262" spans="2:30" x14ac:dyDescent="0.45">
      <c r="B262" s="11"/>
      <c r="C262" s="5" t="s">
        <v>312</v>
      </c>
      <c r="D262" s="11"/>
      <c r="E262" s="11"/>
      <c r="F262" s="29"/>
      <c r="G262" s="22"/>
      <c r="H262" s="169">
        <f t="shared" si="278"/>
        <v>1</v>
      </c>
      <c r="I262" s="75">
        <f t="shared" si="279"/>
        <v>0</v>
      </c>
      <c r="J262" s="171"/>
      <c r="L262" s="11"/>
      <c r="M262" s="5" t="s">
        <v>312</v>
      </c>
      <c r="N262" s="11"/>
      <c r="O262" s="11"/>
      <c r="P262" s="29"/>
      <c r="Q262" s="22"/>
      <c r="R262" s="169">
        <f t="shared" si="280"/>
        <v>1</v>
      </c>
      <c r="S262" s="75">
        <f t="shared" si="281"/>
        <v>0</v>
      </c>
      <c r="T262" s="171"/>
      <c r="V262" s="41" t="s">
        <v>282</v>
      </c>
      <c r="W262" s="5" t="s">
        <v>380</v>
      </c>
      <c r="X262" s="41"/>
      <c r="Y262" s="41"/>
      <c r="Z262" s="29"/>
      <c r="AA262" s="22"/>
      <c r="AB262" s="169">
        <f t="shared" si="282"/>
        <v>1</v>
      </c>
      <c r="AC262" s="75">
        <f t="shared" si="283"/>
        <v>0</v>
      </c>
      <c r="AD262" s="171"/>
    </row>
    <row r="263" spans="2:30" x14ac:dyDescent="0.45">
      <c r="B263" s="11"/>
      <c r="C263" s="5" t="s">
        <v>312</v>
      </c>
      <c r="D263" s="11"/>
      <c r="E263" s="11"/>
      <c r="F263" s="29"/>
      <c r="G263" s="22"/>
      <c r="H263" s="169">
        <f t="shared" si="278"/>
        <v>1</v>
      </c>
      <c r="I263" s="75">
        <f t="shared" si="279"/>
        <v>0</v>
      </c>
      <c r="J263" s="171"/>
      <c r="L263" s="11"/>
      <c r="M263" s="5" t="s">
        <v>312</v>
      </c>
      <c r="N263" s="11"/>
      <c r="O263" s="11"/>
      <c r="P263" s="29"/>
      <c r="Q263" s="22"/>
      <c r="R263" s="169">
        <f t="shared" si="280"/>
        <v>1</v>
      </c>
      <c r="S263" s="75">
        <f t="shared" si="281"/>
        <v>0</v>
      </c>
      <c r="T263" s="171"/>
      <c r="V263" s="41" t="s">
        <v>282</v>
      </c>
      <c r="W263" s="5" t="s">
        <v>380</v>
      </c>
      <c r="X263" s="41"/>
      <c r="Y263" s="41"/>
      <c r="Z263" s="29"/>
      <c r="AA263" s="22"/>
      <c r="AB263" s="169">
        <f t="shared" si="282"/>
        <v>1</v>
      </c>
      <c r="AC263" s="75">
        <f t="shared" si="283"/>
        <v>0</v>
      </c>
      <c r="AD263" s="171"/>
    </row>
    <row r="264" spans="2:30" x14ac:dyDescent="0.45">
      <c r="B264" s="11"/>
      <c r="C264" s="5" t="s">
        <v>312</v>
      </c>
      <c r="D264" s="11"/>
      <c r="E264" s="11"/>
      <c r="F264" s="29"/>
      <c r="G264" s="22"/>
      <c r="H264" s="169">
        <f t="shared" si="278"/>
        <v>1</v>
      </c>
      <c r="I264" s="75">
        <f t="shared" si="279"/>
        <v>0</v>
      </c>
      <c r="J264" s="171"/>
      <c r="L264" s="11"/>
      <c r="M264" s="5" t="s">
        <v>312</v>
      </c>
      <c r="N264" s="11"/>
      <c r="O264" s="11"/>
      <c r="P264" s="29"/>
      <c r="Q264" s="22"/>
      <c r="R264" s="169">
        <f t="shared" si="280"/>
        <v>1</v>
      </c>
      <c r="S264" s="75">
        <f t="shared" si="281"/>
        <v>0</v>
      </c>
      <c r="T264" s="171"/>
      <c r="V264" s="41" t="s">
        <v>282</v>
      </c>
      <c r="W264" s="5" t="s">
        <v>380</v>
      </c>
      <c r="X264" s="41"/>
      <c r="Y264" s="41"/>
      <c r="Z264" s="29"/>
      <c r="AA264" s="22"/>
      <c r="AB264" s="169">
        <f t="shared" si="282"/>
        <v>1</v>
      </c>
      <c r="AC264" s="75">
        <f t="shared" si="283"/>
        <v>0</v>
      </c>
      <c r="AD264" s="171"/>
    </row>
    <row r="265" spans="2:30" x14ac:dyDescent="0.45">
      <c r="B265" s="11"/>
      <c r="C265" s="5" t="s">
        <v>312</v>
      </c>
      <c r="D265" s="11"/>
      <c r="E265" s="11"/>
      <c r="F265" s="29"/>
      <c r="G265" s="22"/>
      <c r="H265" s="169">
        <f t="shared" si="278"/>
        <v>1</v>
      </c>
      <c r="I265" s="75">
        <f t="shared" si="279"/>
        <v>0</v>
      </c>
      <c r="J265" s="171"/>
      <c r="L265" s="11"/>
      <c r="M265" s="5" t="s">
        <v>312</v>
      </c>
      <c r="N265" s="11"/>
      <c r="O265" s="11"/>
      <c r="P265" s="29"/>
      <c r="Q265" s="22"/>
      <c r="R265" s="169">
        <f t="shared" si="280"/>
        <v>1</v>
      </c>
      <c r="S265" s="75">
        <f t="shared" si="281"/>
        <v>0</v>
      </c>
      <c r="T265" s="171"/>
      <c r="V265" s="41" t="s">
        <v>282</v>
      </c>
      <c r="W265" s="5" t="s">
        <v>380</v>
      </c>
      <c r="X265" s="41"/>
      <c r="Y265" s="41"/>
      <c r="Z265" s="29"/>
      <c r="AA265" s="22"/>
      <c r="AB265" s="169">
        <f t="shared" si="282"/>
        <v>1</v>
      </c>
      <c r="AC265" s="75">
        <f t="shared" si="283"/>
        <v>0</v>
      </c>
      <c r="AD265" s="171"/>
    </row>
    <row r="266" spans="2:30" hidden="1" outlineLevel="1" x14ac:dyDescent="0.45">
      <c r="B266" s="11"/>
      <c r="C266" s="5" t="s">
        <v>312</v>
      </c>
      <c r="D266" s="11"/>
      <c r="E266" s="11"/>
      <c r="F266" s="29"/>
      <c r="G266" s="22"/>
      <c r="H266" s="169">
        <f t="shared" si="278"/>
        <v>1</v>
      </c>
      <c r="I266" s="75">
        <f t="shared" si="279"/>
        <v>0</v>
      </c>
      <c r="J266" s="171"/>
      <c r="L266" s="11"/>
      <c r="M266" s="5" t="s">
        <v>312</v>
      </c>
      <c r="N266" s="11"/>
      <c r="O266" s="11"/>
      <c r="P266" s="29"/>
      <c r="Q266" s="22"/>
      <c r="R266" s="169">
        <f t="shared" si="280"/>
        <v>1</v>
      </c>
      <c r="S266" s="75">
        <f t="shared" si="281"/>
        <v>0</v>
      </c>
      <c r="T266" s="171"/>
      <c r="V266" s="41" t="s">
        <v>282</v>
      </c>
      <c r="W266" s="5" t="s">
        <v>380</v>
      </c>
      <c r="X266" s="41"/>
      <c r="Y266" s="41"/>
      <c r="Z266" s="29"/>
      <c r="AA266" s="22"/>
      <c r="AB266" s="169">
        <f t="shared" si="282"/>
        <v>1</v>
      </c>
      <c r="AC266" s="75">
        <f t="shared" si="283"/>
        <v>0</v>
      </c>
      <c r="AD266" s="171"/>
    </row>
    <row r="267" spans="2:30" hidden="1" outlineLevel="1" x14ac:dyDescent="0.45">
      <c r="B267" s="11"/>
      <c r="C267" s="5" t="s">
        <v>312</v>
      </c>
      <c r="D267" s="11"/>
      <c r="E267" s="11"/>
      <c r="F267" s="29"/>
      <c r="G267" s="22"/>
      <c r="H267" s="169">
        <f t="shared" si="278"/>
        <v>1</v>
      </c>
      <c r="I267" s="75">
        <f t="shared" si="279"/>
        <v>0</v>
      </c>
      <c r="J267" s="171"/>
      <c r="L267" s="11"/>
      <c r="M267" s="5" t="s">
        <v>312</v>
      </c>
      <c r="N267" s="11"/>
      <c r="O267" s="11"/>
      <c r="P267" s="29"/>
      <c r="Q267" s="22"/>
      <c r="R267" s="169">
        <f t="shared" si="280"/>
        <v>1</v>
      </c>
      <c r="S267" s="75">
        <f t="shared" si="281"/>
        <v>0</v>
      </c>
      <c r="T267" s="171"/>
      <c r="V267" s="41" t="s">
        <v>282</v>
      </c>
      <c r="W267" s="5" t="s">
        <v>380</v>
      </c>
      <c r="X267" s="41"/>
      <c r="Y267" s="41"/>
      <c r="Z267" s="29"/>
      <c r="AA267" s="22"/>
      <c r="AB267" s="169">
        <f t="shared" si="282"/>
        <v>1</v>
      </c>
      <c r="AC267" s="75">
        <f t="shared" si="283"/>
        <v>0</v>
      </c>
      <c r="AD267" s="171"/>
    </row>
    <row r="268" spans="2:30" hidden="1" outlineLevel="1" x14ac:dyDescent="0.45">
      <c r="B268" s="11"/>
      <c r="C268" s="5" t="s">
        <v>312</v>
      </c>
      <c r="D268" s="11"/>
      <c r="E268" s="11"/>
      <c r="F268" s="29"/>
      <c r="G268" s="22"/>
      <c r="H268" s="169">
        <f t="shared" si="278"/>
        <v>1</v>
      </c>
      <c r="I268" s="75">
        <f t="shared" si="279"/>
        <v>0</v>
      </c>
      <c r="J268" s="171"/>
      <c r="L268" s="11"/>
      <c r="M268" s="5" t="s">
        <v>312</v>
      </c>
      <c r="N268" s="11"/>
      <c r="O268" s="11"/>
      <c r="P268" s="29"/>
      <c r="Q268" s="22"/>
      <c r="R268" s="169">
        <f t="shared" si="280"/>
        <v>1</v>
      </c>
      <c r="S268" s="75">
        <f t="shared" si="281"/>
        <v>0</v>
      </c>
      <c r="T268" s="171"/>
      <c r="V268" s="41" t="s">
        <v>282</v>
      </c>
      <c r="W268" s="5" t="s">
        <v>380</v>
      </c>
      <c r="X268" s="41"/>
      <c r="Y268" s="41"/>
      <c r="Z268" s="29"/>
      <c r="AA268" s="22"/>
      <c r="AB268" s="169">
        <f t="shared" si="282"/>
        <v>1</v>
      </c>
      <c r="AC268" s="75">
        <f t="shared" si="283"/>
        <v>0</v>
      </c>
      <c r="AD268" s="171"/>
    </row>
    <row r="269" spans="2:30" hidden="1" outlineLevel="1" x14ac:dyDescent="0.45">
      <c r="B269" s="11"/>
      <c r="C269" s="5" t="s">
        <v>312</v>
      </c>
      <c r="D269" s="11"/>
      <c r="E269" s="11"/>
      <c r="F269" s="29"/>
      <c r="G269" s="22"/>
      <c r="H269" s="169">
        <f t="shared" si="278"/>
        <v>1</v>
      </c>
      <c r="I269" s="75">
        <f t="shared" si="279"/>
        <v>0</v>
      </c>
      <c r="J269" s="171"/>
      <c r="L269" s="11"/>
      <c r="M269" s="5" t="s">
        <v>312</v>
      </c>
      <c r="N269" s="11"/>
      <c r="O269" s="11"/>
      <c r="P269" s="29"/>
      <c r="Q269" s="22"/>
      <c r="R269" s="169">
        <f t="shared" si="280"/>
        <v>1</v>
      </c>
      <c r="S269" s="75">
        <f t="shared" si="281"/>
        <v>0</v>
      </c>
      <c r="T269" s="171"/>
      <c r="V269" s="41" t="s">
        <v>282</v>
      </c>
      <c r="W269" s="5" t="s">
        <v>380</v>
      </c>
      <c r="X269" s="41"/>
      <c r="Y269" s="41"/>
      <c r="Z269" s="29"/>
      <c r="AA269" s="22"/>
      <c r="AB269" s="169">
        <f t="shared" si="282"/>
        <v>1</v>
      </c>
      <c r="AC269" s="75">
        <f t="shared" si="283"/>
        <v>0</v>
      </c>
      <c r="AD269" s="171"/>
    </row>
    <row r="270" spans="2:30" hidden="1" outlineLevel="1" x14ac:dyDescent="0.45">
      <c r="B270" s="11"/>
      <c r="C270" s="5" t="s">
        <v>312</v>
      </c>
      <c r="D270" s="11"/>
      <c r="E270" s="11"/>
      <c r="F270" s="29"/>
      <c r="G270" s="22"/>
      <c r="H270" s="169">
        <f t="shared" si="278"/>
        <v>1</v>
      </c>
      <c r="I270" s="75">
        <f t="shared" si="279"/>
        <v>0</v>
      </c>
      <c r="J270" s="171"/>
      <c r="L270" s="11"/>
      <c r="M270" s="5" t="s">
        <v>312</v>
      </c>
      <c r="N270" s="11"/>
      <c r="O270" s="11"/>
      <c r="P270" s="29"/>
      <c r="Q270" s="22"/>
      <c r="R270" s="169">
        <f t="shared" si="280"/>
        <v>1</v>
      </c>
      <c r="S270" s="75">
        <f t="shared" si="281"/>
        <v>0</v>
      </c>
      <c r="T270" s="171"/>
      <c r="V270" s="41" t="s">
        <v>282</v>
      </c>
      <c r="W270" s="5" t="s">
        <v>380</v>
      </c>
      <c r="X270" s="41"/>
      <c r="Y270" s="41"/>
      <c r="Z270" s="29"/>
      <c r="AA270" s="22"/>
      <c r="AB270" s="169">
        <f t="shared" si="282"/>
        <v>1</v>
      </c>
      <c r="AC270" s="75">
        <f t="shared" si="283"/>
        <v>0</v>
      </c>
      <c r="AD270" s="171"/>
    </row>
    <row r="271" spans="2:30" hidden="1" outlineLevel="1" x14ac:dyDescent="0.45">
      <c r="B271" s="11"/>
      <c r="C271" s="5" t="s">
        <v>312</v>
      </c>
      <c r="D271" s="11"/>
      <c r="E271" s="11"/>
      <c r="F271" s="29"/>
      <c r="G271" s="22"/>
      <c r="H271" s="169">
        <f t="shared" si="278"/>
        <v>1</v>
      </c>
      <c r="I271" s="75">
        <f t="shared" si="279"/>
        <v>0</v>
      </c>
      <c r="J271" s="171"/>
      <c r="L271" s="11"/>
      <c r="M271" s="5" t="s">
        <v>312</v>
      </c>
      <c r="N271" s="11"/>
      <c r="O271" s="11"/>
      <c r="P271" s="29"/>
      <c r="Q271" s="22"/>
      <c r="R271" s="169">
        <f t="shared" si="280"/>
        <v>1</v>
      </c>
      <c r="S271" s="75">
        <f t="shared" si="281"/>
        <v>0</v>
      </c>
      <c r="T271" s="171"/>
      <c r="V271" s="41" t="s">
        <v>282</v>
      </c>
      <c r="W271" s="5" t="s">
        <v>380</v>
      </c>
      <c r="X271" s="41"/>
      <c r="Y271" s="41"/>
      <c r="Z271" s="29"/>
      <c r="AA271" s="22"/>
      <c r="AB271" s="169">
        <f t="shared" si="282"/>
        <v>1</v>
      </c>
      <c r="AC271" s="75">
        <f t="shared" si="283"/>
        <v>0</v>
      </c>
      <c r="AD271" s="171"/>
    </row>
    <row r="272" spans="2:30" hidden="1" outlineLevel="1" x14ac:dyDescent="0.45">
      <c r="B272" s="11"/>
      <c r="C272" s="5" t="s">
        <v>312</v>
      </c>
      <c r="D272" s="11"/>
      <c r="E272" s="11"/>
      <c r="F272" s="29"/>
      <c r="G272" s="22"/>
      <c r="H272" s="169">
        <f t="shared" si="278"/>
        <v>1</v>
      </c>
      <c r="I272" s="75">
        <f t="shared" si="279"/>
        <v>0</v>
      </c>
      <c r="J272" s="171"/>
      <c r="L272" s="11"/>
      <c r="M272" s="5" t="s">
        <v>312</v>
      </c>
      <c r="N272" s="11"/>
      <c r="O272" s="11"/>
      <c r="P272" s="29"/>
      <c r="Q272" s="22"/>
      <c r="R272" s="169">
        <f t="shared" si="280"/>
        <v>1</v>
      </c>
      <c r="S272" s="75">
        <f t="shared" si="281"/>
        <v>0</v>
      </c>
      <c r="T272" s="171"/>
      <c r="V272" s="41" t="s">
        <v>282</v>
      </c>
      <c r="W272" s="5" t="s">
        <v>380</v>
      </c>
      <c r="X272" s="41"/>
      <c r="Y272" s="41"/>
      <c r="Z272" s="29"/>
      <c r="AA272" s="22"/>
      <c r="AB272" s="169">
        <f t="shared" si="282"/>
        <v>1</v>
      </c>
      <c r="AC272" s="75">
        <f t="shared" si="283"/>
        <v>0</v>
      </c>
      <c r="AD272" s="171"/>
    </row>
    <row r="273" spans="2:30" hidden="1" outlineLevel="1" x14ac:dyDescent="0.45">
      <c r="B273" s="11"/>
      <c r="C273" s="5" t="s">
        <v>312</v>
      </c>
      <c r="D273" s="11"/>
      <c r="E273" s="11"/>
      <c r="F273" s="29"/>
      <c r="G273" s="22"/>
      <c r="H273" s="169">
        <f t="shared" si="278"/>
        <v>1</v>
      </c>
      <c r="I273" s="75">
        <f t="shared" si="279"/>
        <v>0</v>
      </c>
      <c r="J273" s="171"/>
      <c r="L273" s="11"/>
      <c r="M273" s="5" t="s">
        <v>312</v>
      </c>
      <c r="N273" s="11"/>
      <c r="O273" s="11"/>
      <c r="P273" s="29"/>
      <c r="Q273" s="22"/>
      <c r="R273" s="169">
        <f t="shared" si="280"/>
        <v>1</v>
      </c>
      <c r="S273" s="75">
        <f t="shared" si="281"/>
        <v>0</v>
      </c>
      <c r="T273" s="171"/>
      <c r="V273" s="41" t="s">
        <v>282</v>
      </c>
      <c r="W273" s="5" t="s">
        <v>380</v>
      </c>
      <c r="X273" s="41"/>
      <c r="Y273" s="41"/>
      <c r="Z273" s="29"/>
      <c r="AA273" s="22"/>
      <c r="AB273" s="169">
        <f t="shared" si="282"/>
        <v>1</v>
      </c>
      <c r="AC273" s="75">
        <f t="shared" si="283"/>
        <v>0</v>
      </c>
      <c r="AD273" s="171"/>
    </row>
    <row r="274" spans="2:30" hidden="1" outlineLevel="1" x14ac:dyDescent="0.45">
      <c r="B274" s="11"/>
      <c r="C274" s="5" t="s">
        <v>312</v>
      </c>
      <c r="D274" s="11"/>
      <c r="E274" s="11"/>
      <c r="F274" s="29"/>
      <c r="G274" s="22"/>
      <c r="H274" s="169">
        <f t="shared" si="278"/>
        <v>1</v>
      </c>
      <c r="I274" s="75">
        <f t="shared" si="279"/>
        <v>0</v>
      </c>
      <c r="J274" s="171"/>
      <c r="L274" s="11"/>
      <c r="M274" s="5" t="s">
        <v>312</v>
      </c>
      <c r="N274" s="11"/>
      <c r="O274" s="11"/>
      <c r="P274" s="29"/>
      <c r="Q274" s="22"/>
      <c r="R274" s="169">
        <f t="shared" si="280"/>
        <v>1</v>
      </c>
      <c r="S274" s="75">
        <f t="shared" si="281"/>
        <v>0</v>
      </c>
      <c r="T274" s="171"/>
      <c r="V274" s="41" t="s">
        <v>282</v>
      </c>
      <c r="W274" s="5" t="s">
        <v>380</v>
      </c>
      <c r="X274" s="41"/>
      <c r="Y274" s="41"/>
      <c r="Z274" s="29"/>
      <c r="AA274" s="22"/>
      <c r="AB274" s="169">
        <f t="shared" si="282"/>
        <v>1</v>
      </c>
      <c r="AC274" s="75">
        <f t="shared" si="283"/>
        <v>0</v>
      </c>
      <c r="AD274" s="171"/>
    </row>
    <row r="275" spans="2:30" s="24" customFormat="1" collapsed="1" x14ac:dyDescent="0.45">
      <c r="B275" s="8" t="str">
        <f>"Total "&amp;B259</f>
        <v>Total P2P - Facility (Trade Invoice Financing)</v>
      </c>
      <c r="C275" s="25"/>
      <c r="D275" s="28">
        <f>SUM(D260:D274)</f>
        <v>0</v>
      </c>
      <c r="E275" s="28">
        <f>SUM(E260:E274)</f>
        <v>0</v>
      </c>
      <c r="F275" s="30"/>
      <c r="G275" s="25"/>
      <c r="H275" s="168">
        <v>1</v>
      </c>
      <c r="I275" s="28">
        <f>SUM(I260:I274)</f>
        <v>0</v>
      </c>
      <c r="J275" s="170"/>
      <c r="L275" s="8" t="str">
        <f>"Total "&amp;L259</f>
        <v>Total P2P - Facility (Trade Invoice Financing)</v>
      </c>
      <c r="M275" s="25"/>
      <c r="N275" s="28">
        <f>SUM(N260:N274)</f>
        <v>0</v>
      </c>
      <c r="O275" s="28">
        <f>SUM(O260:O274)</f>
        <v>0</v>
      </c>
      <c r="P275" s="30"/>
      <c r="Q275" s="25"/>
      <c r="R275" s="168">
        <v>1</v>
      </c>
      <c r="S275" s="28">
        <f>SUM(S260:S274)</f>
        <v>0</v>
      </c>
      <c r="T275" s="170"/>
      <c r="V275" s="8" t="str">
        <f>"Total "&amp;V259</f>
        <v>Total P2P - Facility (Trade Invoice Financing)</v>
      </c>
      <c r="W275" s="25"/>
      <c r="X275" s="28">
        <f>SUM(X260:X274)</f>
        <v>0</v>
      </c>
      <c r="Y275" s="28">
        <f>SUM(Y260:Y274)</f>
        <v>0</v>
      </c>
      <c r="Z275" s="30"/>
      <c r="AA275" s="25"/>
      <c r="AB275" s="168">
        <v>1</v>
      </c>
      <c r="AC275" s="28">
        <f>SUM(AC260:AC274)</f>
        <v>0</v>
      </c>
      <c r="AD275" s="170"/>
    </row>
    <row r="277" spans="2:30" s="20" customFormat="1" ht="39.4" x14ac:dyDescent="0.45">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5" t="str">
        <f>B277</f>
        <v>Others</v>
      </c>
      <c r="M277" s="176" t="str">
        <f t="shared" ref="M277" si="285">C277</f>
        <v>Source</v>
      </c>
      <c r="N277" s="176" t="str">
        <f t="shared" ref="N277" si="286">D277</f>
        <v>Limit (A)</v>
      </c>
      <c r="O277" s="176" t="str">
        <f t="shared" ref="O277" si="287">E277</f>
        <v>Outstanding (A1)</v>
      </c>
      <c r="P277" s="176" t="str">
        <f t="shared" ref="P277" si="288">F277</f>
        <v>Monthly Repayment (B)</v>
      </c>
      <c r="Q277" s="176" t="str">
        <f t="shared" ref="Q277" si="289">G277</f>
        <v>Interest Rate (C)</v>
      </c>
      <c r="R277" s="176" t="str">
        <f t="shared" ref="R277" si="290">H277</f>
        <v>Factor (D)</v>
      </c>
      <c r="S277" s="176" t="str">
        <f t="shared" ref="S277" si="291">I277</f>
        <v>Interest (E) = (A or A1) * (C) * (D)</v>
      </c>
      <c r="T277" s="176" t="str">
        <f t="shared" ref="T277" si="292">J277</f>
        <v>Code Of Conduct</v>
      </c>
      <c r="V277" s="175" t="str">
        <f>L277</f>
        <v>Others</v>
      </c>
      <c r="W277" s="176" t="str">
        <f t="shared" ref="W277" si="293">M277</f>
        <v>Source</v>
      </c>
      <c r="X277" s="176" t="str">
        <f t="shared" ref="X277" si="294">N277</f>
        <v>Limit (A)</v>
      </c>
      <c r="Y277" s="176" t="str">
        <f t="shared" ref="Y277" si="295">O277</f>
        <v>Outstanding (A1)</v>
      </c>
      <c r="Z277" s="176" t="str">
        <f t="shared" ref="Z277" si="296">P277</f>
        <v>Monthly Repayment (B)</v>
      </c>
      <c r="AA277" s="176" t="str">
        <f t="shared" ref="AA277" si="297">Q277</f>
        <v>Interest Rate (C)</v>
      </c>
      <c r="AB277" s="176" t="str">
        <f t="shared" ref="AB277" si="298">R277</f>
        <v>Factor (D)</v>
      </c>
      <c r="AC277" s="176" t="str">
        <f t="shared" ref="AC277" si="299">S277</f>
        <v>Interest (E) = (A or A1) * (C) * (D)</v>
      </c>
      <c r="AD277" s="176" t="str">
        <f t="shared" ref="AD277" si="300">T277</f>
        <v>Code Of Conduct</v>
      </c>
    </row>
    <row r="278" spans="2:30" x14ac:dyDescent="0.45">
      <c r="B278" s="11"/>
      <c r="C278" s="5" t="s">
        <v>309</v>
      </c>
      <c r="D278" s="97"/>
      <c r="E278" s="97"/>
      <c r="F278" s="97"/>
      <c r="G278" s="22"/>
      <c r="H278" s="32"/>
      <c r="I278" s="29"/>
      <c r="J278" s="171"/>
      <c r="L278" s="11"/>
      <c r="M278" s="5" t="s">
        <v>309</v>
      </c>
      <c r="N278" s="97"/>
      <c r="O278" s="97"/>
      <c r="P278" s="97"/>
      <c r="Q278" s="22"/>
      <c r="R278" s="32"/>
      <c r="S278" s="29"/>
      <c r="T278" s="171"/>
      <c r="V278" s="41" t="s">
        <v>282</v>
      </c>
      <c r="W278" s="5" t="s">
        <v>380</v>
      </c>
      <c r="X278" s="41"/>
      <c r="Y278" s="41"/>
      <c r="Z278" s="41"/>
      <c r="AA278" s="41"/>
      <c r="AB278" s="32"/>
      <c r="AC278" s="29"/>
      <c r="AD278" s="171"/>
    </row>
    <row r="279" spans="2:30" x14ac:dyDescent="0.45">
      <c r="B279" s="11"/>
      <c r="C279" s="5" t="s">
        <v>309</v>
      </c>
      <c r="D279" s="97"/>
      <c r="E279" s="97"/>
      <c r="F279" s="97"/>
      <c r="G279" s="22"/>
      <c r="H279" s="32"/>
      <c r="I279" s="29"/>
      <c r="J279" s="171"/>
      <c r="L279" s="11"/>
      <c r="M279" s="5" t="s">
        <v>312</v>
      </c>
      <c r="N279" s="97"/>
      <c r="O279" s="97"/>
      <c r="P279" s="97"/>
      <c r="Q279" s="22"/>
      <c r="R279" s="32"/>
      <c r="S279" s="29"/>
      <c r="T279" s="171"/>
      <c r="V279" s="41" t="s">
        <v>282</v>
      </c>
      <c r="W279" s="5" t="s">
        <v>380</v>
      </c>
      <c r="X279" s="41"/>
      <c r="Y279" s="41"/>
      <c r="Z279" s="41"/>
      <c r="AA279" s="41"/>
      <c r="AB279" s="32"/>
      <c r="AC279" s="29"/>
      <c r="AD279" s="171"/>
    </row>
    <row r="280" spans="2:30" x14ac:dyDescent="0.45">
      <c r="B280" s="11"/>
      <c r="C280" s="5" t="s">
        <v>309</v>
      </c>
      <c r="D280" s="11"/>
      <c r="E280" s="11"/>
      <c r="F280" s="11"/>
      <c r="G280" s="22"/>
      <c r="H280" s="32"/>
      <c r="I280" s="29"/>
      <c r="J280" s="171"/>
      <c r="L280" s="11"/>
      <c r="M280" s="5" t="s">
        <v>312</v>
      </c>
      <c r="N280" s="97"/>
      <c r="O280" s="97"/>
      <c r="P280" s="97"/>
      <c r="Q280" s="22"/>
      <c r="R280" s="32"/>
      <c r="S280" s="29"/>
      <c r="T280" s="171"/>
      <c r="V280" s="41" t="s">
        <v>282</v>
      </c>
      <c r="W280" s="5" t="s">
        <v>380</v>
      </c>
      <c r="X280" s="41"/>
      <c r="Y280" s="41"/>
      <c r="Z280" s="41"/>
      <c r="AA280" s="41"/>
      <c r="AB280" s="32"/>
      <c r="AC280" s="29"/>
      <c r="AD280" s="171"/>
    </row>
    <row r="281" spans="2:30" x14ac:dyDescent="0.45">
      <c r="B281" s="11"/>
      <c r="C281" s="5" t="s">
        <v>309</v>
      </c>
      <c r="D281" s="11"/>
      <c r="E281" s="11"/>
      <c r="F281" s="11"/>
      <c r="G281" s="22"/>
      <c r="H281" s="32"/>
      <c r="I281" s="29"/>
      <c r="J281" s="171"/>
      <c r="L281" s="11"/>
      <c r="M281" s="5" t="s">
        <v>312</v>
      </c>
      <c r="N281" s="97"/>
      <c r="O281" s="97"/>
      <c r="P281" s="11"/>
      <c r="Q281" s="22"/>
      <c r="R281" s="32"/>
      <c r="S281" s="29"/>
      <c r="T281" s="171"/>
      <c r="V281" s="41" t="s">
        <v>282</v>
      </c>
      <c r="W281" s="5" t="s">
        <v>380</v>
      </c>
      <c r="X281" s="41"/>
      <c r="Y281" s="41"/>
      <c r="Z281" s="41"/>
      <c r="AA281" s="41"/>
      <c r="AB281" s="32"/>
      <c r="AC281" s="29"/>
      <c r="AD281" s="171"/>
    </row>
    <row r="282" spans="2:30" x14ac:dyDescent="0.45">
      <c r="B282" s="11"/>
      <c r="C282" s="5" t="s">
        <v>309</v>
      </c>
      <c r="D282" s="97"/>
      <c r="E282" s="97"/>
      <c r="F282" s="97"/>
      <c r="G282" s="22"/>
      <c r="H282" s="32"/>
      <c r="I282" s="29"/>
      <c r="J282" s="171"/>
      <c r="L282" s="11"/>
      <c r="M282" s="5" t="s">
        <v>312</v>
      </c>
      <c r="N282" s="11"/>
      <c r="O282" s="11"/>
      <c r="P282" s="11"/>
      <c r="Q282" s="22"/>
      <c r="R282" s="32"/>
      <c r="S282" s="29"/>
      <c r="T282" s="171"/>
      <c r="V282" s="41" t="s">
        <v>282</v>
      </c>
      <c r="W282" s="5" t="s">
        <v>380</v>
      </c>
      <c r="X282" s="41"/>
      <c r="Y282" s="41"/>
      <c r="Z282" s="41"/>
      <c r="AA282" s="41"/>
      <c r="AB282" s="32"/>
      <c r="AC282" s="29"/>
      <c r="AD282" s="171"/>
    </row>
    <row r="283" spans="2:30" x14ac:dyDescent="0.45">
      <c r="B283" s="11"/>
      <c r="C283" s="5" t="s">
        <v>309</v>
      </c>
      <c r="D283" s="97"/>
      <c r="E283" s="97"/>
      <c r="F283" s="11"/>
      <c r="G283" s="22"/>
      <c r="H283" s="32"/>
      <c r="I283" s="29"/>
      <c r="J283" s="171"/>
      <c r="L283" s="11"/>
      <c r="M283" s="5" t="s">
        <v>312</v>
      </c>
      <c r="N283" s="11"/>
      <c r="O283" s="11"/>
      <c r="P283" s="11"/>
      <c r="Q283" s="22"/>
      <c r="R283" s="32"/>
      <c r="S283" s="29"/>
      <c r="T283" s="171"/>
      <c r="V283" s="41" t="s">
        <v>282</v>
      </c>
      <c r="W283" s="5" t="s">
        <v>380</v>
      </c>
      <c r="X283" s="41"/>
      <c r="Y283" s="41"/>
      <c r="Z283" s="41"/>
      <c r="AA283" s="41"/>
      <c r="AB283" s="32"/>
      <c r="AC283" s="29"/>
      <c r="AD283" s="171"/>
    </row>
    <row r="284" spans="2:30" hidden="1" outlineLevel="1" x14ac:dyDescent="0.45">
      <c r="B284" s="11"/>
      <c r="C284" s="5"/>
      <c r="D284" s="97"/>
      <c r="E284" s="97"/>
      <c r="F284" s="97"/>
      <c r="G284" s="22"/>
      <c r="H284" s="32"/>
      <c r="I284" s="29"/>
      <c r="J284" s="171"/>
      <c r="L284" s="11"/>
      <c r="M284" s="5" t="s">
        <v>312</v>
      </c>
      <c r="N284" s="11"/>
      <c r="O284" s="11"/>
      <c r="P284" s="11"/>
      <c r="Q284" s="22"/>
      <c r="R284" s="32"/>
      <c r="S284" s="29"/>
      <c r="T284" s="171"/>
      <c r="V284" s="41" t="s">
        <v>282</v>
      </c>
      <c r="W284" s="5" t="s">
        <v>380</v>
      </c>
      <c r="X284" s="41"/>
      <c r="Y284" s="41"/>
      <c r="Z284" s="41"/>
      <c r="AA284" s="41"/>
      <c r="AB284" s="32"/>
      <c r="AC284" s="29"/>
      <c r="AD284" s="171"/>
    </row>
    <row r="285" spans="2:30" hidden="1" outlineLevel="1" x14ac:dyDescent="0.45">
      <c r="B285" s="11"/>
      <c r="C285" s="5"/>
      <c r="D285" s="97"/>
      <c r="E285" s="97"/>
      <c r="F285" s="11"/>
      <c r="G285" s="22"/>
      <c r="H285" s="32"/>
      <c r="I285" s="29"/>
      <c r="J285" s="171"/>
      <c r="L285" s="11"/>
      <c r="M285" s="5" t="s">
        <v>312</v>
      </c>
      <c r="N285" s="11"/>
      <c r="O285" s="11"/>
      <c r="P285" s="11"/>
      <c r="Q285" s="22"/>
      <c r="R285" s="32"/>
      <c r="S285" s="29"/>
      <c r="T285" s="171"/>
      <c r="V285" s="41" t="s">
        <v>282</v>
      </c>
      <c r="W285" s="5" t="s">
        <v>380</v>
      </c>
      <c r="X285" s="41"/>
      <c r="Y285" s="41"/>
      <c r="Z285" s="41"/>
      <c r="AA285" s="41"/>
      <c r="AB285" s="32"/>
      <c r="AC285" s="29"/>
      <c r="AD285" s="171"/>
    </row>
    <row r="286" spans="2:30" hidden="1" outlineLevel="1" x14ac:dyDescent="0.45">
      <c r="B286" s="11"/>
      <c r="C286" s="5" t="s">
        <v>312</v>
      </c>
      <c r="D286" s="11"/>
      <c r="E286" s="11"/>
      <c r="F286" s="11"/>
      <c r="G286" s="22"/>
      <c r="H286" s="32"/>
      <c r="I286" s="29"/>
      <c r="J286" s="171"/>
      <c r="L286" s="11"/>
      <c r="M286" s="5" t="s">
        <v>312</v>
      </c>
      <c r="N286" s="11"/>
      <c r="O286" s="11"/>
      <c r="P286" s="11"/>
      <c r="Q286" s="22"/>
      <c r="R286" s="32"/>
      <c r="S286" s="29"/>
      <c r="T286" s="171"/>
      <c r="V286" s="41" t="s">
        <v>282</v>
      </c>
      <c r="W286" s="5" t="s">
        <v>380</v>
      </c>
      <c r="X286" s="41"/>
      <c r="Y286" s="41"/>
      <c r="Z286" s="41"/>
      <c r="AA286" s="41"/>
      <c r="AB286" s="32"/>
      <c r="AC286" s="29"/>
      <c r="AD286" s="171"/>
    </row>
    <row r="287" spans="2:30" hidden="1" outlineLevel="1" x14ac:dyDescent="0.45">
      <c r="B287" s="11"/>
      <c r="C287" s="5" t="s">
        <v>312</v>
      </c>
      <c r="D287" s="11"/>
      <c r="E287" s="11"/>
      <c r="F287" s="11"/>
      <c r="G287" s="22"/>
      <c r="H287" s="32"/>
      <c r="I287" s="29"/>
      <c r="J287" s="171"/>
      <c r="L287" s="11"/>
      <c r="M287" s="5" t="s">
        <v>312</v>
      </c>
      <c r="N287" s="11"/>
      <c r="O287" s="11"/>
      <c r="P287" s="11"/>
      <c r="Q287" s="22"/>
      <c r="R287" s="32"/>
      <c r="S287" s="29"/>
      <c r="T287" s="171"/>
      <c r="V287" s="41" t="s">
        <v>282</v>
      </c>
      <c r="W287" s="5" t="s">
        <v>380</v>
      </c>
      <c r="X287" s="41"/>
      <c r="Y287" s="41"/>
      <c r="Z287" s="41"/>
      <c r="AA287" s="41"/>
      <c r="AB287" s="32"/>
      <c r="AC287" s="29"/>
      <c r="AD287" s="171"/>
    </row>
    <row r="288" spans="2:30" hidden="1" outlineLevel="1" x14ac:dyDescent="0.45">
      <c r="B288" s="11"/>
      <c r="C288" s="5" t="s">
        <v>312</v>
      </c>
      <c r="D288" s="11"/>
      <c r="E288" s="11"/>
      <c r="F288" s="11"/>
      <c r="G288" s="22"/>
      <c r="H288" s="32"/>
      <c r="I288" s="29"/>
      <c r="J288" s="171"/>
      <c r="L288" s="11"/>
      <c r="M288" s="5" t="s">
        <v>312</v>
      </c>
      <c r="N288" s="11"/>
      <c r="O288" s="11"/>
      <c r="P288" s="11"/>
      <c r="Q288" s="22"/>
      <c r="R288" s="32"/>
      <c r="S288" s="29"/>
      <c r="T288" s="171"/>
      <c r="V288" s="41" t="s">
        <v>282</v>
      </c>
      <c r="W288" s="5" t="s">
        <v>380</v>
      </c>
      <c r="X288" s="41"/>
      <c r="Y288" s="41"/>
      <c r="Z288" s="41"/>
      <c r="AA288" s="41"/>
      <c r="AB288" s="32"/>
      <c r="AC288" s="29"/>
      <c r="AD288" s="171"/>
    </row>
    <row r="289" spans="2:30" hidden="1" outlineLevel="1" x14ac:dyDescent="0.45">
      <c r="B289" s="11"/>
      <c r="C289" s="5" t="s">
        <v>312</v>
      </c>
      <c r="D289" s="11"/>
      <c r="E289" s="11"/>
      <c r="F289" s="11"/>
      <c r="G289" s="22"/>
      <c r="H289" s="32"/>
      <c r="I289" s="29"/>
      <c r="J289" s="171"/>
      <c r="L289" s="11"/>
      <c r="M289" s="5" t="s">
        <v>312</v>
      </c>
      <c r="N289" s="11"/>
      <c r="O289" s="11"/>
      <c r="P289" s="11"/>
      <c r="Q289" s="22"/>
      <c r="R289" s="32"/>
      <c r="S289" s="29"/>
      <c r="T289" s="171"/>
      <c r="V289" s="41" t="s">
        <v>282</v>
      </c>
      <c r="W289" s="5" t="s">
        <v>380</v>
      </c>
      <c r="X289" s="41"/>
      <c r="Y289" s="41"/>
      <c r="Z289" s="41"/>
      <c r="AA289" s="41"/>
      <c r="AB289" s="32"/>
      <c r="AC289" s="29"/>
      <c r="AD289" s="171"/>
    </row>
    <row r="290" spans="2:30" hidden="1" outlineLevel="1" x14ac:dyDescent="0.45">
      <c r="B290" s="11"/>
      <c r="C290" s="5" t="s">
        <v>312</v>
      </c>
      <c r="D290" s="11"/>
      <c r="E290" s="11"/>
      <c r="F290" s="11"/>
      <c r="G290" s="22"/>
      <c r="H290" s="32"/>
      <c r="I290" s="29"/>
      <c r="J290" s="171"/>
      <c r="L290" s="11"/>
      <c r="M290" s="5" t="s">
        <v>312</v>
      </c>
      <c r="N290" s="11"/>
      <c r="O290" s="11"/>
      <c r="P290" s="11"/>
      <c r="Q290" s="22"/>
      <c r="R290" s="32"/>
      <c r="S290" s="29"/>
      <c r="T290" s="171"/>
      <c r="V290" s="41" t="s">
        <v>282</v>
      </c>
      <c r="W290" s="5" t="s">
        <v>380</v>
      </c>
      <c r="X290" s="41"/>
      <c r="Y290" s="41"/>
      <c r="Z290" s="41"/>
      <c r="AA290" s="41"/>
      <c r="AB290" s="32"/>
      <c r="AC290" s="29"/>
      <c r="AD290" s="171"/>
    </row>
    <row r="291" spans="2:30" hidden="1" outlineLevel="1" x14ac:dyDescent="0.45">
      <c r="B291" s="11"/>
      <c r="C291" s="5" t="s">
        <v>312</v>
      </c>
      <c r="D291" s="11"/>
      <c r="E291" s="11"/>
      <c r="F291" s="11"/>
      <c r="G291" s="22"/>
      <c r="H291" s="32"/>
      <c r="I291" s="29"/>
      <c r="J291" s="171"/>
      <c r="L291" s="11"/>
      <c r="M291" s="5" t="s">
        <v>312</v>
      </c>
      <c r="N291" s="11"/>
      <c r="O291" s="11"/>
      <c r="P291" s="11"/>
      <c r="Q291" s="22"/>
      <c r="R291" s="32"/>
      <c r="S291" s="29"/>
      <c r="T291" s="171"/>
      <c r="V291" s="41" t="s">
        <v>282</v>
      </c>
      <c r="W291" s="5" t="s">
        <v>380</v>
      </c>
      <c r="X291" s="41"/>
      <c r="Y291" s="41"/>
      <c r="Z291" s="41"/>
      <c r="AA291" s="41"/>
      <c r="AB291" s="32"/>
      <c r="AC291" s="29"/>
      <c r="AD291" s="171"/>
    </row>
    <row r="292" spans="2:30" hidden="1" outlineLevel="1" x14ac:dyDescent="0.45">
      <c r="B292" s="11"/>
      <c r="C292" s="5" t="s">
        <v>312</v>
      </c>
      <c r="D292" s="11"/>
      <c r="E292" s="11"/>
      <c r="F292" s="11"/>
      <c r="G292" s="22"/>
      <c r="H292" s="32"/>
      <c r="I292" s="29"/>
      <c r="J292" s="171"/>
      <c r="L292" s="11"/>
      <c r="M292" s="5" t="s">
        <v>312</v>
      </c>
      <c r="N292" s="11"/>
      <c r="O292" s="11"/>
      <c r="P292" s="11"/>
      <c r="Q292" s="22"/>
      <c r="R292" s="32"/>
      <c r="S292" s="29"/>
      <c r="T292" s="171"/>
      <c r="V292" s="41" t="s">
        <v>282</v>
      </c>
      <c r="W292" s="5" t="s">
        <v>380</v>
      </c>
      <c r="X292" s="41"/>
      <c r="Y292" s="41"/>
      <c r="Z292" s="41"/>
      <c r="AA292" s="41"/>
      <c r="AB292" s="32"/>
      <c r="AC292" s="29"/>
      <c r="AD292" s="171"/>
    </row>
    <row r="293" spans="2:30" s="24" customFormat="1" collapsed="1" x14ac:dyDescent="0.45">
      <c r="B293" s="8" t="str">
        <f>"Total "&amp;B277</f>
        <v>Total Others</v>
      </c>
      <c r="C293" s="25"/>
      <c r="D293" s="28">
        <f t="shared" ref="D293:F293" si="301">SUM(D278:D292)</f>
        <v>0</v>
      </c>
      <c r="E293" s="28">
        <f t="shared" si="301"/>
        <v>0</v>
      </c>
      <c r="F293" s="28">
        <f t="shared" si="301"/>
        <v>0</v>
      </c>
      <c r="G293" s="25"/>
      <c r="H293" s="26"/>
      <c r="I293" s="30"/>
      <c r="J293" s="170"/>
      <c r="L293" s="8" t="str">
        <f>"Total "&amp;L277</f>
        <v>Total Others</v>
      </c>
      <c r="M293" s="25"/>
      <c r="N293" s="28">
        <f t="shared" ref="N293:P293" si="302">SUM(N278:N292)</f>
        <v>0</v>
      </c>
      <c r="O293" s="28">
        <f t="shared" si="302"/>
        <v>0</v>
      </c>
      <c r="P293" s="28">
        <f t="shared" si="302"/>
        <v>0</v>
      </c>
      <c r="Q293" s="25"/>
      <c r="R293" s="26"/>
      <c r="S293" s="30"/>
      <c r="T293" s="170"/>
      <c r="V293" s="8" t="str">
        <f>"Total "&amp;V277</f>
        <v>Total Others</v>
      </c>
      <c r="W293" s="25"/>
      <c r="X293" s="28">
        <f t="shared" ref="X293:Z293" si="303">SUM(X278:X292)</f>
        <v>0</v>
      </c>
      <c r="Y293" s="28">
        <f t="shared" si="303"/>
        <v>0</v>
      </c>
      <c r="Z293" s="28">
        <f t="shared" si="303"/>
        <v>0</v>
      </c>
      <c r="AA293" s="25"/>
      <c r="AB293" s="26"/>
      <c r="AC293" s="30"/>
      <c r="AD293" s="170"/>
    </row>
    <row r="302" spans="2:30" s="20" customFormat="1" ht="26.25" x14ac:dyDescent="0.45">
      <c r="B302" s="226" t="s">
        <v>389</v>
      </c>
      <c r="C302" s="226" t="s">
        <v>390</v>
      </c>
      <c r="D302" s="226" t="s">
        <v>391</v>
      </c>
      <c r="E302" s="226" t="s">
        <v>392</v>
      </c>
      <c r="F302" s="226" t="s">
        <v>393</v>
      </c>
    </row>
    <row r="303" spans="2:30" x14ac:dyDescent="0.45">
      <c r="B303" s="5" t="s">
        <v>394</v>
      </c>
      <c r="C303" s="6">
        <f>A54+A56</f>
        <v>2</v>
      </c>
      <c r="D303" s="6">
        <f>D54+D56</f>
        <v>1000000</v>
      </c>
      <c r="E303" s="6">
        <f>E54+E56</f>
        <v>1021670.6666666667</v>
      </c>
      <c r="F303" s="6"/>
    </row>
    <row r="304" spans="2:30" x14ac:dyDescent="0.45">
      <c r="B304" s="5" t="s">
        <v>395</v>
      </c>
      <c r="C304" s="6">
        <f>A55</f>
        <v>3</v>
      </c>
      <c r="D304" s="6">
        <f>D55</f>
        <v>642000</v>
      </c>
      <c r="E304" s="6">
        <f>E55</f>
        <v>579797</v>
      </c>
      <c r="F304" s="6"/>
    </row>
    <row r="305" spans="2:6" x14ac:dyDescent="0.45">
      <c r="B305" s="5" t="s">
        <v>396</v>
      </c>
      <c r="C305" s="6">
        <f>A53</f>
        <v>0</v>
      </c>
      <c r="D305" s="6">
        <f>D53</f>
        <v>0</v>
      </c>
      <c r="E305" s="6">
        <f>E53</f>
        <v>0</v>
      </c>
      <c r="F305" s="6"/>
    </row>
    <row r="306" spans="2:6" x14ac:dyDescent="0.45">
      <c r="B306" s="5" t="s">
        <v>397</v>
      </c>
      <c r="C306" s="6">
        <f>SUM(A46:A47,A49:A52,A57)</f>
        <v>1</v>
      </c>
      <c r="D306" s="6">
        <f>SUM(D46:D47,D49:D52,D57)</f>
        <v>0</v>
      </c>
      <c r="E306" s="6">
        <f>SUM(E46:E47,E49:E52,E57)</f>
        <v>0</v>
      </c>
      <c r="F306" s="6"/>
    </row>
    <row r="307" spans="2:6" x14ac:dyDescent="0.45">
      <c r="B307" s="5" t="s">
        <v>224</v>
      </c>
      <c r="C307" s="6">
        <f>SUM(A48,A58)</f>
        <v>0</v>
      </c>
      <c r="D307" s="6">
        <f>SUM(D48,D58)</f>
        <v>0</v>
      </c>
      <c r="E307" s="6">
        <f>SUM(E48,E58)</f>
        <v>0</v>
      </c>
      <c r="F307" s="6"/>
    </row>
    <row r="308" spans="2:6" x14ac:dyDescent="0.45">
      <c r="B308" s="82" t="s">
        <v>107</v>
      </c>
      <c r="C308" s="74">
        <f>SUM(C303:C307)</f>
        <v>6</v>
      </c>
      <c r="D308" s="74">
        <f>SUM(D303:D307)</f>
        <v>1642000</v>
      </c>
      <c r="E308" s="74">
        <f t="shared" ref="E308:F308" si="304">SUM(E303:E307)</f>
        <v>1601467.6666666667</v>
      </c>
      <c r="F308" s="74">
        <f t="shared" si="304"/>
        <v>0</v>
      </c>
    </row>
    <row r="312" spans="2:6" x14ac:dyDescent="0.45">
      <c r="C312" s="224">
        <v>7</v>
      </c>
      <c r="D312" s="224">
        <v>9819766</v>
      </c>
      <c r="E312" s="224">
        <v>7968712</v>
      </c>
    </row>
    <row r="313" spans="2:6" x14ac:dyDescent="0.45">
      <c r="C313" s="224">
        <v>0</v>
      </c>
      <c r="D313" s="224">
        <v>0</v>
      </c>
      <c r="E313" s="224">
        <v>0</v>
      </c>
    </row>
    <row r="314" spans="2:6" x14ac:dyDescent="0.45">
      <c r="C314" s="224">
        <v>0</v>
      </c>
      <c r="D314" s="224">
        <v>0</v>
      </c>
      <c r="E314" s="224">
        <v>0</v>
      </c>
    </row>
    <row r="315" spans="2:6" x14ac:dyDescent="0.45">
      <c r="C315" s="224">
        <v>1</v>
      </c>
      <c r="D315" s="224">
        <v>1000000</v>
      </c>
      <c r="E315" s="224">
        <v>996460</v>
      </c>
    </row>
    <row r="316" spans="2:6" x14ac:dyDescent="0.45">
      <c r="C316" s="224">
        <v>0</v>
      </c>
      <c r="D316" s="224">
        <v>0</v>
      </c>
      <c r="E316" s="224">
        <v>0</v>
      </c>
    </row>
    <row r="317" spans="2:6" x14ac:dyDescent="0.45">
      <c r="C317" s="224">
        <v>8</v>
      </c>
      <c r="D317" s="224">
        <v>10819766</v>
      </c>
      <c r="E317" s="224">
        <v>8965172</v>
      </c>
    </row>
  </sheetData>
  <mergeCells count="3">
    <mergeCell ref="V43:AD43"/>
    <mergeCell ref="B43:J43"/>
    <mergeCell ref="L43:T43"/>
  </mergeCells>
  <phoneticPr fontId="11" type="noConversion"/>
  <conditionalFormatting sqref="D117">
    <cfRule type="iconSet" priority="2">
      <iconSet iconSet="3Arrows">
        <cfvo type="percent" val="0"/>
        <cfvo type="percent" val="33"/>
        <cfvo type="percent" val="67"/>
      </iconSet>
    </cfRule>
  </conditionalFormatting>
  <conditionalFormatting sqref="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C242:C256 C98:C112 C278:C292 W278:W292 C170:C184 C134:C148 C188:C202 C62:C76 C152:C166 C224:C238 C260:C274 C116:C130 M62:M76 M134:M148 M170:M184 M116:M130 M206:M220 M224:M238 M188:M202 M242:M256 M260:M274 M98:M112 M152:M166 M278:M292 M80:M94 W62:W76 W116:W130 W152:W166 W98:W112 W188:W202 W206:W220 W170:W184 W224:W238 W242:W256 W80:W94 W134:W148 W260:W274 C207:C220</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328125" defaultRowHeight="13.15" outlineLevelRow="1" outlineLevelCol="1" x14ac:dyDescent="0.45"/>
  <cols>
    <col min="1" max="1" width="9.1328125" style="2"/>
    <col min="2" max="2" width="40.265625" style="2" bestFit="1" customWidth="1"/>
    <col min="3" max="3" width="11.73046875" style="2" bestFit="1" customWidth="1"/>
    <col min="4" max="5" width="13.1328125" style="2" bestFit="1" customWidth="1"/>
    <col min="6" max="7" width="10.265625" style="2" customWidth="1"/>
    <col min="8" max="8" width="12.1328125" style="2" bestFit="1" customWidth="1"/>
    <col min="9" max="9" width="13.3984375" style="2" bestFit="1" customWidth="1"/>
    <col min="10" max="10" width="15.86328125" style="2" customWidth="1"/>
    <col min="11" max="11" width="10.265625" style="2" bestFit="1" customWidth="1"/>
    <col min="12" max="12" width="40.265625" style="2" bestFit="1" customWidth="1"/>
    <col min="13" max="13" width="11.73046875" style="2" bestFit="1" customWidth="1"/>
    <col min="14" max="19" width="10.265625" style="2" customWidth="1"/>
    <col min="20" max="20" width="20.73046875" style="2" customWidth="1"/>
    <col min="21" max="21" width="9.73046875" style="2" customWidth="1"/>
    <col min="22" max="22" width="40.265625" style="2" hidden="1" customWidth="1" outlineLevel="1"/>
    <col min="23" max="23" width="11.73046875" style="2" hidden="1" customWidth="1" outlineLevel="1"/>
    <col min="24" max="29" width="10.265625" style="2" hidden="1" customWidth="1" outlineLevel="1"/>
    <col min="30" max="30" width="0" style="2" hidden="1" customWidth="1" outlineLevel="1"/>
    <col min="31" max="31" width="40.265625" style="2" hidden="1" customWidth="1" outlineLevel="1"/>
    <col min="32" max="32" width="11.73046875" style="2" hidden="1" customWidth="1" outlineLevel="1"/>
    <col min="33" max="38" width="10.265625" style="2" hidden="1" customWidth="1" outlineLevel="1"/>
    <col min="39" max="39" width="0" style="2" hidden="1" customWidth="1" outlineLevel="1"/>
    <col min="40" max="40" width="40.265625" style="2" hidden="1" customWidth="1" outlineLevel="1"/>
    <col min="41" max="41" width="11.73046875" style="2" hidden="1" customWidth="1" outlineLevel="1"/>
    <col min="42" max="47" width="10.265625" style="2" hidden="1" customWidth="1" outlineLevel="1"/>
    <col min="48" max="48" width="0" style="2" hidden="1" customWidth="1" outlineLevel="1"/>
    <col min="49" max="49" width="40.265625" style="2" hidden="1" customWidth="1" outlineLevel="1"/>
    <col min="50" max="50" width="11.73046875" style="2" hidden="1" customWidth="1" outlineLevel="1"/>
    <col min="51" max="56" width="10.265625" style="2" hidden="1" customWidth="1" outlineLevel="1"/>
    <col min="57" max="57" width="0" style="2" hidden="1" customWidth="1" outlineLevel="1"/>
    <col min="58" max="58" width="40.265625" style="2" hidden="1" customWidth="1" outlineLevel="1"/>
    <col min="59" max="59" width="11.73046875" style="2" hidden="1" customWidth="1" outlineLevel="1"/>
    <col min="60" max="65" width="10.265625" style="2" hidden="1" customWidth="1" outlineLevel="1"/>
    <col min="66" max="66" width="9.1328125" style="2" collapsed="1"/>
    <col min="67" max="16384" width="9.1328125" style="2"/>
  </cols>
  <sheetData>
    <row r="2" spans="2:19" x14ac:dyDescent="0.4">
      <c r="B2" s="55" t="s">
        <v>398</v>
      </c>
      <c r="C2" s="1"/>
      <c r="D2" s="1"/>
      <c r="E2" s="1"/>
      <c r="F2" s="1"/>
      <c r="G2" s="1"/>
      <c r="H2" s="1"/>
      <c r="I2" s="1"/>
      <c r="J2" s="1"/>
      <c r="Q2" s="2" t="s">
        <v>399</v>
      </c>
      <c r="S2" s="1"/>
    </row>
    <row r="3" spans="2:19" x14ac:dyDescent="0.4">
      <c r="B3" s="1"/>
      <c r="C3" s="1"/>
      <c r="E3" s="1"/>
      <c r="F3" s="1"/>
      <c r="G3" s="1"/>
      <c r="H3" s="1"/>
      <c r="I3" s="1"/>
      <c r="J3" s="1"/>
    </row>
    <row r="4" spans="2:19" x14ac:dyDescent="0.4">
      <c r="B4" s="17" t="s">
        <v>400</v>
      </c>
      <c r="C4" s="17" t="s">
        <v>401</v>
      </c>
      <c r="D4" s="17" t="s">
        <v>402</v>
      </c>
      <c r="E4" s="17" t="s">
        <v>403</v>
      </c>
      <c r="F4" s="17" t="s">
        <v>404</v>
      </c>
      <c r="G4" s="17" t="s">
        <v>405</v>
      </c>
      <c r="H4" s="17" t="s">
        <v>406</v>
      </c>
      <c r="I4" s="17" t="s">
        <v>407</v>
      </c>
      <c r="J4" s="58" t="s">
        <v>107</v>
      </c>
    </row>
    <row r="5" spans="2:19" x14ac:dyDescent="0.4">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x14ac:dyDescent="0.4">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4">
      <c r="B7" s="59" t="s">
        <v>348</v>
      </c>
      <c r="C7" s="62">
        <f>H41</f>
        <v>0</v>
      </c>
      <c r="D7" s="62">
        <f>R41</f>
        <v>0</v>
      </c>
      <c r="E7" s="62">
        <f>AB41</f>
        <v>0</v>
      </c>
      <c r="F7" s="62">
        <f>AK41</f>
        <v>0</v>
      </c>
      <c r="G7" s="62">
        <f>AT41</f>
        <v>0</v>
      </c>
      <c r="H7" s="62">
        <f>BC41</f>
        <v>0</v>
      </c>
      <c r="I7" s="62">
        <f>BL41</f>
        <v>0</v>
      </c>
      <c r="J7" s="57">
        <f>SUM(C7:I7)</f>
        <v>0</v>
      </c>
    </row>
    <row r="8" spans="2:19" x14ac:dyDescent="0.4">
      <c r="B8" s="59" t="s">
        <v>350</v>
      </c>
      <c r="C8" s="62">
        <f>G41</f>
        <v>0</v>
      </c>
      <c r="D8" s="62">
        <f>Q41</f>
        <v>0</v>
      </c>
      <c r="E8" s="62">
        <f>AA41</f>
        <v>0</v>
      </c>
      <c r="F8" s="62">
        <f>AJ41</f>
        <v>0</v>
      </c>
      <c r="G8" s="62">
        <f>AS41</f>
        <v>0</v>
      </c>
      <c r="H8" s="62">
        <f>BB41</f>
        <v>0</v>
      </c>
      <c r="I8" s="62">
        <f>BK41</f>
        <v>0</v>
      </c>
      <c r="J8" s="57">
        <f>SUM(C8:I8)</f>
        <v>0</v>
      </c>
    </row>
    <row r="9" spans="2:19" x14ac:dyDescent="0.4">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4">
      <c r="B10" s="1"/>
      <c r="C10" s="1"/>
      <c r="D10" s="1"/>
      <c r="E10" s="1"/>
      <c r="F10" s="1"/>
      <c r="G10" s="1"/>
      <c r="H10" s="1"/>
      <c r="I10" s="1"/>
      <c r="J10" s="1"/>
    </row>
    <row r="11" spans="2:19" x14ac:dyDescent="0.4">
      <c r="B11" s="17" t="s">
        <v>400</v>
      </c>
      <c r="C11" s="17" t="s">
        <v>401</v>
      </c>
      <c r="D11" s="17" t="s">
        <v>402</v>
      </c>
      <c r="E11" s="17" t="s">
        <v>403</v>
      </c>
      <c r="F11" s="17" t="s">
        <v>404</v>
      </c>
      <c r="G11" s="17" t="s">
        <v>405</v>
      </c>
      <c r="H11" s="17" t="s">
        <v>406</v>
      </c>
      <c r="I11" s="17" t="s">
        <v>407</v>
      </c>
      <c r="J11" s="58" t="s">
        <v>107</v>
      </c>
    </row>
    <row r="12" spans="2:19" x14ac:dyDescent="0.4">
      <c r="B12" s="18" t="s">
        <v>411</v>
      </c>
      <c r="C12" s="213"/>
      <c r="D12" s="213"/>
      <c r="E12" s="60"/>
      <c r="F12" s="60"/>
      <c r="G12" s="60"/>
      <c r="H12" s="60"/>
      <c r="I12" s="60"/>
      <c r="J12" s="57">
        <f t="shared" ref="J12:J26" si="3">SUM(C12:I12)</f>
        <v>0</v>
      </c>
      <c r="L12" s="2" t="s">
        <v>412</v>
      </c>
    </row>
    <row r="13" spans="2:19" x14ac:dyDescent="0.4">
      <c r="B13" s="18" t="s">
        <v>413</v>
      </c>
      <c r="C13" s="60"/>
      <c r="D13" s="60"/>
      <c r="E13" s="60"/>
      <c r="F13" s="60"/>
      <c r="G13" s="60"/>
      <c r="H13" s="60"/>
      <c r="I13" s="60"/>
      <c r="J13" s="57">
        <f t="shared" si="3"/>
        <v>0</v>
      </c>
    </row>
    <row r="14" spans="2:19" x14ac:dyDescent="0.4">
      <c r="B14" s="18" t="s">
        <v>414</v>
      </c>
      <c r="C14" s="60"/>
      <c r="D14" s="60"/>
      <c r="E14" s="60"/>
      <c r="F14" s="60"/>
      <c r="G14" s="60"/>
      <c r="H14" s="60"/>
      <c r="I14" s="60"/>
      <c r="J14" s="57">
        <f t="shared" si="3"/>
        <v>0</v>
      </c>
    </row>
    <row r="15" spans="2:19" x14ac:dyDescent="0.4">
      <c r="B15" s="18" t="s">
        <v>415</v>
      </c>
      <c r="C15" s="60"/>
      <c r="D15" s="60"/>
      <c r="E15" s="60"/>
      <c r="F15" s="60"/>
      <c r="G15" s="60"/>
      <c r="H15" s="60"/>
      <c r="I15" s="60"/>
      <c r="J15" s="57">
        <f t="shared" si="3"/>
        <v>0</v>
      </c>
    </row>
    <row r="16" spans="2:19" x14ac:dyDescent="0.4">
      <c r="B16" s="18" t="s">
        <v>416</v>
      </c>
      <c r="C16" s="60"/>
      <c r="D16" s="60"/>
      <c r="E16" s="60"/>
      <c r="F16" s="60"/>
      <c r="G16" s="60"/>
      <c r="H16" s="60"/>
      <c r="I16" s="60"/>
      <c r="J16" s="57">
        <f t="shared" si="3"/>
        <v>0</v>
      </c>
    </row>
    <row r="17" spans="1:65" x14ac:dyDescent="0.4">
      <c r="B17" s="18" t="s">
        <v>417</v>
      </c>
      <c r="C17" s="60"/>
      <c r="D17" s="60"/>
      <c r="E17" s="60"/>
      <c r="F17" s="60"/>
      <c r="G17" s="60"/>
      <c r="H17" s="60"/>
      <c r="I17" s="60"/>
      <c r="J17" s="57">
        <f t="shared" si="3"/>
        <v>0</v>
      </c>
      <c r="M17" s="171" t="s">
        <v>418</v>
      </c>
      <c r="T17" s="2" t="s">
        <v>419</v>
      </c>
    </row>
    <row r="18" spans="1:65" x14ac:dyDescent="0.4">
      <c r="B18" s="18" t="s">
        <v>420</v>
      </c>
      <c r="C18" s="60"/>
      <c r="D18" s="60"/>
      <c r="E18" s="60"/>
      <c r="F18" s="60"/>
      <c r="G18" s="60"/>
      <c r="H18" s="60"/>
      <c r="I18" s="60"/>
      <c r="J18" s="57">
        <f t="shared" si="3"/>
        <v>0</v>
      </c>
      <c r="M18" s="171" t="s">
        <v>421</v>
      </c>
      <c r="T18" s="2" t="s">
        <v>422</v>
      </c>
    </row>
    <row r="19" spans="1:65" x14ac:dyDescent="0.4">
      <c r="B19" s="18" t="s">
        <v>423</v>
      </c>
      <c r="C19" s="60"/>
      <c r="D19" s="60"/>
      <c r="E19" s="60"/>
      <c r="F19" s="60"/>
      <c r="G19" s="60"/>
      <c r="H19" s="60"/>
      <c r="I19" s="60"/>
      <c r="J19" s="57">
        <f t="shared" si="3"/>
        <v>0</v>
      </c>
      <c r="T19" s="2" t="s">
        <v>424</v>
      </c>
    </row>
    <row r="20" spans="1:65" x14ac:dyDescent="0.4">
      <c r="B20" s="18" t="s">
        <v>425</v>
      </c>
      <c r="C20" s="60"/>
      <c r="D20" s="60"/>
      <c r="E20" s="60"/>
      <c r="F20" s="60"/>
      <c r="G20" s="60"/>
      <c r="H20" s="60"/>
      <c r="I20" s="60"/>
      <c r="J20" s="57">
        <f t="shared" si="3"/>
        <v>0</v>
      </c>
      <c r="T20" s="2" t="s">
        <v>419</v>
      </c>
    </row>
    <row r="21" spans="1:65" x14ac:dyDescent="0.4">
      <c r="B21" s="18" t="s">
        <v>426</v>
      </c>
      <c r="C21" s="60"/>
      <c r="D21" s="60"/>
      <c r="E21" s="60"/>
      <c r="F21" s="60"/>
      <c r="G21" s="60"/>
      <c r="H21" s="60"/>
      <c r="I21" s="60"/>
      <c r="J21" s="57">
        <f t="shared" si="3"/>
        <v>0</v>
      </c>
    </row>
    <row r="22" spans="1:65" x14ac:dyDescent="0.4">
      <c r="B22" s="18" t="s">
        <v>427</v>
      </c>
      <c r="C22" s="60"/>
      <c r="D22" s="60"/>
      <c r="E22" s="60"/>
      <c r="F22" s="60"/>
      <c r="G22" s="60"/>
      <c r="H22" s="60"/>
      <c r="I22" s="60"/>
      <c r="J22" s="57">
        <f t="shared" si="3"/>
        <v>0</v>
      </c>
    </row>
    <row r="23" spans="1:65" x14ac:dyDescent="0.4">
      <c r="B23" s="18" t="s">
        <v>428</v>
      </c>
      <c r="C23" s="60"/>
      <c r="D23" s="60"/>
      <c r="E23" s="60"/>
      <c r="F23" s="60"/>
      <c r="G23" s="60"/>
      <c r="H23" s="60"/>
      <c r="I23" s="60"/>
      <c r="J23" s="57">
        <f t="shared" si="3"/>
        <v>0</v>
      </c>
    </row>
    <row r="24" spans="1:65" x14ac:dyDescent="0.4">
      <c r="B24" s="18" t="s">
        <v>429</v>
      </c>
      <c r="C24" s="60"/>
      <c r="D24" s="60"/>
      <c r="E24" s="60"/>
      <c r="F24" s="60"/>
      <c r="G24" s="60"/>
      <c r="H24" s="60"/>
      <c r="I24" s="60"/>
      <c r="J24" s="57">
        <f t="shared" si="3"/>
        <v>0</v>
      </c>
    </row>
    <row r="25" spans="1:65" x14ac:dyDescent="0.4">
      <c r="B25" s="18" t="s">
        <v>430</v>
      </c>
      <c r="C25" s="60"/>
      <c r="D25" s="60"/>
      <c r="E25" s="60"/>
      <c r="F25" s="60"/>
      <c r="G25" s="60"/>
      <c r="H25" s="60"/>
      <c r="I25" s="60"/>
      <c r="J25" s="57">
        <f t="shared" si="3"/>
        <v>0</v>
      </c>
    </row>
    <row r="26" spans="1:65" x14ac:dyDescent="0.4">
      <c r="B26" s="18" t="s">
        <v>431</v>
      </c>
      <c r="C26" s="60"/>
      <c r="D26" s="60"/>
      <c r="E26" s="60"/>
      <c r="F26" s="60"/>
      <c r="G26" s="60"/>
      <c r="H26" s="60"/>
      <c r="I26" s="60"/>
      <c r="J26" s="57">
        <f t="shared" si="3"/>
        <v>0</v>
      </c>
    </row>
    <row r="27" spans="1:65" x14ac:dyDescent="0.4">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45">
      <c r="B29" s="859" t="s">
        <v>432</v>
      </c>
      <c r="C29" s="859"/>
      <c r="D29" s="859"/>
      <c r="E29" s="859"/>
      <c r="F29" s="859"/>
      <c r="G29" s="859"/>
      <c r="H29" s="859"/>
      <c r="I29" s="859"/>
      <c r="J29" s="859"/>
      <c r="L29" s="859" t="s">
        <v>433</v>
      </c>
      <c r="M29" s="859"/>
      <c r="N29" s="859"/>
      <c r="O29" s="859"/>
      <c r="P29" s="859"/>
      <c r="Q29" s="859"/>
      <c r="R29" s="859"/>
      <c r="S29" s="859"/>
      <c r="T29" s="859"/>
      <c r="V29" s="859" t="s">
        <v>434</v>
      </c>
      <c r="W29" s="859"/>
      <c r="X29" s="859"/>
      <c r="Y29" s="859"/>
      <c r="Z29" s="859"/>
      <c r="AA29" s="859"/>
      <c r="AB29" s="859"/>
      <c r="AC29" s="859"/>
      <c r="AE29" s="859" t="s">
        <v>435</v>
      </c>
      <c r="AF29" s="859"/>
      <c r="AG29" s="859"/>
      <c r="AH29" s="859"/>
      <c r="AI29" s="859"/>
      <c r="AJ29" s="859"/>
      <c r="AK29" s="859"/>
      <c r="AL29" s="859"/>
      <c r="AN29" s="859" t="s">
        <v>436</v>
      </c>
      <c r="AO29" s="859"/>
      <c r="AP29" s="859"/>
      <c r="AQ29" s="859"/>
      <c r="AR29" s="859"/>
      <c r="AS29" s="859"/>
      <c r="AT29" s="859"/>
      <c r="AU29" s="859"/>
      <c r="AW29" s="859" t="s">
        <v>437</v>
      </c>
      <c r="AX29" s="859"/>
      <c r="AY29" s="859"/>
      <c r="AZ29" s="859"/>
      <c r="BA29" s="859"/>
      <c r="BB29" s="859"/>
      <c r="BC29" s="859"/>
      <c r="BD29" s="859"/>
      <c r="BF29" s="859" t="s">
        <v>438</v>
      </c>
      <c r="BG29" s="859"/>
      <c r="BH29" s="859"/>
      <c r="BI29" s="859"/>
      <c r="BJ29" s="859"/>
      <c r="BK29" s="859"/>
      <c r="BL29" s="859"/>
      <c r="BM29" s="859"/>
    </row>
    <row r="31" spans="1:65" s="20" customFormat="1" ht="54" customHeight="1" x14ac:dyDescent="0.45">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x14ac:dyDescent="0.45">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x14ac:dyDescent="0.45">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x14ac:dyDescent="0.45">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x14ac:dyDescent="0.45">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25" x14ac:dyDescent="0.45">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3"/>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x14ac:dyDescent="0.45">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x14ac:dyDescent="0.45">
      <c r="A38" s="2">
        <f>COUNT(D152:D166)</f>
        <v>0</v>
      </c>
      <c r="B38" s="5" t="str">
        <f>B151</f>
        <v>Facility (Credit Card)</v>
      </c>
      <c r="C38" s="7" t="s">
        <v>299</v>
      </c>
      <c r="D38" s="79">
        <f>D167</f>
        <v>0</v>
      </c>
      <c r="E38" s="79">
        <f>E167</f>
        <v>0</v>
      </c>
      <c r="F38" s="79">
        <f>F167</f>
        <v>0</v>
      </c>
      <c r="G38" s="212">
        <f>I167*12</f>
        <v>0</v>
      </c>
      <c r="H38" s="79">
        <f t="shared" si="5"/>
        <v>0</v>
      </c>
      <c r="I38" s="34">
        <f t="shared" si="6"/>
        <v>0</v>
      </c>
      <c r="J38" s="171"/>
      <c r="L38" s="5" t="str">
        <f>L151</f>
        <v>Facility (Credit Card)</v>
      </c>
      <c r="M38" s="7" t="s">
        <v>299</v>
      </c>
      <c r="N38" s="79">
        <f>N167</f>
        <v>0</v>
      </c>
      <c r="O38" s="79">
        <f>O167</f>
        <v>0</v>
      </c>
      <c r="P38" s="79">
        <f>P167</f>
        <v>0</v>
      </c>
      <c r="Q38" s="212">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x14ac:dyDescent="0.45">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x14ac:dyDescent="0.45">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x14ac:dyDescent="0.45">
      <c r="B41" s="39" t="s">
        <v>442</v>
      </c>
      <c r="C41" s="33"/>
      <c r="D41" s="35">
        <f>SUM(D32:D40)</f>
        <v>0</v>
      </c>
      <c r="E41" s="35">
        <f t="shared" ref="E41:I41" si="33">SUM(E32:E40)</f>
        <v>0</v>
      </c>
      <c r="F41" s="35">
        <f t="shared" si="33"/>
        <v>0</v>
      </c>
      <c r="G41" s="35">
        <f t="shared" si="33"/>
        <v>0</v>
      </c>
      <c r="H41" s="35">
        <f t="shared" si="33"/>
        <v>0</v>
      </c>
      <c r="I41" s="35">
        <f t="shared" si="33"/>
        <v>0</v>
      </c>
      <c r="J41" s="211"/>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1"/>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4" x14ac:dyDescent="0.45">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x14ac:dyDescent="0.45">
      <c r="B44" s="41" t="s">
        <v>443</v>
      </c>
      <c r="C44" s="41" t="s">
        <v>282</v>
      </c>
      <c r="D44" s="40"/>
      <c r="E44" s="40"/>
      <c r="F44" s="29"/>
      <c r="G44" s="22">
        <v>0.08</v>
      </c>
      <c r="H44" s="23">
        <v>0.75</v>
      </c>
      <c r="I44" s="75">
        <f>D44*G44*H44</f>
        <v>0</v>
      </c>
      <c r="J44" s="171"/>
      <c r="L44" s="41" t="s">
        <v>443</v>
      </c>
      <c r="M44" s="41" t="s">
        <v>282</v>
      </c>
      <c r="N44" s="40"/>
      <c r="O44" s="40"/>
      <c r="P44" s="29"/>
      <c r="Q44" s="22">
        <v>0.08</v>
      </c>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x14ac:dyDescent="0.45">
      <c r="B45" s="41" t="s">
        <v>443</v>
      </c>
      <c r="C45" s="41" t="s">
        <v>282</v>
      </c>
      <c r="D45" s="40"/>
      <c r="E45" s="40"/>
      <c r="F45" s="29"/>
      <c r="G45" s="22"/>
      <c r="H45" s="23">
        <v>0.75</v>
      </c>
      <c r="I45" s="75">
        <f t="shared" ref="I45:I58" si="64">D45*G45*H45</f>
        <v>0</v>
      </c>
      <c r="J45" s="171"/>
      <c r="L45" s="41" t="s">
        <v>443</v>
      </c>
      <c r="M45" s="41" t="s">
        <v>282</v>
      </c>
      <c r="N45" s="40"/>
      <c r="O45" s="40"/>
      <c r="P45" s="29"/>
      <c r="Q45" s="22">
        <v>0.08</v>
      </c>
      <c r="R45" s="23">
        <v>0.75</v>
      </c>
      <c r="S45" s="6">
        <f t="shared" ref="S45:S58" si="65">N45*Q45*R45</f>
        <v>0</v>
      </c>
      <c r="T45" s="171"/>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x14ac:dyDescent="0.45">
      <c r="B46" s="41" t="s">
        <v>443</v>
      </c>
      <c r="C46" s="41" t="s">
        <v>282</v>
      </c>
      <c r="D46" s="40"/>
      <c r="E46" s="40"/>
      <c r="F46" s="29"/>
      <c r="G46" s="22"/>
      <c r="H46" s="23">
        <v>0.75</v>
      </c>
      <c r="I46" s="75">
        <f t="shared" si="64"/>
        <v>0</v>
      </c>
      <c r="J46" s="171"/>
      <c r="L46" s="41" t="s">
        <v>443</v>
      </c>
      <c r="M46" s="41" t="s">
        <v>282</v>
      </c>
      <c r="N46" s="40"/>
      <c r="O46" s="40"/>
      <c r="P46" s="29"/>
      <c r="Q46" s="22"/>
      <c r="R46" s="23">
        <v>0.75</v>
      </c>
      <c r="S46" s="6">
        <f t="shared" si="65"/>
        <v>0</v>
      </c>
      <c r="T46" s="171"/>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x14ac:dyDescent="0.45">
      <c r="B47" s="41" t="s">
        <v>443</v>
      </c>
      <c r="C47" s="41" t="s">
        <v>282</v>
      </c>
      <c r="D47" s="40"/>
      <c r="E47" s="40"/>
      <c r="F47" s="29"/>
      <c r="G47" s="22"/>
      <c r="H47" s="23">
        <v>0.75</v>
      </c>
      <c r="I47" s="75">
        <f t="shared" si="64"/>
        <v>0</v>
      </c>
      <c r="J47" s="171"/>
      <c r="L47" s="41" t="s">
        <v>443</v>
      </c>
      <c r="M47" s="41" t="s">
        <v>282</v>
      </c>
      <c r="N47" s="40"/>
      <c r="O47" s="40"/>
      <c r="P47" s="29"/>
      <c r="Q47" s="22"/>
      <c r="R47" s="23">
        <v>0.75</v>
      </c>
      <c r="S47" s="6">
        <f t="shared" si="65"/>
        <v>0</v>
      </c>
      <c r="T47" s="171"/>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x14ac:dyDescent="0.45">
      <c r="B48" s="41" t="s">
        <v>443</v>
      </c>
      <c r="C48" s="41" t="s">
        <v>282</v>
      </c>
      <c r="D48" s="40"/>
      <c r="E48" s="40"/>
      <c r="F48" s="29"/>
      <c r="G48" s="22"/>
      <c r="H48" s="23">
        <v>0.75</v>
      </c>
      <c r="I48" s="75">
        <f t="shared" si="64"/>
        <v>0</v>
      </c>
      <c r="J48" s="171"/>
      <c r="L48" s="41" t="s">
        <v>443</v>
      </c>
      <c r="M48" s="41" t="s">
        <v>282</v>
      </c>
      <c r="N48" s="40"/>
      <c r="O48" s="40"/>
      <c r="P48" s="29"/>
      <c r="Q48" s="22"/>
      <c r="R48" s="23">
        <v>0.75</v>
      </c>
      <c r="S48" s="6">
        <f t="shared" si="65"/>
        <v>0</v>
      </c>
      <c r="T48" s="171"/>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x14ac:dyDescent="0.45">
      <c r="B49" s="41" t="s">
        <v>443</v>
      </c>
      <c r="C49" s="41" t="s">
        <v>282</v>
      </c>
      <c r="D49" s="40"/>
      <c r="E49" s="40"/>
      <c r="F49" s="29"/>
      <c r="G49" s="22"/>
      <c r="H49" s="23">
        <v>0.75</v>
      </c>
      <c r="I49" s="75">
        <f t="shared" si="64"/>
        <v>0</v>
      </c>
      <c r="J49" s="171"/>
      <c r="L49" s="41" t="s">
        <v>443</v>
      </c>
      <c r="M49" s="41" t="s">
        <v>282</v>
      </c>
      <c r="N49" s="40"/>
      <c r="O49" s="40"/>
      <c r="P49" s="29"/>
      <c r="Q49" s="22"/>
      <c r="R49" s="23">
        <v>0.75</v>
      </c>
      <c r="S49" s="6">
        <f t="shared" si="65"/>
        <v>0</v>
      </c>
      <c r="T49" s="171"/>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x14ac:dyDescent="0.45">
      <c r="B50" s="41" t="s">
        <v>443</v>
      </c>
      <c r="C50" s="41" t="s">
        <v>282</v>
      </c>
      <c r="D50" s="40"/>
      <c r="E50" s="40"/>
      <c r="F50" s="29"/>
      <c r="G50" s="22"/>
      <c r="H50" s="23">
        <v>0.75</v>
      </c>
      <c r="I50" s="75">
        <f t="shared" si="64"/>
        <v>0</v>
      </c>
      <c r="J50" s="171"/>
      <c r="L50" s="41" t="s">
        <v>443</v>
      </c>
      <c r="M50" s="41" t="s">
        <v>282</v>
      </c>
      <c r="N50" s="40"/>
      <c r="O50" s="40"/>
      <c r="P50" s="29"/>
      <c r="Q50" s="22"/>
      <c r="R50" s="23">
        <v>0.75</v>
      </c>
      <c r="S50" s="6">
        <f t="shared" si="65"/>
        <v>0</v>
      </c>
      <c r="T50" s="171"/>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x14ac:dyDescent="0.45">
      <c r="B51" s="41" t="s">
        <v>443</v>
      </c>
      <c r="C51" s="41" t="s">
        <v>282</v>
      </c>
      <c r="D51" s="40"/>
      <c r="E51" s="40"/>
      <c r="F51" s="29"/>
      <c r="G51" s="22"/>
      <c r="H51" s="23">
        <v>0.75</v>
      </c>
      <c r="I51" s="75">
        <f t="shared" si="64"/>
        <v>0</v>
      </c>
      <c r="J51" s="171"/>
      <c r="L51" s="41" t="s">
        <v>443</v>
      </c>
      <c r="M51" s="41" t="s">
        <v>282</v>
      </c>
      <c r="N51" s="40"/>
      <c r="O51" s="40"/>
      <c r="P51" s="29"/>
      <c r="Q51" s="22"/>
      <c r="R51" s="23">
        <v>0.75</v>
      </c>
      <c r="S51" s="6">
        <f t="shared" si="65"/>
        <v>0</v>
      </c>
      <c r="T51" s="171"/>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x14ac:dyDescent="0.45">
      <c r="B52" s="41" t="s">
        <v>443</v>
      </c>
      <c r="C52" s="41" t="s">
        <v>282</v>
      </c>
      <c r="D52" s="40"/>
      <c r="E52" s="40"/>
      <c r="F52" s="29"/>
      <c r="G52" s="22"/>
      <c r="H52" s="23">
        <v>0.75</v>
      </c>
      <c r="I52" s="75">
        <f t="shared" si="64"/>
        <v>0</v>
      </c>
      <c r="J52" s="171"/>
      <c r="L52" s="41" t="s">
        <v>443</v>
      </c>
      <c r="M52" s="41" t="s">
        <v>282</v>
      </c>
      <c r="N52" s="40"/>
      <c r="O52" s="40"/>
      <c r="P52" s="29"/>
      <c r="Q52" s="22"/>
      <c r="R52" s="23">
        <v>0.75</v>
      </c>
      <c r="S52" s="6">
        <f t="shared" si="65"/>
        <v>0</v>
      </c>
      <c r="T52" s="171"/>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x14ac:dyDescent="0.45">
      <c r="B53" s="41" t="s">
        <v>443</v>
      </c>
      <c r="C53" s="41" t="s">
        <v>282</v>
      </c>
      <c r="D53" s="40"/>
      <c r="E53" s="40"/>
      <c r="F53" s="29"/>
      <c r="G53" s="22"/>
      <c r="H53" s="23">
        <v>0.75</v>
      </c>
      <c r="I53" s="75">
        <f t="shared" si="64"/>
        <v>0</v>
      </c>
      <c r="J53" s="171"/>
      <c r="L53" s="41" t="s">
        <v>443</v>
      </c>
      <c r="M53" s="41" t="s">
        <v>282</v>
      </c>
      <c r="N53" s="40"/>
      <c r="O53" s="40"/>
      <c r="P53" s="29"/>
      <c r="Q53" s="22"/>
      <c r="R53" s="23">
        <v>0.75</v>
      </c>
      <c r="S53" s="6">
        <f t="shared" si="65"/>
        <v>0</v>
      </c>
      <c r="T53" s="171"/>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x14ac:dyDescent="0.45">
      <c r="B54" s="41" t="s">
        <v>443</v>
      </c>
      <c r="C54" s="41" t="s">
        <v>282</v>
      </c>
      <c r="D54" s="40"/>
      <c r="E54" s="40"/>
      <c r="F54" s="29"/>
      <c r="G54" s="22"/>
      <c r="H54" s="23">
        <v>0.75</v>
      </c>
      <c r="I54" s="75">
        <f t="shared" si="64"/>
        <v>0</v>
      </c>
      <c r="J54" s="171"/>
      <c r="L54" s="41" t="s">
        <v>443</v>
      </c>
      <c r="M54" s="41" t="s">
        <v>282</v>
      </c>
      <c r="N54" s="40"/>
      <c r="O54" s="40"/>
      <c r="P54" s="29"/>
      <c r="Q54" s="22"/>
      <c r="R54" s="23">
        <v>0.75</v>
      </c>
      <c r="S54" s="6">
        <f t="shared" si="65"/>
        <v>0</v>
      </c>
      <c r="T54" s="171"/>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x14ac:dyDescent="0.45">
      <c r="B55" s="41" t="s">
        <v>443</v>
      </c>
      <c r="C55" s="41" t="s">
        <v>282</v>
      </c>
      <c r="D55" s="40"/>
      <c r="E55" s="40"/>
      <c r="F55" s="29"/>
      <c r="G55" s="22"/>
      <c r="H55" s="23">
        <v>0.75</v>
      </c>
      <c r="I55" s="75">
        <f t="shared" si="64"/>
        <v>0</v>
      </c>
      <c r="J55" s="171"/>
      <c r="L55" s="41" t="s">
        <v>443</v>
      </c>
      <c r="M55" s="41" t="s">
        <v>282</v>
      </c>
      <c r="N55" s="40"/>
      <c r="O55" s="40"/>
      <c r="P55" s="29"/>
      <c r="Q55" s="22"/>
      <c r="R55" s="23">
        <v>0.75</v>
      </c>
      <c r="S55" s="6">
        <f t="shared" si="65"/>
        <v>0</v>
      </c>
      <c r="T55" s="171"/>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x14ac:dyDescent="0.45">
      <c r="B56" s="41" t="s">
        <v>443</v>
      </c>
      <c r="C56" s="41" t="s">
        <v>282</v>
      </c>
      <c r="D56" s="40"/>
      <c r="E56" s="40"/>
      <c r="F56" s="29"/>
      <c r="G56" s="22"/>
      <c r="H56" s="23">
        <v>0.75</v>
      </c>
      <c r="I56" s="75">
        <f t="shared" si="64"/>
        <v>0</v>
      </c>
      <c r="J56" s="171"/>
      <c r="L56" s="41" t="s">
        <v>443</v>
      </c>
      <c r="M56" s="41" t="s">
        <v>282</v>
      </c>
      <c r="N56" s="40"/>
      <c r="O56" s="40"/>
      <c r="P56" s="29"/>
      <c r="Q56" s="22"/>
      <c r="R56" s="23">
        <v>0.75</v>
      </c>
      <c r="S56" s="6">
        <f t="shared" si="65"/>
        <v>0</v>
      </c>
      <c r="T56" s="171"/>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x14ac:dyDescent="0.45">
      <c r="B57" s="41" t="s">
        <v>443</v>
      </c>
      <c r="C57" s="41" t="s">
        <v>282</v>
      </c>
      <c r="D57" s="40"/>
      <c r="E57" s="40"/>
      <c r="F57" s="29"/>
      <c r="G57" s="22"/>
      <c r="H57" s="23">
        <v>0.75</v>
      </c>
      <c r="I57" s="75">
        <f t="shared" si="64"/>
        <v>0</v>
      </c>
      <c r="J57" s="171"/>
      <c r="L57" s="41" t="s">
        <v>443</v>
      </c>
      <c r="M57" s="41" t="s">
        <v>282</v>
      </c>
      <c r="N57" s="40"/>
      <c r="O57" s="40"/>
      <c r="P57" s="29"/>
      <c r="Q57" s="22"/>
      <c r="R57" s="23">
        <v>0.75</v>
      </c>
      <c r="S57" s="6">
        <f t="shared" si="65"/>
        <v>0</v>
      </c>
      <c r="T57" s="171"/>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x14ac:dyDescent="0.45">
      <c r="B58" s="41" t="s">
        <v>443</v>
      </c>
      <c r="C58" s="41" t="s">
        <v>282</v>
      </c>
      <c r="D58" s="40"/>
      <c r="E58" s="40"/>
      <c r="F58" s="29"/>
      <c r="G58" s="22"/>
      <c r="H58" s="23">
        <v>0.75</v>
      </c>
      <c r="I58" s="75">
        <f t="shared" si="64"/>
        <v>0</v>
      </c>
      <c r="J58" s="171"/>
      <c r="L58" s="41" t="s">
        <v>443</v>
      </c>
      <c r="M58" s="41" t="s">
        <v>282</v>
      </c>
      <c r="N58" s="40"/>
      <c r="O58" s="40"/>
      <c r="P58" s="29"/>
      <c r="Q58" s="22"/>
      <c r="R58" s="23">
        <v>0.75</v>
      </c>
      <c r="S58" s="6">
        <f t="shared" si="65"/>
        <v>0</v>
      </c>
      <c r="T58" s="171"/>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x14ac:dyDescent="0.45">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4" x14ac:dyDescent="0.4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2"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2"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4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x14ac:dyDescent="0.4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x14ac:dyDescent="0.4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x14ac:dyDescent="0.4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x14ac:dyDescent="0.4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x14ac:dyDescent="0.4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x14ac:dyDescent="0.4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x14ac:dyDescent="0.45">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x14ac:dyDescent="0.45">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x14ac:dyDescent="0.45">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x14ac:dyDescent="0.45">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x14ac:dyDescent="0.45">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x14ac:dyDescent="0.45">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x14ac:dyDescent="0.45">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x14ac:dyDescent="0.45">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x14ac:dyDescent="0.45">
      <c r="B77" s="8" t="s">
        <v>444</v>
      </c>
      <c r="C77" s="25"/>
      <c r="D77" s="28">
        <f t="shared" ref="D77:F77" si="78">SUM(D62:D76)</f>
        <v>0</v>
      </c>
      <c r="E77" s="28">
        <f t="shared" si="78"/>
        <v>0</v>
      </c>
      <c r="F77" s="28">
        <f t="shared" si="78"/>
        <v>0</v>
      </c>
      <c r="G77" s="25"/>
      <c r="H77" s="26"/>
      <c r="I77" s="30"/>
      <c r="J77" s="170"/>
      <c r="L77" s="8" t="s">
        <v>444</v>
      </c>
      <c r="M77" s="25"/>
      <c r="N77" s="28">
        <f t="shared" ref="N77" si="79">SUM(N62:N76)</f>
        <v>0</v>
      </c>
      <c r="O77" s="28">
        <f t="shared" ref="O77" si="80">SUM(O62:O76)</f>
        <v>0</v>
      </c>
      <c r="P77" s="28">
        <f t="shared" ref="P77" si="81">SUM(P62:P76)</f>
        <v>0</v>
      </c>
      <c r="Q77" s="25"/>
      <c r="R77" s="26"/>
      <c r="S77" s="30"/>
      <c r="T77" s="170"/>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9.4" x14ac:dyDescent="0.4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2"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2"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45">
      <c r="B80" s="41" t="s">
        <v>443</v>
      </c>
      <c r="C80" s="41" t="s">
        <v>282</v>
      </c>
      <c r="D80" s="40"/>
      <c r="E80" s="40"/>
      <c r="F80" s="29"/>
      <c r="G80" s="22"/>
      <c r="H80" s="23">
        <v>0.82</v>
      </c>
      <c r="I80" s="75">
        <f>D80*G80*H80</f>
        <v>0</v>
      </c>
      <c r="J80" s="171"/>
      <c r="L80" s="41" t="s">
        <v>443</v>
      </c>
      <c r="M80" s="41" t="s">
        <v>282</v>
      </c>
      <c r="N80" s="40"/>
      <c r="O80" s="40"/>
      <c r="P80" s="29"/>
      <c r="Q80" s="22">
        <v>0.08</v>
      </c>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x14ac:dyDescent="0.45">
      <c r="B81" s="41" t="s">
        <v>443</v>
      </c>
      <c r="C81" s="41" t="s">
        <v>282</v>
      </c>
      <c r="D81" s="40"/>
      <c r="E81" s="40"/>
      <c r="F81" s="29"/>
      <c r="G81" s="22"/>
      <c r="H81" s="23">
        <v>0.82</v>
      </c>
      <c r="I81" s="75">
        <f t="shared" ref="I81:I94" si="104">D81*G81*H81</f>
        <v>0</v>
      </c>
      <c r="J81" s="171"/>
      <c r="L81" s="41" t="s">
        <v>443</v>
      </c>
      <c r="M81" s="41" t="s">
        <v>282</v>
      </c>
      <c r="N81" s="40"/>
      <c r="O81" s="40"/>
      <c r="P81" s="29"/>
      <c r="Q81" s="22"/>
      <c r="R81" s="23">
        <v>0.82</v>
      </c>
      <c r="S81" s="75">
        <f t="shared" ref="S81:S94" si="105">N81*Q81*R81</f>
        <v>0</v>
      </c>
      <c r="T81" s="171"/>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x14ac:dyDescent="0.45">
      <c r="B82" s="41" t="s">
        <v>443</v>
      </c>
      <c r="C82" s="41" t="s">
        <v>282</v>
      </c>
      <c r="D82" s="40"/>
      <c r="E82" s="40"/>
      <c r="F82" s="29"/>
      <c r="G82" s="22"/>
      <c r="H82" s="23">
        <v>0.82</v>
      </c>
      <c r="I82" s="75">
        <f t="shared" si="104"/>
        <v>0</v>
      </c>
      <c r="J82" s="171"/>
      <c r="L82" s="41" t="s">
        <v>443</v>
      </c>
      <c r="M82" s="41" t="s">
        <v>282</v>
      </c>
      <c r="N82" s="40"/>
      <c r="O82" s="40"/>
      <c r="P82" s="29"/>
      <c r="Q82" s="22"/>
      <c r="R82" s="23">
        <v>0.82</v>
      </c>
      <c r="S82" s="75">
        <f t="shared" si="105"/>
        <v>0</v>
      </c>
      <c r="T82" s="171"/>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x14ac:dyDescent="0.45">
      <c r="B83" s="41" t="s">
        <v>443</v>
      </c>
      <c r="C83" s="41" t="s">
        <v>282</v>
      </c>
      <c r="D83" s="40"/>
      <c r="E83" s="40"/>
      <c r="F83" s="29"/>
      <c r="G83" s="22"/>
      <c r="H83" s="23">
        <v>0.82</v>
      </c>
      <c r="I83" s="75">
        <f t="shared" si="104"/>
        <v>0</v>
      </c>
      <c r="J83" s="171"/>
      <c r="L83" s="41" t="s">
        <v>443</v>
      </c>
      <c r="M83" s="41" t="s">
        <v>282</v>
      </c>
      <c r="N83" s="40"/>
      <c r="O83" s="40"/>
      <c r="P83" s="29"/>
      <c r="Q83" s="22"/>
      <c r="R83" s="23">
        <v>0.82</v>
      </c>
      <c r="S83" s="75">
        <f t="shared" si="105"/>
        <v>0</v>
      </c>
      <c r="T83" s="171"/>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x14ac:dyDescent="0.45">
      <c r="B84" s="41" t="s">
        <v>443</v>
      </c>
      <c r="C84" s="41" t="s">
        <v>282</v>
      </c>
      <c r="D84" s="40"/>
      <c r="E84" s="40"/>
      <c r="F84" s="29"/>
      <c r="G84" s="22"/>
      <c r="H84" s="23">
        <v>0.82</v>
      </c>
      <c r="I84" s="75">
        <f t="shared" si="104"/>
        <v>0</v>
      </c>
      <c r="J84" s="171"/>
      <c r="L84" s="41" t="s">
        <v>443</v>
      </c>
      <c r="M84" s="41" t="s">
        <v>282</v>
      </c>
      <c r="N84" s="40"/>
      <c r="O84" s="40"/>
      <c r="P84" s="29"/>
      <c r="Q84" s="22"/>
      <c r="R84" s="23">
        <v>0.82</v>
      </c>
      <c r="S84" s="75">
        <f t="shared" si="105"/>
        <v>0</v>
      </c>
      <c r="T84" s="171"/>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x14ac:dyDescent="0.45">
      <c r="B85" s="41" t="s">
        <v>443</v>
      </c>
      <c r="C85" s="41" t="s">
        <v>282</v>
      </c>
      <c r="D85" s="40"/>
      <c r="E85" s="40"/>
      <c r="F85" s="29"/>
      <c r="G85" s="22"/>
      <c r="H85" s="23">
        <v>0.82</v>
      </c>
      <c r="I85" s="75">
        <f t="shared" si="104"/>
        <v>0</v>
      </c>
      <c r="J85" s="171"/>
      <c r="L85" s="41" t="s">
        <v>443</v>
      </c>
      <c r="M85" s="41" t="s">
        <v>282</v>
      </c>
      <c r="N85" s="40"/>
      <c r="O85" s="40"/>
      <c r="P85" s="29"/>
      <c r="Q85" s="22"/>
      <c r="R85" s="23">
        <v>0.82</v>
      </c>
      <c r="S85" s="75">
        <f t="shared" si="105"/>
        <v>0</v>
      </c>
      <c r="T85" s="171"/>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x14ac:dyDescent="0.45">
      <c r="B86" s="41" t="s">
        <v>443</v>
      </c>
      <c r="C86" s="41" t="s">
        <v>282</v>
      </c>
      <c r="D86" s="40"/>
      <c r="E86" s="40"/>
      <c r="F86" s="29"/>
      <c r="G86" s="22"/>
      <c r="H86" s="23">
        <v>0.82</v>
      </c>
      <c r="I86" s="75">
        <f t="shared" si="104"/>
        <v>0</v>
      </c>
      <c r="J86" s="171"/>
      <c r="L86" s="41" t="s">
        <v>443</v>
      </c>
      <c r="M86" s="41" t="s">
        <v>282</v>
      </c>
      <c r="N86" s="40"/>
      <c r="O86" s="40"/>
      <c r="P86" s="29"/>
      <c r="Q86" s="22"/>
      <c r="R86" s="23">
        <v>0.82</v>
      </c>
      <c r="S86" s="75">
        <f t="shared" si="105"/>
        <v>0</v>
      </c>
      <c r="T86" s="171"/>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x14ac:dyDescent="0.45">
      <c r="B87" s="41" t="s">
        <v>443</v>
      </c>
      <c r="C87" s="41" t="s">
        <v>282</v>
      </c>
      <c r="D87" s="40"/>
      <c r="E87" s="40"/>
      <c r="F87" s="29"/>
      <c r="G87" s="22"/>
      <c r="H87" s="23">
        <v>0.82</v>
      </c>
      <c r="I87" s="75">
        <f t="shared" si="104"/>
        <v>0</v>
      </c>
      <c r="J87" s="171"/>
      <c r="L87" s="41" t="s">
        <v>443</v>
      </c>
      <c r="M87" s="41" t="s">
        <v>282</v>
      </c>
      <c r="N87" s="40"/>
      <c r="O87" s="40"/>
      <c r="P87" s="29"/>
      <c r="Q87" s="22"/>
      <c r="R87" s="23">
        <v>0.82</v>
      </c>
      <c r="S87" s="75">
        <f t="shared" si="105"/>
        <v>0</v>
      </c>
      <c r="T87" s="171"/>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x14ac:dyDescent="0.45">
      <c r="B88" s="41" t="s">
        <v>443</v>
      </c>
      <c r="C88" s="41" t="s">
        <v>282</v>
      </c>
      <c r="D88" s="40"/>
      <c r="E88" s="40"/>
      <c r="F88" s="29"/>
      <c r="G88" s="22"/>
      <c r="H88" s="23">
        <v>0.82</v>
      </c>
      <c r="I88" s="75">
        <f t="shared" si="104"/>
        <v>0</v>
      </c>
      <c r="J88" s="171"/>
      <c r="L88" s="41" t="s">
        <v>443</v>
      </c>
      <c r="M88" s="41" t="s">
        <v>282</v>
      </c>
      <c r="N88" s="40"/>
      <c r="O88" s="40"/>
      <c r="P88" s="29"/>
      <c r="Q88" s="22"/>
      <c r="R88" s="23">
        <v>0.82</v>
      </c>
      <c r="S88" s="75">
        <f t="shared" si="105"/>
        <v>0</v>
      </c>
      <c r="T88" s="171"/>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x14ac:dyDescent="0.45">
      <c r="B89" s="41" t="s">
        <v>443</v>
      </c>
      <c r="C89" s="41" t="s">
        <v>282</v>
      </c>
      <c r="D89" s="40"/>
      <c r="E89" s="40"/>
      <c r="F89" s="29"/>
      <c r="G89" s="22"/>
      <c r="H89" s="23">
        <v>0.82</v>
      </c>
      <c r="I89" s="75">
        <f t="shared" si="104"/>
        <v>0</v>
      </c>
      <c r="J89" s="171"/>
      <c r="L89" s="41" t="s">
        <v>443</v>
      </c>
      <c r="M89" s="41" t="s">
        <v>282</v>
      </c>
      <c r="N89" s="40"/>
      <c r="O89" s="40"/>
      <c r="P89" s="29"/>
      <c r="Q89" s="22"/>
      <c r="R89" s="23">
        <v>0.82</v>
      </c>
      <c r="S89" s="75">
        <f t="shared" si="105"/>
        <v>0</v>
      </c>
      <c r="T89" s="171"/>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x14ac:dyDescent="0.45">
      <c r="B90" s="41" t="s">
        <v>443</v>
      </c>
      <c r="C90" s="41" t="s">
        <v>282</v>
      </c>
      <c r="D90" s="40"/>
      <c r="E90" s="40"/>
      <c r="F90" s="29"/>
      <c r="G90" s="22"/>
      <c r="H90" s="23">
        <v>0.82</v>
      </c>
      <c r="I90" s="75">
        <f t="shared" si="104"/>
        <v>0</v>
      </c>
      <c r="J90" s="171"/>
      <c r="L90" s="41" t="s">
        <v>443</v>
      </c>
      <c r="M90" s="41" t="s">
        <v>282</v>
      </c>
      <c r="N90" s="40"/>
      <c r="O90" s="40"/>
      <c r="P90" s="29"/>
      <c r="Q90" s="22"/>
      <c r="R90" s="23">
        <v>0.82</v>
      </c>
      <c r="S90" s="75">
        <f t="shared" si="105"/>
        <v>0</v>
      </c>
      <c r="T90" s="171"/>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x14ac:dyDescent="0.45">
      <c r="B91" s="41" t="s">
        <v>443</v>
      </c>
      <c r="C91" s="41" t="s">
        <v>282</v>
      </c>
      <c r="D91" s="40"/>
      <c r="E91" s="40"/>
      <c r="F91" s="29"/>
      <c r="G91" s="22"/>
      <c r="H91" s="23">
        <v>0.82</v>
      </c>
      <c r="I91" s="75">
        <f t="shared" si="104"/>
        <v>0</v>
      </c>
      <c r="J91" s="171"/>
      <c r="L91" s="41" t="s">
        <v>443</v>
      </c>
      <c r="M91" s="41" t="s">
        <v>282</v>
      </c>
      <c r="N91" s="40"/>
      <c r="O91" s="40"/>
      <c r="P91" s="29"/>
      <c r="Q91" s="22"/>
      <c r="R91" s="23">
        <v>0.82</v>
      </c>
      <c r="S91" s="75">
        <f t="shared" si="105"/>
        <v>0</v>
      </c>
      <c r="T91" s="171"/>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x14ac:dyDescent="0.45">
      <c r="B92" s="41" t="s">
        <v>443</v>
      </c>
      <c r="C92" s="41" t="s">
        <v>282</v>
      </c>
      <c r="D92" s="40"/>
      <c r="E92" s="40"/>
      <c r="F92" s="29"/>
      <c r="G92" s="22"/>
      <c r="H92" s="23">
        <v>0.82</v>
      </c>
      <c r="I92" s="75">
        <f t="shared" si="104"/>
        <v>0</v>
      </c>
      <c r="J92" s="171"/>
      <c r="L92" s="41" t="s">
        <v>443</v>
      </c>
      <c r="M92" s="41" t="s">
        <v>282</v>
      </c>
      <c r="N92" s="40"/>
      <c r="O92" s="40"/>
      <c r="P92" s="29"/>
      <c r="Q92" s="22"/>
      <c r="R92" s="23">
        <v>0.82</v>
      </c>
      <c r="S92" s="75">
        <f t="shared" si="105"/>
        <v>0</v>
      </c>
      <c r="T92" s="171"/>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x14ac:dyDescent="0.45">
      <c r="B93" s="41" t="s">
        <v>443</v>
      </c>
      <c r="C93" s="41" t="s">
        <v>282</v>
      </c>
      <c r="D93" s="40"/>
      <c r="E93" s="40"/>
      <c r="F93" s="29"/>
      <c r="G93" s="22"/>
      <c r="H93" s="23">
        <v>0.82</v>
      </c>
      <c r="I93" s="75">
        <f t="shared" si="104"/>
        <v>0</v>
      </c>
      <c r="J93" s="171"/>
      <c r="L93" s="41" t="s">
        <v>443</v>
      </c>
      <c r="M93" s="41" t="s">
        <v>282</v>
      </c>
      <c r="N93" s="40"/>
      <c r="O93" s="40"/>
      <c r="P93" s="29"/>
      <c r="Q93" s="22"/>
      <c r="R93" s="23">
        <v>0.82</v>
      </c>
      <c r="S93" s="75">
        <f t="shared" si="105"/>
        <v>0</v>
      </c>
      <c r="T93" s="171"/>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x14ac:dyDescent="0.45">
      <c r="B94" s="41" t="s">
        <v>443</v>
      </c>
      <c r="C94" s="41" t="s">
        <v>282</v>
      </c>
      <c r="D94" s="40"/>
      <c r="E94" s="40"/>
      <c r="F94" s="29"/>
      <c r="G94" s="22"/>
      <c r="H94" s="23">
        <v>0.82</v>
      </c>
      <c r="I94" s="75">
        <f t="shared" si="104"/>
        <v>0</v>
      </c>
      <c r="J94" s="171"/>
      <c r="L94" s="41" t="s">
        <v>443</v>
      </c>
      <c r="M94" s="41" t="s">
        <v>282</v>
      </c>
      <c r="N94" s="40"/>
      <c r="O94" s="40"/>
      <c r="P94" s="29"/>
      <c r="Q94" s="22"/>
      <c r="R94" s="23">
        <v>0.82</v>
      </c>
      <c r="S94" s="75">
        <f t="shared" si="105"/>
        <v>0</v>
      </c>
      <c r="T94" s="171"/>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x14ac:dyDescent="0.45">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4" x14ac:dyDescent="0.4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2"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2"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45">
      <c r="B98" s="41" t="s">
        <v>443</v>
      </c>
      <c r="C98" s="41" t="s">
        <v>282</v>
      </c>
      <c r="D98" s="40"/>
      <c r="E98" s="40"/>
      <c r="F98" s="29"/>
      <c r="G98" s="22"/>
      <c r="H98" s="23">
        <v>0.82</v>
      </c>
      <c r="I98" s="75">
        <f>D98*G98*H98</f>
        <v>0</v>
      </c>
      <c r="J98" s="171"/>
      <c r="L98" s="41" t="s">
        <v>443</v>
      </c>
      <c r="M98" s="41" t="s">
        <v>282</v>
      </c>
      <c r="N98" s="40"/>
      <c r="O98" s="40"/>
      <c r="P98" s="29"/>
      <c r="Q98" s="22">
        <v>0.08</v>
      </c>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x14ac:dyDescent="0.45">
      <c r="B99" s="41" t="s">
        <v>443</v>
      </c>
      <c r="C99" s="41" t="s">
        <v>282</v>
      </c>
      <c r="D99" s="40"/>
      <c r="E99" s="40"/>
      <c r="F99" s="29"/>
      <c r="G99" s="22"/>
      <c r="H99" s="23">
        <v>0.82</v>
      </c>
      <c r="I99" s="75">
        <f t="shared" ref="I99:I112" si="118">D99*G99*H99</f>
        <v>0</v>
      </c>
      <c r="J99" s="171"/>
      <c r="L99" s="41" t="s">
        <v>443</v>
      </c>
      <c r="M99" s="41" t="s">
        <v>282</v>
      </c>
      <c r="N99" s="40"/>
      <c r="O99" s="40"/>
      <c r="P99" s="29"/>
      <c r="Q99" s="22"/>
      <c r="R99" s="23">
        <v>0.82</v>
      </c>
      <c r="S99" s="75">
        <f t="shared" ref="S99:S112" si="119">N99*Q99*R99</f>
        <v>0</v>
      </c>
      <c r="T99" s="171"/>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x14ac:dyDescent="0.45">
      <c r="B100" s="41" t="s">
        <v>443</v>
      </c>
      <c r="C100" s="41" t="s">
        <v>282</v>
      </c>
      <c r="D100" s="40"/>
      <c r="E100" s="40"/>
      <c r="F100" s="29"/>
      <c r="G100" s="22"/>
      <c r="H100" s="23">
        <v>0.82</v>
      </c>
      <c r="I100" s="75">
        <f t="shared" si="118"/>
        <v>0</v>
      </c>
      <c r="J100" s="171"/>
      <c r="L100" s="41" t="s">
        <v>443</v>
      </c>
      <c r="M100" s="41" t="s">
        <v>282</v>
      </c>
      <c r="N100" s="40"/>
      <c r="O100" s="40"/>
      <c r="P100" s="29"/>
      <c r="Q100" s="22"/>
      <c r="R100" s="23">
        <v>0.82</v>
      </c>
      <c r="S100" s="75">
        <f t="shared" si="119"/>
        <v>0</v>
      </c>
      <c r="T100" s="171"/>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x14ac:dyDescent="0.45">
      <c r="B101" s="41" t="s">
        <v>443</v>
      </c>
      <c r="C101" s="41" t="s">
        <v>282</v>
      </c>
      <c r="D101" s="40"/>
      <c r="E101" s="40"/>
      <c r="F101" s="29"/>
      <c r="G101" s="22"/>
      <c r="H101" s="23">
        <v>0.82</v>
      </c>
      <c r="I101" s="75">
        <f t="shared" si="118"/>
        <v>0</v>
      </c>
      <c r="J101" s="171"/>
      <c r="L101" s="41" t="s">
        <v>443</v>
      </c>
      <c r="M101" s="41" t="s">
        <v>282</v>
      </c>
      <c r="N101" s="40"/>
      <c r="O101" s="40"/>
      <c r="P101" s="29"/>
      <c r="Q101" s="22"/>
      <c r="R101" s="23">
        <v>0.82</v>
      </c>
      <c r="S101" s="75">
        <f t="shared" si="119"/>
        <v>0</v>
      </c>
      <c r="T101" s="171"/>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x14ac:dyDescent="0.45">
      <c r="B102" s="41" t="s">
        <v>443</v>
      </c>
      <c r="C102" s="41" t="s">
        <v>282</v>
      </c>
      <c r="D102" s="40"/>
      <c r="E102" s="40"/>
      <c r="F102" s="29"/>
      <c r="G102" s="22"/>
      <c r="H102" s="23">
        <v>0.82</v>
      </c>
      <c r="I102" s="75">
        <f t="shared" si="118"/>
        <v>0</v>
      </c>
      <c r="J102" s="171"/>
      <c r="L102" s="41" t="s">
        <v>443</v>
      </c>
      <c r="M102" s="41" t="s">
        <v>282</v>
      </c>
      <c r="N102" s="40"/>
      <c r="O102" s="40"/>
      <c r="P102" s="29"/>
      <c r="Q102" s="22"/>
      <c r="R102" s="23">
        <v>0.82</v>
      </c>
      <c r="S102" s="75">
        <f t="shared" si="119"/>
        <v>0</v>
      </c>
      <c r="T102" s="171"/>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x14ac:dyDescent="0.45">
      <c r="B103" s="41" t="s">
        <v>443</v>
      </c>
      <c r="C103" s="41" t="s">
        <v>282</v>
      </c>
      <c r="D103" s="40"/>
      <c r="E103" s="40"/>
      <c r="F103" s="29"/>
      <c r="G103" s="22"/>
      <c r="H103" s="23">
        <v>0.82</v>
      </c>
      <c r="I103" s="75">
        <f t="shared" si="118"/>
        <v>0</v>
      </c>
      <c r="J103" s="171"/>
      <c r="L103" s="41" t="s">
        <v>443</v>
      </c>
      <c r="M103" s="41" t="s">
        <v>282</v>
      </c>
      <c r="N103" s="40"/>
      <c r="O103" s="40"/>
      <c r="P103" s="29"/>
      <c r="Q103" s="22"/>
      <c r="R103" s="23">
        <v>0.82</v>
      </c>
      <c r="S103" s="75">
        <f t="shared" si="119"/>
        <v>0</v>
      </c>
      <c r="T103" s="171"/>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x14ac:dyDescent="0.45">
      <c r="B104" s="41" t="s">
        <v>443</v>
      </c>
      <c r="C104" s="41" t="s">
        <v>282</v>
      </c>
      <c r="D104" s="40"/>
      <c r="E104" s="40"/>
      <c r="F104" s="29"/>
      <c r="G104" s="22"/>
      <c r="H104" s="23">
        <v>0.82</v>
      </c>
      <c r="I104" s="75">
        <f t="shared" si="118"/>
        <v>0</v>
      </c>
      <c r="J104" s="171"/>
      <c r="L104" s="41" t="s">
        <v>443</v>
      </c>
      <c r="M104" s="41" t="s">
        <v>282</v>
      </c>
      <c r="N104" s="40"/>
      <c r="O104" s="40"/>
      <c r="P104" s="29"/>
      <c r="Q104" s="22"/>
      <c r="R104" s="23">
        <v>0.82</v>
      </c>
      <c r="S104" s="75">
        <f t="shared" si="119"/>
        <v>0</v>
      </c>
      <c r="T104" s="171"/>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x14ac:dyDescent="0.45">
      <c r="B105" s="41" t="s">
        <v>443</v>
      </c>
      <c r="C105" s="41" t="s">
        <v>282</v>
      </c>
      <c r="D105" s="40"/>
      <c r="E105" s="40"/>
      <c r="F105" s="29"/>
      <c r="G105" s="22"/>
      <c r="H105" s="23">
        <v>0.82</v>
      </c>
      <c r="I105" s="75">
        <f t="shared" si="118"/>
        <v>0</v>
      </c>
      <c r="J105" s="171"/>
      <c r="L105" s="41" t="s">
        <v>443</v>
      </c>
      <c r="M105" s="41" t="s">
        <v>282</v>
      </c>
      <c r="N105" s="40"/>
      <c r="O105" s="40"/>
      <c r="P105" s="29"/>
      <c r="Q105" s="22"/>
      <c r="R105" s="23">
        <v>0.82</v>
      </c>
      <c r="S105" s="75">
        <f t="shared" si="119"/>
        <v>0</v>
      </c>
      <c r="T105" s="171"/>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x14ac:dyDescent="0.45">
      <c r="B106" s="41" t="s">
        <v>443</v>
      </c>
      <c r="C106" s="41" t="s">
        <v>282</v>
      </c>
      <c r="D106" s="40"/>
      <c r="E106" s="40"/>
      <c r="F106" s="29"/>
      <c r="G106" s="22"/>
      <c r="H106" s="23">
        <v>0.82</v>
      </c>
      <c r="I106" s="75">
        <f t="shared" si="118"/>
        <v>0</v>
      </c>
      <c r="J106" s="171"/>
      <c r="L106" s="41" t="s">
        <v>443</v>
      </c>
      <c r="M106" s="41" t="s">
        <v>282</v>
      </c>
      <c r="N106" s="40"/>
      <c r="O106" s="40"/>
      <c r="P106" s="29"/>
      <c r="Q106" s="22"/>
      <c r="R106" s="23">
        <v>0.82</v>
      </c>
      <c r="S106" s="75">
        <f t="shared" si="119"/>
        <v>0</v>
      </c>
      <c r="T106" s="171"/>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x14ac:dyDescent="0.45">
      <c r="B107" s="41" t="s">
        <v>443</v>
      </c>
      <c r="C107" s="41" t="s">
        <v>282</v>
      </c>
      <c r="D107" s="40"/>
      <c r="E107" s="40"/>
      <c r="F107" s="29"/>
      <c r="G107" s="22"/>
      <c r="H107" s="23">
        <v>0.82</v>
      </c>
      <c r="I107" s="75">
        <f t="shared" si="118"/>
        <v>0</v>
      </c>
      <c r="J107" s="171"/>
      <c r="L107" s="41" t="s">
        <v>443</v>
      </c>
      <c r="M107" s="41" t="s">
        <v>282</v>
      </c>
      <c r="N107" s="40"/>
      <c r="O107" s="40"/>
      <c r="P107" s="29"/>
      <c r="Q107" s="22"/>
      <c r="R107" s="23">
        <v>0.82</v>
      </c>
      <c r="S107" s="75">
        <f t="shared" si="119"/>
        <v>0</v>
      </c>
      <c r="T107" s="171"/>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x14ac:dyDescent="0.45">
      <c r="B108" s="41" t="s">
        <v>443</v>
      </c>
      <c r="C108" s="41" t="s">
        <v>282</v>
      </c>
      <c r="D108" s="40"/>
      <c r="E108" s="40"/>
      <c r="F108" s="29"/>
      <c r="G108" s="22"/>
      <c r="H108" s="23">
        <v>0.82</v>
      </c>
      <c r="I108" s="75">
        <f t="shared" si="118"/>
        <v>0</v>
      </c>
      <c r="J108" s="171"/>
      <c r="L108" s="41" t="s">
        <v>443</v>
      </c>
      <c r="M108" s="41" t="s">
        <v>282</v>
      </c>
      <c r="N108" s="40"/>
      <c r="O108" s="40"/>
      <c r="P108" s="29"/>
      <c r="Q108" s="22"/>
      <c r="R108" s="23">
        <v>0.82</v>
      </c>
      <c r="S108" s="75">
        <f t="shared" si="119"/>
        <v>0</v>
      </c>
      <c r="T108" s="171"/>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x14ac:dyDescent="0.45">
      <c r="B109" s="41" t="s">
        <v>443</v>
      </c>
      <c r="C109" s="41" t="s">
        <v>282</v>
      </c>
      <c r="D109" s="40"/>
      <c r="E109" s="40"/>
      <c r="F109" s="29"/>
      <c r="G109" s="22"/>
      <c r="H109" s="23">
        <v>0.82</v>
      </c>
      <c r="I109" s="75">
        <f t="shared" si="118"/>
        <v>0</v>
      </c>
      <c r="J109" s="171"/>
      <c r="L109" s="41" t="s">
        <v>443</v>
      </c>
      <c r="M109" s="41" t="s">
        <v>282</v>
      </c>
      <c r="N109" s="40"/>
      <c r="O109" s="40"/>
      <c r="P109" s="29"/>
      <c r="Q109" s="22"/>
      <c r="R109" s="23">
        <v>0.82</v>
      </c>
      <c r="S109" s="75">
        <f t="shared" si="119"/>
        <v>0</v>
      </c>
      <c r="T109" s="171"/>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x14ac:dyDescent="0.45">
      <c r="B110" s="41" t="s">
        <v>443</v>
      </c>
      <c r="C110" s="41" t="s">
        <v>282</v>
      </c>
      <c r="D110" s="40"/>
      <c r="E110" s="40"/>
      <c r="F110" s="29"/>
      <c r="G110" s="22"/>
      <c r="H110" s="23">
        <v>0.82</v>
      </c>
      <c r="I110" s="75">
        <f t="shared" si="118"/>
        <v>0</v>
      </c>
      <c r="J110" s="171"/>
      <c r="L110" s="41" t="s">
        <v>443</v>
      </c>
      <c r="M110" s="41" t="s">
        <v>282</v>
      </c>
      <c r="N110" s="40"/>
      <c r="O110" s="40"/>
      <c r="P110" s="29"/>
      <c r="Q110" s="22"/>
      <c r="R110" s="23">
        <v>0.82</v>
      </c>
      <c r="S110" s="75">
        <f t="shared" si="119"/>
        <v>0</v>
      </c>
      <c r="T110" s="171"/>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x14ac:dyDescent="0.45">
      <c r="B111" s="41" t="s">
        <v>443</v>
      </c>
      <c r="C111" s="41" t="s">
        <v>282</v>
      </c>
      <c r="D111" s="40"/>
      <c r="E111" s="40"/>
      <c r="F111" s="29"/>
      <c r="G111" s="22"/>
      <c r="H111" s="23">
        <v>0.82</v>
      </c>
      <c r="I111" s="75">
        <f t="shared" si="118"/>
        <v>0</v>
      </c>
      <c r="J111" s="171"/>
      <c r="L111" s="41" t="s">
        <v>443</v>
      </c>
      <c r="M111" s="41" t="s">
        <v>282</v>
      </c>
      <c r="N111" s="40"/>
      <c r="O111" s="40"/>
      <c r="P111" s="29"/>
      <c r="Q111" s="22"/>
      <c r="R111" s="23">
        <v>0.82</v>
      </c>
      <c r="S111" s="75">
        <f t="shared" si="119"/>
        <v>0</v>
      </c>
      <c r="T111" s="171"/>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x14ac:dyDescent="0.45">
      <c r="B112" s="41" t="s">
        <v>443</v>
      </c>
      <c r="C112" s="41" t="s">
        <v>282</v>
      </c>
      <c r="D112" s="40"/>
      <c r="E112" s="40"/>
      <c r="F112" s="29"/>
      <c r="G112" s="22"/>
      <c r="H112" s="23">
        <v>0.82</v>
      </c>
      <c r="I112" s="75">
        <f t="shared" si="118"/>
        <v>0</v>
      </c>
      <c r="J112" s="171"/>
      <c r="L112" s="41" t="s">
        <v>443</v>
      </c>
      <c r="M112" s="41" t="s">
        <v>282</v>
      </c>
      <c r="N112" s="40"/>
      <c r="O112" s="40"/>
      <c r="P112" s="29"/>
      <c r="Q112" s="22"/>
      <c r="R112" s="23">
        <v>0.82</v>
      </c>
      <c r="S112" s="75">
        <f t="shared" si="119"/>
        <v>0</v>
      </c>
      <c r="T112" s="171"/>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x14ac:dyDescent="0.45">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4" x14ac:dyDescent="0.4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2"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2"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4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x14ac:dyDescent="0.4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x14ac:dyDescent="0.4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x14ac:dyDescent="0.4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x14ac:dyDescent="0.4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x14ac:dyDescent="0.4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x14ac:dyDescent="0.4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x14ac:dyDescent="0.45">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x14ac:dyDescent="0.45">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x14ac:dyDescent="0.45">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x14ac:dyDescent="0.45">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x14ac:dyDescent="0.45">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x14ac:dyDescent="0.45">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x14ac:dyDescent="0.45">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x14ac:dyDescent="0.45">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x14ac:dyDescent="0.45">
      <c r="B131" s="8" t="s">
        <v>447</v>
      </c>
      <c r="C131" s="25"/>
      <c r="D131" s="28">
        <f>SUM(D116:D130)</f>
        <v>0</v>
      </c>
      <c r="E131" s="28">
        <f>SUM(E116:E130)</f>
        <v>0</v>
      </c>
      <c r="F131" s="28">
        <f>SUM(F116:F130)</f>
        <v>0</v>
      </c>
      <c r="G131" s="25"/>
      <c r="H131" s="26"/>
      <c r="I131" s="30"/>
      <c r="J131" s="170"/>
      <c r="L131" s="8" t="s">
        <v>447</v>
      </c>
      <c r="M131" s="25"/>
      <c r="N131" s="28">
        <f t="shared" ref="N131:P131" si="132">SUM(N116:N130)</f>
        <v>0</v>
      </c>
      <c r="O131" s="28">
        <f t="shared" si="132"/>
        <v>0</v>
      </c>
      <c r="P131" s="28">
        <f t="shared" si="132"/>
        <v>0</v>
      </c>
      <c r="Q131" s="25"/>
      <c r="R131" s="26"/>
      <c r="S131" s="30"/>
      <c r="T131" s="170"/>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9.4" x14ac:dyDescent="0.4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2"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2"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4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x14ac:dyDescent="0.4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x14ac:dyDescent="0.4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x14ac:dyDescent="0.4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x14ac:dyDescent="0.4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x14ac:dyDescent="0.4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x14ac:dyDescent="0.4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x14ac:dyDescent="0.45">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x14ac:dyDescent="0.45">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x14ac:dyDescent="0.45">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x14ac:dyDescent="0.45">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x14ac:dyDescent="0.45">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x14ac:dyDescent="0.45">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x14ac:dyDescent="0.45">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x14ac:dyDescent="0.45">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x14ac:dyDescent="0.45">
      <c r="B149" s="8" t="s">
        <v>448</v>
      </c>
      <c r="C149" s="25"/>
      <c r="D149" s="28">
        <f t="shared" ref="D149:E149" si="145">SUM(D134:D148)</f>
        <v>0</v>
      </c>
      <c r="E149" s="28">
        <f t="shared" si="145"/>
        <v>0</v>
      </c>
      <c r="F149" s="28">
        <f t="shared" ref="F149" si="146">SUM(F134:F148)</f>
        <v>0</v>
      </c>
      <c r="G149" s="25"/>
      <c r="H149" s="26"/>
      <c r="I149" s="30"/>
      <c r="J149" s="170"/>
      <c r="L149" s="8" t="s">
        <v>448</v>
      </c>
      <c r="M149" s="25"/>
      <c r="N149" s="28">
        <f t="shared" ref="N149:O149" si="147">SUM(N134:N148)</f>
        <v>0</v>
      </c>
      <c r="O149" s="28">
        <f t="shared" si="147"/>
        <v>0</v>
      </c>
      <c r="P149" s="28">
        <f t="shared" ref="P149" si="148">SUM(P134:P148)</f>
        <v>0</v>
      </c>
      <c r="Q149" s="25"/>
      <c r="R149" s="26"/>
      <c r="S149" s="30"/>
      <c r="T149" s="170"/>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9.4" x14ac:dyDescent="0.4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2"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2"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4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x14ac:dyDescent="0.45">
      <c r="B153" s="41" t="s">
        <v>443</v>
      </c>
      <c r="C153" s="41" t="s">
        <v>282</v>
      </c>
      <c r="D153" s="244"/>
      <c r="E153" s="40"/>
      <c r="F153" s="29"/>
      <c r="G153" s="31"/>
      <c r="H153" s="23">
        <v>0.05</v>
      </c>
      <c r="I153" s="75">
        <f t="shared" ref="I153:I166" si="161">E153*H153</f>
        <v>0</v>
      </c>
      <c r="J153" s="171"/>
      <c r="L153" s="41" t="s">
        <v>443</v>
      </c>
      <c r="M153" s="41" t="s">
        <v>282</v>
      </c>
      <c r="N153" s="40"/>
      <c r="O153" s="40"/>
      <c r="P153" s="29"/>
      <c r="Q153" s="31"/>
      <c r="R153" s="23">
        <v>0.05</v>
      </c>
      <c r="S153" s="75">
        <f t="shared" ref="S153:S166" si="162">O153*R153</f>
        <v>0</v>
      </c>
      <c r="T153" s="171"/>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x14ac:dyDescent="0.45">
      <c r="B154" s="41" t="s">
        <v>443</v>
      </c>
      <c r="C154" s="41" t="s">
        <v>282</v>
      </c>
      <c r="D154" s="40"/>
      <c r="E154" s="40"/>
      <c r="F154" s="29"/>
      <c r="G154" s="31"/>
      <c r="H154" s="23">
        <v>0.05</v>
      </c>
      <c r="I154" s="75">
        <f t="shared" si="161"/>
        <v>0</v>
      </c>
      <c r="J154" s="171"/>
      <c r="L154" s="41" t="s">
        <v>443</v>
      </c>
      <c r="M154" s="41" t="s">
        <v>282</v>
      </c>
      <c r="N154" s="40"/>
      <c r="O154" s="40"/>
      <c r="P154" s="29"/>
      <c r="Q154" s="31"/>
      <c r="R154" s="23">
        <v>0.05</v>
      </c>
      <c r="S154" s="75">
        <f t="shared" si="162"/>
        <v>0</v>
      </c>
      <c r="T154" s="171"/>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x14ac:dyDescent="0.45">
      <c r="B155" s="41" t="s">
        <v>443</v>
      </c>
      <c r="C155" s="41" t="s">
        <v>282</v>
      </c>
      <c r="D155" s="40"/>
      <c r="E155" s="40"/>
      <c r="F155" s="29"/>
      <c r="G155" s="31"/>
      <c r="H155" s="23">
        <v>0.05</v>
      </c>
      <c r="I155" s="75">
        <f t="shared" si="161"/>
        <v>0</v>
      </c>
      <c r="J155" s="171"/>
      <c r="L155" s="41" t="s">
        <v>443</v>
      </c>
      <c r="M155" s="41" t="s">
        <v>282</v>
      </c>
      <c r="N155" s="40"/>
      <c r="O155" s="40"/>
      <c r="P155" s="29"/>
      <c r="Q155" s="31"/>
      <c r="R155" s="23">
        <v>0.05</v>
      </c>
      <c r="S155" s="75">
        <f t="shared" si="162"/>
        <v>0</v>
      </c>
      <c r="T155" s="171"/>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x14ac:dyDescent="0.45">
      <c r="B156" s="41" t="s">
        <v>443</v>
      </c>
      <c r="C156" s="41" t="s">
        <v>282</v>
      </c>
      <c r="D156" s="40"/>
      <c r="E156" s="40"/>
      <c r="F156" s="29"/>
      <c r="G156" s="31"/>
      <c r="H156" s="23">
        <v>0.05</v>
      </c>
      <c r="I156" s="75">
        <f t="shared" si="161"/>
        <v>0</v>
      </c>
      <c r="J156" s="171"/>
      <c r="L156" s="41" t="s">
        <v>443</v>
      </c>
      <c r="M156" s="41" t="s">
        <v>282</v>
      </c>
      <c r="N156" s="40"/>
      <c r="O156" s="40"/>
      <c r="P156" s="29"/>
      <c r="Q156" s="31"/>
      <c r="R156" s="23">
        <v>0.05</v>
      </c>
      <c r="S156" s="75">
        <f t="shared" si="162"/>
        <v>0</v>
      </c>
      <c r="T156" s="171"/>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x14ac:dyDescent="0.45">
      <c r="B157" s="41" t="s">
        <v>443</v>
      </c>
      <c r="C157" s="41" t="s">
        <v>282</v>
      </c>
      <c r="D157" s="40"/>
      <c r="E157" s="40"/>
      <c r="F157" s="29"/>
      <c r="G157" s="31"/>
      <c r="H157" s="23">
        <v>0.05</v>
      </c>
      <c r="I157" s="75">
        <f t="shared" si="161"/>
        <v>0</v>
      </c>
      <c r="J157" s="171"/>
      <c r="L157" s="41" t="s">
        <v>443</v>
      </c>
      <c r="M157" s="41" t="s">
        <v>282</v>
      </c>
      <c r="N157" s="40"/>
      <c r="O157" s="40"/>
      <c r="P157" s="29"/>
      <c r="Q157" s="31"/>
      <c r="R157" s="23">
        <v>0.05</v>
      </c>
      <c r="S157" s="75">
        <f t="shared" si="162"/>
        <v>0</v>
      </c>
      <c r="T157" s="171"/>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x14ac:dyDescent="0.45">
      <c r="B158" s="41" t="s">
        <v>443</v>
      </c>
      <c r="C158" s="41" t="s">
        <v>282</v>
      </c>
      <c r="D158" s="40"/>
      <c r="E158" s="40"/>
      <c r="F158" s="29"/>
      <c r="G158" s="31"/>
      <c r="H158" s="23">
        <v>0.05</v>
      </c>
      <c r="I158" s="75">
        <f t="shared" si="161"/>
        <v>0</v>
      </c>
      <c r="J158" s="171"/>
      <c r="L158" s="41" t="s">
        <v>443</v>
      </c>
      <c r="M158" s="41" t="s">
        <v>282</v>
      </c>
      <c r="N158" s="40"/>
      <c r="O158" s="40"/>
      <c r="P158" s="29"/>
      <c r="Q158" s="31"/>
      <c r="R158" s="23">
        <v>0.05</v>
      </c>
      <c r="S158" s="75">
        <f t="shared" si="162"/>
        <v>0</v>
      </c>
      <c r="T158" s="171"/>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x14ac:dyDescent="0.45">
      <c r="B159" s="41" t="s">
        <v>443</v>
      </c>
      <c r="C159" s="41" t="s">
        <v>282</v>
      </c>
      <c r="D159" s="40"/>
      <c r="E159" s="40"/>
      <c r="F159" s="29"/>
      <c r="G159" s="31"/>
      <c r="H159" s="23">
        <v>0.05</v>
      </c>
      <c r="I159" s="75">
        <f t="shared" si="161"/>
        <v>0</v>
      </c>
      <c r="J159" s="171"/>
      <c r="L159" s="41" t="s">
        <v>443</v>
      </c>
      <c r="M159" s="41" t="s">
        <v>282</v>
      </c>
      <c r="N159" s="40"/>
      <c r="O159" s="40"/>
      <c r="P159" s="29"/>
      <c r="Q159" s="31"/>
      <c r="R159" s="23">
        <v>0.05</v>
      </c>
      <c r="S159" s="75">
        <f t="shared" si="162"/>
        <v>0</v>
      </c>
      <c r="T159" s="171"/>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x14ac:dyDescent="0.45">
      <c r="B160" s="41" t="s">
        <v>443</v>
      </c>
      <c r="C160" s="41" t="s">
        <v>282</v>
      </c>
      <c r="D160" s="40"/>
      <c r="E160" s="40"/>
      <c r="F160" s="29"/>
      <c r="G160" s="31"/>
      <c r="H160" s="23">
        <v>0.05</v>
      </c>
      <c r="I160" s="75">
        <f t="shared" si="161"/>
        <v>0</v>
      </c>
      <c r="J160" s="171"/>
      <c r="L160" s="41" t="s">
        <v>443</v>
      </c>
      <c r="M160" s="41" t="s">
        <v>282</v>
      </c>
      <c r="N160" s="40"/>
      <c r="O160" s="40"/>
      <c r="P160" s="29"/>
      <c r="Q160" s="31"/>
      <c r="R160" s="23">
        <v>0.05</v>
      </c>
      <c r="S160" s="75">
        <f t="shared" si="162"/>
        <v>0</v>
      </c>
      <c r="T160" s="171"/>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x14ac:dyDescent="0.45">
      <c r="B161" s="41" t="s">
        <v>443</v>
      </c>
      <c r="C161" s="41" t="s">
        <v>282</v>
      </c>
      <c r="D161" s="40"/>
      <c r="E161" s="40"/>
      <c r="F161" s="29"/>
      <c r="G161" s="31"/>
      <c r="H161" s="23">
        <v>0.05</v>
      </c>
      <c r="I161" s="75">
        <f t="shared" si="161"/>
        <v>0</v>
      </c>
      <c r="J161" s="171"/>
      <c r="L161" s="41" t="s">
        <v>443</v>
      </c>
      <c r="M161" s="41" t="s">
        <v>282</v>
      </c>
      <c r="N161" s="40"/>
      <c r="O161" s="40"/>
      <c r="P161" s="29"/>
      <c r="Q161" s="31"/>
      <c r="R161" s="23">
        <v>0.05</v>
      </c>
      <c r="S161" s="75">
        <f t="shared" si="162"/>
        <v>0</v>
      </c>
      <c r="T161" s="171"/>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x14ac:dyDescent="0.45">
      <c r="B162" s="41" t="s">
        <v>443</v>
      </c>
      <c r="C162" s="41" t="s">
        <v>282</v>
      </c>
      <c r="D162" s="40"/>
      <c r="E162" s="40"/>
      <c r="F162" s="29"/>
      <c r="G162" s="31"/>
      <c r="H162" s="23">
        <v>0.05</v>
      </c>
      <c r="I162" s="75">
        <f t="shared" si="161"/>
        <v>0</v>
      </c>
      <c r="J162" s="171"/>
      <c r="L162" s="41" t="s">
        <v>443</v>
      </c>
      <c r="M162" s="41" t="s">
        <v>282</v>
      </c>
      <c r="N162" s="40"/>
      <c r="O162" s="40"/>
      <c r="P162" s="29"/>
      <c r="Q162" s="31"/>
      <c r="R162" s="23">
        <v>0.05</v>
      </c>
      <c r="S162" s="75">
        <f t="shared" si="162"/>
        <v>0</v>
      </c>
      <c r="T162" s="171"/>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x14ac:dyDescent="0.45">
      <c r="B163" s="41" t="s">
        <v>443</v>
      </c>
      <c r="C163" s="41" t="s">
        <v>282</v>
      </c>
      <c r="D163" s="40"/>
      <c r="E163" s="40"/>
      <c r="F163" s="29"/>
      <c r="G163" s="31"/>
      <c r="H163" s="23">
        <v>0.05</v>
      </c>
      <c r="I163" s="75">
        <f t="shared" si="161"/>
        <v>0</v>
      </c>
      <c r="J163" s="171"/>
      <c r="L163" s="41" t="s">
        <v>443</v>
      </c>
      <c r="M163" s="41" t="s">
        <v>282</v>
      </c>
      <c r="N163" s="40"/>
      <c r="O163" s="40"/>
      <c r="P163" s="29"/>
      <c r="Q163" s="31"/>
      <c r="R163" s="23">
        <v>0.05</v>
      </c>
      <c r="S163" s="75">
        <f t="shared" si="162"/>
        <v>0</v>
      </c>
      <c r="T163" s="171"/>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x14ac:dyDescent="0.45">
      <c r="B164" s="41" t="s">
        <v>443</v>
      </c>
      <c r="C164" s="41" t="s">
        <v>282</v>
      </c>
      <c r="D164" s="40"/>
      <c r="E164" s="40"/>
      <c r="F164" s="29"/>
      <c r="G164" s="31"/>
      <c r="H164" s="23">
        <v>0.05</v>
      </c>
      <c r="I164" s="75">
        <f t="shared" si="161"/>
        <v>0</v>
      </c>
      <c r="J164" s="171"/>
      <c r="L164" s="41" t="s">
        <v>443</v>
      </c>
      <c r="M164" s="41" t="s">
        <v>282</v>
      </c>
      <c r="N164" s="40"/>
      <c r="O164" s="40"/>
      <c r="P164" s="29"/>
      <c r="Q164" s="31"/>
      <c r="R164" s="23">
        <v>0.05</v>
      </c>
      <c r="S164" s="75">
        <f t="shared" si="162"/>
        <v>0</v>
      </c>
      <c r="T164" s="171"/>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x14ac:dyDescent="0.45">
      <c r="B165" s="41" t="s">
        <v>443</v>
      </c>
      <c r="C165" s="41" t="s">
        <v>282</v>
      </c>
      <c r="D165" s="40"/>
      <c r="E165" s="40"/>
      <c r="F165" s="29"/>
      <c r="G165" s="31"/>
      <c r="H165" s="23">
        <v>0.05</v>
      </c>
      <c r="I165" s="75">
        <f t="shared" si="161"/>
        <v>0</v>
      </c>
      <c r="J165" s="171"/>
      <c r="L165" s="41" t="s">
        <v>443</v>
      </c>
      <c r="M165" s="41" t="s">
        <v>282</v>
      </c>
      <c r="N165" s="40"/>
      <c r="O165" s="40"/>
      <c r="P165" s="29"/>
      <c r="Q165" s="31"/>
      <c r="R165" s="23">
        <v>0.05</v>
      </c>
      <c r="S165" s="75">
        <f t="shared" si="162"/>
        <v>0</v>
      </c>
      <c r="T165" s="171"/>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x14ac:dyDescent="0.45">
      <c r="B166" s="41" t="s">
        <v>443</v>
      </c>
      <c r="C166" s="41" t="s">
        <v>282</v>
      </c>
      <c r="D166" s="40"/>
      <c r="E166" s="40"/>
      <c r="F166" s="29"/>
      <c r="G166" s="31"/>
      <c r="H166" s="23">
        <v>0.05</v>
      </c>
      <c r="I166" s="75">
        <f t="shared" si="161"/>
        <v>0</v>
      </c>
      <c r="J166" s="171"/>
      <c r="L166" s="41" t="s">
        <v>443</v>
      </c>
      <c r="M166" s="41" t="s">
        <v>282</v>
      </c>
      <c r="N166" s="40"/>
      <c r="O166" s="40"/>
      <c r="P166" s="29"/>
      <c r="Q166" s="31"/>
      <c r="R166" s="23">
        <v>0.05</v>
      </c>
      <c r="S166" s="75">
        <f t="shared" si="162"/>
        <v>0</v>
      </c>
      <c r="T166" s="171"/>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x14ac:dyDescent="0.45">
      <c r="B167" s="8" t="s">
        <v>449</v>
      </c>
      <c r="C167" s="25"/>
      <c r="D167" s="28">
        <f t="shared" ref="D167:E167" si="168">SUM(D152:D166)</f>
        <v>0</v>
      </c>
      <c r="E167" s="28">
        <f t="shared" si="168"/>
        <v>0</v>
      </c>
      <c r="F167" s="30"/>
      <c r="G167" s="25"/>
      <c r="H167" s="26"/>
      <c r="I167" s="28">
        <f>SUM(I152:I166)</f>
        <v>0</v>
      </c>
      <c r="J167" s="170"/>
      <c r="L167" s="8" t="s">
        <v>449</v>
      </c>
      <c r="M167" s="25"/>
      <c r="N167" s="28">
        <f t="shared" ref="N167:O167" si="169">SUM(N152:N166)</f>
        <v>0</v>
      </c>
      <c r="O167" s="28">
        <f t="shared" si="169"/>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4" x14ac:dyDescent="0.45">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2"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2"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4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x14ac:dyDescent="0.4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x14ac:dyDescent="0.4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x14ac:dyDescent="0.4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x14ac:dyDescent="0.4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x14ac:dyDescent="0.4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x14ac:dyDescent="0.4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x14ac:dyDescent="0.45">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x14ac:dyDescent="0.45">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x14ac:dyDescent="0.45">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x14ac:dyDescent="0.45">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x14ac:dyDescent="0.45">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x14ac:dyDescent="0.45">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x14ac:dyDescent="0.45">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x14ac:dyDescent="0.45">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x14ac:dyDescent="0.45">
      <c r="B185" s="8" t="s">
        <v>447</v>
      </c>
      <c r="C185" s="25"/>
      <c r="D185" s="28">
        <f t="shared" ref="D185:F185" si="177">SUM(D170:D184)</f>
        <v>0</v>
      </c>
      <c r="E185" s="28">
        <f t="shared" si="177"/>
        <v>0</v>
      </c>
      <c r="F185" s="28">
        <f t="shared" si="177"/>
        <v>0</v>
      </c>
      <c r="G185" s="25"/>
      <c r="H185" s="26"/>
      <c r="I185" s="30"/>
      <c r="J185" s="170"/>
      <c r="L185" s="8" t="s">
        <v>447</v>
      </c>
      <c r="M185" s="25"/>
      <c r="N185" s="28">
        <f t="shared" ref="N185:P185" si="178">SUM(N170:N184)</f>
        <v>0</v>
      </c>
      <c r="O185" s="28">
        <f t="shared" si="178"/>
        <v>0</v>
      </c>
      <c r="P185" s="28">
        <f t="shared" si="178"/>
        <v>0</v>
      </c>
      <c r="Q185" s="25"/>
      <c r="R185" s="26"/>
      <c r="S185" s="30"/>
      <c r="T185" s="170"/>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9.4" x14ac:dyDescent="0.45">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2"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2"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45">
      <c r="B188" s="41" t="s">
        <v>443</v>
      </c>
      <c r="C188" s="41" t="s">
        <v>282</v>
      </c>
      <c r="D188" s="40"/>
      <c r="E188" s="40"/>
      <c r="F188" s="29"/>
      <c r="G188" s="22"/>
      <c r="H188" s="23">
        <v>0.82</v>
      </c>
      <c r="I188" s="75">
        <f>D188*G188*H188</f>
        <v>0</v>
      </c>
      <c r="J188" s="171"/>
      <c r="L188" s="41" t="s">
        <v>443</v>
      </c>
      <c r="M188" s="41" t="s">
        <v>282</v>
      </c>
      <c r="N188" s="40"/>
      <c r="O188" s="40"/>
      <c r="P188" s="29"/>
      <c r="Q188" s="22">
        <v>0.08</v>
      </c>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x14ac:dyDescent="0.45">
      <c r="B189" s="41" t="s">
        <v>443</v>
      </c>
      <c r="C189" s="41" t="s">
        <v>282</v>
      </c>
      <c r="D189" s="40"/>
      <c r="E189" s="40"/>
      <c r="F189" s="29"/>
      <c r="G189" s="22"/>
      <c r="H189" s="23">
        <v>0.82</v>
      </c>
      <c r="I189" s="75">
        <f t="shared" ref="I189:I202" si="191">D189*G189*H189</f>
        <v>0</v>
      </c>
      <c r="J189" s="171"/>
      <c r="L189" s="41" t="s">
        <v>443</v>
      </c>
      <c r="M189" s="41" t="s">
        <v>282</v>
      </c>
      <c r="N189" s="40"/>
      <c r="O189" s="40"/>
      <c r="P189" s="29"/>
      <c r="Q189" s="22"/>
      <c r="R189" s="23">
        <v>0.82</v>
      </c>
      <c r="S189" s="75">
        <f t="shared" ref="S189:S202" si="192">N189*Q189*R189</f>
        <v>0</v>
      </c>
      <c r="T189" s="171"/>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x14ac:dyDescent="0.45">
      <c r="B190" s="41" t="s">
        <v>443</v>
      </c>
      <c r="C190" s="41" t="s">
        <v>282</v>
      </c>
      <c r="D190" s="40"/>
      <c r="E190" s="40"/>
      <c r="F190" s="29"/>
      <c r="G190" s="22"/>
      <c r="H190" s="23">
        <v>0.82</v>
      </c>
      <c r="I190" s="75">
        <f t="shared" si="191"/>
        <v>0</v>
      </c>
      <c r="J190" s="171"/>
      <c r="L190" s="41" t="s">
        <v>443</v>
      </c>
      <c r="M190" s="41" t="s">
        <v>282</v>
      </c>
      <c r="N190" s="40"/>
      <c r="O190" s="40"/>
      <c r="P190" s="29"/>
      <c r="Q190" s="22"/>
      <c r="R190" s="23">
        <v>0.82</v>
      </c>
      <c r="S190" s="75">
        <f t="shared" si="192"/>
        <v>0</v>
      </c>
      <c r="T190" s="171"/>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x14ac:dyDescent="0.45">
      <c r="B191" s="41" t="s">
        <v>443</v>
      </c>
      <c r="C191" s="41" t="s">
        <v>282</v>
      </c>
      <c r="D191" s="40"/>
      <c r="E191" s="40"/>
      <c r="F191" s="29"/>
      <c r="G191" s="22"/>
      <c r="H191" s="23">
        <v>0.82</v>
      </c>
      <c r="I191" s="75">
        <f t="shared" si="191"/>
        <v>0</v>
      </c>
      <c r="J191" s="171"/>
      <c r="L191" s="41" t="s">
        <v>443</v>
      </c>
      <c r="M191" s="41" t="s">
        <v>282</v>
      </c>
      <c r="N191" s="40"/>
      <c r="O191" s="40"/>
      <c r="P191" s="29"/>
      <c r="Q191" s="22"/>
      <c r="R191" s="23">
        <v>0.82</v>
      </c>
      <c r="S191" s="75">
        <f t="shared" si="192"/>
        <v>0</v>
      </c>
      <c r="T191" s="171"/>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x14ac:dyDescent="0.45">
      <c r="B192" s="41" t="s">
        <v>443</v>
      </c>
      <c r="C192" s="41" t="s">
        <v>282</v>
      </c>
      <c r="D192" s="40"/>
      <c r="E192" s="40"/>
      <c r="F192" s="29"/>
      <c r="G192" s="22"/>
      <c r="H192" s="23">
        <v>0.82</v>
      </c>
      <c r="I192" s="75">
        <f t="shared" si="191"/>
        <v>0</v>
      </c>
      <c r="J192" s="171"/>
      <c r="L192" s="41" t="s">
        <v>443</v>
      </c>
      <c r="M192" s="41" t="s">
        <v>282</v>
      </c>
      <c r="N192" s="40"/>
      <c r="O192" s="40"/>
      <c r="P192" s="29"/>
      <c r="Q192" s="22"/>
      <c r="R192" s="23">
        <v>0.82</v>
      </c>
      <c r="S192" s="75">
        <f t="shared" si="192"/>
        <v>0</v>
      </c>
      <c r="T192" s="171"/>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x14ac:dyDescent="0.45">
      <c r="B193" s="41" t="s">
        <v>443</v>
      </c>
      <c r="C193" s="41" t="s">
        <v>282</v>
      </c>
      <c r="D193" s="40"/>
      <c r="E193" s="40"/>
      <c r="F193" s="29"/>
      <c r="G193" s="22"/>
      <c r="H193" s="23">
        <v>0.82</v>
      </c>
      <c r="I193" s="75">
        <f t="shared" si="191"/>
        <v>0</v>
      </c>
      <c r="J193" s="171"/>
      <c r="L193" s="41" t="s">
        <v>443</v>
      </c>
      <c r="M193" s="41" t="s">
        <v>282</v>
      </c>
      <c r="N193" s="40"/>
      <c r="O193" s="40"/>
      <c r="P193" s="29"/>
      <c r="Q193" s="22"/>
      <c r="R193" s="23">
        <v>0.82</v>
      </c>
      <c r="S193" s="75">
        <f t="shared" si="192"/>
        <v>0</v>
      </c>
      <c r="T193" s="171"/>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x14ac:dyDescent="0.45">
      <c r="B194" s="41" t="s">
        <v>443</v>
      </c>
      <c r="C194" s="41" t="s">
        <v>282</v>
      </c>
      <c r="D194" s="40"/>
      <c r="E194" s="40"/>
      <c r="F194" s="29"/>
      <c r="G194" s="22"/>
      <c r="H194" s="23">
        <v>0.82</v>
      </c>
      <c r="I194" s="75">
        <f t="shared" si="191"/>
        <v>0</v>
      </c>
      <c r="J194" s="171"/>
      <c r="L194" s="41" t="s">
        <v>443</v>
      </c>
      <c r="M194" s="41" t="s">
        <v>282</v>
      </c>
      <c r="N194" s="40"/>
      <c r="O194" s="40"/>
      <c r="P194" s="29"/>
      <c r="Q194" s="22"/>
      <c r="R194" s="23">
        <v>0.82</v>
      </c>
      <c r="S194" s="75">
        <f t="shared" si="192"/>
        <v>0</v>
      </c>
      <c r="T194" s="171"/>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x14ac:dyDescent="0.45">
      <c r="B195" s="41" t="s">
        <v>443</v>
      </c>
      <c r="C195" s="41" t="s">
        <v>282</v>
      </c>
      <c r="D195" s="40"/>
      <c r="E195" s="40"/>
      <c r="F195" s="29"/>
      <c r="G195" s="22"/>
      <c r="H195" s="23">
        <v>0.82</v>
      </c>
      <c r="I195" s="75">
        <f t="shared" si="191"/>
        <v>0</v>
      </c>
      <c r="J195" s="171"/>
      <c r="L195" s="41" t="s">
        <v>443</v>
      </c>
      <c r="M195" s="41" t="s">
        <v>282</v>
      </c>
      <c r="N195" s="40"/>
      <c r="O195" s="40"/>
      <c r="P195" s="29"/>
      <c r="Q195" s="22"/>
      <c r="R195" s="23">
        <v>0.82</v>
      </c>
      <c r="S195" s="75">
        <f t="shared" si="192"/>
        <v>0</v>
      </c>
      <c r="T195" s="171"/>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x14ac:dyDescent="0.45">
      <c r="B196" s="41" t="s">
        <v>443</v>
      </c>
      <c r="C196" s="41" t="s">
        <v>282</v>
      </c>
      <c r="D196" s="40"/>
      <c r="E196" s="40"/>
      <c r="F196" s="29"/>
      <c r="G196" s="22"/>
      <c r="H196" s="23">
        <v>0.82</v>
      </c>
      <c r="I196" s="75">
        <f t="shared" si="191"/>
        <v>0</v>
      </c>
      <c r="J196" s="171"/>
      <c r="L196" s="41" t="s">
        <v>443</v>
      </c>
      <c r="M196" s="41" t="s">
        <v>282</v>
      </c>
      <c r="N196" s="40"/>
      <c r="O196" s="40"/>
      <c r="P196" s="29"/>
      <c r="Q196" s="22"/>
      <c r="R196" s="23">
        <v>0.82</v>
      </c>
      <c r="S196" s="75">
        <f t="shared" si="192"/>
        <v>0</v>
      </c>
      <c r="T196" s="171"/>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x14ac:dyDescent="0.45">
      <c r="B197" s="41" t="s">
        <v>443</v>
      </c>
      <c r="C197" s="41" t="s">
        <v>282</v>
      </c>
      <c r="D197" s="40"/>
      <c r="E197" s="40"/>
      <c r="F197" s="29"/>
      <c r="G197" s="22"/>
      <c r="H197" s="23">
        <v>0.82</v>
      </c>
      <c r="I197" s="75">
        <f t="shared" si="191"/>
        <v>0</v>
      </c>
      <c r="J197" s="171"/>
      <c r="L197" s="41" t="s">
        <v>443</v>
      </c>
      <c r="M197" s="41" t="s">
        <v>282</v>
      </c>
      <c r="N197" s="40"/>
      <c r="O197" s="40"/>
      <c r="P197" s="29"/>
      <c r="Q197" s="22"/>
      <c r="R197" s="23">
        <v>0.82</v>
      </c>
      <c r="S197" s="75">
        <f t="shared" si="192"/>
        <v>0</v>
      </c>
      <c r="T197" s="171"/>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x14ac:dyDescent="0.45">
      <c r="B198" s="41" t="s">
        <v>443</v>
      </c>
      <c r="C198" s="41" t="s">
        <v>282</v>
      </c>
      <c r="D198" s="40"/>
      <c r="E198" s="40"/>
      <c r="F198" s="29"/>
      <c r="G198" s="22"/>
      <c r="H198" s="23">
        <v>0.82</v>
      </c>
      <c r="I198" s="75">
        <f t="shared" si="191"/>
        <v>0</v>
      </c>
      <c r="J198" s="171"/>
      <c r="L198" s="41" t="s">
        <v>443</v>
      </c>
      <c r="M198" s="41" t="s">
        <v>282</v>
      </c>
      <c r="N198" s="40"/>
      <c r="O198" s="40"/>
      <c r="P198" s="29"/>
      <c r="Q198" s="22"/>
      <c r="R198" s="23">
        <v>0.82</v>
      </c>
      <c r="S198" s="75">
        <f t="shared" si="192"/>
        <v>0</v>
      </c>
      <c r="T198" s="171"/>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x14ac:dyDescent="0.45">
      <c r="B199" s="41" t="s">
        <v>443</v>
      </c>
      <c r="C199" s="41" t="s">
        <v>282</v>
      </c>
      <c r="D199" s="40"/>
      <c r="E199" s="40"/>
      <c r="F199" s="29"/>
      <c r="G199" s="22"/>
      <c r="H199" s="23">
        <v>0.82</v>
      </c>
      <c r="I199" s="75">
        <f t="shared" si="191"/>
        <v>0</v>
      </c>
      <c r="J199" s="171"/>
      <c r="L199" s="41" t="s">
        <v>443</v>
      </c>
      <c r="M199" s="41" t="s">
        <v>282</v>
      </c>
      <c r="N199" s="40"/>
      <c r="O199" s="40"/>
      <c r="P199" s="29"/>
      <c r="Q199" s="22"/>
      <c r="R199" s="23">
        <v>0.82</v>
      </c>
      <c r="S199" s="75">
        <f t="shared" si="192"/>
        <v>0</v>
      </c>
      <c r="T199" s="171"/>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x14ac:dyDescent="0.45">
      <c r="B200" s="41" t="s">
        <v>443</v>
      </c>
      <c r="C200" s="41" t="s">
        <v>282</v>
      </c>
      <c r="D200" s="40"/>
      <c r="E200" s="40"/>
      <c r="F200" s="29"/>
      <c r="G200" s="22"/>
      <c r="H200" s="23">
        <v>0.82</v>
      </c>
      <c r="I200" s="75">
        <f t="shared" si="191"/>
        <v>0</v>
      </c>
      <c r="J200" s="171"/>
      <c r="L200" s="41" t="s">
        <v>443</v>
      </c>
      <c r="M200" s="41" t="s">
        <v>282</v>
      </c>
      <c r="N200" s="40"/>
      <c r="O200" s="40"/>
      <c r="P200" s="29"/>
      <c r="Q200" s="22"/>
      <c r="R200" s="23">
        <v>0.82</v>
      </c>
      <c r="S200" s="75">
        <f t="shared" si="192"/>
        <v>0</v>
      </c>
      <c r="T200" s="171"/>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x14ac:dyDescent="0.45">
      <c r="B201" s="41" t="s">
        <v>443</v>
      </c>
      <c r="C201" s="41" t="s">
        <v>282</v>
      </c>
      <c r="D201" s="40"/>
      <c r="E201" s="40"/>
      <c r="F201" s="29"/>
      <c r="G201" s="22"/>
      <c r="H201" s="23">
        <v>0.82</v>
      </c>
      <c r="I201" s="75">
        <f t="shared" si="191"/>
        <v>0</v>
      </c>
      <c r="J201" s="171"/>
      <c r="L201" s="41" t="s">
        <v>443</v>
      </c>
      <c r="M201" s="41" t="s">
        <v>282</v>
      </c>
      <c r="N201" s="40"/>
      <c r="O201" s="40"/>
      <c r="P201" s="29"/>
      <c r="Q201" s="22"/>
      <c r="R201" s="23">
        <v>0.82</v>
      </c>
      <c r="S201" s="75">
        <f t="shared" si="192"/>
        <v>0</v>
      </c>
      <c r="T201" s="171"/>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x14ac:dyDescent="0.45">
      <c r="B202" s="41" t="s">
        <v>443</v>
      </c>
      <c r="C202" s="41" t="s">
        <v>282</v>
      </c>
      <c r="D202" s="40"/>
      <c r="E202" s="40"/>
      <c r="F202" s="29"/>
      <c r="G202" s="22"/>
      <c r="H202" s="23">
        <v>0.82</v>
      </c>
      <c r="I202" s="75">
        <f t="shared" si="191"/>
        <v>0</v>
      </c>
      <c r="J202" s="171"/>
      <c r="L202" s="41" t="s">
        <v>443</v>
      </c>
      <c r="M202" s="41" t="s">
        <v>282</v>
      </c>
      <c r="N202" s="40"/>
      <c r="O202" s="40"/>
      <c r="P202" s="29"/>
      <c r="Q202" s="22"/>
      <c r="R202" s="23">
        <v>0.82</v>
      </c>
      <c r="S202" s="75">
        <f t="shared" si="192"/>
        <v>0</v>
      </c>
      <c r="T202" s="171"/>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x14ac:dyDescent="0.45">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25" x14ac:dyDescent="0.45">
      <c r="B207" s="226" t="s">
        <v>389</v>
      </c>
      <c r="C207" s="226" t="s">
        <v>390</v>
      </c>
      <c r="D207" s="226" t="s">
        <v>391</v>
      </c>
      <c r="E207" s="226" t="s">
        <v>392</v>
      </c>
      <c r="F207" s="226" t="s">
        <v>393</v>
      </c>
    </row>
    <row r="208" spans="2:65" x14ac:dyDescent="0.45">
      <c r="B208" s="5" t="s">
        <v>394</v>
      </c>
      <c r="C208" s="6">
        <f>SUM(A36,A39)</f>
        <v>0</v>
      </c>
      <c r="D208" s="6">
        <f>SUM(D36,D39)</f>
        <v>0</v>
      </c>
      <c r="E208" s="6">
        <f>SUM(E36,E39)</f>
        <v>0</v>
      </c>
      <c r="F208" s="5"/>
    </row>
    <row r="209" spans="2:6" x14ac:dyDescent="0.45">
      <c r="B209" s="5" t="s">
        <v>395</v>
      </c>
      <c r="C209" s="6">
        <f>SUM(A37)</f>
        <v>0</v>
      </c>
      <c r="D209" s="6">
        <f>SUM(D37)</f>
        <v>0</v>
      </c>
      <c r="E209" s="6">
        <f>SUM(E37)</f>
        <v>0</v>
      </c>
      <c r="F209" s="5"/>
    </row>
    <row r="210" spans="2:6" x14ac:dyDescent="0.45">
      <c r="B210" s="5" t="s">
        <v>396</v>
      </c>
      <c r="C210" s="6">
        <f>SUM(A38)</f>
        <v>0</v>
      </c>
      <c r="D210" s="6">
        <f>SUM(D38)</f>
        <v>0</v>
      </c>
      <c r="E210" s="6">
        <f>SUM(E38)</f>
        <v>0</v>
      </c>
      <c r="F210" s="5"/>
    </row>
    <row r="211" spans="2:6" x14ac:dyDescent="0.45">
      <c r="B211" s="5" t="s">
        <v>397</v>
      </c>
      <c r="C211" s="6">
        <f>SUM(A32:A35,A40)</f>
        <v>0</v>
      </c>
      <c r="D211" s="6">
        <f>SUM(D32:D35,D40)</f>
        <v>0</v>
      </c>
      <c r="E211" s="6">
        <f>SUM(E32:E35,E40)</f>
        <v>0</v>
      </c>
      <c r="F211" s="5"/>
    </row>
    <row r="212" spans="2:6" x14ac:dyDescent="0.45">
      <c r="B212" s="5" t="s">
        <v>224</v>
      </c>
      <c r="C212" s="6">
        <v>0</v>
      </c>
      <c r="D212" s="6">
        <v>0</v>
      </c>
      <c r="E212" s="6">
        <v>0</v>
      </c>
      <c r="F212" s="5"/>
    </row>
    <row r="213" spans="2:6" x14ac:dyDescent="0.45">
      <c r="B213" s="82" t="s">
        <v>107</v>
      </c>
      <c r="C213" s="74">
        <f>SUM(C208:C212)</f>
        <v>0</v>
      </c>
      <c r="D213" s="74">
        <f>SUM(D208:D212)</f>
        <v>0</v>
      </c>
      <c r="E213" s="74">
        <f>SUM(E208:E212)</f>
        <v>0</v>
      </c>
      <c r="F213" s="5"/>
    </row>
    <row r="216" spans="2:6" x14ac:dyDescent="0.45">
      <c r="C216" s="224">
        <v>3</v>
      </c>
      <c r="D216" s="224">
        <v>2127536</v>
      </c>
      <c r="E216" s="224">
        <v>2056184</v>
      </c>
    </row>
    <row r="217" spans="2:6" x14ac:dyDescent="0.45">
      <c r="C217" s="224">
        <v>2</v>
      </c>
      <c r="D217" s="224">
        <v>437000</v>
      </c>
      <c r="E217" s="224">
        <v>209733</v>
      </c>
    </row>
    <row r="218" spans="2:6" x14ac:dyDescent="0.45">
      <c r="C218" s="224">
        <v>5</v>
      </c>
      <c r="D218" s="224">
        <v>226400</v>
      </c>
      <c r="E218" s="224">
        <v>119522</v>
      </c>
    </row>
    <row r="219" spans="2:6" x14ac:dyDescent="0.45">
      <c r="C219" s="224">
        <v>1</v>
      </c>
      <c r="D219" s="224">
        <v>50000</v>
      </c>
      <c r="E219" s="224">
        <v>48355</v>
      </c>
    </row>
    <row r="220" spans="2:6" x14ac:dyDescent="0.45">
      <c r="C220" s="224">
        <v>0</v>
      </c>
      <c r="D220" s="224">
        <v>0</v>
      </c>
      <c r="E220" s="224">
        <v>0</v>
      </c>
    </row>
    <row r="221" spans="2:6" x14ac:dyDescent="0.45">
      <c r="C221" s="224">
        <v>11</v>
      </c>
      <c r="D221" s="224">
        <v>2840936</v>
      </c>
      <c r="E221" s="224">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328125" defaultRowHeight="13.15" outlineLevelCol="1" x14ac:dyDescent="0.45"/>
  <cols>
    <col min="1" max="1" width="9.1328125" style="2"/>
    <col min="2" max="2" width="34.1328125" style="2" bestFit="1" customWidth="1"/>
    <col min="3" max="3" width="11.73046875" style="2" bestFit="1" customWidth="1"/>
    <col min="4" max="9" width="10.265625" style="2" customWidth="1"/>
    <col min="10" max="10" width="3.1328125" style="2" customWidth="1"/>
    <col min="11" max="11" width="34.1328125" style="2" customWidth="1" outlineLevel="1"/>
    <col min="12" max="12" width="11.73046875" style="2" customWidth="1" outlineLevel="1"/>
    <col min="13" max="18" width="10.265625" style="2" customWidth="1" outlineLevel="1"/>
    <col min="19" max="19" width="3.1328125" style="2" customWidth="1" outlineLevel="1"/>
    <col min="20" max="20" width="34.1328125" style="2" bestFit="1" customWidth="1"/>
    <col min="21" max="21" width="11.73046875" style="2" bestFit="1" customWidth="1"/>
    <col min="22" max="27" width="10.265625" style="2" customWidth="1"/>
    <col min="28" max="28" width="9.73046875" style="2" customWidth="1"/>
    <col min="29" max="29" width="25.73046875" style="2" bestFit="1" customWidth="1"/>
    <col min="30" max="30" width="10.3984375" style="2" customWidth="1"/>
    <col min="31" max="32" width="9.73046875" style="2" customWidth="1"/>
    <col min="33" max="16384" width="9.1328125" style="2"/>
  </cols>
  <sheetData>
    <row r="2" spans="2:6" x14ac:dyDescent="0.4">
      <c r="B2" s="55" t="s">
        <v>333</v>
      </c>
    </row>
    <row r="3" spans="2:6" x14ac:dyDescent="0.45">
      <c r="D3" s="50" t="s">
        <v>334</v>
      </c>
      <c r="E3" s="50" t="s">
        <v>237</v>
      </c>
      <c r="F3" s="50" t="s">
        <v>335</v>
      </c>
    </row>
    <row r="4" spans="2:6" x14ac:dyDescent="0.45">
      <c r="B4" s="50" t="s">
        <v>336</v>
      </c>
      <c r="C4" s="84"/>
      <c r="D4" s="65">
        <f>D18/SUM(D23,D28)</f>
        <v>9.9016493237202052</v>
      </c>
      <c r="E4" s="84"/>
      <c r="F4" s="65">
        <f>F18/SUM(F23,F28)</f>
        <v>11.805505355070672</v>
      </c>
    </row>
    <row r="6" spans="2:6" x14ac:dyDescent="0.45">
      <c r="B6" s="50" t="s">
        <v>337</v>
      </c>
      <c r="C6" s="50" t="s">
        <v>86</v>
      </c>
      <c r="D6" s="50" t="s">
        <v>334</v>
      </c>
      <c r="E6" s="50" t="s">
        <v>237</v>
      </c>
      <c r="F6" s="50" t="s">
        <v>335</v>
      </c>
    </row>
    <row r="7" spans="2:6" x14ac:dyDescent="0.45">
      <c r="B7" s="69" t="s">
        <v>452</v>
      </c>
      <c r="C7" s="66"/>
      <c r="D7" s="70">
        <f>'N.Margin (Ind. Benchmark)'!E22</f>
        <v>0</v>
      </c>
      <c r="E7" s="21">
        <v>1.2</v>
      </c>
      <c r="F7" s="75">
        <f>D7*E7</f>
        <v>0</v>
      </c>
    </row>
    <row r="8" spans="2:6" x14ac:dyDescent="0.45">
      <c r="B8" s="5" t="s">
        <v>338</v>
      </c>
      <c r="C8" s="5" t="s">
        <v>344</v>
      </c>
      <c r="D8" s="11">
        <v>5000000</v>
      </c>
      <c r="E8" s="21">
        <v>1.2</v>
      </c>
      <c r="F8" s="75">
        <f>D8*E8</f>
        <v>6000000</v>
      </c>
    </row>
    <row r="9" spans="2:6" x14ac:dyDescent="0.45">
      <c r="B9" s="5" t="s">
        <v>340</v>
      </c>
      <c r="C9" s="5" t="s">
        <v>344</v>
      </c>
      <c r="D9" s="11">
        <v>30000</v>
      </c>
      <c r="E9" s="21">
        <v>1</v>
      </c>
      <c r="F9" s="75">
        <f>D9*E9</f>
        <v>30000</v>
      </c>
    </row>
    <row r="10" spans="2:6" x14ac:dyDescent="0.45">
      <c r="B10" s="71" t="s">
        <v>453</v>
      </c>
      <c r="C10" s="5" t="s">
        <v>344</v>
      </c>
      <c r="D10" s="6">
        <f>SUM(D11:D17)</f>
        <v>175000</v>
      </c>
      <c r="E10" s="32"/>
      <c r="F10" s="75">
        <f>SUM(F11:F17)</f>
        <v>175800</v>
      </c>
    </row>
    <row r="11" spans="2:6" x14ac:dyDescent="0.45">
      <c r="B11" s="86" t="s">
        <v>454</v>
      </c>
      <c r="C11" s="5" t="s">
        <v>344</v>
      </c>
      <c r="D11" s="11">
        <v>10000</v>
      </c>
      <c r="E11" s="21">
        <v>1.08</v>
      </c>
      <c r="F11" s="75">
        <f t="shared" ref="F11:F17" si="0">D11*E11</f>
        <v>10800</v>
      </c>
    </row>
    <row r="12" spans="2:6" x14ac:dyDescent="0.45">
      <c r="B12" s="86" t="s">
        <v>455</v>
      </c>
      <c r="C12" s="5" t="s">
        <v>344</v>
      </c>
      <c r="D12" s="11">
        <v>15000</v>
      </c>
      <c r="E12" s="21">
        <v>1</v>
      </c>
      <c r="F12" s="75">
        <f t="shared" si="0"/>
        <v>15000</v>
      </c>
    </row>
    <row r="13" spans="2:6" x14ac:dyDescent="0.45">
      <c r="B13" s="86" t="s">
        <v>456</v>
      </c>
      <c r="C13" s="5" t="s">
        <v>344</v>
      </c>
      <c r="D13" s="11">
        <v>20000</v>
      </c>
      <c r="E13" s="21">
        <v>1</v>
      </c>
      <c r="F13" s="75">
        <f t="shared" si="0"/>
        <v>20000</v>
      </c>
    </row>
    <row r="14" spans="2:6" x14ac:dyDescent="0.45">
      <c r="B14" s="86" t="s">
        <v>420</v>
      </c>
      <c r="C14" s="5" t="s">
        <v>344</v>
      </c>
      <c r="D14" s="11">
        <v>25000</v>
      </c>
      <c r="E14" s="21">
        <v>1</v>
      </c>
      <c r="F14" s="75">
        <f t="shared" si="0"/>
        <v>25000</v>
      </c>
    </row>
    <row r="15" spans="2:6" x14ac:dyDescent="0.45">
      <c r="B15" s="86" t="s">
        <v>457</v>
      </c>
      <c r="C15" s="5" t="s">
        <v>344</v>
      </c>
      <c r="D15" s="11">
        <v>30000</v>
      </c>
      <c r="E15" s="21">
        <v>1</v>
      </c>
      <c r="F15" s="75">
        <f t="shared" si="0"/>
        <v>30000</v>
      </c>
    </row>
    <row r="16" spans="2:6" x14ac:dyDescent="0.45">
      <c r="B16" s="86" t="s">
        <v>458</v>
      </c>
      <c r="C16" s="5" t="s">
        <v>344</v>
      </c>
      <c r="D16" s="11">
        <v>35000</v>
      </c>
      <c r="E16" s="21">
        <v>1</v>
      </c>
      <c r="F16" s="75">
        <f t="shared" si="0"/>
        <v>35000</v>
      </c>
    </row>
    <row r="17" spans="2:15" x14ac:dyDescent="0.45">
      <c r="B17" s="86" t="s">
        <v>459</v>
      </c>
      <c r="C17" s="5" t="s">
        <v>344</v>
      </c>
      <c r="D17" s="11">
        <v>40000</v>
      </c>
      <c r="E17" s="21">
        <v>1</v>
      </c>
      <c r="F17" s="75">
        <f t="shared" si="0"/>
        <v>40000</v>
      </c>
    </row>
    <row r="18" spans="2:15" s="24" customFormat="1" x14ac:dyDescent="0.45">
      <c r="B18" s="72" t="s">
        <v>460</v>
      </c>
      <c r="C18" s="73"/>
      <c r="D18" s="74">
        <f>SUM(D8:D10)</f>
        <v>5205000</v>
      </c>
      <c r="E18" s="74"/>
      <c r="F18" s="74">
        <f>SUM(F8:F10)</f>
        <v>6205800</v>
      </c>
      <c r="K18" s="2"/>
      <c r="L18" s="2"/>
      <c r="M18" s="2"/>
      <c r="N18" s="2"/>
      <c r="O18" s="2"/>
    </row>
    <row r="20" spans="2:15" x14ac:dyDescent="0.45">
      <c r="B20" s="82" t="s">
        <v>347</v>
      </c>
    </row>
    <row r="21" spans="2:15" x14ac:dyDescent="0.45">
      <c r="B21" s="71" t="s">
        <v>348</v>
      </c>
      <c r="C21" s="5"/>
      <c r="D21" s="77">
        <f>H52</f>
        <v>174000</v>
      </c>
      <c r="E21" s="21">
        <v>1</v>
      </c>
      <c r="F21" s="75">
        <f>D21*E21</f>
        <v>174000</v>
      </c>
    </row>
    <row r="22" spans="2:15" x14ac:dyDescent="0.45">
      <c r="B22" s="5" t="s">
        <v>350</v>
      </c>
      <c r="C22" s="5"/>
      <c r="D22" s="81">
        <f>G52</f>
        <v>88835</v>
      </c>
      <c r="E22" s="21">
        <v>1</v>
      </c>
      <c r="F22" s="75">
        <f>D22*E22</f>
        <v>88835</v>
      </c>
    </row>
    <row r="23" spans="2:15" s="24" customFormat="1" x14ac:dyDescent="0.45">
      <c r="B23" s="72" t="s">
        <v>460</v>
      </c>
      <c r="C23" s="73"/>
      <c r="D23" s="74">
        <f>SUM(D21:D22)</f>
        <v>262835</v>
      </c>
      <c r="E23" s="74"/>
      <c r="F23" s="74">
        <f>SUM(F21:F22)</f>
        <v>262835</v>
      </c>
      <c r="K23" s="2"/>
      <c r="L23" s="2"/>
      <c r="M23" s="2"/>
      <c r="N23" s="2"/>
      <c r="O23" s="2"/>
    </row>
    <row r="24" spans="2:15" s="24" customFormat="1" x14ac:dyDescent="0.45">
      <c r="K24" s="2"/>
      <c r="L24" s="2"/>
      <c r="M24" s="2"/>
      <c r="N24" s="2"/>
      <c r="O24" s="2"/>
    </row>
    <row r="25" spans="2:15" x14ac:dyDescent="0.45">
      <c r="B25" s="82" t="s">
        <v>461</v>
      </c>
    </row>
    <row r="26" spans="2:15" x14ac:dyDescent="0.45">
      <c r="B26" s="71" t="s">
        <v>348</v>
      </c>
      <c r="C26" s="5"/>
      <c r="D26" s="77">
        <f>Q52</f>
        <v>174000</v>
      </c>
      <c r="E26" s="21">
        <v>1</v>
      </c>
      <c r="F26" s="75">
        <f>D26*E26</f>
        <v>174000</v>
      </c>
    </row>
    <row r="27" spans="2:15" x14ac:dyDescent="0.45">
      <c r="B27" s="5" t="s">
        <v>350</v>
      </c>
      <c r="C27" s="5"/>
      <c r="D27" s="81">
        <f>P52</f>
        <v>88835</v>
      </c>
      <c r="E27" s="21">
        <v>1</v>
      </c>
      <c r="F27" s="75">
        <f>D27*E27</f>
        <v>88835</v>
      </c>
    </row>
    <row r="28" spans="2:15" s="24" customFormat="1" x14ac:dyDescent="0.45">
      <c r="B28" s="72" t="s">
        <v>460</v>
      </c>
      <c r="C28" s="73"/>
      <c r="D28" s="74">
        <f>SUM(D26:D27)</f>
        <v>262835</v>
      </c>
      <c r="E28" s="74"/>
      <c r="F28" s="74">
        <f>SUM(F26:F27)</f>
        <v>262835</v>
      </c>
      <c r="K28" s="2"/>
      <c r="L28" s="2"/>
      <c r="M28" s="2"/>
      <c r="N28" s="2"/>
      <c r="O28" s="2"/>
    </row>
    <row r="29" spans="2:15" x14ac:dyDescent="0.45">
      <c r="B29" s="64" t="s">
        <v>353</v>
      </c>
    </row>
    <row r="30" spans="2:15" x14ac:dyDescent="0.45">
      <c r="B30" s="64" t="s">
        <v>354</v>
      </c>
    </row>
    <row r="31" spans="2:15" x14ac:dyDescent="0.45">
      <c r="B31" s="64" t="s">
        <v>355</v>
      </c>
    </row>
    <row r="32" spans="2:15" x14ac:dyDescent="0.45">
      <c r="B32" s="67" t="s">
        <v>356</v>
      </c>
    </row>
    <row r="33" spans="2:27" x14ac:dyDescent="0.45">
      <c r="B33" s="67" t="s">
        <v>357</v>
      </c>
      <c r="T33" s="67"/>
    </row>
    <row r="34" spans="2:27" x14ac:dyDescent="0.45">
      <c r="B34" s="67" t="s">
        <v>358</v>
      </c>
      <c r="T34" s="67"/>
    </row>
    <row r="35" spans="2:27" x14ac:dyDescent="0.45">
      <c r="B35" s="67" t="s">
        <v>359</v>
      </c>
      <c r="T35" s="67"/>
    </row>
    <row r="36" spans="2:27" x14ac:dyDescent="0.45">
      <c r="B36" s="67" t="s">
        <v>360</v>
      </c>
      <c r="T36" s="67"/>
    </row>
    <row r="37" spans="2:27" x14ac:dyDescent="0.45">
      <c r="B37" s="67" t="s">
        <v>361</v>
      </c>
      <c r="T37" s="67"/>
    </row>
    <row r="38" spans="2:27" x14ac:dyDescent="0.45">
      <c r="T38" s="67"/>
    </row>
    <row r="40" spans="2:27" x14ac:dyDescent="0.45">
      <c r="B40" s="858" t="s">
        <v>362</v>
      </c>
      <c r="C40" s="858"/>
      <c r="D40" s="858"/>
      <c r="E40" s="858"/>
      <c r="F40" s="858"/>
      <c r="G40" s="858"/>
      <c r="H40" s="858"/>
      <c r="I40" s="858"/>
      <c r="K40" s="858" t="s">
        <v>462</v>
      </c>
      <c r="L40" s="858"/>
      <c r="M40" s="858"/>
      <c r="N40" s="858"/>
      <c r="O40" s="858"/>
      <c r="P40" s="858"/>
      <c r="Q40" s="858"/>
      <c r="R40" s="858"/>
      <c r="T40" s="859" t="s">
        <v>364</v>
      </c>
      <c r="U40" s="859"/>
      <c r="V40" s="859"/>
      <c r="W40" s="859"/>
      <c r="X40" s="859"/>
      <c r="Y40" s="859"/>
      <c r="Z40" s="859"/>
      <c r="AA40" s="859"/>
    </row>
    <row r="42" spans="2:27" s="20" customFormat="1" ht="54" customHeight="1" x14ac:dyDescent="0.45">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x14ac:dyDescent="0.45">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x14ac:dyDescent="0.45">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x14ac:dyDescent="0.45">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x14ac:dyDescent="0.45">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x14ac:dyDescent="0.45">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x14ac:dyDescent="0.45">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x14ac:dyDescent="0.45">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x14ac:dyDescent="0.45">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45">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45">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4" x14ac:dyDescent="0.45">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x14ac:dyDescent="0.45">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x14ac:dyDescent="0.45">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x14ac:dyDescent="0.45">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x14ac:dyDescent="0.45">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x14ac:dyDescent="0.45">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x14ac:dyDescent="0.45">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x14ac:dyDescent="0.45">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x14ac:dyDescent="0.45">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x14ac:dyDescent="0.45">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x14ac:dyDescent="0.45">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x14ac:dyDescent="0.45">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x14ac:dyDescent="0.45">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x14ac:dyDescent="0.45">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x14ac:dyDescent="0.45">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x14ac:dyDescent="0.45">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x14ac:dyDescent="0.45">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9.4" x14ac:dyDescent="0.4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45">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x14ac:dyDescent="0.45">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x14ac:dyDescent="0.45">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x14ac:dyDescent="0.45">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x14ac:dyDescent="0.45">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x14ac:dyDescent="0.45">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x14ac:dyDescent="0.45">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x14ac:dyDescent="0.45">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x14ac:dyDescent="0.45">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x14ac:dyDescent="0.45">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x14ac:dyDescent="0.45">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x14ac:dyDescent="0.45">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x14ac:dyDescent="0.45">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x14ac:dyDescent="0.45">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x14ac:dyDescent="0.45">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x14ac:dyDescent="0.45">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9.4" x14ac:dyDescent="0.4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45">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x14ac:dyDescent="0.45">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x14ac:dyDescent="0.45">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x14ac:dyDescent="0.45">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x14ac:dyDescent="0.45">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x14ac:dyDescent="0.45">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x14ac:dyDescent="0.45">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x14ac:dyDescent="0.45">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x14ac:dyDescent="0.45">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x14ac:dyDescent="0.45">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x14ac:dyDescent="0.45">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x14ac:dyDescent="0.45">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x14ac:dyDescent="0.45">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x14ac:dyDescent="0.45">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x14ac:dyDescent="0.45">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x14ac:dyDescent="0.45">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9.4" x14ac:dyDescent="0.4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45">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x14ac:dyDescent="0.45">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x14ac:dyDescent="0.45">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x14ac:dyDescent="0.45">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x14ac:dyDescent="0.45">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x14ac:dyDescent="0.45">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x14ac:dyDescent="0.45">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x14ac:dyDescent="0.45">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x14ac:dyDescent="0.45">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x14ac:dyDescent="0.45">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x14ac:dyDescent="0.45">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x14ac:dyDescent="0.45">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x14ac:dyDescent="0.45">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x14ac:dyDescent="0.45">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x14ac:dyDescent="0.45">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x14ac:dyDescent="0.45">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9.4" x14ac:dyDescent="0.4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45">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x14ac:dyDescent="0.45">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x14ac:dyDescent="0.45">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x14ac:dyDescent="0.45">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x14ac:dyDescent="0.45">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x14ac:dyDescent="0.45">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x14ac:dyDescent="0.45">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x14ac:dyDescent="0.45">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x14ac:dyDescent="0.45">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x14ac:dyDescent="0.45">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x14ac:dyDescent="0.45">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x14ac:dyDescent="0.45">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x14ac:dyDescent="0.45">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x14ac:dyDescent="0.45">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x14ac:dyDescent="0.45">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x14ac:dyDescent="0.45">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9.4" x14ac:dyDescent="0.4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45">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x14ac:dyDescent="0.45">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x14ac:dyDescent="0.45">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x14ac:dyDescent="0.45">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x14ac:dyDescent="0.45">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x14ac:dyDescent="0.45">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x14ac:dyDescent="0.45">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x14ac:dyDescent="0.45">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x14ac:dyDescent="0.45">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x14ac:dyDescent="0.45">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x14ac:dyDescent="0.45">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x14ac:dyDescent="0.45">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x14ac:dyDescent="0.45">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x14ac:dyDescent="0.45">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x14ac:dyDescent="0.45">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x14ac:dyDescent="0.45">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9.4" x14ac:dyDescent="0.4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45">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x14ac:dyDescent="0.45">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x14ac:dyDescent="0.45">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x14ac:dyDescent="0.45">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x14ac:dyDescent="0.45">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x14ac:dyDescent="0.45">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x14ac:dyDescent="0.45">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x14ac:dyDescent="0.45">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x14ac:dyDescent="0.45">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x14ac:dyDescent="0.45">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x14ac:dyDescent="0.45">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x14ac:dyDescent="0.45">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x14ac:dyDescent="0.45">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x14ac:dyDescent="0.45">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x14ac:dyDescent="0.45">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x14ac:dyDescent="0.45">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9.4" x14ac:dyDescent="0.4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45">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x14ac:dyDescent="0.45">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x14ac:dyDescent="0.45">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x14ac:dyDescent="0.45">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x14ac:dyDescent="0.45">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x14ac:dyDescent="0.45">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x14ac:dyDescent="0.45">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x14ac:dyDescent="0.45">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x14ac:dyDescent="0.45">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x14ac:dyDescent="0.45">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x14ac:dyDescent="0.45">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x14ac:dyDescent="0.45">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x14ac:dyDescent="0.45">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x14ac:dyDescent="0.45">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x14ac:dyDescent="0.45">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x14ac:dyDescent="0.45">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9.4" x14ac:dyDescent="0.4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45">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x14ac:dyDescent="0.45">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x14ac:dyDescent="0.45">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x14ac:dyDescent="0.45">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x14ac:dyDescent="0.45">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x14ac:dyDescent="0.45">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x14ac:dyDescent="0.45">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x14ac:dyDescent="0.45">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x14ac:dyDescent="0.45">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x14ac:dyDescent="0.45">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x14ac:dyDescent="0.45">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x14ac:dyDescent="0.45">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x14ac:dyDescent="0.45">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x14ac:dyDescent="0.45">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x14ac:dyDescent="0.45">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x14ac:dyDescent="0.45">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328125" defaultRowHeight="13.15" x14ac:dyDescent="0.45"/>
  <cols>
    <col min="1" max="1" width="9.1328125" style="2"/>
    <col min="2" max="2" width="40.265625" style="2" bestFit="1" customWidth="1"/>
    <col min="3" max="3" width="11.73046875" style="2" bestFit="1" customWidth="1"/>
    <col min="4" max="9" width="10.265625" style="2" customWidth="1"/>
    <col min="10" max="10" width="10.265625" style="2" bestFit="1" customWidth="1"/>
    <col min="11" max="11" width="40.265625" style="2" bestFit="1" customWidth="1"/>
    <col min="12" max="12" width="11.73046875" style="2" bestFit="1" customWidth="1"/>
    <col min="13" max="18" width="10.265625" style="2" customWidth="1"/>
    <col min="19" max="19" width="9.73046875" style="2" customWidth="1"/>
    <col min="20" max="20" width="40.265625" style="2" bestFit="1" customWidth="1"/>
    <col min="21" max="21" width="11.73046875" style="2" bestFit="1" customWidth="1"/>
    <col min="22" max="27" width="10.265625" style="2" customWidth="1"/>
    <col min="28" max="28" width="9.1328125" style="2"/>
    <col min="29" max="29" width="40.265625" style="2" bestFit="1" customWidth="1"/>
    <col min="30" max="30" width="11.73046875" style="2" bestFit="1" customWidth="1"/>
    <col min="31" max="36" width="10.265625" style="2" customWidth="1"/>
    <col min="37" max="37" width="9.1328125" style="2"/>
    <col min="38" max="38" width="40.265625" style="2" bestFit="1" customWidth="1"/>
    <col min="39" max="39" width="11.73046875" style="2" bestFit="1" customWidth="1"/>
    <col min="40" max="45" width="10.265625" style="2" customWidth="1"/>
    <col min="46" max="46" width="9.1328125" style="2"/>
    <col min="47" max="47" width="40.265625" style="2" bestFit="1" customWidth="1"/>
    <col min="48" max="48" width="11.73046875" style="2" bestFit="1" customWidth="1"/>
    <col min="49" max="54" width="10.265625" style="2" customWidth="1"/>
    <col min="55" max="55" width="9.1328125" style="2"/>
    <col min="56" max="56" width="40.265625" style="2" bestFit="1" customWidth="1"/>
    <col min="57" max="57" width="11.73046875" style="2" bestFit="1" customWidth="1"/>
    <col min="58" max="63" width="10.265625" style="2" customWidth="1"/>
    <col min="64" max="16384" width="9.1328125" style="2"/>
  </cols>
  <sheetData>
    <row r="2" spans="2:10" x14ac:dyDescent="0.4">
      <c r="B2" s="55" t="s">
        <v>398</v>
      </c>
      <c r="C2" s="1"/>
      <c r="D2" s="1"/>
      <c r="E2" s="1"/>
      <c r="F2" s="1"/>
      <c r="G2" s="1"/>
      <c r="H2" s="1"/>
      <c r="I2" s="1"/>
      <c r="J2" s="1"/>
    </row>
    <row r="3" spans="2:10" x14ac:dyDescent="0.4">
      <c r="B3" s="1"/>
      <c r="C3" s="1"/>
      <c r="D3" s="1"/>
      <c r="E3" s="1"/>
      <c r="F3" s="1"/>
      <c r="G3" s="1"/>
      <c r="H3" s="1"/>
      <c r="I3" s="1"/>
      <c r="J3" s="1"/>
    </row>
    <row r="4" spans="2:10" x14ac:dyDescent="0.4">
      <c r="B4" s="17" t="s">
        <v>400</v>
      </c>
      <c r="C4" s="17" t="s">
        <v>401</v>
      </c>
      <c r="D4" s="17" t="s">
        <v>402</v>
      </c>
      <c r="E4" s="17" t="s">
        <v>403</v>
      </c>
      <c r="F4" s="17" t="s">
        <v>404</v>
      </c>
      <c r="G4" s="17" t="s">
        <v>405</v>
      </c>
      <c r="H4" s="17" t="s">
        <v>406</v>
      </c>
      <c r="I4" s="17" t="s">
        <v>407</v>
      </c>
      <c r="J4" s="58" t="s">
        <v>107</v>
      </c>
    </row>
    <row r="5" spans="2:10" x14ac:dyDescent="0.4">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4">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4">
      <c r="B7" s="59" t="s">
        <v>348</v>
      </c>
      <c r="C7" s="62">
        <f>H41</f>
        <v>174000</v>
      </c>
      <c r="D7" s="62">
        <f>Q41</f>
        <v>174000</v>
      </c>
      <c r="E7" s="62">
        <f>Z41</f>
        <v>174000</v>
      </c>
      <c r="F7" s="62">
        <f>AI41</f>
        <v>174000</v>
      </c>
      <c r="G7" s="62">
        <f>AR41</f>
        <v>174000</v>
      </c>
      <c r="H7" s="62">
        <f>BA41</f>
        <v>174000</v>
      </c>
      <c r="I7" s="62">
        <f>BJ41</f>
        <v>174000</v>
      </c>
      <c r="J7" s="57">
        <f t="shared" si="1"/>
        <v>1218000</v>
      </c>
    </row>
    <row r="8" spans="2:10" x14ac:dyDescent="0.4">
      <c r="B8" s="59" t="s">
        <v>350</v>
      </c>
      <c r="C8" s="62">
        <f>G41</f>
        <v>79520</v>
      </c>
      <c r="D8" s="62">
        <f>P41</f>
        <v>79520</v>
      </c>
      <c r="E8" s="62">
        <f>Y41</f>
        <v>79520</v>
      </c>
      <c r="F8" s="62">
        <f>AH41</f>
        <v>79520</v>
      </c>
      <c r="G8" s="62">
        <f>AQ41</f>
        <v>79520</v>
      </c>
      <c r="H8" s="62">
        <f>AZ41</f>
        <v>79520</v>
      </c>
      <c r="I8" s="62">
        <f>BI41</f>
        <v>79520</v>
      </c>
      <c r="J8" s="57">
        <f t="shared" si="1"/>
        <v>556640</v>
      </c>
    </row>
    <row r="9" spans="2:10" x14ac:dyDescent="0.4">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4">
      <c r="B10" s="1"/>
      <c r="C10" s="1"/>
      <c r="D10" s="1"/>
      <c r="E10" s="1"/>
      <c r="F10" s="1"/>
      <c r="G10" s="1"/>
      <c r="H10" s="1"/>
      <c r="I10" s="1"/>
      <c r="J10" s="1"/>
    </row>
    <row r="11" spans="2:10" x14ac:dyDescent="0.4">
      <c r="B11" s="17" t="s">
        <v>400</v>
      </c>
      <c r="C11" s="17" t="s">
        <v>401</v>
      </c>
      <c r="D11" s="17" t="s">
        <v>402</v>
      </c>
      <c r="E11" s="17" t="s">
        <v>403</v>
      </c>
      <c r="F11" s="17" t="s">
        <v>404</v>
      </c>
      <c r="G11" s="17" t="s">
        <v>405</v>
      </c>
      <c r="H11" s="17" t="s">
        <v>406</v>
      </c>
      <c r="I11" s="17" t="s">
        <v>407</v>
      </c>
      <c r="J11" s="58" t="s">
        <v>107</v>
      </c>
    </row>
    <row r="12" spans="2:10" x14ac:dyDescent="0.4">
      <c r="B12" s="18" t="s">
        <v>411</v>
      </c>
      <c r="C12" s="60">
        <v>250000</v>
      </c>
      <c r="D12" s="60">
        <v>160000</v>
      </c>
      <c r="E12" s="60">
        <v>370000</v>
      </c>
      <c r="F12" s="60">
        <v>180000</v>
      </c>
      <c r="G12" s="60">
        <v>290000</v>
      </c>
      <c r="H12" s="60">
        <v>200000</v>
      </c>
      <c r="I12" s="60">
        <v>410000</v>
      </c>
      <c r="J12" s="57">
        <f>SUM(C12:I12)</f>
        <v>1860000</v>
      </c>
    </row>
    <row r="13" spans="2:10" x14ac:dyDescent="0.4">
      <c r="B13" s="18" t="s">
        <v>413</v>
      </c>
      <c r="C13" s="60"/>
      <c r="D13" s="60"/>
      <c r="E13" s="60"/>
      <c r="F13" s="60"/>
      <c r="G13" s="60"/>
      <c r="H13" s="60"/>
      <c r="I13" s="60"/>
      <c r="J13" s="57">
        <f t="shared" ref="J13:J26" si="4">SUM(C13:I13)</f>
        <v>0</v>
      </c>
    </row>
    <row r="14" spans="2:10" x14ac:dyDescent="0.4">
      <c r="B14" s="18" t="s">
        <v>414</v>
      </c>
      <c r="C14" s="60"/>
      <c r="D14" s="60"/>
      <c r="E14" s="60"/>
      <c r="F14" s="60"/>
      <c r="G14" s="60"/>
      <c r="H14" s="60"/>
      <c r="I14" s="60"/>
      <c r="J14" s="57">
        <f t="shared" si="4"/>
        <v>0</v>
      </c>
    </row>
    <row r="15" spans="2:10" x14ac:dyDescent="0.4">
      <c r="B15" s="18" t="s">
        <v>415</v>
      </c>
      <c r="C15" s="60"/>
      <c r="D15" s="60"/>
      <c r="E15" s="60"/>
      <c r="F15" s="60"/>
      <c r="G15" s="60"/>
      <c r="H15" s="60"/>
      <c r="I15" s="60"/>
      <c r="J15" s="57">
        <f t="shared" si="4"/>
        <v>0</v>
      </c>
    </row>
    <row r="16" spans="2:10" x14ac:dyDescent="0.4">
      <c r="B16" s="18" t="s">
        <v>416</v>
      </c>
      <c r="C16" s="60"/>
      <c r="D16" s="60"/>
      <c r="E16" s="60"/>
      <c r="F16" s="60"/>
      <c r="G16" s="60"/>
      <c r="H16" s="60"/>
      <c r="I16" s="60"/>
      <c r="J16" s="57">
        <f t="shared" si="4"/>
        <v>0</v>
      </c>
    </row>
    <row r="17" spans="2:63" x14ac:dyDescent="0.4">
      <c r="B17" s="18" t="s">
        <v>417</v>
      </c>
      <c r="C17" s="60"/>
      <c r="D17" s="60"/>
      <c r="E17" s="60"/>
      <c r="F17" s="60"/>
      <c r="G17" s="60"/>
      <c r="H17" s="60"/>
      <c r="I17" s="60"/>
      <c r="J17" s="57">
        <f t="shared" si="4"/>
        <v>0</v>
      </c>
    </row>
    <row r="18" spans="2:63" x14ac:dyDescent="0.4">
      <c r="B18" s="18" t="s">
        <v>420</v>
      </c>
      <c r="C18" s="60"/>
      <c r="D18" s="60"/>
      <c r="E18" s="60"/>
      <c r="F18" s="60"/>
      <c r="G18" s="60"/>
      <c r="H18" s="60"/>
      <c r="I18" s="60"/>
      <c r="J18" s="57">
        <f t="shared" si="4"/>
        <v>0</v>
      </c>
    </row>
    <row r="19" spans="2:63" x14ac:dyDescent="0.4">
      <c r="B19" s="18" t="s">
        <v>423</v>
      </c>
      <c r="C19" s="60"/>
      <c r="D19" s="60"/>
      <c r="E19" s="60"/>
      <c r="F19" s="60"/>
      <c r="G19" s="60"/>
      <c r="H19" s="60"/>
      <c r="I19" s="60"/>
      <c r="J19" s="57">
        <f t="shared" si="4"/>
        <v>0</v>
      </c>
    </row>
    <row r="20" spans="2:63" x14ac:dyDescent="0.4">
      <c r="B20" s="18" t="s">
        <v>425</v>
      </c>
      <c r="C20" s="60"/>
      <c r="D20" s="60"/>
      <c r="E20" s="60"/>
      <c r="F20" s="60"/>
      <c r="G20" s="60"/>
      <c r="H20" s="60"/>
      <c r="I20" s="60"/>
      <c r="J20" s="57">
        <f t="shared" si="4"/>
        <v>0</v>
      </c>
    </row>
    <row r="21" spans="2:63" x14ac:dyDescent="0.4">
      <c r="B21" s="18" t="s">
        <v>426</v>
      </c>
      <c r="C21" s="60"/>
      <c r="D21" s="60"/>
      <c r="E21" s="60"/>
      <c r="F21" s="60"/>
      <c r="G21" s="60"/>
      <c r="H21" s="60"/>
      <c r="I21" s="60"/>
      <c r="J21" s="57">
        <f t="shared" si="4"/>
        <v>0</v>
      </c>
    </row>
    <row r="22" spans="2:63" x14ac:dyDescent="0.4">
      <c r="B22" s="18" t="s">
        <v>427</v>
      </c>
      <c r="C22" s="60"/>
      <c r="D22" s="60"/>
      <c r="E22" s="60"/>
      <c r="F22" s="60"/>
      <c r="G22" s="60"/>
      <c r="H22" s="60"/>
      <c r="I22" s="60"/>
      <c r="J22" s="57">
        <f t="shared" si="4"/>
        <v>0</v>
      </c>
    </row>
    <row r="23" spans="2:63" x14ac:dyDescent="0.4">
      <c r="B23" s="18" t="s">
        <v>428</v>
      </c>
      <c r="C23" s="60"/>
      <c r="D23" s="60"/>
      <c r="E23" s="60"/>
      <c r="F23" s="60"/>
      <c r="G23" s="60"/>
      <c r="H23" s="60"/>
      <c r="I23" s="60"/>
      <c r="J23" s="57">
        <f t="shared" si="4"/>
        <v>0</v>
      </c>
    </row>
    <row r="24" spans="2:63" x14ac:dyDescent="0.4">
      <c r="B24" s="18" t="s">
        <v>429</v>
      </c>
      <c r="C24" s="60"/>
      <c r="D24" s="60"/>
      <c r="E24" s="60"/>
      <c r="F24" s="60"/>
      <c r="G24" s="60"/>
      <c r="H24" s="60"/>
      <c r="I24" s="60"/>
      <c r="J24" s="57">
        <f t="shared" si="4"/>
        <v>0</v>
      </c>
    </row>
    <row r="25" spans="2:63" x14ac:dyDescent="0.4">
      <c r="B25" s="18" t="s">
        <v>430</v>
      </c>
      <c r="C25" s="60"/>
      <c r="D25" s="60"/>
      <c r="E25" s="60"/>
      <c r="F25" s="60"/>
      <c r="G25" s="60"/>
      <c r="H25" s="60"/>
      <c r="I25" s="60"/>
      <c r="J25" s="57">
        <f t="shared" si="4"/>
        <v>0</v>
      </c>
    </row>
    <row r="26" spans="2:63" x14ac:dyDescent="0.4">
      <c r="B26" s="18" t="s">
        <v>431</v>
      </c>
      <c r="C26" s="60"/>
      <c r="D26" s="60"/>
      <c r="E26" s="60"/>
      <c r="F26" s="60"/>
      <c r="G26" s="60"/>
      <c r="H26" s="60"/>
      <c r="I26" s="60"/>
      <c r="J26" s="57">
        <f t="shared" si="4"/>
        <v>0</v>
      </c>
    </row>
    <row r="27" spans="2:63" x14ac:dyDescent="0.4">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45">
      <c r="B29" s="859" t="s">
        <v>432</v>
      </c>
      <c r="C29" s="859"/>
      <c r="D29" s="859"/>
      <c r="E29" s="859"/>
      <c r="F29" s="859"/>
      <c r="G29" s="859"/>
      <c r="H29" s="859"/>
      <c r="I29" s="859"/>
      <c r="K29" s="859" t="s">
        <v>433</v>
      </c>
      <c r="L29" s="859"/>
      <c r="M29" s="859"/>
      <c r="N29" s="859"/>
      <c r="O29" s="859"/>
      <c r="P29" s="859"/>
      <c r="Q29" s="859"/>
      <c r="R29" s="859"/>
      <c r="T29" s="859" t="s">
        <v>434</v>
      </c>
      <c r="U29" s="859"/>
      <c r="V29" s="859"/>
      <c r="W29" s="859"/>
      <c r="X29" s="859"/>
      <c r="Y29" s="859"/>
      <c r="Z29" s="859"/>
      <c r="AA29" s="859"/>
      <c r="AC29" s="859" t="s">
        <v>435</v>
      </c>
      <c r="AD29" s="859"/>
      <c r="AE29" s="859"/>
      <c r="AF29" s="859"/>
      <c r="AG29" s="859"/>
      <c r="AH29" s="859"/>
      <c r="AI29" s="859"/>
      <c r="AJ29" s="859"/>
      <c r="AL29" s="859" t="s">
        <v>436</v>
      </c>
      <c r="AM29" s="859"/>
      <c r="AN29" s="859"/>
      <c r="AO29" s="859"/>
      <c r="AP29" s="859"/>
      <c r="AQ29" s="859"/>
      <c r="AR29" s="859"/>
      <c r="AS29" s="859"/>
      <c r="AU29" s="859" t="s">
        <v>437</v>
      </c>
      <c r="AV29" s="859"/>
      <c r="AW29" s="859"/>
      <c r="AX29" s="859"/>
      <c r="AY29" s="859"/>
      <c r="AZ29" s="859"/>
      <c r="BA29" s="859"/>
      <c r="BB29" s="859"/>
      <c r="BD29" s="859" t="s">
        <v>438</v>
      </c>
      <c r="BE29" s="859"/>
      <c r="BF29" s="859"/>
      <c r="BG29" s="859"/>
      <c r="BH29" s="859"/>
      <c r="BI29" s="859"/>
      <c r="BJ29" s="859"/>
      <c r="BK29" s="859"/>
    </row>
    <row r="31" spans="2:63" s="20" customFormat="1" ht="54" customHeight="1" x14ac:dyDescent="0.45">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x14ac:dyDescent="0.45">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x14ac:dyDescent="0.45">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45">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x14ac:dyDescent="0.45">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x14ac:dyDescent="0.45">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x14ac:dyDescent="0.45">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x14ac:dyDescent="0.45">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x14ac:dyDescent="0.45">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x14ac:dyDescent="0.45">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x14ac:dyDescent="0.45">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4" x14ac:dyDescent="0.45">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x14ac:dyDescent="0.45">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x14ac:dyDescent="0.45">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x14ac:dyDescent="0.45">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x14ac:dyDescent="0.45">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x14ac:dyDescent="0.45">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x14ac:dyDescent="0.45">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x14ac:dyDescent="0.45">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x14ac:dyDescent="0.45">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x14ac:dyDescent="0.45">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x14ac:dyDescent="0.45">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x14ac:dyDescent="0.45">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x14ac:dyDescent="0.45">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x14ac:dyDescent="0.45">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x14ac:dyDescent="0.45">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x14ac:dyDescent="0.45">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x14ac:dyDescent="0.45">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9.4" x14ac:dyDescent="0.4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45">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x14ac:dyDescent="0.45">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x14ac:dyDescent="0.45">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x14ac:dyDescent="0.45">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x14ac:dyDescent="0.45">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x14ac:dyDescent="0.45">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x14ac:dyDescent="0.45">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x14ac:dyDescent="0.45">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x14ac:dyDescent="0.45">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x14ac:dyDescent="0.45">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x14ac:dyDescent="0.45">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x14ac:dyDescent="0.45">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x14ac:dyDescent="0.45">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x14ac:dyDescent="0.45">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x14ac:dyDescent="0.45">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x14ac:dyDescent="0.45">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9.4" x14ac:dyDescent="0.4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45">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x14ac:dyDescent="0.45">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x14ac:dyDescent="0.45">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x14ac:dyDescent="0.45">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x14ac:dyDescent="0.45">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x14ac:dyDescent="0.45">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x14ac:dyDescent="0.45">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x14ac:dyDescent="0.45">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x14ac:dyDescent="0.45">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x14ac:dyDescent="0.45">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x14ac:dyDescent="0.45">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x14ac:dyDescent="0.45">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x14ac:dyDescent="0.45">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x14ac:dyDescent="0.45">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x14ac:dyDescent="0.45">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x14ac:dyDescent="0.45">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9.4" x14ac:dyDescent="0.4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45">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x14ac:dyDescent="0.45">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x14ac:dyDescent="0.45">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x14ac:dyDescent="0.45">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x14ac:dyDescent="0.45">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x14ac:dyDescent="0.45">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x14ac:dyDescent="0.45">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x14ac:dyDescent="0.45">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x14ac:dyDescent="0.45">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x14ac:dyDescent="0.45">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x14ac:dyDescent="0.45">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x14ac:dyDescent="0.45">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x14ac:dyDescent="0.45">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x14ac:dyDescent="0.45">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x14ac:dyDescent="0.45">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x14ac:dyDescent="0.45">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9.4" x14ac:dyDescent="0.4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45">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x14ac:dyDescent="0.45">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x14ac:dyDescent="0.45">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x14ac:dyDescent="0.45">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x14ac:dyDescent="0.45">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x14ac:dyDescent="0.45">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x14ac:dyDescent="0.45">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x14ac:dyDescent="0.45">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x14ac:dyDescent="0.45">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x14ac:dyDescent="0.45">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x14ac:dyDescent="0.45">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x14ac:dyDescent="0.45">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x14ac:dyDescent="0.45">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x14ac:dyDescent="0.45">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x14ac:dyDescent="0.45">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x14ac:dyDescent="0.45">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9.4" x14ac:dyDescent="0.4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45">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x14ac:dyDescent="0.45">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x14ac:dyDescent="0.45">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x14ac:dyDescent="0.45">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x14ac:dyDescent="0.45">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x14ac:dyDescent="0.45">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x14ac:dyDescent="0.45">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x14ac:dyDescent="0.45">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x14ac:dyDescent="0.45">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x14ac:dyDescent="0.45">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x14ac:dyDescent="0.45">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x14ac:dyDescent="0.45">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x14ac:dyDescent="0.45">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x14ac:dyDescent="0.45">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x14ac:dyDescent="0.45">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x14ac:dyDescent="0.45">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9.4" x14ac:dyDescent="0.4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45">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x14ac:dyDescent="0.45">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x14ac:dyDescent="0.45">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x14ac:dyDescent="0.45">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x14ac:dyDescent="0.45">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x14ac:dyDescent="0.45">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x14ac:dyDescent="0.45">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x14ac:dyDescent="0.45">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x14ac:dyDescent="0.45">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x14ac:dyDescent="0.45">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x14ac:dyDescent="0.45">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x14ac:dyDescent="0.45">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x14ac:dyDescent="0.45">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x14ac:dyDescent="0.45">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x14ac:dyDescent="0.45">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x14ac:dyDescent="0.45">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9.4" x14ac:dyDescent="0.4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45">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x14ac:dyDescent="0.45">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x14ac:dyDescent="0.45">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x14ac:dyDescent="0.45">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x14ac:dyDescent="0.45">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x14ac:dyDescent="0.45">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x14ac:dyDescent="0.45">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x14ac:dyDescent="0.45">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x14ac:dyDescent="0.45">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x14ac:dyDescent="0.45">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x14ac:dyDescent="0.45">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x14ac:dyDescent="0.45">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x14ac:dyDescent="0.45">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x14ac:dyDescent="0.45">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x14ac:dyDescent="0.45">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x14ac:dyDescent="0.45">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9.4" x14ac:dyDescent="0.4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45">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x14ac:dyDescent="0.45">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x14ac:dyDescent="0.45">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x14ac:dyDescent="0.45">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x14ac:dyDescent="0.45">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x14ac:dyDescent="0.45">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x14ac:dyDescent="0.45">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x14ac:dyDescent="0.45">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x14ac:dyDescent="0.45">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x14ac:dyDescent="0.45">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x14ac:dyDescent="0.45">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x14ac:dyDescent="0.45">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x14ac:dyDescent="0.45">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x14ac:dyDescent="0.45">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x14ac:dyDescent="0.45">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x14ac:dyDescent="0.45">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328125" defaultRowHeight="13.15" outlineLevelRow="1" outlineLevelCol="1" x14ac:dyDescent="0.45"/>
  <cols>
    <col min="1" max="1" width="9.1328125" style="2"/>
    <col min="2" max="2" width="40.265625" style="2" bestFit="1" customWidth="1"/>
    <col min="3" max="3" width="11.73046875" style="2" bestFit="1" customWidth="1"/>
    <col min="4" max="5" width="13.1328125" style="2" bestFit="1" customWidth="1"/>
    <col min="6" max="7" width="10.265625" style="2" customWidth="1"/>
    <col min="8" max="8" width="12.1328125" style="2" bestFit="1" customWidth="1"/>
    <col min="9" max="9" width="13.3984375" style="2" bestFit="1" customWidth="1"/>
    <col min="10" max="10" width="15.86328125" style="2" customWidth="1"/>
    <col min="11" max="11" width="10.265625" style="2" bestFit="1" customWidth="1"/>
    <col min="12" max="12" width="40.265625" style="2" bestFit="1" customWidth="1"/>
    <col min="13" max="13" width="11.73046875" style="2" bestFit="1" customWidth="1"/>
    <col min="14" max="19" width="10.265625" style="2" customWidth="1"/>
    <col min="20" max="20" width="20.73046875" style="2" customWidth="1"/>
    <col min="21" max="21" width="9.73046875" style="2" customWidth="1"/>
    <col min="22" max="22" width="40.265625" style="2" hidden="1" customWidth="1" outlineLevel="1"/>
    <col min="23" max="23" width="11.73046875" style="2" hidden="1" customWidth="1" outlineLevel="1"/>
    <col min="24" max="29" width="10.265625" style="2" hidden="1" customWidth="1" outlineLevel="1"/>
    <col min="30" max="30" width="0" style="2" hidden="1" customWidth="1" outlineLevel="1"/>
    <col min="31" max="31" width="40.265625" style="2" hidden="1" customWidth="1" outlineLevel="1"/>
    <col min="32" max="32" width="11.73046875" style="2" hidden="1" customWidth="1" outlineLevel="1"/>
    <col min="33" max="38" width="10.265625" style="2" hidden="1" customWidth="1" outlineLevel="1"/>
    <col min="39" max="39" width="0" style="2" hidden="1" customWidth="1" outlineLevel="1"/>
    <col min="40" max="40" width="40.265625" style="2" hidden="1" customWidth="1" outlineLevel="1"/>
    <col min="41" max="41" width="11.73046875" style="2" hidden="1" customWidth="1" outlineLevel="1"/>
    <col min="42" max="47" width="10.265625" style="2" hidden="1" customWidth="1" outlineLevel="1"/>
    <col min="48" max="48" width="0" style="2" hidden="1" customWidth="1" outlineLevel="1"/>
    <col min="49" max="49" width="40.265625" style="2" hidden="1" customWidth="1" outlineLevel="1"/>
    <col min="50" max="50" width="11.73046875" style="2" hidden="1" customWidth="1" outlineLevel="1"/>
    <col min="51" max="56" width="10.265625" style="2" hidden="1" customWidth="1" outlineLevel="1"/>
    <col min="57" max="57" width="0" style="2" hidden="1" customWidth="1" outlineLevel="1"/>
    <col min="58" max="58" width="40.265625" style="2" hidden="1" customWidth="1" outlineLevel="1"/>
    <col min="59" max="59" width="11.73046875" style="2" hidden="1" customWidth="1" outlineLevel="1"/>
    <col min="60" max="65" width="10.265625" style="2" hidden="1" customWidth="1" outlineLevel="1"/>
    <col min="66" max="66" width="9.1328125" style="2" collapsed="1"/>
    <col min="67" max="16384" width="9.1328125" style="2"/>
  </cols>
  <sheetData>
    <row r="2" spans="2:19" x14ac:dyDescent="0.4">
      <c r="B2" s="55" t="s">
        <v>398</v>
      </c>
      <c r="C2" s="1"/>
      <c r="D2" s="1"/>
      <c r="E2" s="1"/>
      <c r="F2" s="1"/>
      <c r="G2" s="1"/>
      <c r="H2" s="1"/>
      <c r="I2" s="1"/>
      <c r="J2" s="1"/>
      <c r="S2" s="1"/>
    </row>
    <row r="3" spans="2:19" x14ac:dyDescent="0.4">
      <c r="B3" s="1"/>
      <c r="C3" s="1"/>
      <c r="D3" s="1"/>
      <c r="E3" s="1"/>
      <c r="F3" s="1"/>
      <c r="G3" s="1"/>
      <c r="H3" s="1"/>
      <c r="I3" s="1"/>
      <c r="J3" s="1"/>
    </row>
    <row r="4" spans="2:19" x14ac:dyDescent="0.4">
      <c r="B4" s="17" t="s">
        <v>400</v>
      </c>
      <c r="C4" s="17" t="s">
        <v>401</v>
      </c>
      <c r="D4" s="17" t="s">
        <v>402</v>
      </c>
      <c r="E4" s="17" t="s">
        <v>403</v>
      </c>
      <c r="F4" s="17" t="s">
        <v>404</v>
      </c>
      <c r="G4" s="17" t="s">
        <v>405</v>
      </c>
      <c r="H4" s="17" t="s">
        <v>406</v>
      </c>
      <c r="I4" s="17" t="s">
        <v>407</v>
      </c>
      <c r="J4" s="58" t="s">
        <v>107</v>
      </c>
    </row>
    <row r="5" spans="2:19" x14ac:dyDescent="0.4">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x14ac:dyDescent="0.4">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4">
      <c r="B7" s="59" t="s">
        <v>348</v>
      </c>
      <c r="C7" s="62">
        <f>H41</f>
        <v>0</v>
      </c>
      <c r="D7" s="62">
        <f>R41</f>
        <v>0</v>
      </c>
      <c r="E7" s="62">
        <f>AB41</f>
        <v>0</v>
      </c>
      <c r="F7" s="62">
        <f>AK41</f>
        <v>0</v>
      </c>
      <c r="G7" s="62">
        <f>AT41</f>
        <v>0</v>
      </c>
      <c r="H7" s="62">
        <f>BC41</f>
        <v>0</v>
      </c>
      <c r="I7" s="62">
        <f>BL41</f>
        <v>0</v>
      </c>
      <c r="J7" s="57">
        <f>SUM(C7:I7)</f>
        <v>0</v>
      </c>
    </row>
    <row r="8" spans="2:19" x14ac:dyDescent="0.4">
      <c r="B8" s="59" t="s">
        <v>350</v>
      </c>
      <c r="C8" s="62">
        <f>G41</f>
        <v>0</v>
      </c>
      <c r="D8" s="62">
        <f>Q41</f>
        <v>0</v>
      </c>
      <c r="E8" s="62">
        <f>AA41</f>
        <v>0</v>
      </c>
      <c r="F8" s="62">
        <f>AJ41</f>
        <v>0</v>
      </c>
      <c r="G8" s="62">
        <f>AS41</f>
        <v>0</v>
      </c>
      <c r="H8" s="62">
        <f>BB41</f>
        <v>0</v>
      </c>
      <c r="I8" s="62">
        <f>BK41</f>
        <v>0</v>
      </c>
      <c r="J8" s="57">
        <f>SUM(C8:I8)</f>
        <v>0</v>
      </c>
    </row>
    <row r="9" spans="2:19" x14ac:dyDescent="0.4">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4">
      <c r="B10" s="1"/>
      <c r="C10" s="1"/>
      <c r="D10" s="1"/>
      <c r="E10" s="1"/>
      <c r="F10" s="1"/>
      <c r="G10" s="1"/>
      <c r="H10" s="1"/>
      <c r="I10" s="1"/>
      <c r="J10" s="1"/>
    </row>
    <row r="11" spans="2:19" x14ac:dyDescent="0.4">
      <c r="B11" s="17" t="s">
        <v>400</v>
      </c>
      <c r="C11" s="17" t="s">
        <v>401</v>
      </c>
      <c r="D11" s="17" t="s">
        <v>402</v>
      </c>
      <c r="E11" s="17" t="s">
        <v>403</v>
      </c>
      <c r="F11" s="17" t="s">
        <v>404</v>
      </c>
      <c r="G11" s="17" t="s">
        <v>405</v>
      </c>
      <c r="H11" s="17" t="s">
        <v>406</v>
      </c>
      <c r="I11" s="17" t="s">
        <v>407</v>
      </c>
      <c r="J11" s="58" t="s">
        <v>107</v>
      </c>
    </row>
    <row r="12" spans="2:19" x14ac:dyDescent="0.4">
      <c r="B12" s="18" t="s">
        <v>411</v>
      </c>
      <c r="C12" s="213"/>
      <c r="D12" s="213"/>
      <c r="E12" s="60"/>
      <c r="F12" s="60"/>
      <c r="G12" s="60"/>
      <c r="H12" s="60"/>
      <c r="I12" s="60"/>
      <c r="J12" s="57">
        <f t="shared" ref="J12:J26" si="3">SUM(C12:I12)</f>
        <v>0</v>
      </c>
      <c r="L12" s="2" t="s">
        <v>412</v>
      </c>
    </row>
    <row r="13" spans="2:19" x14ac:dyDescent="0.4">
      <c r="B13" s="18" t="s">
        <v>413</v>
      </c>
      <c r="C13" s="60"/>
      <c r="D13" s="60"/>
      <c r="E13" s="60"/>
      <c r="F13" s="60"/>
      <c r="G13" s="60"/>
      <c r="H13" s="60"/>
      <c r="I13" s="60"/>
      <c r="J13" s="57">
        <f t="shared" si="3"/>
        <v>0</v>
      </c>
    </row>
    <row r="14" spans="2:19" x14ac:dyDescent="0.4">
      <c r="B14" s="18" t="s">
        <v>414</v>
      </c>
      <c r="C14" s="60"/>
      <c r="D14" s="60"/>
      <c r="E14" s="60"/>
      <c r="F14" s="60"/>
      <c r="G14" s="60"/>
      <c r="H14" s="60"/>
      <c r="I14" s="60"/>
      <c r="J14" s="57">
        <f t="shared" si="3"/>
        <v>0</v>
      </c>
    </row>
    <row r="15" spans="2:19" x14ac:dyDescent="0.4">
      <c r="B15" s="18" t="s">
        <v>415</v>
      </c>
      <c r="C15" s="60"/>
      <c r="D15" s="60"/>
      <c r="E15" s="60"/>
      <c r="F15" s="60"/>
      <c r="G15" s="60"/>
      <c r="H15" s="60"/>
      <c r="I15" s="60"/>
      <c r="J15" s="57">
        <f t="shared" si="3"/>
        <v>0</v>
      </c>
    </row>
    <row r="16" spans="2:19" x14ac:dyDescent="0.4">
      <c r="B16" s="18" t="s">
        <v>416</v>
      </c>
      <c r="C16" s="60"/>
      <c r="D16" s="60"/>
      <c r="E16" s="60"/>
      <c r="F16" s="60"/>
      <c r="G16" s="60"/>
      <c r="H16" s="60"/>
      <c r="I16" s="60"/>
      <c r="J16" s="57">
        <f t="shared" si="3"/>
        <v>0</v>
      </c>
    </row>
    <row r="17" spans="1:65" x14ac:dyDescent="0.4">
      <c r="B17" s="18" t="s">
        <v>417</v>
      </c>
      <c r="C17" s="60"/>
      <c r="D17" s="60"/>
      <c r="E17" s="60"/>
      <c r="F17" s="60"/>
      <c r="G17" s="60"/>
      <c r="H17" s="60"/>
      <c r="I17" s="60"/>
      <c r="J17" s="57">
        <f t="shared" si="3"/>
        <v>0</v>
      </c>
      <c r="M17" s="171" t="s">
        <v>418</v>
      </c>
      <c r="T17" s="2" t="s">
        <v>419</v>
      </c>
    </row>
    <row r="18" spans="1:65" x14ac:dyDescent="0.4">
      <c r="B18" s="18" t="s">
        <v>420</v>
      </c>
      <c r="C18" s="60"/>
      <c r="D18" s="60"/>
      <c r="E18" s="60"/>
      <c r="F18" s="60"/>
      <c r="G18" s="60"/>
      <c r="H18" s="60"/>
      <c r="I18" s="60"/>
      <c r="J18" s="57">
        <f t="shared" si="3"/>
        <v>0</v>
      </c>
      <c r="M18" s="171" t="s">
        <v>421</v>
      </c>
      <c r="T18" s="2" t="s">
        <v>422</v>
      </c>
    </row>
    <row r="19" spans="1:65" x14ac:dyDescent="0.4">
      <c r="B19" s="18" t="s">
        <v>423</v>
      </c>
      <c r="C19" s="60"/>
      <c r="D19" s="60"/>
      <c r="E19" s="60"/>
      <c r="F19" s="60"/>
      <c r="G19" s="60"/>
      <c r="H19" s="60"/>
      <c r="I19" s="60"/>
      <c r="J19" s="57">
        <f t="shared" si="3"/>
        <v>0</v>
      </c>
      <c r="T19" s="2" t="s">
        <v>424</v>
      </c>
    </row>
    <row r="20" spans="1:65" x14ac:dyDescent="0.4">
      <c r="B20" s="18" t="s">
        <v>425</v>
      </c>
      <c r="C20" s="60"/>
      <c r="D20" s="60"/>
      <c r="E20" s="60"/>
      <c r="F20" s="60"/>
      <c r="G20" s="60"/>
      <c r="H20" s="60"/>
      <c r="I20" s="60"/>
      <c r="J20" s="57">
        <f t="shared" si="3"/>
        <v>0</v>
      </c>
      <c r="T20" s="2" t="s">
        <v>419</v>
      </c>
    </row>
    <row r="21" spans="1:65" x14ac:dyDescent="0.4">
      <c r="B21" s="18" t="s">
        <v>426</v>
      </c>
      <c r="C21" s="60"/>
      <c r="D21" s="60"/>
      <c r="E21" s="60"/>
      <c r="F21" s="60"/>
      <c r="G21" s="60"/>
      <c r="H21" s="60"/>
      <c r="I21" s="60"/>
      <c r="J21" s="57">
        <f t="shared" si="3"/>
        <v>0</v>
      </c>
    </row>
    <row r="22" spans="1:65" x14ac:dyDescent="0.4">
      <c r="B22" s="18" t="s">
        <v>427</v>
      </c>
      <c r="C22" s="60"/>
      <c r="D22" s="60"/>
      <c r="E22" s="60"/>
      <c r="F22" s="60"/>
      <c r="G22" s="60"/>
      <c r="H22" s="60"/>
      <c r="I22" s="60"/>
      <c r="J22" s="57">
        <f t="shared" si="3"/>
        <v>0</v>
      </c>
    </row>
    <row r="23" spans="1:65" x14ac:dyDescent="0.4">
      <c r="B23" s="18" t="s">
        <v>428</v>
      </c>
      <c r="C23" s="60"/>
      <c r="D23" s="60"/>
      <c r="E23" s="60"/>
      <c r="F23" s="60"/>
      <c r="G23" s="60"/>
      <c r="H23" s="60"/>
      <c r="I23" s="60"/>
      <c r="J23" s="57">
        <f t="shared" si="3"/>
        <v>0</v>
      </c>
    </row>
    <row r="24" spans="1:65" x14ac:dyDescent="0.4">
      <c r="B24" s="18" t="s">
        <v>429</v>
      </c>
      <c r="C24" s="60"/>
      <c r="D24" s="60"/>
      <c r="E24" s="60"/>
      <c r="F24" s="60"/>
      <c r="G24" s="60"/>
      <c r="H24" s="60"/>
      <c r="I24" s="60"/>
      <c r="J24" s="57">
        <f t="shared" si="3"/>
        <v>0</v>
      </c>
    </row>
    <row r="25" spans="1:65" x14ac:dyDescent="0.4">
      <c r="B25" s="18" t="s">
        <v>430</v>
      </c>
      <c r="C25" s="60"/>
      <c r="D25" s="60"/>
      <c r="E25" s="60"/>
      <c r="F25" s="60"/>
      <c r="G25" s="60"/>
      <c r="H25" s="60"/>
      <c r="I25" s="60"/>
      <c r="J25" s="57">
        <f t="shared" si="3"/>
        <v>0</v>
      </c>
    </row>
    <row r="26" spans="1:65" x14ac:dyDescent="0.4">
      <c r="B26" s="18" t="s">
        <v>431</v>
      </c>
      <c r="C26" s="60"/>
      <c r="D26" s="60"/>
      <c r="E26" s="60"/>
      <c r="F26" s="60"/>
      <c r="G26" s="60"/>
      <c r="H26" s="60"/>
      <c r="I26" s="60"/>
      <c r="J26" s="57">
        <f t="shared" si="3"/>
        <v>0</v>
      </c>
    </row>
    <row r="27" spans="1:65" x14ac:dyDescent="0.4">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45">
      <c r="B29" s="859" t="s">
        <v>432</v>
      </c>
      <c r="C29" s="859"/>
      <c r="D29" s="859"/>
      <c r="E29" s="859"/>
      <c r="F29" s="859"/>
      <c r="G29" s="859"/>
      <c r="H29" s="859"/>
      <c r="I29" s="859"/>
      <c r="J29" s="859"/>
      <c r="L29" s="859" t="s">
        <v>433</v>
      </c>
      <c r="M29" s="859"/>
      <c r="N29" s="859"/>
      <c r="O29" s="859"/>
      <c r="P29" s="859"/>
      <c r="Q29" s="859"/>
      <c r="R29" s="859"/>
      <c r="S29" s="859"/>
      <c r="T29" s="859"/>
      <c r="V29" s="859" t="s">
        <v>434</v>
      </c>
      <c r="W29" s="859"/>
      <c r="X29" s="859"/>
      <c r="Y29" s="859"/>
      <c r="Z29" s="859"/>
      <c r="AA29" s="859"/>
      <c r="AB29" s="859"/>
      <c r="AC29" s="859"/>
      <c r="AE29" s="859" t="s">
        <v>435</v>
      </c>
      <c r="AF29" s="859"/>
      <c r="AG29" s="859"/>
      <c r="AH29" s="859"/>
      <c r="AI29" s="859"/>
      <c r="AJ29" s="859"/>
      <c r="AK29" s="859"/>
      <c r="AL29" s="859"/>
      <c r="AN29" s="859" t="s">
        <v>436</v>
      </c>
      <c r="AO29" s="859"/>
      <c r="AP29" s="859"/>
      <c r="AQ29" s="859"/>
      <c r="AR29" s="859"/>
      <c r="AS29" s="859"/>
      <c r="AT29" s="859"/>
      <c r="AU29" s="859"/>
      <c r="AW29" s="859" t="s">
        <v>437</v>
      </c>
      <c r="AX29" s="859"/>
      <c r="AY29" s="859"/>
      <c r="AZ29" s="859"/>
      <c r="BA29" s="859"/>
      <c r="BB29" s="859"/>
      <c r="BC29" s="859"/>
      <c r="BD29" s="859"/>
      <c r="BF29" s="859" t="s">
        <v>438</v>
      </c>
      <c r="BG29" s="859"/>
      <c r="BH29" s="859"/>
      <c r="BI29" s="859"/>
      <c r="BJ29" s="859"/>
      <c r="BK29" s="859"/>
      <c r="BL29" s="859"/>
      <c r="BM29" s="859"/>
    </row>
    <row r="31" spans="1:65" s="20" customFormat="1" ht="54" customHeight="1" x14ac:dyDescent="0.45">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x14ac:dyDescent="0.45">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x14ac:dyDescent="0.45">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x14ac:dyDescent="0.45">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x14ac:dyDescent="0.45">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25" x14ac:dyDescent="0.45">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3"/>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x14ac:dyDescent="0.45">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x14ac:dyDescent="0.45">
      <c r="A38" s="2">
        <f>COUNT(D152:D166)</f>
        <v>0</v>
      </c>
      <c r="B38" s="5" t="str">
        <f>B151</f>
        <v>Facility (Credit Card)</v>
      </c>
      <c r="C38" s="7" t="s">
        <v>299</v>
      </c>
      <c r="D38" s="79">
        <f>D167</f>
        <v>0</v>
      </c>
      <c r="E38" s="79">
        <f>E167</f>
        <v>0</v>
      </c>
      <c r="F38" s="79">
        <f>F167</f>
        <v>0</v>
      </c>
      <c r="G38" s="212">
        <f>I167*12</f>
        <v>0</v>
      </c>
      <c r="H38" s="79">
        <f t="shared" si="5"/>
        <v>0</v>
      </c>
      <c r="I38" s="34">
        <f t="shared" si="6"/>
        <v>0</v>
      </c>
      <c r="J38" s="171"/>
      <c r="L38" s="5" t="str">
        <f>L151</f>
        <v>Facility (Credit Card)</v>
      </c>
      <c r="M38" s="7" t="s">
        <v>299</v>
      </c>
      <c r="N38" s="79">
        <f>N167</f>
        <v>0</v>
      </c>
      <c r="O38" s="79">
        <f>O167</f>
        <v>0</v>
      </c>
      <c r="P38" s="79">
        <f>P167</f>
        <v>0</v>
      </c>
      <c r="Q38" s="212">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x14ac:dyDescent="0.45">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x14ac:dyDescent="0.45">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x14ac:dyDescent="0.45">
      <c r="B41" s="39" t="s">
        <v>442</v>
      </c>
      <c r="C41" s="33"/>
      <c r="D41" s="35">
        <f>SUM(D32:D40)</f>
        <v>0</v>
      </c>
      <c r="E41" s="35">
        <f t="shared" ref="E41:I41" si="33">SUM(E32:E40)</f>
        <v>0</v>
      </c>
      <c r="F41" s="35">
        <f t="shared" si="33"/>
        <v>0</v>
      </c>
      <c r="G41" s="35">
        <f t="shared" si="33"/>
        <v>0</v>
      </c>
      <c r="H41" s="35">
        <f t="shared" si="33"/>
        <v>0</v>
      </c>
      <c r="I41" s="35">
        <f t="shared" si="33"/>
        <v>0</v>
      </c>
      <c r="J41" s="211"/>
      <c r="L41" s="39" t="s">
        <v>442</v>
      </c>
      <c r="M41" s="33"/>
      <c r="N41" s="35">
        <f>SUM(N32:N40)</f>
        <v>0</v>
      </c>
      <c r="O41" s="35">
        <f t="shared" ref="O41:S41" si="34">SUM(O32:O40)</f>
        <v>0</v>
      </c>
      <c r="P41" s="35">
        <f t="shared" si="34"/>
        <v>0</v>
      </c>
      <c r="Q41" s="35">
        <f t="shared" si="34"/>
        <v>0</v>
      </c>
      <c r="R41" s="35">
        <f t="shared" si="34"/>
        <v>0</v>
      </c>
      <c r="S41" s="35">
        <f t="shared" si="34"/>
        <v>0</v>
      </c>
      <c r="T41" s="211"/>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4" x14ac:dyDescent="0.45">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x14ac:dyDescent="0.45">
      <c r="B44" s="41" t="s">
        <v>443</v>
      </c>
      <c r="C44" s="41" t="s">
        <v>282</v>
      </c>
      <c r="D44" s="40"/>
      <c r="E44" s="40"/>
      <c r="F44" s="29"/>
      <c r="G44" s="22"/>
      <c r="H44" s="23">
        <v>0.75</v>
      </c>
      <c r="I44" s="75">
        <f>D44*G44*H44</f>
        <v>0</v>
      </c>
      <c r="J44" s="171"/>
      <c r="L44" s="41" t="s">
        <v>443</v>
      </c>
      <c r="M44" s="41" t="s">
        <v>282</v>
      </c>
      <c r="N44" s="40"/>
      <c r="O44" s="40"/>
      <c r="P44" s="29"/>
      <c r="Q44" s="22"/>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x14ac:dyDescent="0.45">
      <c r="B45" s="41" t="s">
        <v>443</v>
      </c>
      <c r="C45" s="41" t="s">
        <v>282</v>
      </c>
      <c r="D45" s="40"/>
      <c r="E45" s="40"/>
      <c r="F45" s="29"/>
      <c r="G45" s="22"/>
      <c r="H45" s="23">
        <v>0.75</v>
      </c>
      <c r="I45" s="75">
        <f t="shared" ref="I45:I58" si="40">D45*G45*H45</f>
        <v>0</v>
      </c>
      <c r="J45" s="171"/>
      <c r="L45" s="41" t="s">
        <v>443</v>
      </c>
      <c r="M45" s="41" t="s">
        <v>282</v>
      </c>
      <c r="N45" s="40"/>
      <c r="O45" s="40"/>
      <c r="P45" s="29"/>
      <c r="Q45" s="22"/>
      <c r="R45" s="23">
        <v>0.75</v>
      </c>
      <c r="S45" s="6">
        <f t="shared" ref="S45:S58" si="41">N45*Q45*R45</f>
        <v>0</v>
      </c>
      <c r="T45" s="171"/>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x14ac:dyDescent="0.45">
      <c r="B46" s="41" t="s">
        <v>443</v>
      </c>
      <c r="C46" s="41" t="s">
        <v>282</v>
      </c>
      <c r="D46" s="40"/>
      <c r="E46" s="40"/>
      <c r="F46" s="29"/>
      <c r="G46" s="22"/>
      <c r="H46" s="23">
        <v>0.75</v>
      </c>
      <c r="I46" s="75">
        <f t="shared" si="40"/>
        <v>0</v>
      </c>
      <c r="J46" s="171"/>
      <c r="L46" s="41" t="s">
        <v>443</v>
      </c>
      <c r="M46" s="41" t="s">
        <v>282</v>
      </c>
      <c r="N46" s="40"/>
      <c r="O46" s="40"/>
      <c r="P46" s="29"/>
      <c r="Q46" s="22"/>
      <c r="R46" s="23">
        <v>0.75</v>
      </c>
      <c r="S46" s="6">
        <f t="shared" si="41"/>
        <v>0</v>
      </c>
      <c r="T46" s="171"/>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x14ac:dyDescent="0.45">
      <c r="B47" s="41" t="s">
        <v>443</v>
      </c>
      <c r="C47" s="41" t="s">
        <v>282</v>
      </c>
      <c r="D47" s="40"/>
      <c r="E47" s="40"/>
      <c r="F47" s="29"/>
      <c r="G47" s="22"/>
      <c r="H47" s="23">
        <v>0.75</v>
      </c>
      <c r="I47" s="75">
        <f t="shared" si="40"/>
        <v>0</v>
      </c>
      <c r="J47" s="171"/>
      <c r="L47" s="41" t="s">
        <v>443</v>
      </c>
      <c r="M47" s="41" t="s">
        <v>282</v>
      </c>
      <c r="N47" s="40"/>
      <c r="O47" s="40"/>
      <c r="P47" s="29"/>
      <c r="Q47" s="22"/>
      <c r="R47" s="23">
        <v>0.75</v>
      </c>
      <c r="S47" s="6">
        <f t="shared" si="41"/>
        <v>0</v>
      </c>
      <c r="T47" s="171"/>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x14ac:dyDescent="0.45">
      <c r="B48" s="41" t="s">
        <v>443</v>
      </c>
      <c r="C48" s="41" t="s">
        <v>282</v>
      </c>
      <c r="D48" s="40"/>
      <c r="E48" s="40"/>
      <c r="F48" s="29"/>
      <c r="G48" s="22"/>
      <c r="H48" s="23">
        <v>0.75</v>
      </c>
      <c r="I48" s="75">
        <f t="shared" si="40"/>
        <v>0</v>
      </c>
      <c r="J48" s="171"/>
      <c r="L48" s="41" t="s">
        <v>443</v>
      </c>
      <c r="M48" s="41" t="s">
        <v>282</v>
      </c>
      <c r="N48" s="40"/>
      <c r="O48" s="40"/>
      <c r="P48" s="29"/>
      <c r="Q48" s="22"/>
      <c r="R48" s="23">
        <v>0.75</v>
      </c>
      <c r="S48" s="6">
        <f t="shared" si="41"/>
        <v>0</v>
      </c>
      <c r="T48" s="171"/>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x14ac:dyDescent="0.45">
      <c r="B49" s="41" t="s">
        <v>443</v>
      </c>
      <c r="C49" s="41" t="s">
        <v>282</v>
      </c>
      <c r="D49" s="40"/>
      <c r="E49" s="40"/>
      <c r="F49" s="29"/>
      <c r="G49" s="22"/>
      <c r="H49" s="23">
        <v>0.75</v>
      </c>
      <c r="I49" s="75">
        <f t="shared" si="40"/>
        <v>0</v>
      </c>
      <c r="J49" s="171"/>
      <c r="L49" s="41" t="s">
        <v>443</v>
      </c>
      <c r="M49" s="41" t="s">
        <v>282</v>
      </c>
      <c r="N49" s="40"/>
      <c r="O49" s="40"/>
      <c r="P49" s="29"/>
      <c r="Q49" s="22"/>
      <c r="R49" s="23">
        <v>0.75</v>
      </c>
      <c r="S49" s="6">
        <f t="shared" si="41"/>
        <v>0</v>
      </c>
      <c r="T49" s="171"/>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x14ac:dyDescent="0.45">
      <c r="B50" s="41" t="s">
        <v>443</v>
      </c>
      <c r="C50" s="41" t="s">
        <v>282</v>
      </c>
      <c r="D50" s="40"/>
      <c r="E50" s="40"/>
      <c r="F50" s="29"/>
      <c r="G50" s="22"/>
      <c r="H50" s="23">
        <v>0.75</v>
      </c>
      <c r="I50" s="75">
        <f t="shared" si="40"/>
        <v>0</v>
      </c>
      <c r="J50" s="171"/>
      <c r="L50" s="41" t="s">
        <v>443</v>
      </c>
      <c r="M50" s="41" t="s">
        <v>282</v>
      </c>
      <c r="N50" s="40"/>
      <c r="O50" s="40"/>
      <c r="P50" s="29"/>
      <c r="Q50" s="22"/>
      <c r="R50" s="23">
        <v>0.75</v>
      </c>
      <c r="S50" s="6">
        <f t="shared" si="41"/>
        <v>0</v>
      </c>
      <c r="T50" s="171"/>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x14ac:dyDescent="0.45">
      <c r="B51" s="41" t="s">
        <v>443</v>
      </c>
      <c r="C51" s="41" t="s">
        <v>282</v>
      </c>
      <c r="D51" s="40"/>
      <c r="E51" s="40"/>
      <c r="F51" s="29"/>
      <c r="G51" s="22"/>
      <c r="H51" s="23">
        <v>0.75</v>
      </c>
      <c r="I51" s="75">
        <f t="shared" si="40"/>
        <v>0</v>
      </c>
      <c r="J51" s="171"/>
      <c r="L51" s="41" t="s">
        <v>443</v>
      </c>
      <c r="M51" s="41" t="s">
        <v>282</v>
      </c>
      <c r="N51" s="40"/>
      <c r="O51" s="40"/>
      <c r="P51" s="29"/>
      <c r="Q51" s="22"/>
      <c r="R51" s="23">
        <v>0.75</v>
      </c>
      <c r="S51" s="6">
        <f t="shared" si="41"/>
        <v>0</v>
      </c>
      <c r="T51" s="171"/>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x14ac:dyDescent="0.45">
      <c r="B52" s="41" t="s">
        <v>443</v>
      </c>
      <c r="C52" s="41" t="s">
        <v>282</v>
      </c>
      <c r="D52" s="40"/>
      <c r="E52" s="40"/>
      <c r="F52" s="29"/>
      <c r="G52" s="22"/>
      <c r="H52" s="23">
        <v>0.75</v>
      </c>
      <c r="I52" s="75">
        <f t="shared" si="40"/>
        <v>0</v>
      </c>
      <c r="J52" s="171"/>
      <c r="L52" s="41" t="s">
        <v>443</v>
      </c>
      <c r="M52" s="41" t="s">
        <v>282</v>
      </c>
      <c r="N52" s="40"/>
      <c r="O52" s="40"/>
      <c r="P52" s="29"/>
      <c r="Q52" s="22"/>
      <c r="R52" s="23">
        <v>0.75</v>
      </c>
      <c r="S52" s="6">
        <f t="shared" si="41"/>
        <v>0</v>
      </c>
      <c r="T52" s="171"/>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x14ac:dyDescent="0.45">
      <c r="B53" s="41" t="s">
        <v>443</v>
      </c>
      <c r="C53" s="41" t="s">
        <v>282</v>
      </c>
      <c r="D53" s="40"/>
      <c r="E53" s="40"/>
      <c r="F53" s="29"/>
      <c r="G53" s="22"/>
      <c r="H53" s="23">
        <v>0.75</v>
      </c>
      <c r="I53" s="75">
        <f t="shared" si="40"/>
        <v>0</v>
      </c>
      <c r="J53" s="171"/>
      <c r="L53" s="41" t="s">
        <v>443</v>
      </c>
      <c r="M53" s="41" t="s">
        <v>282</v>
      </c>
      <c r="N53" s="40"/>
      <c r="O53" s="40"/>
      <c r="P53" s="29"/>
      <c r="Q53" s="22"/>
      <c r="R53" s="23">
        <v>0.75</v>
      </c>
      <c r="S53" s="6">
        <f t="shared" si="41"/>
        <v>0</v>
      </c>
      <c r="T53" s="171"/>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x14ac:dyDescent="0.45">
      <c r="B54" s="41" t="s">
        <v>443</v>
      </c>
      <c r="C54" s="41" t="s">
        <v>282</v>
      </c>
      <c r="D54" s="40"/>
      <c r="E54" s="40"/>
      <c r="F54" s="29"/>
      <c r="G54" s="22"/>
      <c r="H54" s="23">
        <v>0.75</v>
      </c>
      <c r="I54" s="75">
        <f t="shared" si="40"/>
        <v>0</v>
      </c>
      <c r="J54" s="171"/>
      <c r="L54" s="41" t="s">
        <v>443</v>
      </c>
      <c r="M54" s="41" t="s">
        <v>282</v>
      </c>
      <c r="N54" s="40"/>
      <c r="O54" s="40"/>
      <c r="P54" s="29"/>
      <c r="Q54" s="22"/>
      <c r="R54" s="23">
        <v>0.75</v>
      </c>
      <c r="S54" s="6">
        <f t="shared" si="41"/>
        <v>0</v>
      </c>
      <c r="T54" s="171"/>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x14ac:dyDescent="0.45">
      <c r="B55" s="41" t="s">
        <v>443</v>
      </c>
      <c r="C55" s="41" t="s">
        <v>282</v>
      </c>
      <c r="D55" s="40"/>
      <c r="E55" s="40"/>
      <c r="F55" s="29"/>
      <c r="G55" s="22"/>
      <c r="H55" s="23">
        <v>0.75</v>
      </c>
      <c r="I55" s="75">
        <f t="shared" si="40"/>
        <v>0</v>
      </c>
      <c r="J55" s="171"/>
      <c r="L55" s="41" t="s">
        <v>443</v>
      </c>
      <c r="M55" s="41" t="s">
        <v>282</v>
      </c>
      <c r="N55" s="40"/>
      <c r="O55" s="40"/>
      <c r="P55" s="29"/>
      <c r="Q55" s="22"/>
      <c r="R55" s="23">
        <v>0.75</v>
      </c>
      <c r="S55" s="6">
        <f t="shared" si="41"/>
        <v>0</v>
      </c>
      <c r="T55" s="171"/>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x14ac:dyDescent="0.45">
      <c r="B56" s="41" t="s">
        <v>443</v>
      </c>
      <c r="C56" s="41" t="s">
        <v>282</v>
      </c>
      <c r="D56" s="40"/>
      <c r="E56" s="40"/>
      <c r="F56" s="29"/>
      <c r="G56" s="22"/>
      <c r="H56" s="23">
        <v>0.75</v>
      </c>
      <c r="I56" s="75">
        <f t="shared" si="40"/>
        <v>0</v>
      </c>
      <c r="J56" s="171"/>
      <c r="L56" s="41" t="s">
        <v>443</v>
      </c>
      <c r="M56" s="41" t="s">
        <v>282</v>
      </c>
      <c r="N56" s="40"/>
      <c r="O56" s="40"/>
      <c r="P56" s="29"/>
      <c r="Q56" s="22"/>
      <c r="R56" s="23">
        <v>0.75</v>
      </c>
      <c r="S56" s="6">
        <f t="shared" si="41"/>
        <v>0</v>
      </c>
      <c r="T56" s="171"/>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x14ac:dyDescent="0.45">
      <c r="B57" s="41" t="s">
        <v>443</v>
      </c>
      <c r="C57" s="41" t="s">
        <v>282</v>
      </c>
      <c r="D57" s="40"/>
      <c r="E57" s="40"/>
      <c r="F57" s="29"/>
      <c r="G57" s="22"/>
      <c r="H57" s="23">
        <v>0.75</v>
      </c>
      <c r="I57" s="75">
        <f t="shared" si="40"/>
        <v>0</v>
      </c>
      <c r="J57" s="171"/>
      <c r="L57" s="41" t="s">
        <v>443</v>
      </c>
      <c r="M57" s="41" t="s">
        <v>282</v>
      </c>
      <c r="N57" s="40"/>
      <c r="O57" s="40"/>
      <c r="P57" s="29"/>
      <c r="Q57" s="22"/>
      <c r="R57" s="23">
        <v>0.75</v>
      </c>
      <c r="S57" s="6">
        <f t="shared" si="41"/>
        <v>0</v>
      </c>
      <c r="T57" s="171"/>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x14ac:dyDescent="0.45">
      <c r="B58" s="41" t="s">
        <v>443</v>
      </c>
      <c r="C58" s="41" t="s">
        <v>282</v>
      </c>
      <c r="D58" s="40"/>
      <c r="E58" s="40"/>
      <c r="F58" s="29"/>
      <c r="G58" s="22"/>
      <c r="H58" s="23">
        <v>0.75</v>
      </c>
      <c r="I58" s="75">
        <f t="shared" si="40"/>
        <v>0</v>
      </c>
      <c r="J58" s="171"/>
      <c r="L58" s="41" t="s">
        <v>443</v>
      </c>
      <c r="M58" s="41" t="s">
        <v>282</v>
      </c>
      <c r="N58" s="40"/>
      <c r="O58" s="40"/>
      <c r="P58" s="29"/>
      <c r="Q58" s="22"/>
      <c r="R58" s="23">
        <v>0.75</v>
      </c>
      <c r="S58" s="6">
        <f t="shared" si="41"/>
        <v>0</v>
      </c>
      <c r="T58" s="171"/>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x14ac:dyDescent="0.45">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4" x14ac:dyDescent="0.4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2"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2"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4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x14ac:dyDescent="0.4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x14ac:dyDescent="0.4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x14ac:dyDescent="0.4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x14ac:dyDescent="0.4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x14ac:dyDescent="0.4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x14ac:dyDescent="0.4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x14ac:dyDescent="0.45">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x14ac:dyDescent="0.45">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x14ac:dyDescent="0.45">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x14ac:dyDescent="0.45">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x14ac:dyDescent="0.45">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x14ac:dyDescent="0.45">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x14ac:dyDescent="0.45">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x14ac:dyDescent="0.45">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x14ac:dyDescent="0.45">
      <c r="B77" s="8" t="s">
        <v>444</v>
      </c>
      <c r="C77" s="25"/>
      <c r="D77" s="28">
        <f t="shared" ref="D77:F77" si="54">SUM(D62:D76)</f>
        <v>0</v>
      </c>
      <c r="E77" s="28">
        <f t="shared" si="54"/>
        <v>0</v>
      </c>
      <c r="F77" s="28">
        <f t="shared" si="54"/>
        <v>0</v>
      </c>
      <c r="G77" s="25"/>
      <c r="H77" s="26"/>
      <c r="I77" s="30"/>
      <c r="J77" s="170"/>
      <c r="L77" s="8" t="s">
        <v>444</v>
      </c>
      <c r="M77" s="25"/>
      <c r="N77" s="28">
        <f t="shared" ref="N77:P77" si="55">SUM(N62:N76)</f>
        <v>0</v>
      </c>
      <c r="O77" s="28">
        <f t="shared" si="55"/>
        <v>0</v>
      </c>
      <c r="P77" s="28">
        <f t="shared" si="55"/>
        <v>0</v>
      </c>
      <c r="Q77" s="25"/>
      <c r="R77" s="26"/>
      <c r="S77" s="30"/>
      <c r="T77" s="170"/>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9.4" x14ac:dyDescent="0.4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2"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2"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45">
      <c r="B80" s="41" t="s">
        <v>443</v>
      </c>
      <c r="C80" s="41" t="s">
        <v>282</v>
      </c>
      <c r="D80" s="40"/>
      <c r="E80" s="40"/>
      <c r="F80" s="29"/>
      <c r="G80" s="22"/>
      <c r="H80" s="23">
        <v>0.82</v>
      </c>
      <c r="I80" s="75">
        <f>D80*G80*H80</f>
        <v>0</v>
      </c>
      <c r="J80" s="171"/>
      <c r="L80" s="41" t="s">
        <v>443</v>
      </c>
      <c r="M80" s="41" t="s">
        <v>282</v>
      </c>
      <c r="N80" s="40"/>
      <c r="O80" s="40"/>
      <c r="P80" s="29"/>
      <c r="Q80" s="22"/>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x14ac:dyDescent="0.45">
      <c r="B81" s="41" t="s">
        <v>443</v>
      </c>
      <c r="C81" s="41" t="s">
        <v>282</v>
      </c>
      <c r="D81" s="40"/>
      <c r="E81" s="40"/>
      <c r="F81" s="29"/>
      <c r="G81" s="22"/>
      <c r="H81" s="23">
        <v>0.82</v>
      </c>
      <c r="I81" s="75">
        <f t="shared" ref="I81:I94" si="68">D81*G81*H81</f>
        <v>0</v>
      </c>
      <c r="J81" s="171"/>
      <c r="L81" s="41" t="s">
        <v>443</v>
      </c>
      <c r="M81" s="41" t="s">
        <v>282</v>
      </c>
      <c r="N81" s="40"/>
      <c r="O81" s="40"/>
      <c r="P81" s="29"/>
      <c r="Q81" s="22"/>
      <c r="R81" s="23">
        <v>0.82</v>
      </c>
      <c r="S81" s="75">
        <f t="shared" ref="S81:S94" si="69">N81*Q81*R81</f>
        <v>0</v>
      </c>
      <c r="T81" s="171"/>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x14ac:dyDescent="0.45">
      <c r="B82" s="41" t="s">
        <v>443</v>
      </c>
      <c r="C82" s="41" t="s">
        <v>282</v>
      </c>
      <c r="D82" s="40"/>
      <c r="E82" s="40"/>
      <c r="F82" s="29"/>
      <c r="G82" s="22"/>
      <c r="H82" s="23">
        <v>0.82</v>
      </c>
      <c r="I82" s="75">
        <f t="shared" si="68"/>
        <v>0</v>
      </c>
      <c r="J82" s="171"/>
      <c r="L82" s="41" t="s">
        <v>443</v>
      </c>
      <c r="M82" s="41" t="s">
        <v>282</v>
      </c>
      <c r="N82" s="40"/>
      <c r="O82" s="40"/>
      <c r="P82" s="29"/>
      <c r="Q82" s="22"/>
      <c r="R82" s="23">
        <v>0.82</v>
      </c>
      <c r="S82" s="75">
        <f t="shared" si="69"/>
        <v>0</v>
      </c>
      <c r="T82" s="171"/>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x14ac:dyDescent="0.45">
      <c r="B83" s="41" t="s">
        <v>443</v>
      </c>
      <c r="C83" s="41" t="s">
        <v>282</v>
      </c>
      <c r="D83" s="40"/>
      <c r="E83" s="40"/>
      <c r="F83" s="29"/>
      <c r="G83" s="22"/>
      <c r="H83" s="23">
        <v>0.82</v>
      </c>
      <c r="I83" s="75">
        <f t="shared" si="68"/>
        <v>0</v>
      </c>
      <c r="J83" s="171"/>
      <c r="L83" s="41" t="s">
        <v>443</v>
      </c>
      <c r="M83" s="41" t="s">
        <v>282</v>
      </c>
      <c r="N83" s="40"/>
      <c r="O83" s="40"/>
      <c r="P83" s="29"/>
      <c r="Q83" s="22"/>
      <c r="R83" s="23">
        <v>0.82</v>
      </c>
      <c r="S83" s="75">
        <f t="shared" si="69"/>
        <v>0</v>
      </c>
      <c r="T83" s="171"/>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x14ac:dyDescent="0.45">
      <c r="B84" s="41" t="s">
        <v>443</v>
      </c>
      <c r="C84" s="41" t="s">
        <v>282</v>
      </c>
      <c r="D84" s="40"/>
      <c r="E84" s="40"/>
      <c r="F84" s="29"/>
      <c r="G84" s="22"/>
      <c r="H84" s="23">
        <v>0.82</v>
      </c>
      <c r="I84" s="75">
        <f t="shared" si="68"/>
        <v>0</v>
      </c>
      <c r="J84" s="171"/>
      <c r="L84" s="41" t="s">
        <v>443</v>
      </c>
      <c r="M84" s="41" t="s">
        <v>282</v>
      </c>
      <c r="N84" s="40"/>
      <c r="O84" s="40"/>
      <c r="P84" s="29"/>
      <c r="Q84" s="22"/>
      <c r="R84" s="23">
        <v>0.82</v>
      </c>
      <c r="S84" s="75">
        <f t="shared" si="69"/>
        <v>0</v>
      </c>
      <c r="T84" s="171"/>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x14ac:dyDescent="0.45">
      <c r="B85" s="41" t="s">
        <v>443</v>
      </c>
      <c r="C85" s="41" t="s">
        <v>282</v>
      </c>
      <c r="D85" s="40"/>
      <c r="E85" s="40"/>
      <c r="F85" s="29"/>
      <c r="G85" s="22"/>
      <c r="H85" s="23">
        <v>0.82</v>
      </c>
      <c r="I85" s="75">
        <f t="shared" si="68"/>
        <v>0</v>
      </c>
      <c r="J85" s="171"/>
      <c r="L85" s="41" t="s">
        <v>443</v>
      </c>
      <c r="M85" s="41" t="s">
        <v>282</v>
      </c>
      <c r="N85" s="40"/>
      <c r="O85" s="40"/>
      <c r="P85" s="29"/>
      <c r="Q85" s="22"/>
      <c r="R85" s="23">
        <v>0.82</v>
      </c>
      <c r="S85" s="75">
        <f t="shared" si="69"/>
        <v>0</v>
      </c>
      <c r="T85" s="171"/>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x14ac:dyDescent="0.45">
      <c r="B86" s="41" t="s">
        <v>443</v>
      </c>
      <c r="C86" s="41" t="s">
        <v>282</v>
      </c>
      <c r="D86" s="40"/>
      <c r="E86" s="40"/>
      <c r="F86" s="29"/>
      <c r="G86" s="22"/>
      <c r="H86" s="23">
        <v>0.82</v>
      </c>
      <c r="I86" s="75">
        <f t="shared" si="68"/>
        <v>0</v>
      </c>
      <c r="J86" s="171"/>
      <c r="L86" s="41" t="s">
        <v>443</v>
      </c>
      <c r="M86" s="41" t="s">
        <v>282</v>
      </c>
      <c r="N86" s="40"/>
      <c r="O86" s="40"/>
      <c r="P86" s="29"/>
      <c r="Q86" s="22"/>
      <c r="R86" s="23">
        <v>0.82</v>
      </c>
      <c r="S86" s="75">
        <f t="shared" si="69"/>
        <v>0</v>
      </c>
      <c r="T86" s="171"/>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x14ac:dyDescent="0.45">
      <c r="B87" s="41" t="s">
        <v>443</v>
      </c>
      <c r="C87" s="41" t="s">
        <v>282</v>
      </c>
      <c r="D87" s="40"/>
      <c r="E87" s="40"/>
      <c r="F87" s="29"/>
      <c r="G87" s="22"/>
      <c r="H87" s="23">
        <v>0.82</v>
      </c>
      <c r="I87" s="75">
        <f t="shared" si="68"/>
        <v>0</v>
      </c>
      <c r="J87" s="171"/>
      <c r="L87" s="41" t="s">
        <v>443</v>
      </c>
      <c r="M87" s="41" t="s">
        <v>282</v>
      </c>
      <c r="N87" s="40"/>
      <c r="O87" s="40"/>
      <c r="P87" s="29"/>
      <c r="Q87" s="22"/>
      <c r="R87" s="23">
        <v>0.82</v>
      </c>
      <c r="S87" s="75">
        <f t="shared" si="69"/>
        <v>0</v>
      </c>
      <c r="T87" s="171"/>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x14ac:dyDescent="0.45">
      <c r="B88" s="41" t="s">
        <v>443</v>
      </c>
      <c r="C88" s="41" t="s">
        <v>282</v>
      </c>
      <c r="D88" s="40"/>
      <c r="E88" s="40"/>
      <c r="F88" s="29"/>
      <c r="G88" s="22"/>
      <c r="H88" s="23">
        <v>0.82</v>
      </c>
      <c r="I88" s="75">
        <f t="shared" si="68"/>
        <v>0</v>
      </c>
      <c r="J88" s="171"/>
      <c r="L88" s="41" t="s">
        <v>443</v>
      </c>
      <c r="M88" s="41" t="s">
        <v>282</v>
      </c>
      <c r="N88" s="40"/>
      <c r="O88" s="40"/>
      <c r="P88" s="29"/>
      <c r="Q88" s="22"/>
      <c r="R88" s="23">
        <v>0.82</v>
      </c>
      <c r="S88" s="75">
        <f t="shared" si="69"/>
        <v>0</v>
      </c>
      <c r="T88" s="171"/>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x14ac:dyDescent="0.45">
      <c r="B89" s="41" t="s">
        <v>443</v>
      </c>
      <c r="C89" s="41" t="s">
        <v>282</v>
      </c>
      <c r="D89" s="40"/>
      <c r="E89" s="40"/>
      <c r="F89" s="29"/>
      <c r="G89" s="22"/>
      <c r="H89" s="23">
        <v>0.82</v>
      </c>
      <c r="I89" s="75">
        <f t="shared" si="68"/>
        <v>0</v>
      </c>
      <c r="J89" s="171"/>
      <c r="L89" s="41" t="s">
        <v>443</v>
      </c>
      <c r="M89" s="41" t="s">
        <v>282</v>
      </c>
      <c r="N89" s="40"/>
      <c r="O89" s="40"/>
      <c r="P89" s="29"/>
      <c r="Q89" s="22"/>
      <c r="R89" s="23">
        <v>0.82</v>
      </c>
      <c r="S89" s="75">
        <f t="shared" si="69"/>
        <v>0</v>
      </c>
      <c r="T89" s="171"/>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x14ac:dyDescent="0.45">
      <c r="B90" s="41" t="s">
        <v>443</v>
      </c>
      <c r="C90" s="41" t="s">
        <v>282</v>
      </c>
      <c r="D90" s="40"/>
      <c r="E90" s="40"/>
      <c r="F90" s="29"/>
      <c r="G90" s="22"/>
      <c r="H90" s="23">
        <v>0.82</v>
      </c>
      <c r="I90" s="75">
        <f t="shared" si="68"/>
        <v>0</v>
      </c>
      <c r="J90" s="171"/>
      <c r="L90" s="41" t="s">
        <v>443</v>
      </c>
      <c r="M90" s="41" t="s">
        <v>282</v>
      </c>
      <c r="N90" s="40"/>
      <c r="O90" s="40"/>
      <c r="P90" s="29"/>
      <c r="Q90" s="22"/>
      <c r="R90" s="23">
        <v>0.82</v>
      </c>
      <c r="S90" s="75">
        <f t="shared" si="69"/>
        <v>0</v>
      </c>
      <c r="T90" s="171"/>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x14ac:dyDescent="0.45">
      <c r="B91" s="41" t="s">
        <v>443</v>
      </c>
      <c r="C91" s="41" t="s">
        <v>282</v>
      </c>
      <c r="D91" s="40"/>
      <c r="E91" s="40"/>
      <c r="F91" s="29"/>
      <c r="G91" s="22"/>
      <c r="H91" s="23">
        <v>0.82</v>
      </c>
      <c r="I91" s="75">
        <f t="shared" si="68"/>
        <v>0</v>
      </c>
      <c r="J91" s="171"/>
      <c r="L91" s="41" t="s">
        <v>443</v>
      </c>
      <c r="M91" s="41" t="s">
        <v>282</v>
      </c>
      <c r="N91" s="40"/>
      <c r="O91" s="40"/>
      <c r="P91" s="29"/>
      <c r="Q91" s="22"/>
      <c r="R91" s="23">
        <v>0.82</v>
      </c>
      <c r="S91" s="75">
        <f t="shared" si="69"/>
        <v>0</v>
      </c>
      <c r="T91" s="171"/>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x14ac:dyDescent="0.45">
      <c r="B92" s="41" t="s">
        <v>443</v>
      </c>
      <c r="C92" s="41" t="s">
        <v>282</v>
      </c>
      <c r="D92" s="40"/>
      <c r="E92" s="40"/>
      <c r="F92" s="29"/>
      <c r="G92" s="22"/>
      <c r="H92" s="23">
        <v>0.82</v>
      </c>
      <c r="I92" s="75">
        <f t="shared" si="68"/>
        <v>0</v>
      </c>
      <c r="J92" s="171"/>
      <c r="L92" s="41" t="s">
        <v>443</v>
      </c>
      <c r="M92" s="41" t="s">
        <v>282</v>
      </c>
      <c r="N92" s="40"/>
      <c r="O92" s="40"/>
      <c r="P92" s="29"/>
      <c r="Q92" s="22"/>
      <c r="R92" s="23">
        <v>0.82</v>
      </c>
      <c r="S92" s="75">
        <f t="shared" si="69"/>
        <v>0</v>
      </c>
      <c r="T92" s="171"/>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x14ac:dyDescent="0.45">
      <c r="B93" s="41" t="s">
        <v>443</v>
      </c>
      <c r="C93" s="41" t="s">
        <v>282</v>
      </c>
      <c r="D93" s="40"/>
      <c r="E93" s="40"/>
      <c r="F93" s="29"/>
      <c r="G93" s="22"/>
      <c r="H93" s="23">
        <v>0.82</v>
      </c>
      <c r="I93" s="75">
        <f t="shared" si="68"/>
        <v>0</v>
      </c>
      <c r="J93" s="171"/>
      <c r="L93" s="41" t="s">
        <v>443</v>
      </c>
      <c r="M93" s="41" t="s">
        <v>282</v>
      </c>
      <c r="N93" s="40"/>
      <c r="O93" s="40"/>
      <c r="P93" s="29"/>
      <c r="Q93" s="22"/>
      <c r="R93" s="23">
        <v>0.82</v>
      </c>
      <c r="S93" s="75">
        <f t="shared" si="69"/>
        <v>0</v>
      </c>
      <c r="T93" s="171"/>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x14ac:dyDescent="0.45">
      <c r="B94" s="41" t="s">
        <v>443</v>
      </c>
      <c r="C94" s="41" t="s">
        <v>282</v>
      </c>
      <c r="D94" s="40"/>
      <c r="E94" s="40"/>
      <c r="F94" s="29"/>
      <c r="G94" s="22"/>
      <c r="H94" s="23">
        <v>0.82</v>
      </c>
      <c r="I94" s="75">
        <f t="shared" si="68"/>
        <v>0</v>
      </c>
      <c r="J94" s="171"/>
      <c r="L94" s="41" t="s">
        <v>443</v>
      </c>
      <c r="M94" s="41" t="s">
        <v>282</v>
      </c>
      <c r="N94" s="40"/>
      <c r="O94" s="40"/>
      <c r="P94" s="29"/>
      <c r="Q94" s="22"/>
      <c r="R94" s="23">
        <v>0.82</v>
      </c>
      <c r="S94" s="75">
        <f t="shared" si="69"/>
        <v>0</v>
      </c>
      <c r="T94" s="171"/>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x14ac:dyDescent="0.45">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4" x14ac:dyDescent="0.4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2"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2"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45">
      <c r="B98" s="41" t="s">
        <v>443</v>
      </c>
      <c r="C98" s="41" t="s">
        <v>282</v>
      </c>
      <c r="D98" s="40"/>
      <c r="E98" s="40"/>
      <c r="F98" s="29"/>
      <c r="G98" s="22"/>
      <c r="H98" s="23">
        <v>0.82</v>
      </c>
      <c r="I98" s="75">
        <f>D98*G98*H98</f>
        <v>0</v>
      </c>
      <c r="J98" s="171"/>
      <c r="L98" s="41" t="s">
        <v>443</v>
      </c>
      <c r="M98" s="41" t="s">
        <v>282</v>
      </c>
      <c r="N98" s="40"/>
      <c r="O98" s="40"/>
      <c r="P98" s="29"/>
      <c r="Q98" s="22"/>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x14ac:dyDescent="0.45">
      <c r="B99" s="41" t="s">
        <v>443</v>
      </c>
      <c r="C99" s="41" t="s">
        <v>282</v>
      </c>
      <c r="D99" s="40"/>
      <c r="E99" s="40"/>
      <c r="F99" s="29"/>
      <c r="G99" s="22"/>
      <c r="H99" s="23">
        <v>0.82</v>
      </c>
      <c r="I99" s="75">
        <f t="shared" ref="I99:I112" si="82">D99*G99*H99</f>
        <v>0</v>
      </c>
      <c r="J99" s="171"/>
      <c r="L99" s="41" t="s">
        <v>443</v>
      </c>
      <c r="M99" s="41" t="s">
        <v>282</v>
      </c>
      <c r="N99" s="40"/>
      <c r="O99" s="40"/>
      <c r="P99" s="29"/>
      <c r="Q99" s="22"/>
      <c r="R99" s="23">
        <v>0.82</v>
      </c>
      <c r="S99" s="75">
        <f t="shared" ref="S99:S112" si="83">N99*Q99*R99</f>
        <v>0</v>
      </c>
      <c r="T99" s="171"/>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x14ac:dyDescent="0.45">
      <c r="B100" s="41" t="s">
        <v>443</v>
      </c>
      <c r="C100" s="41" t="s">
        <v>282</v>
      </c>
      <c r="D100" s="40"/>
      <c r="E100" s="40"/>
      <c r="F100" s="29"/>
      <c r="G100" s="22"/>
      <c r="H100" s="23">
        <v>0.82</v>
      </c>
      <c r="I100" s="75">
        <f t="shared" si="82"/>
        <v>0</v>
      </c>
      <c r="J100" s="171"/>
      <c r="L100" s="41" t="s">
        <v>443</v>
      </c>
      <c r="M100" s="41" t="s">
        <v>282</v>
      </c>
      <c r="N100" s="40"/>
      <c r="O100" s="40"/>
      <c r="P100" s="29"/>
      <c r="Q100" s="22"/>
      <c r="R100" s="23">
        <v>0.82</v>
      </c>
      <c r="S100" s="75">
        <f t="shared" si="83"/>
        <v>0</v>
      </c>
      <c r="T100" s="171"/>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x14ac:dyDescent="0.45">
      <c r="B101" s="41" t="s">
        <v>443</v>
      </c>
      <c r="C101" s="41" t="s">
        <v>282</v>
      </c>
      <c r="D101" s="40"/>
      <c r="E101" s="40"/>
      <c r="F101" s="29"/>
      <c r="G101" s="22"/>
      <c r="H101" s="23">
        <v>0.82</v>
      </c>
      <c r="I101" s="75">
        <f t="shared" si="82"/>
        <v>0</v>
      </c>
      <c r="J101" s="171"/>
      <c r="L101" s="41" t="s">
        <v>443</v>
      </c>
      <c r="M101" s="41" t="s">
        <v>282</v>
      </c>
      <c r="N101" s="40"/>
      <c r="O101" s="40"/>
      <c r="P101" s="29"/>
      <c r="Q101" s="22"/>
      <c r="R101" s="23">
        <v>0.82</v>
      </c>
      <c r="S101" s="75">
        <f t="shared" si="83"/>
        <v>0</v>
      </c>
      <c r="T101" s="171"/>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x14ac:dyDescent="0.45">
      <c r="B102" s="41" t="s">
        <v>443</v>
      </c>
      <c r="C102" s="41" t="s">
        <v>282</v>
      </c>
      <c r="D102" s="40"/>
      <c r="E102" s="40"/>
      <c r="F102" s="29"/>
      <c r="G102" s="22"/>
      <c r="H102" s="23">
        <v>0.82</v>
      </c>
      <c r="I102" s="75">
        <f t="shared" si="82"/>
        <v>0</v>
      </c>
      <c r="J102" s="171"/>
      <c r="L102" s="41" t="s">
        <v>443</v>
      </c>
      <c r="M102" s="41" t="s">
        <v>282</v>
      </c>
      <c r="N102" s="40"/>
      <c r="O102" s="40"/>
      <c r="P102" s="29"/>
      <c r="Q102" s="22"/>
      <c r="R102" s="23">
        <v>0.82</v>
      </c>
      <c r="S102" s="75">
        <f t="shared" si="83"/>
        <v>0</v>
      </c>
      <c r="T102" s="171"/>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x14ac:dyDescent="0.45">
      <c r="B103" s="41" t="s">
        <v>443</v>
      </c>
      <c r="C103" s="41" t="s">
        <v>282</v>
      </c>
      <c r="D103" s="40"/>
      <c r="E103" s="40"/>
      <c r="F103" s="29"/>
      <c r="G103" s="22"/>
      <c r="H103" s="23">
        <v>0.82</v>
      </c>
      <c r="I103" s="75">
        <f t="shared" si="82"/>
        <v>0</v>
      </c>
      <c r="J103" s="171"/>
      <c r="L103" s="41" t="s">
        <v>443</v>
      </c>
      <c r="M103" s="41" t="s">
        <v>282</v>
      </c>
      <c r="N103" s="40"/>
      <c r="O103" s="40"/>
      <c r="P103" s="29"/>
      <c r="Q103" s="22"/>
      <c r="R103" s="23">
        <v>0.82</v>
      </c>
      <c r="S103" s="75">
        <f t="shared" si="83"/>
        <v>0</v>
      </c>
      <c r="T103" s="171"/>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x14ac:dyDescent="0.45">
      <c r="B104" s="41" t="s">
        <v>443</v>
      </c>
      <c r="C104" s="41" t="s">
        <v>282</v>
      </c>
      <c r="D104" s="40"/>
      <c r="E104" s="40"/>
      <c r="F104" s="29"/>
      <c r="G104" s="22"/>
      <c r="H104" s="23">
        <v>0.82</v>
      </c>
      <c r="I104" s="75">
        <f t="shared" si="82"/>
        <v>0</v>
      </c>
      <c r="J104" s="171"/>
      <c r="L104" s="41" t="s">
        <v>443</v>
      </c>
      <c r="M104" s="41" t="s">
        <v>282</v>
      </c>
      <c r="N104" s="40"/>
      <c r="O104" s="40"/>
      <c r="P104" s="29"/>
      <c r="Q104" s="22"/>
      <c r="R104" s="23">
        <v>0.82</v>
      </c>
      <c r="S104" s="75">
        <f t="shared" si="83"/>
        <v>0</v>
      </c>
      <c r="T104" s="171"/>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x14ac:dyDescent="0.45">
      <c r="B105" s="41" t="s">
        <v>443</v>
      </c>
      <c r="C105" s="41" t="s">
        <v>282</v>
      </c>
      <c r="D105" s="40"/>
      <c r="E105" s="40"/>
      <c r="F105" s="29"/>
      <c r="G105" s="22"/>
      <c r="H105" s="23">
        <v>0.82</v>
      </c>
      <c r="I105" s="75">
        <f t="shared" si="82"/>
        <v>0</v>
      </c>
      <c r="J105" s="171"/>
      <c r="L105" s="41" t="s">
        <v>443</v>
      </c>
      <c r="M105" s="41" t="s">
        <v>282</v>
      </c>
      <c r="N105" s="40"/>
      <c r="O105" s="40"/>
      <c r="P105" s="29"/>
      <c r="Q105" s="22"/>
      <c r="R105" s="23">
        <v>0.82</v>
      </c>
      <c r="S105" s="75">
        <f t="shared" si="83"/>
        <v>0</v>
      </c>
      <c r="T105" s="171"/>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x14ac:dyDescent="0.45">
      <c r="B106" s="41" t="s">
        <v>443</v>
      </c>
      <c r="C106" s="41" t="s">
        <v>282</v>
      </c>
      <c r="D106" s="40"/>
      <c r="E106" s="40"/>
      <c r="F106" s="29"/>
      <c r="G106" s="22"/>
      <c r="H106" s="23">
        <v>0.82</v>
      </c>
      <c r="I106" s="75">
        <f t="shared" si="82"/>
        <v>0</v>
      </c>
      <c r="J106" s="171"/>
      <c r="L106" s="41" t="s">
        <v>443</v>
      </c>
      <c r="M106" s="41" t="s">
        <v>282</v>
      </c>
      <c r="N106" s="40"/>
      <c r="O106" s="40"/>
      <c r="P106" s="29"/>
      <c r="Q106" s="22"/>
      <c r="R106" s="23">
        <v>0.82</v>
      </c>
      <c r="S106" s="75">
        <f t="shared" si="83"/>
        <v>0</v>
      </c>
      <c r="T106" s="171"/>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x14ac:dyDescent="0.45">
      <c r="B107" s="41" t="s">
        <v>443</v>
      </c>
      <c r="C107" s="41" t="s">
        <v>282</v>
      </c>
      <c r="D107" s="40"/>
      <c r="E107" s="40"/>
      <c r="F107" s="29"/>
      <c r="G107" s="22"/>
      <c r="H107" s="23">
        <v>0.82</v>
      </c>
      <c r="I107" s="75">
        <f t="shared" si="82"/>
        <v>0</v>
      </c>
      <c r="J107" s="171"/>
      <c r="L107" s="41" t="s">
        <v>443</v>
      </c>
      <c r="M107" s="41" t="s">
        <v>282</v>
      </c>
      <c r="N107" s="40"/>
      <c r="O107" s="40"/>
      <c r="P107" s="29"/>
      <c r="Q107" s="22"/>
      <c r="R107" s="23">
        <v>0.82</v>
      </c>
      <c r="S107" s="75">
        <f t="shared" si="83"/>
        <v>0</v>
      </c>
      <c r="T107" s="171"/>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x14ac:dyDescent="0.45">
      <c r="B108" s="41" t="s">
        <v>443</v>
      </c>
      <c r="C108" s="41" t="s">
        <v>282</v>
      </c>
      <c r="D108" s="40"/>
      <c r="E108" s="40"/>
      <c r="F108" s="29"/>
      <c r="G108" s="22"/>
      <c r="H108" s="23">
        <v>0.82</v>
      </c>
      <c r="I108" s="75">
        <f t="shared" si="82"/>
        <v>0</v>
      </c>
      <c r="J108" s="171"/>
      <c r="L108" s="41" t="s">
        <v>443</v>
      </c>
      <c r="M108" s="41" t="s">
        <v>282</v>
      </c>
      <c r="N108" s="40"/>
      <c r="O108" s="40"/>
      <c r="P108" s="29"/>
      <c r="Q108" s="22"/>
      <c r="R108" s="23">
        <v>0.82</v>
      </c>
      <c r="S108" s="75">
        <f t="shared" si="83"/>
        <v>0</v>
      </c>
      <c r="T108" s="171"/>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x14ac:dyDescent="0.45">
      <c r="B109" s="41" t="s">
        <v>443</v>
      </c>
      <c r="C109" s="41" t="s">
        <v>282</v>
      </c>
      <c r="D109" s="40"/>
      <c r="E109" s="40"/>
      <c r="F109" s="29"/>
      <c r="G109" s="22"/>
      <c r="H109" s="23">
        <v>0.82</v>
      </c>
      <c r="I109" s="75">
        <f t="shared" si="82"/>
        <v>0</v>
      </c>
      <c r="J109" s="171"/>
      <c r="L109" s="41" t="s">
        <v>443</v>
      </c>
      <c r="M109" s="41" t="s">
        <v>282</v>
      </c>
      <c r="N109" s="40"/>
      <c r="O109" s="40"/>
      <c r="P109" s="29"/>
      <c r="Q109" s="22"/>
      <c r="R109" s="23">
        <v>0.82</v>
      </c>
      <c r="S109" s="75">
        <f t="shared" si="83"/>
        <v>0</v>
      </c>
      <c r="T109" s="171"/>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x14ac:dyDescent="0.45">
      <c r="B110" s="41" t="s">
        <v>443</v>
      </c>
      <c r="C110" s="41" t="s">
        <v>282</v>
      </c>
      <c r="D110" s="40"/>
      <c r="E110" s="40"/>
      <c r="F110" s="29"/>
      <c r="G110" s="22"/>
      <c r="H110" s="23">
        <v>0.82</v>
      </c>
      <c r="I110" s="75">
        <f t="shared" si="82"/>
        <v>0</v>
      </c>
      <c r="J110" s="171"/>
      <c r="L110" s="41" t="s">
        <v>443</v>
      </c>
      <c r="M110" s="41" t="s">
        <v>282</v>
      </c>
      <c r="N110" s="40"/>
      <c r="O110" s="40"/>
      <c r="P110" s="29"/>
      <c r="Q110" s="22"/>
      <c r="R110" s="23">
        <v>0.82</v>
      </c>
      <c r="S110" s="75">
        <f t="shared" si="83"/>
        <v>0</v>
      </c>
      <c r="T110" s="171"/>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x14ac:dyDescent="0.45">
      <c r="B111" s="41" t="s">
        <v>443</v>
      </c>
      <c r="C111" s="41" t="s">
        <v>282</v>
      </c>
      <c r="D111" s="40"/>
      <c r="E111" s="40"/>
      <c r="F111" s="29"/>
      <c r="G111" s="22"/>
      <c r="H111" s="23">
        <v>0.82</v>
      </c>
      <c r="I111" s="75">
        <f t="shared" si="82"/>
        <v>0</v>
      </c>
      <c r="J111" s="171"/>
      <c r="L111" s="41" t="s">
        <v>443</v>
      </c>
      <c r="M111" s="41" t="s">
        <v>282</v>
      </c>
      <c r="N111" s="40"/>
      <c r="O111" s="40"/>
      <c r="P111" s="29"/>
      <c r="Q111" s="22"/>
      <c r="R111" s="23">
        <v>0.82</v>
      </c>
      <c r="S111" s="75">
        <f t="shared" si="83"/>
        <v>0</v>
      </c>
      <c r="T111" s="171"/>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x14ac:dyDescent="0.45">
      <c r="B112" s="41" t="s">
        <v>443</v>
      </c>
      <c r="C112" s="41" t="s">
        <v>282</v>
      </c>
      <c r="D112" s="40"/>
      <c r="E112" s="40"/>
      <c r="F112" s="29"/>
      <c r="G112" s="22"/>
      <c r="H112" s="23">
        <v>0.82</v>
      </c>
      <c r="I112" s="75">
        <f t="shared" si="82"/>
        <v>0</v>
      </c>
      <c r="J112" s="171"/>
      <c r="L112" s="41" t="s">
        <v>443</v>
      </c>
      <c r="M112" s="41" t="s">
        <v>282</v>
      </c>
      <c r="N112" s="40"/>
      <c r="O112" s="40"/>
      <c r="P112" s="29"/>
      <c r="Q112" s="22"/>
      <c r="R112" s="23">
        <v>0.82</v>
      </c>
      <c r="S112" s="75">
        <f t="shared" si="83"/>
        <v>0</v>
      </c>
      <c r="T112" s="171"/>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x14ac:dyDescent="0.45">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4" x14ac:dyDescent="0.4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2"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2"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4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x14ac:dyDescent="0.4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x14ac:dyDescent="0.4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x14ac:dyDescent="0.4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x14ac:dyDescent="0.4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x14ac:dyDescent="0.4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x14ac:dyDescent="0.4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x14ac:dyDescent="0.45">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x14ac:dyDescent="0.45">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x14ac:dyDescent="0.45">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x14ac:dyDescent="0.45">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x14ac:dyDescent="0.45">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x14ac:dyDescent="0.45">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x14ac:dyDescent="0.45">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x14ac:dyDescent="0.45">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x14ac:dyDescent="0.45">
      <c r="B131" s="8" t="s">
        <v>447</v>
      </c>
      <c r="C131" s="25"/>
      <c r="D131" s="28">
        <f>SUM(D116:D130)</f>
        <v>0</v>
      </c>
      <c r="E131" s="28">
        <f>SUM(E116:E130)</f>
        <v>0</v>
      </c>
      <c r="F131" s="28">
        <f>SUM(F116:F130)</f>
        <v>0</v>
      </c>
      <c r="G131" s="25"/>
      <c r="H131" s="26"/>
      <c r="I131" s="30"/>
      <c r="J131" s="170"/>
      <c r="L131" s="8" t="s">
        <v>447</v>
      </c>
      <c r="M131" s="25"/>
      <c r="N131" s="28">
        <f t="shared" ref="N131:P131" si="96">SUM(N116:N130)</f>
        <v>0</v>
      </c>
      <c r="O131" s="28">
        <f t="shared" si="96"/>
        <v>0</v>
      </c>
      <c r="P131" s="28">
        <f t="shared" si="96"/>
        <v>0</v>
      </c>
      <c r="Q131" s="25"/>
      <c r="R131" s="26"/>
      <c r="S131" s="30"/>
      <c r="T131" s="170"/>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9.4" x14ac:dyDescent="0.4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2"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2"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4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x14ac:dyDescent="0.4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x14ac:dyDescent="0.4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x14ac:dyDescent="0.4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x14ac:dyDescent="0.4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x14ac:dyDescent="0.4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x14ac:dyDescent="0.4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x14ac:dyDescent="0.45">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x14ac:dyDescent="0.45">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x14ac:dyDescent="0.45">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x14ac:dyDescent="0.45">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x14ac:dyDescent="0.45">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x14ac:dyDescent="0.45">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x14ac:dyDescent="0.45">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x14ac:dyDescent="0.45">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x14ac:dyDescent="0.45">
      <c r="B149" s="8" t="s">
        <v>448</v>
      </c>
      <c r="C149" s="25"/>
      <c r="D149" s="28">
        <f t="shared" ref="D149:F149" si="109">SUM(D134:D148)</f>
        <v>0</v>
      </c>
      <c r="E149" s="28">
        <f t="shared" si="109"/>
        <v>0</v>
      </c>
      <c r="F149" s="28">
        <f t="shared" si="109"/>
        <v>0</v>
      </c>
      <c r="G149" s="25"/>
      <c r="H149" s="26"/>
      <c r="I149" s="30"/>
      <c r="J149" s="170"/>
      <c r="L149" s="8" t="s">
        <v>448</v>
      </c>
      <c r="M149" s="25"/>
      <c r="N149" s="28">
        <f t="shared" ref="N149:P149" si="110">SUM(N134:N148)</f>
        <v>0</v>
      </c>
      <c r="O149" s="28">
        <f t="shared" si="110"/>
        <v>0</v>
      </c>
      <c r="P149" s="28">
        <f t="shared" si="110"/>
        <v>0</v>
      </c>
      <c r="Q149" s="25"/>
      <c r="R149" s="26"/>
      <c r="S149" s="30"/>
      <c r="T149" s="170"/>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9.4" x14ac:dyDescent="0.4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2"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2"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4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x14ac:dyDescent="0.45">
      <c r="B153" s="41" t="s">
        <v>443</v>
      </c>
      <c r="C153" s="41" t="s">
        <v>282</v>
      </c>
      <c r="D153" s="244"/>
      <c r="E153" s="40"/>
      <c r="F153" s="29"/>
      <c r="G153" s="31"/>
      <c r="H153" s="23">
        <v>0.05</v>
      </c>
      <c r="I153" s="75">
        <f t="shared" ref="I153:I166" si="123">E153*H153</f>
        <v>0</v>
      </c>
      <c r="J153" s="171"/>
      <c r="L153" s="41" t="s">
        <v>443</v>
      </c>
      <c r="M153" s="41" t="s">
        <v>282</v>
      </c>
      <c r="N153" s="40"/>
      <c r="O153" s="40"/>
      <c r="P153" s="29"/>
      <c r="Q153" s="31"/>
      <c r="R153" s="23">
        <v>0.05</v>
      </c>
      <c r="S153" s="75">
        <f t="shared" ref="S153:S166" si="124">O153*R153</f>
        <v>0</v>
      </c>
      <c r="T153" s="171"/>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x14ac:dyDescent="0.45">
      <c r="B154" s="41" t="s">
        <v>443</v>
      </c>
      <c r="C154" s="41" t="s">
        <v>282</v>
      </c>
      <c r="D154" s="40"/>
      <c r="E154" s="40"/>
      <c r="F154" s="29"/>
      <c r="G154" s="31"/>
      <c r="H154" s="23">
        <v>0.05</v>
      </c>
      <c r="I154" s="75">
        <f t="shared" si="123"/>
        <v>0</v>
      </c>
      <c r="J154" s="171"/>
      <c r="L154" s="41" t="s">
        <v>443</v>
      </c>
      <c r="M154" s="41" t="s">
        <v>282</v>
      </c>
      <c r="N154" s="40"/>
      <c r="O154" s="40"/>
      <c r="P154" s="29"/>
      <c r="Q154" s="31"/>
      <c r="R154" s="23">
        <v>0.05</v>
      </c>
      <c r="S154" s="75">
        <f t="shared" si="124"/>
        <v>0</v>
      </c>
      <c r="T154" s="171"/>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x14ac:dyDescent="0.45">
      <c r="B155" s="41" t="s">
        <v>443</v>
      </c>
      <c r="C155" s="41" t="s">
        <v>282</v>
      </c>
      <c r="D155" s="40"/>
      <c r="E155" s="40"/>
      <c r="F155" s="29"/>
      <c r="G155" s="31"/>
      <c r="H155" s="23">
        <v>0.05</v>
      </c>
      <c r="I155" s="75">
        <f t="shared" si="123"/>
        <v>0</v>
      </c>
      <c r="J155" s="171"/>
      <c r="L155" s="41" t="s">
        <v>443</v>
      </c>
      <c r="M155" s="41" t="s">
        <v>282</v>
      </c>
      <c r="N155" s="40"/>
      <c r="O155" s="40"/>
      <c r="P155" s="29"/>
      <c r="Q155" s="31"/>
      <c r="R155" s="23">
        <v>0.05</v>
      </c>
      <c r="S155" s="75">
        <f t="shared" si="124"/>
        <v>0</v>
      </c>
      <c r="T155" s="171"/>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x14ac:dyDescent="0.45">
      <c r="B156" s="41" t="s">
        <v>443</v>
      </c>
      <c r="C156" s="41" t="s">
        <v>282</v>
      </c>
      <c r="D156" s="40"/>
      <c r="E156" s="40"/>
      <c r="F156" s="29"/>
      <c r="G156" s="31"/>
      <c r="H156" s="23">
        <v>0.05</v>
      </c>
      <c r="I156" s="75">
        <f t="shared" si="123"/>
        <v>0</v>
      </c>
      <c r="J156" s="171"/>
      <c r="L156" s="41" t="s">
        <v>443</v>
      </c>
      <c r="M156" s="41" t="s">
        <v>282</v>
      </c>
      <c r="N156" s="40"/>
      <c r="O156" s="40"/>
      <c r="P156" s="29"/>
      <c r="Q156" s="31"/>
      <c r="R156" s="23">
        <v>0.05</v>
      </c>
      <c r="S156" s="75">
        <f t="shared" si="124"/>
        <v>0</v>
      </c>
      <c r="T156" s="171"/>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x14ac:dyDescent="0.45">
      <c r="B157" s="41" t="s">
        <v>443</v>
      </c>
      <c r="C157" s="41" t="s">
        <v>282</v>
      </c>
      <c r="D157" s="40"/>
      <c r="E157" s="40"/>
      <c r="F157" s="29"/>
      <c r="G157" s="31"/>
      <c r="H157" s="23">
        <v>0.05</v>
      </c>
      <c r="I157" s="75">
        <f t="shared" si="123"/>
        <v>0</v>
      </c>
      <c r="J157" s="171"/>
      <c r="L157" s="41" t="s">
        <v>443</v>
      </c>
      <c r="M157" s="41" t="s">
        <v>282</v>
      </c>
      <c r="N157" s="40"/>
      <c r="O157" s="40"/>
      <c r="P157" s="29"/>
      <c r="Q157" s="31"/>
      <c r="R157" s="23">
        <v>0.05</v>
      </c>
      <c r="S157" s="75">
        <f t="shared" si="124"/>
        <v>0</v>
      </c>
      <c r="T157" s="171"/>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x14ac:dyDescent="0.45">
      <c r="B158" s="41" t="s">
        <v>443</v>
      </c>
      <c r="C158" s="41" t="s">
        <v>282</v>
      </c>
      <c r="D158" s="40"/>
      <c r="E158" s="40"/>
      <c r="F158" s="29"/>
      <c r="G158" s="31"/>
      <c r="H158" s="23">
        <v>0.05</v>
      </c>
      <c r="I158" s="75">
        <f t="shared" si="123"/>
        <v>0</v>
      </c>
      <c r="J158" s="171"/>
      <c r="L158" s="41" t="s">
        <v>443</v>
      </c>
      <c r="M158" s="41" t="s">
        <v>282</v>
      </c>
      <c r="N158" s="40"/>
      <c r="O158" s="40"/>
      <c r="P158" s="29"/>
      <c r="Q158" s="31"/>
      <c r="R158" s="23">
        <v>0.05</v>
      </c>
      <c r="S158" s="75">
        <f t="shared" si="124"/>
        <v>0</v>
      </c>
      <c r="T158" s="171"/>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x14ac:dyDescent="0.45">
      <c r="B159" s="41" t="s">
        <v>443</v>
      </c>
      <c r="C159" s="41" t="s">
        <v>282</v>
      </c>
      <c r="D159" s="40"/>
      <c r="E159" s="40"/>
      <c r="F159" s="29"/>
      <c r="G159" s="31"/>
      <c r="H159" s="23">
        <v>0.05</v>
      </c>
      <c r="I159" s="75">
        <f t="shared" si="123"/>
        <v>0</v>
      </c>
      <c r="J159" s="171"/>
      <c r="L159" s="41" t="s">
        <v>443</v>
      </c>
      <c r="M159" s="41" t="s">
        <v>282</v>
      </c>
      <c r="N159" s="40"/>
      <c r="O159" s="40"/>
      <c r="P159" s="29"/>
      <c r="Q159" s="31"/>
      <c r="R159" s="23">
        <v>0.05</v>
      </c>
      <c r="S159" s="75">
        <f t="shared" si="124"/>
        <v>0</v>
      </c>
      <c r="T159" s="171"/>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x14ac:dyDescent="0.45">
      <c r="B160" s="41" t="s">
        <v>443</v>
      </c>
      <c r="C160" s="41" t="s">
        <v>282</v>
      </c>
      <c r="D160" s="40"/>
      <c r="E160" s="40"/>
      <c r="F160" s="29"/>
      <c r="G160" s="31"/>
      <c r="H160" s="23">
        <v>0.05</v>
      </c>
      <c r="I160" s="75">
        <f t="shared" si="123"/>
        <v>0</v>
      </c>
      <c r="J160" s="171"/>
      <c r="L160" s="41" t="s">
        <v>443</v>
      </c>
      <c r="M160" s="41" t="s">
        <v>282</v>
      </c>
      <c r="N160" s="40"/>
      <c r="O160" s="40"/>
      <c r="P160" s="29"/>
      <c r="Q160" s="31"/>
      <c r="R160" s="23">
        <v>0.05</v>
      </c>
      <c r="S160" s="75">
        <f t="shared" si="124"/>
        <v>0</v>
      </c>
      <c r="T160" s="171"/>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x14ac:dyDescent="0.45">
      <c r="B161" s="41" t="s">
        <v>443</v>
      </c>
      <c r="C161" s="41" t="s">
        <v>282</v>
      </c>
      <c r="D161" s="40"/>
      <c r="E161" s="40"/>
      <c r="F161" s="29"/>
      <c r="G161" s="31"/>
      <c r="H161" s="23">
        <v>0.05</v>
      </c>
      <c r="I161" s="75">
        <f t="shared" si="123"/>
        <v>0</v>
      </c>
      <c r="J161" s="171"/>
      <c r="L161" s="41" t="s">
        <v>443</v>
      </c>
      <c r="M161" s="41" t="s">
        <v>282</v>
      </c>
      <c r="N161" s="40"/>
      <c r="O161" s="40"/>
      <c r="P161" s="29"/>
      <c r="Q161" s="31"/>
      <c r="R161" s="23">
        <v>0.05</v>
      </c>
      <c r="S161" s="75">
        <f t="shared" si="124"/>
        <v>0</v>
      </c>
      <c r="T161" s="171"/>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x14ac:dyDescent="0.45">
      <c r="B162" s="41" t="s">
        <v>443</v>
      </c>
      <c r="C162" s="41" t="s">
        <v>282</v>
      </c>
      <c r="D162" s="40"/>
      <c r="E162" s="40"/>
      <c r="F162" s="29"/>
      <c r="G162" s="31"/>
      <c r="H162" s="23">
        <v>0.05</v>
      </c>
      <c r="I162" s="75">
        <f t="shared" si="123"/>
        <v>0</v>
      </c>
      <c r="J162" s="171"/>
      <c r="L162" s="41" t="s">
        <v>443</v>
      </c>
      <c r="M162" s="41" t="s">
        <v>282</v>
      </c>
      <c r="N162" s="40"/>
      <c r="O162" s="40"/>
      <c r="P162" s="29"/>
      <c r="Q162" s="31"/>
      <c r="R162" s="23">
        <v>0.05</v>
      </c>
      <c r="S162" s="75">
        <f t="shared" si="124"/>
        <v>0</v>
      </c>
      <c r="T162" s="171"/>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x14ac:dyDescent="0.45">
      <c r="B163" s="41" t="s">
        <v>443</v>
      </c>
      <c r="C163" s="41" t="s">
        <v>282</v>
      </c>
      <c r="D163" s="40"/>
      <c r="E163" s="40"/>
      <c r="F163" s="29"/>
      <c r="G163" s="31"/>
      <c r="H163" s="23">
        <v>0.05</v>
      </c>
      <c r="I163" s="75">
        <f t="shared" si="123"/>
        <v>0</v>
      </c>
      <c r="J163" s="171"/>
      <c r="L163" s="41" t="s">
        <v>443</v>
      </c>
      <c r="M163" s="41" t="s">
        <v>282</v>
      </c>
      <c r="N163" s="40"/>
      <c r="O163" s="40"/>
      <c r="P163" s="29"/>
      <c r="Q163" s="31"/>
      <c r="R163" s="23">
        <v>0.05</v>
      </c>
      <c r="S163" s="75">
        <f t="shared" si="124"/>
        <v>0</v>
      </c>
      <c r="T163" s="171"/>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x14ac:dyDescent="0.45">
      <c r="B164" s="41" t="s">
        <v>443</v>
      </c>
      <c r="C164" s="41" t="s">
        <v>282</v>
      </c>
      <c r="D164" s="40"/>
      <c r="E164" s="40"/>
      <c r="F164" s="29"/>
      <c r="G164" s="31"/>
      <c r="H164" s="23">
        <v>0.05</v>
      </c>
      <c r="I164" s="75">
        <f t="shared" si="123"/>
        <v>0</v>
      </c>
      <c r="J164" s="171"/>
      <c r="L164" s="41" t="s">
        <v>443</v>
      </c>
      <c r="M164" s="41" t="s">
        <v>282</v>
      </c>
      <c r="N164" s="40"/>
      <c r="O164" s="40"/>
      <c r="P164" s="29"/>
      <c r="Q164" s="31"/>
      <c r="R164" s="23">
        <v>0.05</v>
      </c>
      <c r="S164" s="75">
        <f t="shared" si="124"/>
        <v>0</v>
      </c>
      <c r="T164" s="171"/>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x14ac:dyDescent="0.45">
      <c r="B165" s="41" t="s">
        <v>443</v>
      </c>
      <c r="C165" s="41" t="s">
        <v>282</v>
      </c>
      <c r="D165" s="40"/>
      <c r="E165" s="40"/>
      <c r="F165" s="29"/>
      <c r="G165" s="31"/>
      <c r="H165" s="23">
        <v>0.05</v>
      </c>
      <c r="I165" s="75">
        <f t="shared" si="123"/>
        <v>0</v>
      </c>
      <c r="J165" s="171"/>
      <c r="L165" s="41" t="s">
        <v>443</v>
      </c>
      <c r="M165" s="41" t="s">
        <v>282</v>
      </c>
      <c r="N165" s="40"/>
      <c r="O165" s="40"/>
      <c r="P165" s="29"/>
      <c r="Q165" s="31"/>
      <c r="R165" s="23">
        <v>0.05</v>
      </c>
      <c r="S165" s="75">
        <f t="shared" si="124"/>
        <v>0</v>
      </c>
      <c r="T165" s="171"/>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x14ac:dyDescent="0.45">
      <c r="B166" s="41" t="s">
        <v>443</v>
      </c>
      <c r="C166" s="41" t="s">
        <v>282</v>
      </c>
      <c r="D166" s="40"/>
      <c r="E166" s="40"/>
      <c r="F166" s="29"/>
      <c r="G166" s="31"/>
      <c r="H166" s="23">
        <v>0.05</v>
      </c>
      <c r="I166" s="75">
        <f t="shared" si="123"/>
        <v>0</v>
      </c>
      <c r="J166" s="171"/>
      <c r="L166" s="41" t="s">
        <v>443</v>
      </c>
      <c r="M166" s="41" t="s">
        <v>282</v>
      </c>
      <c r="N166" s="40"/>
      <c r="O166" s="40"/>
      <c r="P166" s="29"/>
      <c r="Q166" s="31"/>
      <c r="R166" s="23">
        <v>0.05</v>
      </c>
      <c r="S166" s="75">
        <f t="shared" si="124"/>
        <v>0</v>
      </c>
      <c r="T166" s="171"/>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x14ac:dyDescent="0.45">
      <c r="B167" s="8" t="s">
        <v>449</v>
      </c>
      <c r="C167" s="25"/>
      <c r="D167" s="28">
        <f t="shared" ref="D167:E167" si="130">SUM(D152:D166)</f>
        <v>0</v>
      </c>
      <c r="E167" s="28">
        <f t="shared" si="130"/>
        <v>0</v>
      </c>
      <c r="F167" s="30"/>
      <c r="G167" s="25"/>
      <c r="H167" s="26"/>
      <c r="I167" s="28">
        <f>SUM(I152:I166)</f>
        <v>0</v>
      </c>
      <c r="J167" s="170"/>
      <c r="L167" s="8" t="s">
        <v>449</v>
      </c>
      <c r="M167" s="25"/>
      <c r="N167" s="28">
        <f t="shared" ref="N167:O167" si="131">SUM(N152:N166)</f>
        <v>0</v>
      </c>
      <c r="O167" s="28">
        <f t="shared" si="131"/>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4" x14ac:dyDescent="0.45">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2"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2"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4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x14ac:dyDescent="0.4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x14ac:dyDescent="0.4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x14ac:dyDescent="0.4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x14ac:dyDescent="0.4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x14ac:dyDescent="0.4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x14ac:dyDescent="0.4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x14ac:dyDescent="0.45">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x14ac:dyDescent="0.45">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x14ac:dyDescent="0.45">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x14ac:dyDescent="0.45">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x14ac:dyDescent="0.45">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x14ac:dyDescent="0.45">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x14ac:dyDescent="0.45">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x14ac:dyDescent="0.45">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x14ac:dyDescent="0.45">
      <c r="B185" s="8" t="s">
        <v>447</v>
      </c>
      <c r="C185" s="25"/>
      <c r="D185" s="28">
        <f>SUM(D170:D184)</f>
        <v>0</v>
      </c>
      <c r="E185" s="28">
        <f>SUM(E170:E184)</f>
        <v>0</v>
      </c>
      <c r="F185" s="28">
        <f>SUM(F170:F184)</f>
        <v>0</v>
      </c>
      <c r="G185" s="25"/>
      <c r="H185" s="26"/>
      <c r="I185" s="30"/>
      <c r="J185" s="170"/>
      <c r="L185" s="8" t="s">
        <v>447</v>
      </c>
      <c r="M185" s="25"/>
      <c r="N185" s="28">
        <f t="shared" ref="N185:P185" si="139">SUM(N170:N184)</f>
        <v>0</v>
      </c>
      <c r="O185" s="28">
        <f t="shared" si="139"/>
        <v>0</v>
      </c>
      <c r="P185" s="28">
        <f t="shared" si="139"/>
        <v>0</v>
      </c>
      <c r="Q185" s="25"/>
      <c r="R185" s="26"/>
      <c r="S185" s="30"/>
      <c r="T185" s="170"/>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9.4" x14ac:dyDescent="0.45">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2"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2"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45">
      <c r="B188" s="41" t="s">
        <v>443</v>
      </c>
      <c r="C188" s="41" t="s">
        <v>282</v>
      </c>
      <c r="D188" s="40"/>
      <c r="E188" s="40"/>
      <c r="F188" s="29"/>
      <c r="G188" s="22"/>
      <c r="H188" s="23">
        <v>0.82</v>
      </c>
      <c r="I188" s="75">
        <f>D188*G188*H188</f>
        <v>0</v>
      </c>
      <c r="J188" s="171"/>
      <c r="L188" s="41" t="s">
        <v>443</v>
      </c>
      <c r="M188" s="41" t="s">
        <v>282</v>
      </c>
      <c r="N188" s="40"/>
      <c r="O188" s="40"/>
      <c r="P188" s="29"/>
      <c r="Q188" s="22"/>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x14ac:dyDescent="0.45">
      <c r="B189" s="41" t="s">
        <v>443</v>
      </c>
      <c r="C189" s="41" t="s">
        <v>282</v>
      </c>
      <c r="D189" s="40"/>
      <c r="E189" s="40"/>
      <c r="F189" s="29"/>
      <c r="G189" s="22"/>
      <c r="H189" s="23">
        <v>0.82</v>
      </c>
      <c r="I189" s="75">
        <f t="shared" ref="I189:I202" si="152">D189*G189*H189</f>
        <v>0</v>
      </c>
      <c r="J189" s="171"/>
      <c r="L189" s="41" t="s">
        <v>443</v>
      </c>
      <c r="M189" s="41" t="s">
        <v>282</v>
      </c>
      <c r="N189" s="40"/>
      <c r="O189" s="40"/>
      <c r="P189" s="29"/>
      <c r="Q189" s="22"/>
      <c r="R189" s="23">
        <v>0.82</v>
      </c>
      <c r="S189" s="75">
        <f t="shared" ref="S189:S202" si="153">N189*Q189*R189</f>
        <v>0</v>
      </c>
      <c r="T189" s="171"/>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x14ac:dyDescent="0.45">
      <c r="B190" s="41" t="s">
        <v>443</v>
      </c>
      <c r="C190" s="41" t="s">
        <v>282</v>
      </c>
      <c r="D190" s="40"/>
      <c r="E190" s="40"/>
      <c r="F190" s="29"/>
      <c r="G190" s="22"/>
      <c r="H190" s="23">
        <v>0.82</v>
      </c>
      <c r="I190" s="75">
        <f t="shared" si="152"/>
        <v>0</v>
      </c>
      <c r="J190" s="171"/>
      <c r="L190" s="41" t="s">
        <v>443</v>
      </c>
      <c r="M190" s="41" t="s">
        <v>282</v>
      </c>
      <c r="N190" s="40"/>
      <c r="O190" s="40"/>
      <c r="P190" s="29"/>
      <c r="Q190" s="22"/>
      <c r="R190" s="23">
        <v>0.82</v>
      </c>
      <c r="S190" s="75">
        <f t="shared" si="153"/>
        <v>0</v>
      </c>
      <c r="T190" s="171"/>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x14ac:dyDescent="0.45">
      <c r="B191" s="41" t="s">
        <v>443</v>
      </c>
      <c r="C191" s="41" t="s">
        <v>282</v>
      </c>
      <c r="D191" s="40"/>
      <c r="E191" s="40"/>
      <c r="F191" s="29"/>
      <c r="G191" s="22"/>
      <c r="H191" s="23">
        <v>0.82</v>
      </c>
      <c r="I191" s="75">
        <f t="shared" si="152"/>
        <v>0</v>
      </c>
      <c r="J191" s="171"/>
      <c r="L191" s="41" t="s">
        <v>443</v>
      </c>
      <c r="M191" s="41" t="s">
        <v>282</v>
      </c>
      <c r="N191" s="40"/>
      <c r="O191" s="40"/>
      <c r="P191" s="29"/>
      <c r="Q191" s="22"/>
      <c r="R191" s="23">
        <v>0.82</v>
      </c>
      <c r="S191" s="75">
        <f t="shared" si="153"/>
        <v>0</v>
      </c>
      <c r="T191" s="171"/>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x14ac:dyDescent="0.45">
      <c r="B192" s="41" t="s">
        <v>443</v>
      </c>
      <c r="C192" s="41" t="s">
        <v>282</v>
      </c>
      <c r="D192" s="40"/>
      <c r="E192" s="40"/>
      <c r="F192" s="29"/>
      <c r="G192" s="22"/>
      <c r="H192" s="23">
        <v>0.82</v>
      </c>
      <c r="I192" s="75">
        <f t="shared" si="152"/>
        <v>0</v>
      </c>
      <c r="J192" s="171"/>
      <c r="L192" s="41" t="s">
        <v>443</v>
      </c>
      <c r="M192" s="41" t="s">
        <v>282</v>
      </c>
      <c r="N192" s="40"/>
      <c r="O192" s="40"/>
      <c r="P192" s="29"/>
      <c r="Q192" s="22"/>
      <c r="R192" s="23">
        <v>0.82</v>
      </c>
      <c r="S192" s="75">
        <f t="shared" si="153"/>
        <v>0</v>
      </c>
      <c r="T192" s="171"/>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x14ac:dyDescent="0.45">
      <c r="B193" s="41" t="s">
        <v>443</v>
      </c>
      <c r="C193" s="41" t="s">
        <v>282</v>
      </c>
      <c r="D193" s="40"/>
      <c r="E193" s="40"/>
      <c r="F193" s="29"/>
      <c r="G193" s="22"/>
      <c r="H193" s="23">
        <v>0.82</v>
      </c>
      <c r="I193" s="75">
        <f t="shared" si="152"/>
        <v>0</v>
      </c>
      <c r="J193" s="171"/>
      <c r="L193" s="41" t="s">
        <v>443</v>
      </c>
      <c r="M193" s="41" t="s">
        <v>282</v>
      </c>
      <c r="N193" s="40"/>
      <c r="O193" s="40"/>
      <c r="P193" s="29"/>
      <c r="Q193" s="22"/>
      <c r="R193" s="23">
        <v>0.82</v>
      </c>
      <c r="S193" s="75">
        <f t="shared" si="153"/>
        <v>0</v>
      </c>
      <c r="T193" s="171"/>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x14ac:dyDescent="0.45">
      <c r="B194" s="41" t="s">
        <v>443</v>
      </c>
      <c r="C194" s="41" t="s">
        <v>282</v>
      </c>
      <c r="D194" s="40"/>
      <c r="E194" s="40"/>
      <c r="F194" s="29"/>
      <c r="G194" s="22"/>
      <c r="H194" s="23">
        <v>0.82</v>
      </c>
      <c r="I194" s="75">
        <f t="shared" si="152"/>
        <v>0</v>
      </c>
      <c r="J194" s="171"/>
      <c r="L194" s="41" t="s">
        <v>443</v>
      </c>
      <c r="M194" s="41" t="s">
        <v>282</v>
      </c>
      <c r="N194" s="40"/>
      <c r="O194" s="40"/>
      <c r="P194" s="29"/>
      <c r="Q194" s="22"/>
      <c r="R194" s="23">
        <v>0.82</v>
      </c>
      <c r="S194" s="75">
        <f t="shared" si="153"/>
        <v>0</v>
      </c>
      <c r="T194" s="171"/>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x14ac:dyDescent="0.45">
      <c r="B195" s="41" t="s">
        <v>443</v>
      </c>
      <c r="C195" s="41" t="s">
        <v>282</v>
      </c>
      <c r="D195" s="40"/>
      <c r="E195" s="40"/>
      <c r="F195" s="29"/>
      <c r="G195" s="22"/>
      <c r="H195" s="23">
        <v>0.82</v>
      </c>
      <c r="I195" s="75">
        <f t="shared" si="152"/>
        <v>0</v>
      </c>
      <c r="J195" s="171"/>
      <c r="L195" s="41" t="s">
        <v>443</v>
      </c>
      <c r="M195" s="41" t="s">
        <v>282</v>
      </c>
      <c r="N195" s="40"/>
      <c r="O195" s="40"/>
      <c r="P195" s="29"/>
      <c r="Q195" s="22"/>
      <c r="R195" s="23">
        <v>0.82</v>
      </c>
      <c r="S195" s="75">
        <f t="shared" si="153"/>
        <v>0</v>
      </c>
      <c r="T195" s="171"/>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x14ac:dyDescent="0.45">
      <c r="B196" s="41" t="s">
        <v>443</v>
      </c>
      <c r="C196" s="41" t="s">
        <v>282</v>
      </c>
      <c r="D196" s="40"/>
      <c r="E196" s="40"/>
      <c r="F196" s="29"/>
      <c r="G196" s="22"/>
      <c r="H196" s="23">
        <v>0.82</v>
      </c>
      <c r="I196" s="75">
        <f t="shared" si="152"/>
        <v>0</v>
      </c>
      <c r="J196" s="171"/>
      <c r="L196" s="41" t="s">
        <v>443</v>
      </c>
      <c r="M196" s="41" t="s">
        <v>282</v>
      </c>
      <c r="N196" s="40"/>
      <c r="O196" s="40"/>
      <c r="P196" s="29"/>
      <c r="Q196" s="22"/>
      <c r="R196" s="23">
        <v>0.82</v>
      </c>
      <c r="S196" s="75">
        <f t="shared" si="153"/>
        <v>0</v>
      </c>
      <c r="T196" s="171"/>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x14ac:dyDescent="0.45">
      <c r="B197" s="41" t="s">
        <v>443</v>
      </c>
      <c r="C197" s="41" t="s">
        <v>282</v>
      </c>
      <c r="D197" s="40"/>
      <c r="E197" s="40"/>
      <c r="F197" s="29"/>
      <c r="G197" s="22"/>
      <c r="H197" s="23">
        <v>0.82</v>
      </c>
      <c r="I197" s="75">
        <f t="shared" si="152"/>
        <v>0</v>
      </c>
      <c r="J197" s="171"/>
      <c r="L197" s="41" t="s">
        <v>443</v>
      </c>
      <c r="M197" s="41" t="s">
        <v>282</v>
      </c>
      <c r="N197" s="40"/>
      <c r="O197" s="40"/>
      <c r="P197" s="29"/>
      <c r="Q197" s="22"/>
      <c r="R197" s="23">
        <v>0.82</v>
      </c>
      <c r="S197" s="75">
        <f t="shared" si="153"/>
        <v>0</v>
      </c>
      <c r="T197" s="171"/>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x14ac:dyDescent="0.45">
      <c r="B198" s="41" t="s">
        <v>443</v>
      </c>
      <c r="C198" s="41" t="s">
        <v>282</v>
      </c>
      <c r="D198" s="40"/>
      <c r="E198" s="40"/>
      <c r="F198" s="29"/>
      <c r="G198" s="22"/>
      <c r="H198" s="23">
        <v>0.82</v>
      </c>
      <c r="I198" s="75">
        <f t="shared" si="152"/>
        <v>0</v>
      </c>
      <c r="J198" s="171"/>
      <c r="L198" s="41" t="s">
        <v>443</v>
      </c>
      <c r="M198" s="41" t="s">
        <v>282</v>
      </c>
      <c r="N198" s="40"/>
      <c r="O198" s="40"/>
      <c r="P198" s="29"/>
      <c r="Q198" s="22"/>
      <c r="R198" s="23">
        <v>0.82</v>
      </c>
      <c r="S198" s="75">
        <f t="shared" si="153"/>
        <v>0</v>
      </c>
      <c r="T198" s="171"/>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x14ac:dyDescent="0.45">
      <c r="B199" s="41" t="s">
        <v>443</v>
      </c>
      <c r="C199" s="41" t="s">
        <v>282</v>
      </c>
      <c r="D199" s="40"/>
      <c r="E199" s="40"/>
      <c r="F199" s="29"/>
      <c r="G199" s="22"/>
      <c r="H199" s="23">
        <v>0.82</v>
      </c>
      <c r="I199" s="75">
        <f t="shared" si="152"/>
        <v>0</v>
      </c>
      <c r="J199" s="171"/>
      <c r="L199" s="41" t="s">
        <v>443</v>
      </c>
      <c r="M199" s="41" t="s">
        <v>282</v>
      </c>
      <c r="N199" s="40"/>
      <c r="O199" s="40"/>
      <c r="P199" s="29"/>
      <c r="Q199" s="22"/>
      <c r="R199" s="23">
        <v>0.82</v>
      </c>
      <c r="S199" s="75">
        <f t="shared" si="153"/>
        <v>0</v>
      </c>
      <c r="T199" s="171"/>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x14ac:dyDescent="0.45">
      <c r="B200" s="41" t="s">
        <v>443</v>
      </c>
      <c r="C200" s="41" t="s">
        <v>282</v>
      </c>
      <c r="D200" s="40"/>
      <c r="E200" s="40"/>
      <c r="F200" s="29"/>
      <c r="G200" s="22"/>
      <c r="H200" s="23">
        <v>0.82</v>
      </c>
      <c r="I200" s="75">
        <f t="shared" si="152"/>
        <v>0</v>
      </c>
      <c r="J200" s="171"/>
      <c r="L200" s="41" t="s">
        <v>443</v>
      </c>
      <c r="M200" s="41" t="s">
        <v>282</v>
      </c>
      <c r="N200" s="40"/>
      <c r="O200" s="40"/>
      <c r="P200" s="29"/>
      <c r="Q200" s="22"/>
      <c r="R200" s="23">
        <v>0.82</v>
      </c>
      <c r="S200" s="75">
        <f t="shared" si="153"/>
        <v>0</v>
      </c>
      <c r="T200" s="171"/>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x14ac:dyDescent="0.45">
      <c r="B201" s="41" t="s">
        <v>443</v>
      </c>
      <c r="C201" s="41" t="s">
        <v>282</v>
      </c>
      <c r="D201" s="40"/>
      <c r="E201" s="40"/>
      <c r="F201" s="29"/>
      <c r="G201" s="22"/>
      <c r="H201" s="23">
        <v>0.82</v>
      </c>
      <c r="I201" s="75">
        <f t="shared" si="152"/>
        <v>0</v>
      </c>
      <c r="J201" s="171"/>
      <c r="L201" s="41" t="s">
        <v>443</v>
      </c>
      <c r="M201" s="41" t="s">
        <v>282</v>
      </c>
      <c r="N201" s="40"/>
      <c r="O201" s="40"/>
      <c r="P201" s="29"/>
      <c r="Q201" s="22"/>
      <c r="R201" s="23">
        <v>0.82</v>
      </c>
      <c r="S201" s="75">
        <f t="shared" si="153"/>
        <v>0</v>
      </c>
      <c r="T201" s="171"/>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x14ac:dyDescent="0.45">
      <c r="B202" s="41" t="s">
        <v>443</v>
      </c>
      <c r="C202" s="41" t="s">
        <v>282</v>
      </c>
      <c r="D202" s="40"/>
      <c r="E202" s="40"/>
      <c r="F202" s="29"/>
      <c r="G202" s="22"/>
      <c r="H202" s="23">
        <v>0.82</v>
      </c>
      <c r="I202" s="75">
        <f t="shared" si="152"/>
        <v>0</v>
      </c>
      <c r="J202" s="171"/>
      <c r="L202" s="41" t="s">
        <v>443</v>
      </c>
      <c r="M202" s="41" t="s">
        <v>282</v>
      </c>
      <c r="N202" s="40"/>
      <c r="O202" s="40"/>
      <c r="P202" s="29"/>
      <c r="Q202" s="22"/>
      <c r="R202" s="23">
        <v>0.82</v>
      </c>
      <c r="S202" s="75">
        <f t="shared" si="153"/>
        <v>0</v>
      </c>
      <c r="T202" s="171"/>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x14ac:dyDescent="0.45">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25" x14ac:dyDescent="0.45">
      <c r="B207" s="226" t="s">
        <v>389</v>
      </c>
      <c r="C207" s="226" t="s">
        <v>390</v>
      </c>
      <c r="D207" s="226" t="s">
        <v>391</v>
      </c>
      <c r="E207" s="226" t="s">
        <v>392</v>
      </c>
      <c r="F207" s="226" t="s">
        <v>393</v>
      </c>
    </row>
    <row r="208" spans="2:65" x14ac:dyDescent="0.45">
      <c r="B208" s="5" t="s">
        <v>394</v>
      </c>
      <c r="C208" s="6">
        <f>SUM(A36,A39)</f>
        <v>0</v>
      </c>
      <c r="D208" s="6">
        <f>SUM(D36,D39)</f>
        <v>0</v>
      </c>
      <c r="E208" s="6">
        <f>SUM(E36,E39)</f>
        <v>0</v>
      </c>
      <c r="F208" s="5"/>
    </row>
    <row r="209" spans="2:6" x14ac:dyDescent="0.45">
      <c r="B209" s="5" t="s">
        <v>395</v>
      </c>
      <c r="C209" s="6">
        <f>SUM(A37)</f>
        <v>0</v>
      </c>
      <c r="D209" s="6">
        <f>SUM(D37)</f>
        <v>0</v>
      </c>
      <c r="E209" s="6">
        <f>SUM(E37)</f>
        <v>0</v>
      </c>
      <c r="F209" s="5"/>
    </row>
    <row r="210" spans="2:6" x14ac:dyDescent="0.45">
      <c r="B210" s="5" t="s">
        <v>396</v>
      </c>
      <c r="C210" s="6">
        <f>SUM(A38)</f>
        <v>0</v>
      </c>
      <c r="D210" s="6">
        <f>SUM(D38)</f>
        <v>0</v>
      </c>
      <c r="E210" s="6">
        <f>SUM(E38)</f>
        <v>0</v>
      </c>
      <c r="F210" s="5"/>
    </row>
    <row r="211" spans="2:6" x14ac:dyDescent="0.45">
      <c r="B211" s="5" t="s">
        <v>397</v>
      </c>
      <c r="C211" s="6">
        <f>SUM(A32:A35,A40)</f>
        <v>0</v>
      </c>
      <c r="D211" s="6">
        <f>SUM(D32:D35,D40)</f>
        <v>0</v>
      </c>
      <c r="E211" s="6">
        <f>SUM(E32:E35,E40)</f>
        <v>0</v>
      </c>
      <c r="F211" s="5"/>
    </row>
    <row r="212" spans="2:6" x14ac:dyDescent="0.45">
      <c r="B212" s="5" t="s">
        <v>224</v>
      </c>
      <c r="C212" s="6">
        <v>0</v>
      </c>
      <c r="D212" s="6">
        <v>0</v>
      </c>
      <c r="E212" s="6">
        <v>0</v>
      </c>
      <c r="F212" s="5"/>
    </row>
    <row r="213" spans="2:6" x14ac:dyDescent="0.45">
      <c r="B213" s="82" t="s">
        <v>107</v>
      </c>
      <c r="C213" s="74">
        <f>SUM(C208:C212)</f>
        <v>0</v>
      </c>
      <c r="D213" s="74">
        <f>SUM(D208:D212)</f>
        <v>0</v>
      </c>
      <c r="E213" s="74">
        <f>SUM(E208:E212)</f>
        <v>0</v>
      </c>
      <c r="F213" s="5"/>
    </row>
    <row r="216" spans="2:6" x14ac:dyDescent="0.45">
      <c r="C216" s="224">
        <v>3</v>
      </c>
      <c r="D216" s="224">
        <v>2127536</v>
      </c>
      <c r="E216" s="224">
        <v>2056184</v>
      </c>
    </row>
    <row r="217" spans="2:6" x14ac:dyDescent="0.45">
      <c r="C217" s="224">
        <v>2</v>
      </c>
      <c r="D217" s="224">
        <v>437000</v>
      </c>
      <c r="E217" s="224">
        <v>209733</v>
      </c>
    </row>
    <row r="218" spans="2:6" x14ac:dyDescent="0.45">
      <c r="C218" s="224">
        <v>5</v>
      </c>
      <c r="D218" s="224">
        <v>226400</v>
      </c>
      <c r="E218" s="224">
        <v>119522</v>
      </c>
    </row>
    <row r="219" spans="2:6" x14ac:dyDescent="0.45">
      <c r="C219" s="224">
        <v>1</v>
      </c>
      <c r="D219" s="224">
        <v>50000</v>
      </c>
      <c r="E219" s="224">
        <v>48355</v>
      </c>
    </row>
    <row r="220" spans="2:6" x14ac:dyDescent="0.45">
      <c r="C220" s="224">
        <v>0</v>
      </c>
      <c r="D220" s="224">
        <v>0</v>
      </c>
      <c r="E220" s="224">
        <v>0</v>
      </c>
    </row>
    <row r="221" spans="2:6" x14ac:dyDescent="0.45">
      <c r="C221" s="224">
        <v>11</v>
      </c>
      <c r="D221" s="224">
        <v>2840936</v>
      </c>
      <c r="E221" s="224">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328125" defaultRowHeight="13.15" x14ac:dyDescent="0.45"/>
  <cols>
    <col min="1" max="1" width="9.1328125" style="2"/>
    <col min="2" max="2" width="42.73046875" style="2" customWidth="1"/>
    <col min="3" max="5" width="12" style="2" customWidth="1"/>
    <col min="6" max="16384" width="9.1328125" style="2"/>
  </cols>
  <sheetData>
    <row r="2" spans="2:5" x14ac:dyDescent="0.45">
      <c r="B2" s="63" t="s">
        <v>471</v>
      </c>
    </row>
    <row r="4" spans="2:5" s="4" customFormat="1" ht="65.650000000000006" x14ac:dyDescent="0.45">
      <c r="B4" s="3" t="s">
        <v>472</v>
      </c>
      <c r="C4" s="3" t="s">
        <v>473</v>
      </c>
      <c r="D4" s="3" t="s">
        <v>474</v>
      </c>
      <c r="E4" s="3" t="s">
        <v>475</v>
      </c>
    </row>
    <row r="5" spans="2:5" x14ac:dyDescent="0.45">
      <c r="B5" s="5" t="s">
        <v>476</v>
      </c>
      <c r="C5" s="12">
        <v>0.05</v>
      </c>
      <c r="D5" s="11"/>
      <c r="E5" s="6">
        <f>C5*D5*12</f>
        <v>0</v>
      </c>
    </row>
    <row r="6" spans="2:5" x14ac:dyDescent="0.45">
      <c r="B6" s="5" t="s">
        <v>477</v>
      </c>
      <c r="C6" s="12">
        <v>0</v>
      </c>
      <c r="D6" s="11"/>
      <c r="E6" s="6">
        <f t="shared" ref="E6:E21" si="0">C6*D6*12</f>
        <v>0</v>
      </c>
    </row>
    <row r="7" spans="2:5" x14ac:dyDescent="0.45">
      <c r="B7" s="5" t="s">
        <v>478</v>
      </c>
      <c r="C7" s="12">
        <v>7.4999999999999997E-2</v>
      </c>
      <c r="D7" s="11"/>
      <c r="E7" s="6">
        <f t="shared" si="0"/>
        <v>0</v>
      </c>
    </row>
    <row r="8" spans="2:5" x14ac:dyDescent="0.45">
      <c r="B8" s="5" t="s">
        <v>479</v>
      </c>
      <c r="C8" s="12">
        <v>7.4999999999999997E-2</v>
      </c>
      <c r="D8" s="11"/>
      <c r="E8" s="6">
        <f t="shared" si="0"/>
        <v>0</v>
      </c>
    </row>
    <row r="9" spans="2:5" x14ac:dyDescent="0.45">
      <c r="B9" s="5" t="s">
        <v>81</v>
      </c>
      <c r="C9" s="12">
        <v>7.4999999999999997E-2</v>
      </c>
      <c r="D9" s="11"/>
      <c r="E9" s="6">
        <f t="shared" si="0"/>
        <v>0</v>
      </c>
    </row>
    <row r="10" spans="2:5" x14ac:dyDescent="0.45">
      <c r="B10" s="5" t="s">
        <v>480</v>
      </c>
      <c r="C10" s="12">
        <v>0.1</v>
      </c>
      <c r="D10" s="11"/>
      <c r="E10" s="6">
        <f t="shared" si="0"/>
        <v>0</v>
      </c>
    </row>
    <row r="11" spans="2:5" x14ac:dyDescent="0.45">
      <c r="B11" s="5" t="s">
        <v>481</v>
      </c>
      <c r="C11" s="12">
        <v>0.15</v>
      </c>
      <c r="D11" s="11"/>
      <c r="E11" s="6">
        <f t="shared" si="0"/>
        <v>0</v>
      </c>
    </row>
    <row r="12" spans="2:5" x14ac:dyDescent="0.45">
      <c r="B12" s="5" t="s">
        <v>482</v>
      </c>
      <c r="C12" s="12">
        <v>7.4999999999999997E-2</v>
      </c>
      <c r="D12" s="11"/>
      <c r="E12" s="6">
        <f t="shared" si="0"/>
        <v>0</v>
      </c>
    </row>
    <row r="13" spans="2:5" x14ac:dyDescent="0.45">
      <c r="B13" s="5" t="s">
        <v>483</v>
      </c>
      <c r="C13" s="12">
        <v>7.4999999999999997E-2</v>
      </c>
      <c r="D13" s="11"/>
      <c r="E13" s="6">
        <f t="shared" si="0"/>
        <v>0</v>
      </c>
    </row>
    <row r="14" spans="2:5" x14ac:dyDescent="0.45">
      <c r="B14" s="5" t="s">
        <v>484</v>
      </c>
      <c r="C14" s="12">
        <v>7.4999999999999997E-2</v>
      </c>
      <c r="D14" s="11"/>
      <c r="E14" s="6">
        <f t="shared" si="0"/>
        <v>0</v>
      </c>
    </row>
    <row r="15" spans="2:5" x14ac:dyDescent="0.45">
      <c r="B15" s="5" t="s">
        <v>485</v>
      </c>
      <c r="C15" s="12">
        <v>0.09</v>
      </c>
      <c r="D15" s="11"/>
      <c r="E15" s="6">
        <f t="shared" si="0"/>
        <v>0</v>
      </c>
    </row>
    <row r="16" spans="2:5" x14ac:dyDescent="0.45">
      <c r="B16" s="5" t="s">
        <v>486</v>
      </c>
      <c r="C16" s="12">
        <v>0.125</v>
      </c>
      <c r="D16" s="11"/>
      <c r="E16" s="6">
        <f t="shared" si="0"/>
        <v>0</v>
      </c>
    </row>
    <row r="17" spans="2:5" x14ac:dyDescent="0.45">
      <c r="B17" s="5" t="s">
        <v>487</v>
      </c>
      <c r="C17" s="12">
        <v>7.4999999999999997E-2</v>
      </c>
      <c r="D17" s="11"/>
      <c r="E17" s="6">
        <f t="shared" si="0"/>
        <v>0</v>
      </c>
    </row>
    <row r="18" spans="2:5" x14ac:dyDescent="0.45">
      <c r="B18" s="5" t="s">
        <v>488</v>
      </c>
      <c r="C18" s="12">
        <v>0.05</v>
      </c>
      <c r="D18" s="11"/>
      <c r="E18" s="6">
        <f t="shared" si="0"/>
        <v>0</v>
      </c>
    </row>
    <row r="19" spans="2:5" x14ac:dyDescent="0.45">
      <c r="B19" s="5" t="s">
        <v>489</v>
      </c>
      <c r="C19" s="12">
        <v>0.2</v>
      </c>
      <c r="D19" s="11"/>
      <c r="E19" s="6">
        <f t="shared" si="0"/>
        <v>0</v>
      </c>
    </row>
    <row r="20" spans="2:5" x14ac:dyDescent="0.45">
      <c r="B20" s="5" t="s">
        <v>490</v>
      </c>
      <c r="C20" s="12">
        <v>0.1</v>
      </c>
      <c r="D20" s="11"/>
      <c r="E20" s="6">
        <f t="shared" si="0"/>
        <v>0</v>
      </c>
    </row>
    <row r="21" spans="2:5" ht="26.25" x14ac:dyDescent="0.45">
      <c r="B21" s="7" t="s">
        <v>491</v>
      </c>
      <c r="C21" s="12">
        <v>0</v>
      </c>
      <c r="D21" s="11"/>
      <c r="E21" s="6">
        <f t="shared" si="0"/>
        <v>0</v>
      </c>
    </row>
    <row r="22" spans="2:5" x14ac:dyDescent="0.45">
      <c r="B22" s="8" t="s">
        <v>107</v>
      </c>
      <c r="C22" s="9"/>
      <c r="D22" s="10"/>
      <c r="E22" s="13">
        <f>SUM(E5:E21)</f>
        <v>0</v>
      </c>
    </row>
    <row r="24" spans="2:5" ht="44.25" customHeight="1" x14ac:dyDescent="0.45">
      <c r="B24" s="860" t="s">
        <v>492</v>
      </c>
      <c r="C24" s="860"/>
      <c r="D24" s="860"/>
      <c r="E24" s="860"/>
    </row>
    <row r="25" spans="2:5" x14ac:dyDescent="0.45">
      <c r="B25" s="860" t="s">
        <v>493</v>
      </c>
      <c r="C25" s="860"/>
      <c r="D25" s="860"/>
      <c r="E25" s="860"/>
    </row>
  </sheetData>
  <mergeCells count="2">
    <mergeCell ref="B24:E24"/>
    <mergeCell ref="B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328125" defaultRowHeight="13.15" x14ac:dyDescent="0.45"/>
  <cols>
    <col min="1" max="1" width="9.1328125" style="2"/>
    <col min="2" max="2" width="55.265625" style="2" bestFit="1" customWidth="1"/>
    <col min="3" max="3" width="26.3984375" style="2" bestFit="1" customWidth="1"/>
    <col min="4" max="4" width="15.1328125" style="2" bestFit="1" customWidth="1"/>
    <col min="5" max="5" width="26.1328125" style="2" bestFit="1" customWidth="1"/>
    <col min="6" max="6" width="1.73046875" style="2" customWidth="1"/>
    <col min="7" max="7" width="13.265625" style="2" bestFit="1" customWidth="1"/>
    <col min="8" max="8" width="1.73046875" style="2" customWidth="1"/>
    <col min="9" max="9" width="30.3984375" style="2" bestFit="1" customWidth="1"/>
    <col min="10" max="10" width="1.73046875" style="2" customWidth="1"/>
    <col min="11" max="11" width="13.265625" style="2" bestFit="1" customWidth="1"/>
    <col min="12" max="12" width="1.73046875" style="2" customWidth="1"/>
    <col min="13" max="13" width="35.1328125" style="2" bestFit="1" customWidth="1"/>
    <col min="14" max="14" width="1.73046875" style="2" customWidth="1"/>
    <col min="15" max="15" width="12.1328125" style="2" bestFit="1" customWidth="1"/>
    <col min="16" max="16" width="1.73046875" style="2" customWidth="1"/>
    <col min="17" max="17" width="12.1328125" style="2" bestFit="1" customWidth="1"/>
    <col min="18" max="18" width="1.73046875" style="2" customWidth="1"/>
    <col min="19" max="19" width="21.86328125" style="2" bestFit="1" customWidth="1"/>
    <col min="20" max="20" width="1.73046875" style="2" customWidth="1"/>
    <col min="21" max="21" width="12.3984375" style="2" bestFit="1" customWidth="1"/>
    <col min="22" max="16384" width="9.1328125" style="2"/>
  </cols>
  <sheetData>
    <row r="2" spans="2:21" x14ac:dyDescent="0.45">
      <c r="B2" s="50" t="s">
        <v>494</v>
      </c>
      <c r="C2" s="50" t="s">
        <v>494</v>
      </c>
      <c r="E2" s="50" t="s">
        <v>495</v>
      </c>
      <c r="G2" s="50" t="s">
        <v>496</v>
      </c>
      <c r="I2" s="50" t="s">
        <v>497</v>
      </c>
      <c r="K2" s="50" t="s">
        <v>498</v>
      </c>
      <c r="M2" s="50" t="s">
        <v>499</v>
      </c>
      <c r="O2" s="50" t="s">
        <v>500</v>
      </c>
      <c r="Q2" s="50" t="s">
        <v>501</v>
      </c>
      <c r="S2" s="50" t="s">
        <v>502</v>
      </c>
      <c r="U2" s="50" t="s">
        <v>396</v>
      </c>
    </row>
    <row r="3" spans="2:21" x14ac:dyDescent="0.45">
      <c r="B3" s="51"/>
      <c r="C3" s="52" t="s">
        <v>312</v>
      </c>
      <c r="E3" s="52" t="s">
        <v>311</v>
      </c>
      <c r="G3" s="52" t="s">
        <v>311</v>
      </c>
      <c r="I3" s="52" t="s">
        <v>311</v>
      </c>
      <c r="K3" s="52" t="s">
        <v>311</v>
      </c>
      <c r="M3" s="52" t="s">
        <v>311</v>
      </c>
      <c r="O3" s="52" t="s">
        <v>311</v>
      </c>
      <c r="Q3" s="52" t="s">
        <v>311</v>
      </c>
      <c r="S3" s="52" t="s">
        <v>311</v>
      </c>
      <c r="U3" s="52" t="s">
        <v>311</v>
      </c>
    </row>
    <row r="4" spans="2:21" x14ac:dyDescent="0.45">
      <c r="B4" s="5" t="s">
        <v>380</v>
      </c>
      <c r="C4" s="52" t="s">
        <v>380</v>
      </c>
      <c r="E4" s="52" t="s">
        <v>308</v>
      </c>
      <c r="G4" s="52" t="s">
        <v>318</v>
      </c>
      <c r="I4" s="52" t="s">
        <v>320</v>
      </c>
      <c r="K4" s="52" t="s">
        <v>323</v>
      </c>
      <c r="M4" s="52" t="s">
        <v>466</v>
      </c>
      <c r="O4" s="52" t="s">
        <v>467</v>
      </c>
      <c r="Q4" s="52" t="s">
        <v>468</v>
      </c>
      <c r="S4" s="52" t="s">
        <v>469</v>
      </c>
      <c r="U4" s="52" t="s">
        <v>470</v>
      </c>
    </row>
    <row r="5" spans="2:21" x14ac:dyDescent="0.45">
      <c r="B5" s="5" t="s">
        <v>503</v>
      </c>
      <c r="C5" s="52" t="s">
        <v>309</v>
      </c>
      <c r="E5" s="52" t="s">
        <v>504</v>
      </c>
      <c r="G5" s="52" t="s">
        <v>505</v>
      </c>
      <c r="I5" s="52" t="s">
        <v>506</v>
      </c>
      <c r="K5" s="52" t="s">
        <v>324</v>
      </c>
      <c r="M5" s="52" t="s">
        <v>507</v>
      </c>
      <c r="O5" s="52" t="s">
        <v>508</v>
      </c>
      <c r="Q5" s="52" t="s">
        <v>509</v>
      </c>
      <c r="S5" s="52" t="s">
        <v>510</v>
      </c>
      <c r="U5" s="52" t="s">
        <v>511</v>
      </c>
    </row>
    <row r="6" spans="2:21" x14ac:dyDescent="0.45">
      <c r="B6" s="5" t="s">
        <v>512</v>
      </c>
      <c r="C6" s="52" t="s">
        <v>344</v>
      </c>
      <c r="E6" s="52" t="s">
        <v>513</v>
      </c>
      <c r="G6" s="52" t="s">
        <v>514</v>
      </c>
      <c r="I6" s="52" t="s">
        <v>515</v>
      </c>
      <c r="K6" s="52" t="s">
        <v>325</v>
      </c>
      <c r="M6" s="52" t="s">
        <v>516</v>
      </c>
      <c r="O6" s="52" t="s">
        <v>517</v>
      </c>
      <c r="Q6" s="52" t="s">
        <v>518</v>
      </c>
      <c r="S6" s="52" t="s">
        <v>519</v>
      </c>
      <c r="U6" s="52" t="s">
        <v>520</v>
      </c>
    </row>
    <row r="7" spans="2:21" x14ac:dyDescent="0.45">
      <c r="B7" s="5" t="s">
        <v>521</v>
      </c>
      <c r="C7" s="52" t="s">
        <v>522</v>
      </c>
      <c r="E7" s="52" t="s">
        <v>523</v>
      </c>
      <c r="G7" s="52" t="s">
        <v>524</v>
      </c>
      <c r="I7" s="52" t="s">
        <v>525</v>
      </c>
      <c r="K7" s="52" t="s">
        <v>326</v>
      </c>
      <c r="M7" s="52" t="s">
        <v>526</v>
      </c>
      <c r="O7" s="52" t="s">
        <v>527</v>
      </c>
      <c r="Q7" s="52" t="s">
        <v>528</v>
      </c>
      <c r="S7" s="52" t="s">
        <v>529</v>
      </c>
      <c r="U7" s="52" t="s">
        <v>530</v>
      </c>
    </row>
    <row r="8" spans="2:21" x14ac:dyDescent="0.45">
      <c r="B8" s="5" t="s">
        <v>531</v>
      </c>
      <c r="C8" s="52" t="s">
        <v>532</v>
      </c>
      <c r="E8" s="52" t="s">
        <v>533</v>
      </c>
      <c r="G8" s="52" t="s">
        <v>534</v>
      </c>
      <c r="I8" s="52" t="s">
        <v>535</v>
      </c>
      <c r="K8" s="52" t="s">
        <v>327</v>
      </c>
      <c r="M8" s="52" t="s">
        <v>536</v>
      </c>
      <c r="O8" s="52" t="s">
        <v>537</v>
      </c>
      <c r="Q8" s="52" t="s">
        <v>538</v>
      </c>
      <c r="S8" s="52" t="s">
        <v>539</v>
      </c>
      <c r="U8" s="52" t="s">
        <v>540</v>
      </c>
    </row>
    <row r="9" spans="2:21" x14ac:dyDescent="0.45">
      <c r="B9" s="5" t="s">
        <v>224</v>
      </c>
      <c r="C9" s="52" t="s">
        <v>224</v>
      </c>
      <c r="E9" s="52" t="s">
        <v>541</v>
      </c>
      <c r="G9" s="52" t="s">
        <v>542</v>
      </c>
      <c r="I9" s="52" t="s">
        <v>543</v>
      </c>
      <c r="K9" s="52" t="s">
        <v>328</v>
      </c>
      <c r="M9" s="52" t="s">
        <v>544</v>
      </c>
      <c r="O9" s="52" t="s">
        <v>545</v>
      </c>
      <c r="Q9" s="52" t="s">
        <v>546</v>
      </c>
      <c r="S9" s="52" t="s">
        <v>547</v>
      </c>
      <c r="U9" s="52" t="s">
        <v>548</v>
      </c>
    </row>
    <row r="10" spans="2:21" x14ac:dyDescent="0.45">
      <c r="E10" s="52" t="s">
        <v>549</v>
      </c>
      <c r="G10" s="52" t="s">
        <v>550</v>
      </c>
      <c r="I10" s="52" t="s">
        <v>551</v>
      </c>
      <c r="K10" s="52" t="s">
        <v>329</v>
      </c>
      <c r="M10" s="52" t="s">
        <v>552</v>
      </c>
      <c r="O10" s="52" t="s">
        <v>553</v>
      </c>
      <c r="Q10" s="52" t="s">
        <v>554</v>
      </c>
      <c r="S10" s="52" t="s">
        <v>555</v>
      </c>
      <c r="U10" s="52" t="s">
        <v>556</v>
      </c>
    </row>
    <row r="11" spans="2:21" x14ac:dyDescent="0.45">
      <c r="B11" s="50" t="s">
        <v>557</v>
      </c>
      <c r="C11" s="50" t="s">
        <v>557</v>
      </c>
      <c r="E11" s="52" t="s">
        <v>558</v>
      </c>
      <c r="G11" s="52" t="s">
        <v>559</v>
      </c>
      <c r="I11" s="52" t="s">
        <v>560</v>
      </c>
      <c r="K11" s="52" t="s">
        <v>561</v>
      </c>
      <c r="M11" s="52" t="s">
        <v>562</v>
      </c>
      <c r="O11" s="52" t="s">
        <v>563</v>
      </c>
      <c r="Q11" s="52" t="s">
        <v>564</v>
      </c>
      <c r="S11" s="52" t="s">
        <v>565</v>
      </c>
      <c r="U11" s="52" t="s">
        <v>566</v>
      </c>
    </row>
    <row r="12" spans="2:21" x14ac:dyDescent="0.45">
      <c r="B12" s="51"/>
      <c r="C12" s="52" t="s">
        <v>312</v>
      </c>
      <c r="E12" s="52" t="s">
        <v>567</v>
      </c>
      <c r="G12" s="52" t="s">
        <v>568</v>
      </c>
      <c r="I12" s="52" t="s">
        <v>569</v>
      </c>
      <c r="K12" s="52" t="s">
        <v>570</v>
      </c>
      <c r="M12" s="52" t="s">
        <v>571</v>
      </c>
      <c r="O12" s="52" t="s">
        <v>572</v>
      </c>
      <c r="Q12" s="52" t="s">
        <v>573</v>
      </c>
      <c r="S12" s="52" t="s">
        <v>574</v>
      </c>
      <c r="U12" s="52" t="s">
        <v>575</v>
      </c>
    </row>
    <row r="13" spans="2:21" x14ac:dyDescent="0.45">
      <c r="B13" s="5" t="s">
        <v>512</v>
      </c>
      <c r="C13" s="52" t="s">
        <v>344</v>
      </c>
      <c r="E13" s="52" t="s">
        <v>576</v>
      </c>
      <c r="G13" s="52" t="s">
        <v>577</v>
      </c>
      <c r="I13" s="52" t="s">
        <v>578</v>
      </c>
      <c r="K13" s="52" t="s">
        <v>579</v>
      </c>
      <c r="M13" s="52" t="s">
        <v>580</v>
      </c>
      <c r="O13" s="52" t="s">
        <v>581</v>
      </c>
      <c r="Q13" s="52" t="s">
        <v>582</v>
      </c>
      <c r="S13" s="52" t="s">
        <v>583</v>
      </c>
      <c r="U13" s="52" t="s">
        <v>584</v>
      </c>
    </row>
    <row r="14" spans="2:21" x14ac:dyDescent="0.45">
      <c r="B14" s="5" t="s">
        <v>521</v>
      </c>
      <c r="C14" s="52" t="s">
        <v>522</v>
      </c>
      <c r="E14" s="52" t="s">
        <v>585</v>
      </c>
      <c r="G14" s="52" t="s">
        <v>586</v>
      </c>
      <c r="I14" s="52" t="s">
        <v>587</v>
      </c>
      <c r="K14" s="52" t="s">
        <v>588</v>
      </c>
      <c r="M14" s="52" t="s">
        <v>589</v>
      </c>
      <c r="O14" s="52" t="s">
        <v>590</v>
      </c>
      <c r="Q14" s="52" t="s">
        <v>591</v>
      </c>
      <c r="S14" s="52" t="s">
        <v>592</v>
      </c>
      <c r="U14" s="52" t="s">
        <v>593</v>
      </c>
    </row>
    <row r="15" spans="2:21" x14ac:dyDescent="0.45">
      <c r="B15" s="5" t="s">
        <v>594</v>
      </c>
      <c r="C15" s="52" t="s">
        <v>595</v>
      </c>
      <c r="E15" s="52" t="s">
        <v>596</v>
      </c>
      <c r="G15" s="52" t="s">
        <v>597</v>
      </c>
      <c r="I15" s="52" t="s">
        <v>598</v>
      </c>
      <c r="K15" s="52" t="s">
        <v>599</v>
      </c>
      <c r="M15" s="52" t="s">
        <v>600</v>
      </c>
      <c r="O15" s="52" t="s">
        <v>601</v>
      </c>
      <c r="Q15" s="52" t="s">
        <v>602</v>
      </c>
      <c r="S15" s="52" t="s">
        <v>603</v>
      </c>
      <c r="U15" s="52" t="s">
        <v>604</v>
      </c>
    </row>
    <row r="16" spans="2:21" x14ac:dyDescent="0.45">
      <c r="B16" s="5" t="s">
        <v>605</v>
      </c>
      <c r="C16" s="52" t="s">
        <v>606</v>
      </c>
      <c r="E16" s="52" t="s">
        <v>607</v>
      </c>
      <c r="G16" s="52" t="s">
        <v>608</v>
      </c>
      <c r="I16" s="52" t="s">
        <v>609</v>
      </c>
      <c r="K16" s="52" t="s">
        <v>610</v>
      </c>
      <c r="M16" s="52" t="s">
        <v>611</v>
      </c>
      <c r="O16" s="52" t="s">
        <v>612</v>
      </c>
      <c r="Q16" s="52" t="s">
        <v>613</v>
      </c>
      <c r="S16" s="52" t="s">
        <v>614</v>
      </c>
      <c r="U16" s="52" t="s">
        <v>615</v>
      </c>
    </row>
    <row r="17" spans="2:21" x14ac:dyDescent="0.45">
      <c r="B17" s="5" t="s">
        <v>616</v>
      </c>
      <c r="C17" s="52" t="s">
        <v>617</v>
      </c>
      <c r="E17" s="52" t="s">
        <v>618</v>
      </c>
      <c r="G17" s="52" t="s">
        <v>619</v>
      </c>
      <c r="I17" s="52" t="s">
        <v>620</v>
      </c>
      <c r="K17" s="52" t="s">
        <v>621</v>
      </c>
      <c r="M17" s="52" t="s">
        <v>622</v>
      </c>
      <c r="O17" s="52" t="s">
        <v>623</v>
      </c>
      <c r="Q17" s="52" t="s">
        <v>624</v>
      </c>
      <c r="S17" s="52" t="s">
        <v>625</v>
      </c>
      <c r="U17" s="52" t="s">
        <v>626</v>
      </c>
    </row>
    <row r="18" spans="2:21" x14ac:dyDescent="0.45">
      <c r="B18" s="5" t="s">
        <v>627</v>
      </c>
      <c r="C18" s="52" t="s">
        <v>628</v>
      </c>
      <c r="E18" s="52" t="s">
        <v>629</v>
      </c>
      <c r="G18" s="52" t="s">
        <v>630</v>
      </c>
      <c r="I18" s="52" t="s">
        <v>631</v>
      </c>
      <c r="K18" s="52" t="s">
        <v>632</v>
      </c>
      <c r="M18" s="52" t="s">
        <v>633</v>
      </c>
      <c r="O18" s="52" t="s">
        <v>634</v>
      </c>
      <c r="Q18" s="52" t="s">
        <v>635</v>
      </c>
      <c r="S18" s="52" t="s">
        <v>636</v>
      </c>
      <c r="U18" s="52" t="s">
        <v>637</v>
      </c>
    </row>
    <row r="19" spans="2:21" x14ac:dyDescent="0.45">
      <c r="B19" s="5" t="s">
        <v>638</v>
      </c>
      <c r="C19" s="52" t="s">
        <v>638</v>
      </c>
    </row>
    <row r="21" spans="2:21" x14ac:dyDescent="0.45">
      <c r="B21" s="53" t="s">
        <v>91</v>
      </c>
      <c r="C21" s="53" t="s">
        <v>639</v>
      </c>
      <c r="D21" s="53" t="s">
        <v>640</v>
      </c>
    </row>
    <row r="22" spans="2:21" x14ac:dyDescent="0.45">
      <c r="B22" s="5" t="s">
        <v>641</v>
      </c>
      <c r="C22" s="5" t="s">
        <v>496</v>
      </c>
      <c r="D22" s="5" t="s">
        <v>56</v>
      </c>
    </row>
    <row r="23" spans="2:21" x14ac:dyDescent="0.45">
      <c r="B23" s="5" t="s">
        <v>642</v>
      </c>
      <c r="C23" s="5" t="s">
        <v>496</v>
      </c>
      <c r="D23" s="5" t="s">
        <v>56</v>
      </c>
    </row>
    <row r="24" spans="2:21" x14ac:dyDescent="0.45">
      <c r="B24" s="5" t="s">
        <v>643</v>
      </c>
      <c r="C24" s="5" t="s">
        <v>496</v>
      </c>
      <c r="D24" s="5" t="s">
        <v>56</v>
      </c>
    </row>
    <row r="25" spans="2:21" x14ac:dyDescent="0.45">
      <c r="B25" s="5" t="s">
        <v>644</v>
      </c>
      <c r="C25" s="5" t="s">
        <v>501</v>
      </c>
      <c r="D25" s="5" t="s">
        <v>56</v>
      </c>
    </row>
    <row r="26" spans="2:21" x14ac:dyDescent="0.45">
      <c r="B26" s="5" t="s">
        <v>645</v>
      </c>
      <c r="C26" s="5" t="s">
        <v>501</v>
      </c>
      <c r="D26" s="5" t="s">
        <v>56</v>
      </c>
    </row>
    <row r="27" spans="2:21" x14ac:dyDescent="0.45">
      <c r="B27" s="5" t="s">
        <v>646</v>
      </c>
      <c r="C27" s="5" t="s">
        <v>501</v>
      </c>
      <c r="D27" s="5" t="s">
        <v>56</v>
      </c>
    </row>
    <row r="28" spans="2:21" x14ac:dyDescent="0.45">
      <c r="B28" s="5" t="s">
        <v>647</v>
      </c>
      <c r="C28" s="5" t="s">
        <v>501</v>
      </c>
      <c r="D28" s="5" t="s">
        <v>56</v>
      </c>
    </row>
    <row r="29" spans="2:21" x14ac:dyDescent="0.45">
      <c r="B29" s="5" t="s">
        <v>648</v>
      </c>
      <c r="C29" s="5" t="s">
        <v>95</v>
      </c>
      <c r="D29" s="5" t="s">
        <v>56</v>
      </c>
    </row>
    <row r="30" spans="2:21" x14ac:dyDescent="0.45">
      <c r="B30" s="5" t="s">
        <v>649</v>
      </c>
      <c r="C30" s="5" t="s">
        <v>95</v>
      </c>
      <c r="D30" s="5" t="s">
        <v>56</v>
      </c>
    </row>
    <row r="31" spans="2:21" x14ac:dyDescent="0.45">
      <c r="B31" s="5" t="s">
        <v>650</v>
      </c>
      <c r="C31" s="5" t="s">
        <v>498</v>
      </c>
      <c r="D31" s="5" t="s">
        <v>651</v>
      </c>
    </row>
    <row r="32" spans="2:21" x14ac:dyDescent="0.45">
      <c r="B32" s="5" t="s">
        <v>652</v>
      </c>
      <c r="C32" s="5" t="s">
        <v>653</v>
      </c>
      <c r="D32" s="5" t="s">
        <v>651</v>
      </c>
    </row>
    <row r="33" spans="2:4" x14ac:dyDescent="0.45">
      <c r="B33" s="5" t="s">
        <v>654</v>
      </c>
      <c r="C33" s="5" t="s">
        <v>396</v>
      </c>
      <c r="D33" s="5" t="s">
        <v>56</v>
      </c>
    </row>
    <row r="36" spans="2:4" x14ac:dyDescent="0.45">
      <c r="B36" s="53" t="s">
        <v>655</v>
      </c>
      <c r="C36" s="53" t="s">
        <v>656</v>
      </c>
      <c r="D36" s="53" t="s">
        <v>639</v>
      </c>
    </row>
    <row r="37" spans="2:4" x14ac:dyDescent="0.45">
      <c r="B37" s="5" t="s">
        <v>657</v>
      </c>
      <c r="C37" s="52" t="s">
        <v>5</v>
      </c>
      <c r="D37" s="52" t="s">
        <v>316</v>
      </c>
    </row>
    <row r="38" spans="2:4" ht="26.25" x14ac:dyDescent="0.45">
      <c r="B38" s="7" t="s">
        <v>658</v>
      </c>
      <c r="C38" s="52" t="s">
        <v>5</v>
      </c>
      <c r="D38" s="52" t="s">
        <v>659</v>
      </c>
    </row>
    <row r="39" spans="2:4" x14ac:dyDescent="0.45">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53AF34-D507-4A53-9115-81F51996F6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vt:i4>
      </vt:variant>
    </vt:vector>
  </HeadingPairs>
  <TitlesOfParts>
    <vt:vector size="25"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Chan Meng Kwan</cp:lastModifiedBy>
  <cp:revision/>
  <cp:lastPrinted>2024-03-08T02:51:19Z</cp:lastPrinted>
  <dcterms:created xsi:type="dcterms:W3CDTF">2019-09-23T06:43:03Z</dcterms:created>
  <dcterms:modified xsi:type="dcterms:W3CDTF">2026-03-08T04:29:29Z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